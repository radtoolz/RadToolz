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jjpro.DAD\Documents\Visual Studio 2013\Projects\RadToolz\Workbooks\"/>
    </mc:Choice>
  </mc:AlternateContent>
  <bookViews>
    <workbookView xWindow="-15" yWindow="-15" windowWidth="11610" windowHeight="12315" activeTab="2"/>
  </bookViews>
  <sheets>
    <sheet name="RTZLib" sheetId="12" r:id="rId1"/>
    <sheet name="Conversions" sheetId="21" r:id="rId2"/>
    <sheet name="RTZCode" sheetId="13" r:id="rId3"/>
    <sheet name="ICRP68inh" sheetId="17" r:id="rId4"/>
    <sheet name="ICRP68ing" sheetId="18" r:id="rId5"/>
    <sheet name="ICRP72ing" sheetId="19" r:id="rId6"/>
    <sheet name="ICRP72inh" sheetId="20" r:id="rId7"/>
    <sheet name="AValues" sheetId="22" r:id="rId8"/>
  </sheets>
  <externalReferences>
    <externalReference r:id="rId9"/>
  </externalReferences>
  <definedNames>
    <definedName name="_68ing">ICRP68ing!$A$2:$B$737</definedName>
    <definedName name="_68inh">ICRP68inh!$A$2:$G$734</definedName>
    <definedName name="_72ing">ICRP72ing!$A$2:$B$738</definedName>
    <definedName name="_72inh">ICRP72inh!$A$2:$D$738</definedName>
    <definedName name="_DCF">#REF!</definedName>
    <definedName name="_xlnm._FilterDatabase" localSheetId="4" hidden="1">ICRP68ing!$A$1:$B$46</definedName>
    <definedName name="_xlnm._FilterDatabase" localSheetId="3" hidden="1">ICRP68inh!$A$1:$G$734</definedName>
    <definedName name="_xlnm._FilterDatabase" localSheetId="6" hidden="1">ICRP72inh!$A$1:$D$738</definedName>
    <definedName name="_xlnm._FilterDatabase" localSheetId="0" hidden="1">RTZLib!$A$1:$S$174</definedName>
    <definedName name="_RTZData">RTZLib!$A$2:$S$174</definedName>
    <definedName name="A1A2">AValues!$A$2:$C$152</definedName>
    <definedName name="dcf_data">#REF!</definedName>
    <definedName name="DCF_Pu239_ICRP30">#REF!</definedName>
    <definedName name="DCF_Pu239_ICRP68m">#REF!</definedName>
    <definedName name="DCF_Pu239_ICRP72m">#REF!</definedName>
    <definedName name="HE_Control_Type_MA">'[1]Control Type - MA'!$A$1:$M$71</definedName>
    <definedName name="HE_Control_Type_ME">'[1]Control Type - ME'!$A$1:$M$71</definedName>
    <definedName name="HE_Control_Type_PA">'[1]Control Type - PA'!$A$1:$M$71</definedName>
    <definedName name="HE_Control_Type_PE">'[1]Control Type - PE'!$A$1:$M$71</definedName>
    <definedName name="HE_DR_Basis">'[1]HE Mitigated DR Basis'!$A$1:$L$125</definedName>
    <definedName name="HE_Gen_Comment">'[1]HE General Comments'!$A$1:$L$37</definedName>
    <definedName name="HE_MAR_Basis">'[1]HE MAR Basis'!$A$1:$L$71</definedName>
    <definedName name="HE_TABLE">'[1]Hazard Evaluation'!$A$7:$AN$184</definedName>
    <definedName name="HEPA_Filter_Efficiency">#REF!</definedName>
    <definedName name="I72_Ing_1" localSheetId="5">ICRP72ing!$A$2:$B$738</definedName>
    <definedName name="I72_Inh_2" localSheetId="6">ICRP72inh!$A$1:$D$738</definedName>
    <definedName name="ICRP68">#REF!</definedName>
    <definedName name="ICRP72">#REF!</definedName>
    <definedName name="nndc">#REF!</definedName>
    <definedName name="Ref_ARFxRF_Values">'[1]ARF RF Basis'!$A$17:$C$102</definedName>
    <definedName name="Ref_BR">'[1]ARF RF Basis'!$C$3</definedName>
    <definedName name="Ref_DCF_Values">#REF!</definedName>
    <definedName name="Ref_XoverQ">'[1]ARF RF Basis'!$A$8:$E$11</definedName>
    <definedName name="Table_A11" localSheetId="4">ICRP68ing!$A$1:$B$737</definedName>
    <definedName name="Table_A11" localSheetId="3">ICRP68inh!$A$1:$G$734</definedName>
  </definedNames>
  <calcPr calcId="152511"/>
</workbook>
</file>

<file path=xl/calcChain.xml><?xml version="1.0" encoding="utf-8"?>
<calcChain xmlns="http://schemas.openxmlformats.org/spreadsheetml/2006/main">
  <c r="N3" i="12" l="1"/>
  <c r="O3" i="12"/>
  <c r="N4" i="12"/>
  <c r="O4" i="12"/>
  <c r="N5" i="12"/>
  <c r="O5" i="12"/>
  <c r="N6" i="12"/>
  <c r="O6" i="12"/>
  <c r="N7" i="12"/>
  <c r="O7" i="12"/>
  <c r="N8" i="12"/>
  <c r="O8" i="12"/>
  <c r="N9" i="12"/>
  <c r="O9" i="12"/>
  <c r="N10" i="12"/>
  <c r="O10" i="12"/>
  <c r="N11" i="12"/>
  <c r="O11" i="12"/>
  <c r="N12" i="12"/>
  <c r="O12" i="12"/>
  <c r="N13" i="12"/>
  <c r="O13" i="12"/>
  <c r="N14" i="12"/>
  <c r="O14" i="12"/>
  <c r="N15" i="12"/>
  <c r="O15" i="12"/>
  <c r="N16" i="12"/>
  <c r="O16" i="12"/>
  <c r="N17" i="12"/>
  <c r="O17" i="12"/>
  <c r="N18" i="12"/>
  <c r="O18" i="12"/>
  <c r="N19" i="12"/>
  <c r="O19" i="12"/>
  <c r="N20" i="12"/>
  <c r="O20" i="12"/>
  <c r="N21" i="12"/>
  <c r="O21" i="12"/>
  <c r="N22" i="12"/>
  <c r="O22" i="12"/>
  <c r="N23" i="12"/>
  <c r="O23" i="12"/>
  <c r="N24" i="12"/>
  <c r="O24" i="12"/>
  <c r="N25" i="12"/>
  <c r="O25" i="12"/>
  <c r="N26" i="12"/>
  <c r="O26" i="12"/>
  <c r="N27" i="12"/>
  <c r="O27" i="12"/>
  <c r="N28" i="12"/>
  <c r="O28" i="12"/>
  <c r="N29" i="12"/>
  <c r="O29" i="12"/>
  <c r="N30" i="12"/>
  <c r="O30" i="12"/>
  <c r="N31" i="12"/>
  <c r="O31" i="12"/>
  <c r="N32" i="12"/>
  <c r="O32" i="12"/>
  <c r="N33" i="12"/>
  <c r="O33" i="12"/>
  <c r="N34" i="12"/>
  <c r="O34" i="12"/>
  <c r="N35" i="12"/>
  <c r="O35" i="12"/>
  <c r="N36" i="12"/>
  <c r="O36" i="12"/>
  <c r="N37" i="12"/>
  <c r="O37" i="12"/>
  <c r="N38" i="12"/>
  <c r="O38" i="12"/>
  <c r="N39" i="12"/>
  <c r="O39" i="12"/>
  <c r="N40" i="12"/>
  <c r="O40" i="12"/>
  <c r="N41" i="12"/>
  <c r="O41" i="12"/>
  <c r="N42" i="12"/>
  <c r="O42" i="12"/>
  <c r="N43" i="12"/>
  <c r="O43" i="12"/>
  <c r="N44" i="12"/>
  <c r="O44" i="12"/>
  <c r="N45" i="12"/>
  <c r="O45" i="12"/>
  <c r="N46" i="12"/>
  <c r="O46" i="12"/>
  <c r="N47" i="12"/>
  <c r="O47" i="12"/>
  <c r="N48" i="12"/>
  <c r="O48" i="12"/>
  <c r="N49" i="12"/>
  <c r="O49" i="12"/>
  <c r="N50" i="12"/>
  <c r="O50" i="12"/>
  <c r="N51" i="12"/>
  <c r="O51" i="12"/>
  <c r="N52" i="12"/>
  <c r="O52" i="12"/>
  <c r="N53" i="12"/>
  <c r="O53" i="12"/>
  <c r="N54" i="12"/>
  <c r="O54" i="12"/>
  <c r="N55" i="12"/>
  <c r="O55" i="12"/>
  <c r="N56" i="12"/>
  <c r="O56" i="12"/>
  <c r="N57" i="12"/>
  <c r="O57" i="12"/>
  <c r="N58" i="12"/>
  <c r="O58" i="12"/>
  <c r="N59" i="12"/>
  <c r="O59" i="12"/>
  <c r="N60" i="12"/>
  <c r="O60" i="12"/>
  <c r="N61" i="12"/>
  <c r="O61" i="12"/>
  <c r="N62" i="12"/>
  <c r="O62" i="12"/>
  <c r="N63" i="12"/>
  <c r="O63" i="12"/>
  <c r="N64" i="12"/>
  <c r="O64" i="12"/>
  <c r="N65" i="12"/>
  <c r="O65" i="12"/>
  <c r="N66" i="12"/>
  <c r="O66" i="12"/>
  <c r="N67" i="12"/>
  <c r="O67" i="12"/>
  <c r="N68" i="12"/>
  <c r="O68" i="12"/>
  <c r="N69" i="12"/>
  <c r="O69" i="12"/>
  <c r="N70" i="12"/>
  <c r="O70" i="12"/>
  <c r="N71" i="12"/>
  <c r="O71" i="12"/>
  <c r="N72" i="12"/>
  <c r="O72" i="12"/>
  <c r="N73" i="12"/>
  <c r="O73" i="12"/>
  <c r="N74" i="12"/>
  <c r="O74" i="12"/>
  <c r="N75" i="12"/>
  <c r="O75" i="12"/>
  <c r="N76" i="12"/>
  <c r="O76" i="12"/>
  <c r="N77" i="12"/>
  <c r="O77" i="12"/>
  <c r="N78" i="12"/>
  <c r="O78" i="12"/>
  <c r="N79" i="12"/>
  <c r="O79" i="12"/>
  <c r="N80" i="12"/>
  <c r="O80" i="12"/>
  <c r="N81" i="12"/>
  <c r="O81" i="12"/>
  <c r="N82" i="12"/>
  <c r="O82" i="12"/>
  <c r="N83" i="12"/>
  <c r="O83" i="12"/>
  <c r="N84" i="12"/>
  <c r="O84" i="12"/>
  <c r="N85" i="12"/>
  <c r="O85" i="12"/>
  <c r="N86" i="12"/>
  <c r="O86" i="12"/>
  <c r="N87" i="12"/>
  <c r="O87" i="12"/>
  <c r="N88" i="12"/>
  <c r="O88" i="12"/>
  <c r="N89" i="12"/>
  <c r="O89" i="12"/>
  <c r="N90" i="12"/>
  <c r="O90" i="12"/>
  <c r="N91" i="12"/>
  <c r="O91" i="12"/>
  <c r="N92" i="12"/>
  <c r="O92" i="12"/>
  <c r="N93" i="12"/>
  <c r="O93" i="12"/>
  <c r="N94" i="12"/>
  <c r="O94" i="12"/>
  <c r="N95" i="12"/>
  <c r="O95" i="12"/>
  <c r="N96" i="12"/>
  <c r="O96" i="12"/>
  <c r="N97" i="12"/>
  <c r="O97" i="12"/>
  <c r="N98" i="12"/>
  <c r="O98" i="12"/>
  <c r="N99" i="12"/>
  <c r="O99" i="12"/>
  <c r="N100" i="12"/>
  <c r="O100" i="12"/>
  <c r="N101" i="12"/>
  <c r="O101" i="12"/>
  <c r="N102" i="12"/>
  <c r="O102" i="12"/>
  <c r="N103" i="12"/>
  <c r="O103" i="12"/>
  <c r="N104" i="12"/>
  <c r="O104" i="12"/>
  <c r="N105" i="12"/>
  <c r="O105" i="12"/>
  <c r="N106" i="12"/>
  <c r="O106" i="12"/>
  <c r="N107" i="12"/>
  <c r="O107" i="12"/>
  <c r="N108" i="12"/>
  <c r="O108" i="12"/>
  <c r="N109" i="12"/>
  <c r="O109" i="12"/>
  <c r="N110" i="12"/>
  <c r="O110" i="12"/>
  <c r="N111" i="12"/>
  <c r="O111" i="12"/>
  <c r="N112" i="12"/>
  <c r="O112" i="12"/>
  <c r="N113" i="12"/>
  <c r="O113" i="12"/>
  <c r="N114" i="12"/>
  <c r="O114" i="12"/>
  <c r="N115" i="12"/>
  <c r="O115" i="12"/>
  <c r="N116" i="12"/>
  <c r="O116" i="12"/>
  <c r="N117" i="12"/>
  <c r="O117" i="12"/>
  <c r="N118" i="12"/>
  <c r="O118" i="12"/>
  <c r="N119" i="12"/>
  <c r="O119" i="12"/>
  <c r="N120" i="12"/>
  <c r="O120" i="12"/>
  <c r="N121" i="12"/>
  <c r="O121" i="12"/>
  <c r="N122" i="12"/>
  <c r="O122" i="12"/>
  <c r="N123" i="12"/>
  <c r="O123" i="12"/>
  <c r="N124" i="12"/>
  <c r="O124" i="12"/>
  <c r="N125" i="12"/>
  <c r="O125" i="12"/>
  <c r="N126" i="12"/>
  <c r="O126" i="12"/>
  <c r="N127" i="12"/>
  <c r="O127" i="12"/>
  <c r="N128" i="12"/>
  <c r="O128" i="12"/>
  <c r="N129" i="12"/>
  <c r="O129" i="12"/>
  <c r="N130" i="12"/>
  <c r="O130" i="12"/>
  <c r="N131" i="12"/>
  <c r="O131" i="12"/>
  <c r="N132" i="12"/>
  <c r="O132" i="12"/>
  <c r="N133" i="12"/>
  <c r="O133" i="12"/>
  <c r="N134" i="12"/>
  <c r="O134" i="12"/>
  <c r="N135" i="12"/>
  <c r="O135" i="12"/>
  <c r="N136" i="12"/>
  <c r="O136" i="12"/>
  <c r="N137" i="12"/>
  <c r="O137" i="12"/>
  <c r="N138" i="12"/>
  <c r="O138" i="12"/>
  <c r="N139" i="12"/>
  <c r="O139" i="12"/>
  <c r="N140" i="12"/>
  <c r="O140" i="12"/>
  <c r="N141" i="12"/>
  <c r="O141" i="12"/>
  <c r="N142" i="12"/>
  <c r="O142" i="12"/>
  <c r="N143" i="12"/>
  <c r="O143" i="12"/>
  <c r="N144" i="12"/>
  <c r="O144" i="12"/>
  <c r="N145" i="12"/>
  <c r="O145" i="12"/>
  <c r="N146" i="12"/>
  <c r="O146" i="12"/>
  <c r="N147" i="12"/>
  <c r="O147" i="12"/>
  <c r="N148" i="12"/>
  <c r="O148" i="12"/>
  <c r="N149" i="12"/>
  <c r="O149" i="12"/>
  <c r="N150" i="12"/>
  <c r="O150" i="12"/>
  <c r="N151" i="12"/>
  <c r="O151" i="12"/>
  <c r="N152" i="12"/>
  <c r="O152" i="12"/>
  <c r="N153" i="12"/>
  <c r="O153" i="12"/>
  <c r="N154" i="12"/>
  <c r="O154" i="12"/>
  <c r="N155" i="12"/>
  <c r="O155" i="12"/>
  <c r="N156" i="12"/>
  <c r="O156" i="12"/>
  <c r="N157" i="12"/>
  <c r="O157" i="12"/>
  <c r="N158" i="12"/>
  <c r="O158" i="12"/>
  <c r="N159" i="12"/>
  <c r="O159" i="12"/>
  <c r="N160" i="12"/>
  <c r="O160" i="12"/>
  <c r="N161" i="12"/>
  <c r="O161" i="12"/>
  <c r="N162" i="12"/>
  <c r="O162" i="12"/>
  <c r="N163" i="12"/>
  <c r="O163" i="12"/>
  <c r="N164" i="12"/>
  <c r="O164" i="12"/>
  <c r="N165" i="12"/>
  <c r="O165" i="12"/>
  <c r="N166" i="12"/>
  <c r="O166" i="12"/>
  <c r="N167" i="12"/>
  <c r="O167" i="12"/>
  <c r="N168" i="12"/>
  <c r="O168" i="12"/>
  <c r="N169" i="12"/>
  <c r="O169" i="12"/>
  <c r="N170" i="12"/>
  <c r="O170" i="12"/>
  <c r="N171" i="12"/>
  <c r="O171" i="12"/>
  <c r="N172" i="12"/>
  <c r="O172" i="12"/>
  <c r="N173" i="12"/>
  <c r="O173" i="12"/>
  <c r="N174" i="12"/>
  <c r="O174" i="12"/>
  <c r="N175" i="12"/>
  <c r="O175" i="12"/>
  <c r="N176" i="12"/>
  <c r="O176" i="12"/>
  <c r="O2" i="12"/>
  <c r="N2" i="12"/>
  <c r="C29" i="12" l="1"/>
  <c r="D29" i="12"/>
  <c r="E29" i="12"/>
  <c r="F29" i="12"/>
  <c r="G29" i="12"/>
  <c r="H29" i="12"/>
  <c r="I29" i="12"/>
  <c r="J29" i="12"/>
  <c r="K29" i="12"/>
  <c r="L29" i="12"/>
  <c r="M29" i="12"/>
  <c r="R29" i="12"/>
  <c r="C64" i="12"/>
  <c r="D64" i="12"/>
  <c r="E64" i="12"/>
  <c r="F64" i="12"/>
  <c r="G64" i="12"/>
  <c r="H64" i="12"/>
  <c r="I64" i="12"/>
  <c r="J64" i="12"/>
  <c r="K64" i="12"/>
  <c r="L64" i="12"/>
  <c r="M64" i="12"/>
  <c r="C65" i="12"/>
  <c r="D65" i="12"/>
  <c r="E65" i="12"/>
  <c r="F65" i="12"/>
  <c r="G65" i="12"/>
  <c r="H65" i="12"/>
  <c r="I65" i="12"/>
  <c r="J65" i="12"/>
  <c r="K65" i="12"/>
  <c r="L65" i="12"/>
  <c r="M65" i="12"/>
  <c r="C66" i="12"/>
  <c r="D66" i="12"/>
  <c r="E66" i="12"/>
  <c r="F66" i="12"/>
  <c r="G66" i="12"/>
  <c r="H66" i="12"/>
  <c r="I66" i="12"/>
  <c r="J66" i="12"/>
  <c r="K66" i="12"/>
  <c r="L66" i="12"/>
  <c r="M66" i="12"/>
  <c r="R66" i="12"/>
  <c r="R65" i="12"/>
  <c r="R64" i="12"/>
  <c r="R176" i="12" l="1"/>
  <c r="C175" i="12"/>
  <c r="D175" i="12"/>
  <c r="E175" i="12"/>
  <c r="F175" i="12"/>
  <c r="G175" i="12"/>
  <c r="H175" i="12"/>
  <c r="I175" i="12"/>
  <c r="J175" i="12"/>
  <c r="K175" i="12"/>
  <c r="L175" i="12"/>
  <c r="M175" i="12"/>
  <c r="C176" i="12"/>
  <c r="D176" i="12"/>
  <c r="E176" i="12"/>
  <c r="F176" i="12"/>
  <c r="G176" i="12"/>
  <c r="H176" i="12"/>
  <c r="I176" i="12"/>
  <c r="J176" i="12"/>
  <c r="K176" i="12"/>
  <c r="L176" i="12"/>
  <c r="M176" i="12"/>
  <c r="B11" i="21"/>
  <c r="B10" i="21"/>
  <c r="B9" i="21"/>
  <c r="B8" i="21"/>
  <c r="R175" i="12"/>
  <c r="M179" i="12"/>
  <c r="K173" i="12"/>
  <c r="J3" i="12" l="1"/>
  <c r="K3" i="12"/>
  <c r="L3" i="12"/>
  <c r="J4" i="12"/>
  <c r="K4" i="12"/>
  <c r="L4" i="12"/>
  <c r="J5" i="12"/>
  <c r="K5" i="12"/>
  <c r="L5" i="12"/>
  <c r="J6" i="12"/>
  <c r="K6" i="12"/>
  <c r="L6" i="12"/>
  <c r="J7" i="12"/>
  <c r="K7" i="12"/>
  <c r="L7" i="12"/>
  <c r="J8" i="12"/>
  <c r="K8" i="12"/>
  <c r="L8" i="12"/>
  <c r="J9" i="12"/>
  <c r="K9" i="12"/>
  <c r="L9" i="12"/>
  <c r="J10" i="12"/>
  <c r="K10" i="12"/>
  <c r="L10" i="12"/>
  <c r="J11" i="12"/>
  <c r="K11" i="12"/>
  <c r="L11" i="12"/>
  <c r="J12" i="12"/>
  <c r="K12" i="12"/>
  <c r="L12" i="12"/>
  <c r="J13" i="12"/>
  <c r="K13" i="12"/>
  <c r="L13" i="12"/>
  <c r="J14" i="12"/>
  <c r="K14" i="12"/>
  <c r="L14" i="12"/>
  <c r="J15" i="12"/>
  <c r="K15" i="12"/>
  <c r="L15" i="12"/>
  <c r="J16" i="12"/>
  <c r="K16" i="12"/>
  <c r="L16" i="12"/>
  <c r="J17" i="12"/>
  <c r="K17" i="12"/>
  <c r="L17" i="12"/>
  <c r="J18" i="12"/>
  <c r="K18" i="12"/>
  <c r="L18" i="12"/>
  <c r="J19" i="12"/>
  <c r="K19" i="12"/>
  <c r="L19" i="12"/>
  <c r="J20" i="12"/>
  <c r="K20" i="12"/>
  <c r="L20" i="12"/>
  <c r="J21" i="12"/>
  <c r="K21" i="12"/>
  <c r="L21" i="12"/>
  <c r="J22" i="12"/>
  <c r="K22" i="12"/>
  <c r="L22" i="12"/>
  <c r="J23" i="12"/>
  <c r="K23" i="12"/>
  <c r="L23" i="12"/>
  <c r="J24" i="12"/>
  <c r="K24" i="12"/>
  <c r="L24" i="12"/>
  <c r="J25" i="12"/>
  <c r="K25" i="12"/>
  <c r="L25" i="12"/>
  <c r="J26" i="12"/>
  <c r="K26" i="12"/>
  <c r="L26" i="12"/>
  <c r="J27" i="12"/>
  <c r="K27" i="12"/>
  <c r="L27" i="12"/>
  <c r="J28" i="12"/>
  <c r="K28" i="12"/>
  <c r="L28" i="12"/>
  <c r="J30" i="12"/>
  <c r="K30" i="12"/>
  <c r="L30" i="12"/>
  <c r="J31" i="12"/>
  <c r="K31" i="12"/>
  <c r="L31" i="12"/>
  <c r="J32" i="12"/>
  <c r="K32" i="12"/>
  <c r="L32" i="12"/>
  <c r="J33" i="12"/>
  <c r="K33" i="12"/>
  <c r="L33" i="12"/>
  <c r="J34" i="12"/>
  <c r="K34" i="12"/>
  <c r="L34" i="12"/>
  <c r="J35" i="12"/>
  <c r="K35" i="12"/>
  <c r="L35" i="12"/>
  <c r="J36" i="12"/>
  <c r="K36" i="12"/>
  <c r="L36" i="12"/>
  <c r="J37" i="12"/>
  <c r="K37" i="12"/>
  <c r="L37" i="12"/>
  <c r="J38" i="12"/>
  <c r="K38" i="12"/>
  <c r="L38" i="12"/>
  <c r="J39" i="12"/>
  <c r="K39" i="12"/>
  <c r="L39" i="12"/>
  <c r="J40" i="12"/>
  <c r="K40" i="12"/>
  <c r="L40" i="12"/>
  <c r="J41" i="12"/>
  <c r="K41" i="12"/>
  <c r="L41" i="12"/>
  <c r="J42" i="12"/>
  <c r="K42" i="12"/>
  <c r="L42" i="12"/>
  <c r="J43" i="12"/>
  <c r="K43" i="12"/>
  <c r="L43" i="12"/>
  <c r="J44" i="12"/>
  <c r="K44" i="12"/>
  <c r="L44" i="12"/>
  <c r="J45" i="12"/>
  <c r="K45" i="12"/>
  <c r="L45" i="12"/>
  <c r="J46" i="12"/>
  <c r="K46" i="12"/>
  <c r="L46" i="12"/>
  <c r="J47" i="12"/>
  <c r="K47" i="12"/>
  <c r="L47" i="12"/>
  <c r="J48" i="12"/>
  <c r="K48" i="12"/>
  <c r="L48" i="12"/>
  <c r="J49" i="12"/>
  <c r="K49" i="12"/>
  <c r="L49" i="12"/>
  <c r="J50" i="12"/>
  <c r="K50" i="12"/>
  <c r="L50" i="12"/>
  <c r="J51" i="12"/>
  <c r="K51" i="12"/>
  <c r="L51" i="12"/>
  <c r="J52" i="12"/>
  <c r="K52" i="12"/>
  <c r="L52" i="12"/>
  <c r="J53" i="12"/>
  <c r="K53" i="12"/>
  <c r="L53" i="12"/>
  <c r="J54" i="12"/>
  <c r="K54" i="12"/>
  <c r="L54" i="12"/>
  <c r="J55" i="12"/>
  <c r="K55" i="12"/>
  <c r="L55" i="12"/>
  <c r="J56" i="12"/>
  <c r="K56" i="12"/>
  <c r="L56" i="12"/>
  <c r="J57" i="12"/>
  <c r="K57" i="12"/>
  <c r="L57" i="12"/>
  <c r="J58" i="12"/>
  <c r="K58" i="12"/>
  <c r="L58" i="12"/>
  <c r="J59" i="12"/>
  <c r="K59" i="12"/>
  <c r="L59" i="12"/>
  <c r="J60" i="12"/>
  <c r="K60" i="12"/>
  <c r="L60" i="12"/>
  <c r="J61" i="12"/>
  <c r="K61" i="12"/>
  <c r="L61" i="12"/>
  <c r="J62" i="12"/>
  <c r="K62" i="12"/>
  <c r="L62" i="12"/>
  <c r="J63" i="12"/>
  <c r="K63" i="12"/>
  <c r="L63" i="12"/>
  <c r="J67" i="12"/>
  <c r="K67" i="12"/>
  <c r="L67" i="12"/>
  <c r="J68" i="12"/>
  <c r="K68" i="12"/>
  <c r="L68" i="12"/>
  <c r="J69" i="12"/>
  <c r="K69" i="12"/>
  <c r="L69" i="12"/>
  <c r="J70" i="12"/>
  <c r="K70" i="12"/>
  <c r="L70" i="12"/>
  <c r="J71" i="12"/>
  <c r="K71" i="12"/>
  <c r="L71" i="12"/>
  <c r="J72" i="12"/>
  <c r="K72" i="12"/>
  <c r="L72" i="12"/>
  <c r="J73" i="12"/>
  <c r="K73" i="12"/>
  <c r="L73" i="12"/>
  <c r="J74" i="12"/>
  <c r="K74" i="12"/>
  <c r="L74" i="12"/>
  <c r="J75" i="12"/>
  <c r="K75" i="12"/>
  <c r="L75" i="12"/>
  <c r="J76" i="12"/>
  <c r="K76" i="12"/>
  <c r="L76" i="12"/>
  <c r="J77" i="12"/>
  <c r="K77" i="12"/>
  <c r="L77" i="12"/>
  <c r="J78" i="12"/>
  <c r="K78" i="12"/>
  <c r="L78" i="12"/>
  <c r="J79" i="12"/>
  <c r="K79" i="12"/>
  <c r="L79" i="12"/>
  <c r="J80" i="12"/>
  <c r="K80" i="12"/>
  <c r="L80" i="12"/>
  <c r="J81" i="12"/>
  <c r="K81" i="12"/>
  <c r="L81" i="12"/>
  <c r="J82" i="12"/>
  <c r="K82" i="12"/>
  <c r="L82" i="12"/>
  <c r="J83" i="12"/>
  <c r="K83" i="12"/>
  <c r="L83" i="12"/>
  <c r="J84" i="12"/>
  <c r="K84" i="12"/>
  <c r="L84" i="12"/>
  <c r="J85" i="12"/>
  <c r="K85" i="12"/>
  <c r="L85" i="12"/>
  <c r="J86" i="12"/>
  <c r="K86" i="12"/>
  <c r="L86" i="12"/>
  <c r="J87" i="12"/>
  <c r="K87" i="12"/>
  <c r="L87" i="12"/>
  <c r="J88" i="12"/>
  <c r="K88" i="12"/>
  <c r="L88" i="12"/>
  <c r="J89" i="12"/>
  <c r="K89" i="12"/>
  <c r="L89" i="12"/>
  <c r="J90" i="12"/>
  <c r="K90" i="12"/>
  <c r="L90" i="12"/>
  <c r="J91" i="12"/>
  <c r="K91" i="12"/>
  <c r="L91" i="12"/>
  <c r="J92" i="12"/>
  <c r="K92" i="12"/>
  <c r="L92" i="12"/>
  <c r="J93" i="12"/>
  <c r="K93" i="12"/>
  <c r="L93" i="12"/>
  <c r="J94" i="12"/>
  <c r="K94" i="12"/>
  <c r="L94" i="12"/>
  <c r="J95" i="12"/>
  <c r="K95" i="12"/>
  <c r="L95" i="12"/>
  <c r="J96" i="12"/>
  <c r="K96" i="12"/>
  <c r="L96" i="12"/>
  <c r="J97" i="12"/>
  <c r="K97" i="12"/>
  <c r="L97" i="12"/>
  <c r="J98" i="12"/>
  <c r="K98" i="12"/>
  <c r="L98" i="12"/>
  <c r="J99" i="12"/>
  <c r="K99" i="12"/>
  <c r="L99" i="12"/>
  <c r="J100" i="12"/>
  <c r="K100" i="12"/>
  <c r="L100" i="12"/>
  <c r="J101" i="12"/>
  <c r="K101" i="12"/>
  <c r="L101" i="12"/>
  <c r="J102" i="12"/>
  <c r="K102" i="12"/>
  <c r="L102" i="12"/>
  <c r="J103" i="12"/>
  <c r="K103" i="12"/>
  <c r="L103" i="12"/>
  <c r="J104" i="12"/>
  <c r="K104" i="12"/>
  <c r="L104" i="12"/>
  <c r="J105" i="12"/>
  <c r="K105" i="12"/>
  <c r="L105" i="12"/>
  <c r="J106" i="12"/>
  <c r="K106" i="12"/>
  <c r="L106" i="12"/>
  <c r="J107" i="12"/>
  <c r="K107" i="12"/>
  <c r="L107" i="12"/>
  <c r="J108" i="12"/>
  <c r="K108" i="12"/>
  <c r="L108" i="12"/>
  <c r="J109" i="12"/>
  <c r="K109" i="12"/>
  <c r="L109" i="12"/>
  <c r="J110" i="12"/>
  <c r="K110" i="12"/>
  <c r="L110" i="12"/>
  <c r="J111" i="12"/>
  <c r="K111" i="12"/>
  <c r="L111" i="12"/>
  <c r="J112" i="12"/>
  <c r="K112" i="12"/>
  <c r="L112" i="12"/>
  <c r="J113" i="12"/>
  <c r="K113" i="12"/>
  <c r="L113" i="12"/>
  <c r="J114" i="12"/>
  <c r="K114" i="12"/>
  <c r="L114" i="12"/>
  <c r="J115" i="12"/>
  <c r="K115" i="12"/>
  <c r="L115" i="12"/>
  <c r="J116" i="12"/>
  <c r="K116" i="12"/>
  <c r="L116" i="12"/>
  <c r="J117" i="12"/>
  <c r="K117" i="12"/>
  <c r="L117" i="12"/>
  <c r="J118" i="12"/>
  <c r="K118" i="12"/>
  <c r="L118" i="12"/>
  <c r="J119" i="12"/>
  <c r="K119" i="12"/>
  <c r="L119" i="12"/>
  <c r="J120" i="12"/>
  <c r="K120" i="12"/>
  <c r="L120" i="12"/>
  <c r="J121" i="12"/>
  <c r="K121" i="12"/>
  <c r="L121" i="12"/>
  <c r="J122" i="12"/>
  <c r="K122" i="12"/>
  <c r="L122" i="12"/>
  <c r="J123" i="12"/>
  <c r="K123" i="12"/>
  <c r="L123" i="12"/>
  <c r="J124" i="12"/>
  <c r="K124" i="12"/>
  <c r="L124" i="12"/>
  <c r="J125" i="12"/>
  <c r="K125" i="12"/>
  <c r="L125" i="12"/>
  <c r="J126" i="12"/>
  <c r="K126" i="12"/>
  <c r="L126" i="12"/>
  <c r="J127" i="12"/>
  <c r="K127" i="12"/>
  <c r="L127" i="12"/>
  <c r="J128" i="12"/>
  <c r="K128" i="12"/>
  <c r="L128" i="12"/>
  <c r="J129" i="12"/>
  <c r="K129" i="12"/>
  <c r="L129" i="12"/>
  <c r="J130" i="12"/>
  <c r="K130" i="12"/>
  <c r="L130" i="12"/>
  <c r="J131" i="12"/>
  <c r="K131" i="12"/>
  <c r="L131" i="12"/>
  <c r="J132" i="12"/>
  <c r="K132" i="12"/>
  <c r="L132" i="12"/>
  <c r="J133" i="12"/>
  <c r="K133" i="12"/>
  <c r="L133" i="12"/>
  <c r="J134" i="12"/>
  <c r="K134" i="12"/>
  <c r="L134" i="12"/>
  <c r="J135" i="12"/>
  <c r="K135" i="12"/>
  <c r="L135" i="12"/>
  <c r="J136" i="12"/>
  <c r="K136" i="12"/>
  <c r="L136" i="12"/>
  <c r="J137" i="12"/>
  <c r="K137" i="12"/>
  <c r="L137" i="12"/>
  <c r="J138" i="12"/>
  <c r="K138" i="12"/>
  <c r="L138" i="12"/>
  <c r="J139" i="12"/>
  <c r="K139" i="12"/>
  <c r="L139" i="12"/>
  <c r="J140" i="12"/>
  <c r="K140" i="12"/>
  <c r="L140" i="12"/>
  <c r="J141" i="12"/>
  <c r="K141" i="12"/>
  <c r="L141" i="12"/>
  <c r="J142" i="12"/>
  <c r="K142" i="12"/>
  <c r="L142" i="12"/>
  <c r="J143" i="12"/>
  <c r="K143" i="12"/>
  <c r="L143" i="12"/>
  <c r="J144" i="12"/>
  <c r="K144" i="12"/>
  <c r="L144" i="12"/>
  <c r="J145" i="12"/>
  <c r="K145" i="12"/>
  <c r="L145" i="12"/>
  <c r="J146" i="12"/>
  <c r="K146" i="12"/>
  <c r="L146" i="12"/>
  <c r="J147" i="12"/>
  <c r="K147" i="12"/>
  <c r="L147" i="12"/>
  <c r="J148" i="12"/>
  <c r="K148" i="12"/>
  <c r="L148" i="12"/>
  <c r="J149" i="12"/>
  <c r="K149" i="12"/>
  <c r="L149" i="12"/>
  <c r="J150" i="12"/>
  <c r="K150" i="12"/>
  <c r="L150" i="12"/>
  <c r="J151" i="12"/>
  <c r="K151" i="12"/>
  <c r="L151" i="12"/>
  <c r="J152" i="12"/>
  <c r="K152" i="12"/>
  <c r="L152" i="12"/>
  <c r="J153" i="12"/>
  <c r="K153" i="12"/>
  <c r="L153" i="12"/>
  <c r="J154" i="12"/>
  <c r="K154" i="12"/>
  <c r="L154" i="12"/>
  <c r="J155" i="12"/>
  <c r="K155" i="12"/>
  <c r="L155" i="12"/>
  <c r="J156" i="12"/>
  <c r="K156" i="12"/>
  <c r="L156" i="12"/>
  <c r="J157" i="12"/>
  <c r="K157" i="12"/>
  <c r="L157" i="12"/>
  <c r="J158" i="12"/>
  <c r="K158" i="12"/>
  <c r="L158" i="12"/>
  <c r="J159" i="12"/>
  <c r="K159" i="12"/>
  <c r="L159" i="12"/>
  <c r="J160" i="12"/>
  <c r="K160" i="12"/>
  <c r="L160" i="12"/>
  <c r="J161" i="12"/>
  <c r="K161" i="12"/>
  <c r="L161" i="12"/>
  <c r="J162" i="12"/>
  <c r="K162" i="12"/>
  <c r="L162" i="12"/>
  <c r="J163" i="12"/>
  <c r="K163" i="12"/>
  <c r="L163" i="12"/>
  <c r="J164" i="12"/>
  <c r="K164" i="12"/>
  <c r="L164" i="12"/>
  <c r="J165" i="12"/>
  <c r="K165" i="12"/>
  <c r="L165" i="12"/>
  <c r="J166" i="12"/>
  <c r="K166" i="12"/>
  <c r="L166" i="12"/>
  <c r="J167" i="12"/>
  <c r="K167" i="12"/>
  <c r="L167" i="12"/>
  <c r="J168" i="12"/>
  <c r="K168" i="12"/>
  <c r="L168" i="12"/>
  <c r="J169" i="12"/>
  <c r="K169" i="12"/>
  <c r="L169" i="12"/>
  <c r="J170" i="12"/>
  <c r="K170" i="12"/>
  <c r="L170" i="12"/>
  <c r="J171" i="12"/>
  <c r="K171" i="12"/>
  <c r="L171" i="12"/>
  <c r="J172" i="12"/>
  <c r="K172" i="12"/>
  <c r="L172" i="12"/>
  <c r="J173" i="12"/>
  <c r="L173" i="12"/>
  <c r="J174" i="12"/>
  <c r="K174" i="12"/>
  <c r="L174" i="12"/>
  <c r="L2" i="12"/>
  <c r="K2" i="12"/>
  <c r="M3" i="12" l="1"/>
  <c r="M4" i="12"/>
  <c r="M5" i="12"/>
  <c r="M6" i="12"/>
  <c r="M7" i="12"/>
  <c r="M8" i="12"/>
  <c r="M9" i="12"/>
  <c r="M10" i="12"/>
  <c r="M11" i="12"/>
  <c r="M12" i="12"/>
  <c r="M13" i="12"/>
  <c r="M14" i="12"/>
  <c r="M15" i="12"/>
  <c r="M16" i="12"/>
  <c r="M17" i="12"/>
  <c r="M18" i="12"/>
  <c r="M19" i="12"/>
  <c r="M20" i="12"/>
  <c r="M21" i="12"/>
  <c r="M22" i="12"/>
  <c r="M23" i="12"/>
  <c r="M24" i="12"/>
  <c r="M25" i="12"/>
  <c r="M26" i="12"/>
  <c r="M27" i="12"/>
  <c r="M28"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2" i="12"/>
  <c r="J2" i="12"/>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2" i="12"/>
  <c r="C3" i="12"/>
  <c r="D3" i="12"/>
  <c r="E3" i="12"/>
  <c r="F3" i="12"/>
  <c r="G3" i="12"/>
  <c r="H3" i="12"/>
  <c r="C4" i="12"/>
  <c r="D4" i="12"/>
  <c r="E4" i="12"/>
  <c r="F4" i="12"/>
  <c r="G4" i="12"/>
  <c r="H4" i="12"/>
  <c r="C5" i="12"/>
  <c r="D5" i="12"/>
  <c r="E5" i="12"/>
  <c r="F5" i="12"/>
  <c r="G5" i="12"/>
  <c r="H5" i="12"/>
  <c r="C6" i="12"/>
  <c r="D6" i="12"/>
  <c r="E6" i="12"/>
  <c r="F6" i="12"/>
  <c r="G6" i="12"/>
  <c r="H6" i="12"/>
  <c r="C7" i="12"/>
  <c r="D7" i="12"/>
  <c r="E7" i="12"/>
  <c r="F7" i="12"/>
  <c r="G7" i="12"/>
  <c r="H7" i="12"/>
  <c r="C8" i="12"/>
  <c r="D8" i="12"/>
  <c r="E8" i="12"/>
  <c r="F8" i="12"/>
  <c r="G8" i="12"/>
  <c r="H8" i="12"/>
  <c r="C9" i="12"/>
  <c r="D9" i="12"/>
  <c r="E9" i="12"/>
  <c r="F9" i="12"/>
  <c r="G9" i="12"/>
  <c r="H9" i="12"/>
  <c r="C10" i="12"/>
  <c r="D10" i="12"/>
  <c r="E10" i="12"/>
  <c r="F10" i="12"/>
  <c r="G10" i="12"/>
  <c r="H10" i="12"/>
  <c r="C11" i="12"/>
  <c r="D11" i="12"/>
  <c r="E11" i="12"/>
  <c r="F11" i="12"/>
  <c r="G11" i="12"/>
  <c r="H11" i="12"/>
  <c r="C12" i="12"/>
  <c r="D12" i="12"/>
  <c r="E12" i="12"/>
  <c r="F12" i="12"/>
  <c r="G12" i="12"/>
  <c r="H12" i="12"/>
  <c r="C13" i="12"/>
  <c r="D13" i="12"/>
  <c r="E13" i="12"/>
  <c r="F13" i="12"/>
  <c r="G13" i="12"/>
  <c r="H13" i="12"/>
  <c r="C14" i="12"/>
  <c r="D14" i="12"/>
  <c r="E14" i="12"/>
  <c r="F14" i="12"/>
  <c r="G14" i="12"/>
  <c r="H14" i="12"/>
  <c r="C15" i="12"/>
  <c r="D15" i="12"/>
  <c r="E15" i="12"/>
  <c r="F15" i="12"/>
  <c r="G15" i="12"/>
  <c r="H15" i="12"/>
  <c r="C16" i="12"/>
  <c r="D16" i="12"/>
  <c r="E16" i="12"/>
  <c r="F16" i="12"/>
  <c r="G16" i="12"/>
  <c r="H16" i="12"/>
  <c r="C17" i="12"/>
  <c r="D17" i="12"/>
  <c r="E17" i="12"/>
  <c r="F17" i="12"/>
  <c r="G17" i="12"/>
  <c r="H17" i="12"/>
  <c r="C18" i="12"/>
  <c r="D18" i="12"/>
  <c r="E18" i="12"/>
  <c r="F18" i="12"/>
  <c r="G18" i="12"/>
  <c r="H18" i="12"/>
  <c r="C19" i="12"/>
  <c r="D19" i="12"/>
  <c r="E19" i="12"/>
  <c r="F19" i="12"/>
  <c r="G19" i="12"/>
  <c r="H19" i="12"/>
  <c r="C20" i="12"/>
  <c r="D20" i="12"/>
  <c r="E20" i="12"/>
  <c r="F20" i="12"/>
  <c r="G20" i="12"/>
  <c r="H20" i="12"/>
  <c r="C21" i="12"/>
  <c r="D21" i="12"/>
  <c r="E21" i="12"/>
  <c r="F21" i="12"/>
  <c r="G21" i="12"/>
  <c r="H21" i="12"/>
  <c r="C22" i="12"/>
  <c r="D22" i="12"/>
  <c r="E22" i="12"/>
  <c r="F22" i="12"/>
  <c r="G22" i="12"/>
  <c r="H22" i="12"/>
  <c r="C23" i="12"/>
  <c r="D23" i="12"/>
  <c r="E23" i="12"/>
  <c r="F23" i="12"/>
  <c r="G23" i="12"/>
  <c r="H23" i="12"/>
  <c r="C24" i="12"/>
  <c r="D24" i="12"/>
  <c r="E24" i="12"/>
  <c r="F24" i="12"/>
  <c r="G24" i="12"/>
  <c r="H24" i="12"/>
  <c r="C25" i="12"/>
  <c r="D25" i="12"/>
  <c r="E25" i="12"/>
  <c r="F25" i="12"/>
  <c r="G25" i="12"/>
  <c r="H25" i="12"/>
  <c r="C26" i="12"/>
  <c r="D26" i="12"/>
  <c r="E26" i="12"/>
  <c r="F26" i="12"/>
  <c r="G26" i="12"/>
  <c r="H26" i="12"/>
  <c r="C27" i="12"/>
  <c r="D27" i="12"/>
  <c r="E27" i="12"/>
  <c r="F27" i="12"/>
  <c r="G27" i="12"/>
  <c r="H27" i="12"/>
  <c r="C28" i="12"/>
  <c r="D28" i="12"/>
  <c r="E28" i="12"/>
  <c r="F28" i="12"/>
  <c r="G28" i="12"/>
  <c r="H28" i="12"/>
  <c r="C30" i="12"/>
  <c r="D30" i="12"/>
  <c r="E30" i="12"/>
  <c r="F30" i="12"/>
  <c r="G30" i="12"/>
  <c r="H30" i="12"/>
  <c r="C31" i="12"/>
  <c r="D31" i="12"/>
  <c r="E31" i="12"/>
  <c r="F31" i="12"/>
  <c r="G31" i="12"/>
  <c r="H31" i="12"/>
  <c r="C32" i="12"/>
  <c r="D32" i="12"/>
  <c r="E32" i="12"/>
  <c r="F32" i="12"/>
  <c r="G32" i="12"/>
  <c r="H32" i="12"/>
  <c r="C33" i="12"/>
  <c r="D33" i="12"/>
  <c r="E33" i="12"/>
  <c r="F33" i="12"/>
  <c r="G33" i="12"/>
  <c r="H33" i="12"/>
  <c r="C34" i="12"/>
  <c r="D34" i="12"/>
  <c r="E34" i="12"/>
  <c r="F34" i="12"/>
  <c r="G34" i="12"/>
  <c r="H34" i="12"/>
  <c r="C35" i="12"/>
  <c r="D35" i="12"/>
  <c r="E35" i="12"/>
  <c r="F35" i="12"/>
  <c r="G35" i="12"/>
  <c r="H35" i="12"/>
  <c r="C36" i="12"/>
  <c r="D36" i="12"/>
  <c r="E36" i="12"/>
  <c r="F36" i="12"/>
  <c r="G36" i="12"/>
  <c r="H36" i="12"/>
  <c r="C37" i="12"/>
  <c r="D37" i="12"/>
  <c r="E37" i="12"/>
  <c r="F37" i="12"/>
  <c r="G37" i="12"/>
  <c r="H37" i="12"/>
  <c r="C38" i="12"/>
  <c r="D38" i="12"/>
  <c r="E38" i="12"/>
  <c r="F38" i="12"/>
  <c r="G38" i="12"/>
  <c r="H38" i="12"/>
  <c r="C39" i="12"/>
  <c r="D39" i="12"/>
  <c r="E39" i="12"/>
  <c r="F39" i="12"/>
  <c r="G39" i="12"/>
  <c r="H39" i="12"/>
  <c r="C40" i="12"/>
  <c r="D40" i="12"/>
  <c r="E40" i="12"/>
  <c r="F40" i="12"/>
  <c r="G40" i="12"/>
  <c r="H40" i="12"/>
  <c r="C41" i="12"/>
  <c r="D41" i="12"/>
  <c r="E41" i="12"/>
  <c r="F41" i="12"/>
  <c r="G41" i="12"/>
  <c r="H41" i="12"/>
  <c r="C42" i="12"/>
  <c r="D42" i="12"/>
  <c r="E42" i="12"/>
  <c r="F42" i="12"/>
  <c r="G42" i="12"/>
  <c r="H42" i="12"/>
  <c r="C43" i="12"/>
  <c r="D43" i="12"/>
  <c r="E43" i="12"/>
  <c r="F43" i="12"/>
  <c r="G43" i="12"/>
  <c r="H43" i="12"/>
  <c r="C44" i="12"/>
  <c r="D44" i="12"/>
  <c r="E44" i="12"/>
  <c r="F44" i="12"/>
  <c r="G44" i="12"/>
  <c r="H44" i="12"/>
  <c r="C45" i="12"/>
  <c r="D45" i="12"/>
  <c r="E45" i="12"/>
  <c r="F45" i="12"/>
  <c r="G45" i="12"/>
  <c r="H45" i="12"/>
  <c r="C46" i="12"/>
  <c r="D46" i="12"/>
  <c r="E46" i="12"/>
  <c r="F46" i="12"/>
  <c r="G46" i="12"/>
  <c r="H46" i="12"/>
  <c r="C47" i="12"/>
  <c r="D47" i="12"/>
  <c r="E47" i="12"/>
  <c r="F47" i="12"/>
  <c r="G47" i="12"/>
  <c r="H47" i="12"/>
  <c r="C48" i="12"/>
  <c r="D48" i="12"/>
  <c r="E48" i="12"/>
  <c r="F48" i="12"/>
  <c r="G48" i="12"/>
  <c r="H48" i="12"/>
  <c r="C49" i="12"/>
  <c r="D49" i="12"/>
  <c r="E49" i="12"/>
  <c r="F49" i="12"/>
  <c r="G49" i="12"/>
  <c r="H49" i="12"/>
  <c r="C50" i="12"/>
  <c r="D50" i="12"/>
  <c r="E50" i="12"/>
  <c r="F50" i="12"/>
  <c r="G50" i="12"/>
  <c r="H50" i="12"/>
  <c r="C51" i="12"/>
  <c r="D51" i="12"/>
  <c r="E51" i="12"/>
  <c r="F51" i="12"/>
  <c r="G51" i="12"/>
  <c r="H51" i="12"/>
  <c r="C52" i="12"/>
  <c r="D52" i="12"/>
  <c r="E52" i="12"/>
  <c r="F52" i="12"/>
  <c r="G52" i="12"/>
  <c r="H52" i="12"/>
  <c r="C53" i="12"/>
  <c r="D53" i="12"/>
  <c r="E53" i="12"/>
  <c r="F53" i="12"/>
  <c r="G53" i="12"/>
  <c r="H53" i="12"/>
  <c r="C54" i="12"/>
  <c r="D54" i="12"/>
  <c r="E54" i="12"/>
  <c r="F54" i="12"/>
  <c r="G54" i="12"/>
  <c r="H54" i="12"/>
  <c r="C55" i="12"/>
  <c r="D55" i="12"/>
  <c r="E55" i="12"/>
  <c r="F55" i="12"/>
  <c r="G55" i="12"/>
  <c r="H55" i="12"/>
  <c r="C56" i="12"/>
  <c r="D56" i="12"/>
  <c r="E56" i="12"/>
  <c r="F56" i="12"/>
  <c r="G56" i="12"/>
  <c r="H56" i="12"/>
  <c r="C57" i="12"/>
  <c r="D57" i="12"/>
  <c r="E57" i="12"/>
  <c r="F57" i="12"/>
  <c r="G57" i="12"/>
  <c r="H57" i="12"/>
  <c r="C58" i="12"/>
  <c r="D58" i="12"/>
  <c r="E58" i="12"/>
  <c r="F58" i="12"/>
  <c r="G58" i="12"/>
  <c r="H58" i="12"/>
  <c r="C59" i="12"/>
  <c r="D59" i="12"/>
  <c r="E59" i="12"/>
  <c r="F59" i="12"/>
  <c r="G59" i="12"/>
  <c r="H59" i="12"/>
  <c r="C60" i="12"/>
  <c r="D60" i="12"/>
  <c r="E60" i="12"/>
  <c r="F60" i="12"/>
  <c r="G60" i="12"/>
  <c r="H60" i="12"/>
  <c r="C61" i="12"/>
  <c r="D61" i="12"/>
  <c r="E61" i="12"/>
  <c r="F61" i="12"/>
  <c r="G61" i="12"/>
  <c r="H61" i="12"/>
  <c r="C62" i="12"/>
  <c r="D62" i="12"/>
  <c r="E62" i="12"/>
  <c r="F62" i="12"/>
  <c r="G62" i="12"/>
  <c r="H62" i="12"/>
  <c r="C63" i="12"/>
  <c r="D63" i="12"/>
  <c r="E63" i="12"/>
  <c r="F63" i="12"/>
  <c r="G63" i="12"/>
  <c r="H63" i="12"/>
  <c r="C67" i="12"/>
  <c r="D67" i="12"/>
  <c r="E67" i="12"/>
  <c r="F67" i="12"/>
  <c r="G67" i="12"/>
  <c r="H67" i="12"/>
  <c r="C68" i="12"/>
  <c r="D68" i="12"/>
  <c r="E68" i="12"/>
  <c r="F68" i="12"/>
  <c r="G68" i="12"/>
  <c r="H68" i="12"/>
  <c r="C69" i="12"/>
  <c r="D69" i="12"/>
  <c r="E69" i="12"/>
  <c r="F69" i="12"/>
  <c r="G69" i="12"/>
  <c r="H69" i="12"/>
  <c r="C70" i="12"/>
  <c r="D70" i="12"/>
  <c r="E70" i="12"/>
  <c r="F70" i="12"/>
  <c r="G70" i="12"/>
  <c r="H70" i="12"/>
  <c r="C71" i="12"/>
  <c r="D71" i="12"/>
  <c r="E71" i="12"/>
  <c r="F71" i="12"/>
  <c r="G71" i="12"/>
  <c r="H71" i="12"/>
  <c r="C72" i="12"/>
  <c r="D72" i="12"/>
  <c r="E72" i="12"/>
  <c r="F72" i="12"/>
  <c r="G72" i="12"/>
  <c r="H72" i="12"/>
  <c r="C73" i="12"/>
  <c r="D73" i="12"/>
  <c r="E73" i="12"/>
  <c r="F73" i="12"/>
  <c r="G73" i="12"/>
  <c r="H73" i="12"/>
  <c r="C74" i="12"/>
  <c r="D74" i="12"/>
  <c r="E74" i="12"/>
  <c r="F74" i="12"/>
  <c r="G74" i="12"/>
  <c r="H74" i="12"/>
  <c r="C75" i="12"/>
  <c r="D75" i="12"/>
  <c r="E75" i="12"/>
  <c r="F75" i="12"/>
  <c r="G75" i="12"/>
  <c r="H75" i="12"/>
  <c r="C76" i="12"/>
  <c r="D76" i="12"/>
  <c r="E76" i="12"/>
  <c r="F76" i="12"/>
  <c r="G76" i="12"/>
  <c r="H76" i="12"/>
  <c r="C77" i="12"/>
  <c r="D77" i="12"/>
  <c r="E77" i="12"/>
  <c r="F77" i="12"/>
  <c r="G77" i="12"/>
  <c r="H77" i="12"/>
  <c r="C78" i="12"/>
  <c r="D78" i="12"/>
  <c r="E78" i="12"/>
  <c r="F78" i="12"/>
  <c r="G78" i="12"/>
  <c r="H78" i="12"/>
  <c r="C79" i="12"/>
  <c r="D79" i="12"/>
  <c r="E79" i="12"/>
  <c r="F79" i="12"/>
  <c r="G79" i="12"/>
  <c r="H79" i="12"/>
  <c r="C80" i="12"/>
  <c r="D80" i="12"/>
  <c r="E80" i="12"/>
  <c r="F80" i="12"/>
  <c r="G80" i="12"/>
  <c r="H80" i="12"/>
  <c r="C81" i="12"/>
  <c r="D81" i="12"/>
  <c r="E81" i="12"/>
  <c r="F81" i="12"/>
  <c r="G81" i="12"/>
  <c r="H81" i="12"/>
  <c r="C82" i="12"/>
  <c r="D82" i="12"/>
  <c r="E82" i="12"/>
  <c r="F82" i="12"/>
  <c r="G82" i="12"/>
  <c r="H82" i="12"/>
  <c r="C83" i="12"/>
  <c r="D83" i="12"/>
  <c r="E83" i="12"/>
  <c r="F83" i="12"/>
  <c r="G83" i="12"/>
  <c r="H83" i="12"/>
  <c r="C84" i="12"/>
  <c r="D84" i="12"/>
  <c r="E84" i="12"/>
  <c r="F84" i="12"/>
  <c r="G84" i="12"/>
  <c r="H84" i="12"/>
  <c r="C85" i="12"/>
  <c r="D85" i="12"/>
  <c r="E85" i="12"/>
  <c r="F85" i="12"/>
  <c r="G85" i="12"/>
  <c r="H85" i="12"/>
  <c r="C86" i="12"/>
  <c r="D86" i="12"/>
  <c r="E86" i="12"/>
  <c r="F86" i="12"/>
  <c r="G86" i="12"/>
  <c r="H86" i="12"/>
  <c r="C87" i="12"/>
  <c r="D87" i="12"/>
  <c r="E87" i="12"/>
  <c r="F87" i="12"/>
  <c r="G87" i="12"/>
  <c r="H87" i="12"/>
  <c r="C88" i="12"/>
  <c r="D88" i="12"/>
  <c r="E88" i="12"/>
  <c r="F88" i="12"/>
  <c r="G88" i="12"/>
  <c r="H88" i="12"/>
  <c r="C89" i="12"/>
  <c r="D89" i="12"/>
  <c r="E89" i="12"/>
  <c r="F89" i="12"/>
  <c r="G89" i="12"/>
  <c r="H89" i="12"/>
  <c r="C90" i="12"/>
  <c r="D90" i="12"/>
  <c r="E90" i="12"/>
  <c r="F90" i="12"/>
  <c r="G90" i="12"/>
  <c r="H90" i="12"/>
  <c r="C91" i="12"/>
  <c r="D91" i="12"/>
  <c r="E91" i="12"/>
  <c r="F91" i="12"/>
  <c r="G91" i="12"/>
  <c r="H91" i="12"/>
  <c r="C92" i="12"/>
  <c r="D92" i="12"/>
  <c r="E92" i="12"/>
  <c r="F92" i="12"/>
  <c r="G92" i="12"/>
  <c r="H92" i="12"/>
  <c r="C93" i="12"/>
  <c r="D93" i="12"/>
  <c r="E93" i="12"/>
  <c r="F93" i="12"/>
  <c r="G93" i="12"/>
  <c r="H93" i="12"/>
  <c r="C94" i="12"/>
  <c r="D94" i="12"/>
  <c r="E94" i="12"/>
  <c r="F94" i="12"/>
  <c r="G94" i="12"/>
  <c r="H94" i="12"/>
  <c r="C95" i="12"/>
  <c r="D95" i="12"/>
  <c r="E95" i="12"/>
  <c r="F95" i="12"/>
  <c r="G95" i="12"/>
  <c r="H95" i="12"/>
  <c r="C96" i="12"/>
  <c r="D96" i="12"/>
  <c r="E96" i="12"/>
  <c r="F96" i="12"/>
  <c r="G96" i="12"/>
  <c r="H96" i="12"/>
  <c r="C97" i="12"/>
  <c r="D97" i="12"/>
  <c r="E97" i="12"/>
  <c r="F97" i="12"/>
  <c r="G97" i="12"/>
  <c r="H97" i="12"/>
  <c r="C98" i="12"/>
  <c r="D98" i="12"/>
  <c r="E98" i="12"/>
  <c r="F98" i="12"/>
  <c r="G98" i="12"/>
  <c r="H98" i="12"/>
  <c r="C99" i="12"/>
  <c r="D99" i="12"/>
  <c r="E99" i="12"/>
  <c r="F99" i="12"/>
  <c r="G99" i="12"/>
  <c r="H99" i="12"/>
  <c r="C100" i="12"/>
  <c r="D100" i="12"/>
  <c r="E100" i="12"/>
  <c r="F100" i="12"/>
  <c r="G100" i="12"/>
  <c r="H100" i="12"/>
  <c r="C101" i="12"/>
  <c r="D101" i="12"/>
  <c r="E101" i="12"/>
  <c r="F101" i="12"/>
  <c r="G101" i="12"/>
  <c r="H101" i="12"/>
  <c r="C102" i="12"/>
  <c r="D102" i="12"/>
  <c r="E102" i="12"/>
  <c r="F102" i="12"/>
  <c r="G102" i="12"/>
  <c r="H102" i="12"/>
  <c r="C103" i="12"/>
  <c r="D103" i="12"/>
  <c r="E103" i="12"/>
  <c r="F103" i="12"/>
  <c r="G103" i="12"/>
  <c r="H103" i="12"/>
  <c r="C104" i="12"/>
  <c r="D104" i="12"/>
  <c r="E104" i="12"/>
  <c r="F104" i="12"/>
  <c r="G104" i="12"/>
  <c r="H104" i="12"/>
  <c r="C105" i="12"/>
  <c r="D105" i="12"/>
  <c r="E105" i="12"/>
  <c r="F105" i="12"/>
  <c r="G105" i="12"/>
  <c r="H105" i="12"/>
  <c r="C106" i="12"/>
  <c r="D106" i="12"/>
  <c r="E106" i="12"/>
  <c r="F106" i="12"/>
  <c r="G106" i="12"/>
  <c r="H106" i="12"/>
  <c r="C107" i="12"/>
  <c r="D107" i="12"/>
  <c r="E107" i="12"/>
  <c r="F107" i="12"/>
  <c r="G107" i="12"/>
  <c r="H107" i="12"/>
  <c r="C108" i="12"/>
  <c r="D108" i="12"/>
  <c r="E108" i="12"/>
  <c r="F108" i="12"/>
  <c r="G108" i="12"/>
  <c r="H108" i="12"/>
  <c r="C109" i="12"/>
  <c r="D109" i="12"/>
  <c r="E109" i="12"/>
  <c r="F109" i="12"/>
  <c r="G109" i="12"/>
  <c r="H109" i="12"/>
  <c r="C110" i="12"/>
  <c r="D110" i="12"/>
  <c r="E110" i="12"/>
  <c r="F110" i="12"/>
  <c r="G110" i="12"/>
  <c r="H110" i="12"/>
  <c r="C111" i="12"/>
  <c r="D111" i="12"/>
  <c r="E111" i="12"/>
  <c r="F111" i="12"/>
  <c r="G111" i="12"/>
  <c r="H111" i="12"/>
  <c r="C112" i="12"/>
  <c r="D112" i="12"/>
  <c r="E112" i="12"/>
  <c r="F112" i="12"/>
  <c r="G112" i="12"/>
  <c r="H112" i="12"/>
  <c r="C113" i="12"/>
  <c r="D113" i="12"/>
  <c r="E113" i="12"/>
  <c r="F113" i="12"/>
  <c r="G113" i="12"/>
  <c r="H113" i="12"/>
  <c r="C114" i="12"/>
  <c r="D114" i="12"/>
  <c r="E114" i="12"/>
  <c r="F114" i="12"/>
  <c r="G114" i="12"/>
  <c r="H114" i="12"/>
  <c r="C115" i="12"/>
  <c r="D115" i="12"/>
  <c r="E115" i="12"/>
  <c r="F115" i="12"/>
  <c r="G115" i="12"/>
  <c r="H115" i="12"/>
  <c r="C116" i="12"/>
  <c r="D116" i="12"/>
  <c r="E116" i="12"/>
  <c r="F116" i="12"/>
  <c r="G116" i="12"/>
  <c r="H116" i="12"/>
  <c r="C117" i="12"/>
  <c r="D117" i="12"/>
  <c r="E117" i="12"/>
  <c r="F117" i="12"/>
  <c r="G117" i="12"/>
  <c r="H117" i="12"/>
  <c r="C118" i="12"/>
  <c r="D118" i="12"/>
  <c r="E118" i="12"/>
  <c r="F118" i="12"/>
  <c r="G118" i="12"/>
  <c r="H118" i="12"/>
  <c r="C119" i="12"/>
  <c r="D119" i="12"/>
  <c r="E119" i="12"/>
  <c r="F119" i="12"/>
  <c r="G119" i="12"/>
  <c r="H119" i="12"/>
  <c r="C120" i="12"/>
  <c r="D120" i="12"/>
  <c r="E120" i="12"/>
  <c r="F120" i="12"/>
  <c r="G120" i="12"/>
  <c r="H120" i="12"/>
  <c r="C121" i="12"/>
  <c r="D121" i="12"/>
  <c r="E121" i="12"/>
  <c r="F121" i="12"/>
  <c r="G121" i="12"/>
  <c r="H121" i="12"/>
  <c r="C122" i="12"/>
  <c r="D122" i="12"/>
  <c r="E122" i="12"/>
  <c r="F122" i="12"/>
  <c r="G122" i="12"/>
  <c r="H122" i="12"/>
  <c r="C123" i="12"/>
  <c r="D123" i="12"/>
  <c r="E123" i="12"/>
  <c r="F123" i="12"/>
  <c r="G123" i="12"/>
  <c r="H123" i="12"/>
  <c r="C124" i="12"/>
  <c r="D124" i="12"/>
  <c r="E124" i="12"/>
  <c r="F124" i="12"/>
  <c r="G124" i="12"/>
  <c r="H124" i="12"/>
  <c r="C125" i="12"/>
  <c r="D125" i="12"/>
  <c r="E125" i="12"/>
  <c r="F125" i="12"/>
  <c r="G125" i="12"/>
  <c r="H125" i="12"/>
  <c r="C126" i="12"/>
  <c r="D126" i="12"/>
  <c r="E126" i="12"/>
  <c r="F126" i="12"/>
  <c r="G126" i="12"/>
  <c r="H126" i="12"/>
  <c r="C127" i="12"/>
  <c r="D127" i="12"/>
  <c r="E127" i="12"/>
  <c r="F127" i="12"/>
  <c r="G127" i="12"/>
  <c r="H127" i="12"/>
  <c r="C128" i="12"/>
  <c r="D128" i="12"/>
  <c r="E128" i="12"/>
  <c r="F128" i="12"/>
  <c r="G128" i="12"/>
  <c r="H128" i="12"/>
  <c r="C129" i="12"/>
  <c r="D129" i="12"/>
  <c r="E129" i="12"/>
  <c r="F129" i="12"/>
  <c r="G129" i="12"/>
  <c r="H129" i="12"/>
  <c r="C130" i="12"/>
  <c r="D130" i="12"/>
  <c r="E130" i="12"/>
  <c r="F130" i="12"/>
  <c r="G130" i="12"/>
  <c r="H130" i="12"/>
  <c r="C131" i="12"/>
  <c r="D131" i="12"/>
  <c r="E131" i="12"/>
  <c r="F131" i="12"/>
  <c r="G131" i="12"/>
  <c r="H131" i="12"/>
  <c r="C132" i="12"/>
  <c r="D132" i="12"/>
  <c r="E132" i="12"/>
  <c r="F132" i="12"/>
  <c r="G132" i="12"/>
  <c r="H132" i="12"/>
  <c r="C133" i="12"/>
  <c r="D133" i="12"/>
  <c r="E133" i="12"/>
  <c r="F133" i="12"/>
  <c r="G133" i="12"/>
  <c r="H133" i="12"/>
  <c r="C134" i="12"/>
  <c r="D134" i="12"/>
  <c r="E134" i="12"/>
  <c r="F134" i="12"/>
  <c r="G134" i="12"/>
  <c r="H134" i="12"/>
  <c r="C135" i="12"/>
  <c r="D135" i="12"/>
  <c r="E135" i="12"/>
  <c r="F135" i="12"/>
  <c r="G135" i="12"/>
  <c r="H135" i="12"/>
  <c r="C136" i="12"/>
  <c r="D136" i="12"/>
  <c r="E136" i="12"/>
  <c r="F136" i="12"/>
  <c r="G136" i="12"/>
  <c r="H136" i="12"/>
  <c r="C137" i="12"/>
  <c r="D137" i="12"/>
  <c r="E137" i="12"/>
  <c r="F137" i="12"/>
  <c r="G137" i="12"/>
  <c r="H137" i="12"/>
  <c r="C138" i="12"/>
  <c r="D138" i="12"/>
  <c r="E138" i="12"/>
  <c r="F138" i="12"/>
  <c r="G138" i="12"/>
  <c r="H138" i="12"/>
  <c r="C139" i="12"/>
  <c r="D139" i="12"/>
  <c r="E139" i="12"/>
  <c r="F139" i="12"/>
  <c r="G139" i="12"/>
  <c r="H139" i="12"/>
  <c r="C140" i="12"/>
  <c r="D140" i="12"/>
  <c r="E140" i="12"/>
  <c r="F140" i="12"/>
  <c r="G140" i="12"/>
  <c r="H140" i="12"/>
  <c r="C141" i="12"/>
  <c r="D141" i="12"/>
  <c r="E141" i="12"/>
  <c r="F141" i="12"/>
  <c r="G141" i="12"/>
  <c r="H141" i="12"/>
  <c r="C142" i="12"/>
  <c r="D142" i="12"/>
  <c r="E142" i="12"/>
  <c r="F142" i="12"/>
  <c r="G142" i="12"/>
  <c r="H142" i="12"/>
  <c r="C143" i="12"/>
  <c r="D143" i="12"/>
  <c r="E143" i="12"/>
  <c r="F143" i="12"/>
  <c r="G143" i="12"/>
  <c r="H143" i="12"/>
  <c r="C144" i="12"/>
  <c r="D144" i="12"/>
  <c r="E144" i="12"/>
  <c r="F144" i="12"/>
  <c r="G144" i="12"/>
  <c r="H144" i="12"/>
  <c r="C145" i="12"/>
  <c r="D145" i="12"/>
  <c r="E145" i="12"/>
  <c r="F145" i="12"/>
  <c r="G145" i="12"/>
  <c r="H145" i="12"/>
  <c r="C146" i="12"/>
  <c r="D146" i="12"/>
  <c r="E146" i="12"/>
  <c r="F146" i="12"/>
  <c r="G146" i="12"/>
  <c r="H146" i="12"/>
  <c r="C147" i="12"/>
  <c r="D147" i="12"/>
  <c r="E147" i="12"/>
  <c r="F147" i="12"/>
  <c r="G147" i="12"/>
  <c r="H147" i="12"/>
  <c r="C148" i="12"/>
  <c r="D148" i="12"/>
  <c r="E148" i="12"/>
  <c r="F148" i="12"/>
  <c r="G148" i="12"/>
  <c r="H148" i="12"/>
  <c r="C149" i="12"/>
  <c r="D149" i="12"/>
  <c r="E149" i="12"/>
  <c r="F149" i="12"/>
  <c r="G149" i="12"/>
  <c r="H149" i="12"/>
  <c r="C150" i="12"/>
  <c r="D150" i="12"/>
  <c r="E150" i="12"/>
  <c r="F150" i="12"/>
  <c r="G150" i="12"/>
  <c r="H150" i="12"/>
  <c r="C151" i="12"/>
  <c r="D151" i="12"/>
  <c r="E151" i="12"/>
  <c r="F151" i="12"/>
  <c r="G151" i="12"/>
  <c r="H151" i="12"/>
  <c r="C152" i="12"/>
  <c r="D152" i="12"/>
  <c r="E152" i="12"/>
  <c r="F152" i="12"/>
  <c r="G152" i="12"/>
  <c r="H152" i="12"/>
  <c r="C153" i="12"/>
  <c r="D153" i="12"/>
  <c r="E153" i="12"/>
  <c r="F153" i="12"/>
  <c r="G153" i="12"/>
  <c r="H153" i="12"/>
  <c r="C154" i="12"/>
  <c r="D154" i="12"/>
  <c r="E154" i="12"/>
  <c r="F154" i="12"/>
  <c r="G154" i="12"/>
  <c r="H154" i="12"/>
  <c r="C155" i="12"/>
  <c r="D155" i="12"/>
  <c r="E155" i="12"/>
  <c r="F155" i="12"/>
  <c r="G155" i="12"/>
  <c r="H155" i="12"/>
  <c r="C156" i="12"/>
  <c r="D156" i="12"/>
  <c r="E156" i="12"/>
  <c r="F156" i="12"/>
  <c r="G156" i="12"/>
  <c r="H156" i="12"/>
  <c r="C157" i="12"/>
  <c r="D157" i="12"/>
  <c r="E157" i="12"/>
  <c r="F157" i="12"/>
  <c r="G157" i="12"/>
  <c r="H157" i="12"/>
  <c r="C158" i="12"/>
  <c r="D158" i="12"/>
  <c r="E158" i="12"/>
  <c r="F158" i="12"/>
  <c r="G158" i="12"/>
  <c r="H158" i="12"/>
  <c r="C159" i="12"/>
  <c r="D159" i="12"/>
  <c r="E159" i="12"/>
  <c r="F159" i="12"/>
  <c r="G159" i="12"/>
  <c r="H159" i="12"/>
  <c r="C160" i="12"/>
  <c r="D160" i="12"/>
  <c r="E160" i="12"/>
  <c r="F160" i="12"/>
  <c r="G160" i="12"/>
  <c r="H160" i="12"/>
  <c r="C161" i="12"/>
  <c r="D161" i="12"/>
  <c r="E161" i="12"/>
  <c r="F161" i="12"/>
  <c r="G161" i="12"/>
  <c r="H161" i="12"/>
  <c r="C162" i="12"/>
  <c r="D162" i="12"/>
  <c r="E162" i="12"/>
  <c r="F162" i="12"/>
  <c r="G162" i="12"/>
  <c r="H162" i="12"/>
  <c r="C163" i="12"/>
  <c r="D163" i="12"/>
  <c r="E163" i="12"/>
  <c r="F163" i="12"/>
  <c r="G163" i="12"/>
  <c r="H163" i="12"/>
  <c r="C164" i="12"/>
  <c r="D164" i="12"/>
  <c r="E164" i="12"/>
  <c r="F164" i="12"/>
  <c r="G164" i="12"/>
  <c r="H164" i="12"/>
  <c r="C165" i="12"/>
  <c r="D165" i="12"/>
  <c r="E165" i="12"/>
  <c r="F165" i="12"/>
  <c r="G165" i="12"/>
  <c r="H165" i="12"/>
  <c r="C166" i="12"/>
  <c r="D166" i="12"/>
  <c r="E166" i="12"/>
  <c r="F166" i="12"/>
  <c r="G166" i="12"/>
  <c r="H166" i="12"/>
  <c r="C167" i="12"/>
  <c r="D167" i="12"/>
  <c r="E167" i="12"/>
  <c r="F167" i="12"/>
  <c r="G167" i="12"/>
  <c r="H167" i="12"/>
  <c r="C168" i="12"/>
  <c r="D168" i="12"/>
  <c r="E168" i="12"/>
  <c r="F168" i="12"/>
  <c r="G168" i="12"/>
  <c r="H168" i="12"/>
  <c r="C169" i="12"/>
  <c r="D169" i="12"/>
  <c r="E169" i="12"/>
  <c r="F169" i="12"/>
  <c r="G169" i="12"/>
  <c r="H169" i="12"/>
  <c r="C170" i="12"/>
  <c r="D170" i="12"/>
  <c r="E170" i="12"/>
  <c r="F170" i="12"/>
  <c r="G170" i="12"/>
  <c r="H170" i="12"/>
  <c r="C171" i="12"/>
  <c r="D171" i="12"/>
  <c r="E171" i="12"/>
  <c r="F171" i="12"/>
  <c r="G171" i="12"/>
  <c r="H171" i="12"/>
  <c r="C172" i="12"/>
  <c r="D172" i="12"/>
  <c r="E172" i="12"/>
  <c r="F172" i="12"/>
  <c r="G172" i="12"/>
  <c r="H172" i="12"/>
  <c r="C173" i="12"/>
  <c r="D173" i="12"/>
  <c r="E173" i="12"/>
  <c r="F173" i="12"/>
  <c r="G173" i="12"/>
  <c r="H173" i="12"/>
  <c r="C174" i="12"/>
  <c r="D174" i="12"/>
  <c r="E174" i="12"/>
  <c r="F174" i="12"/>
  <c r="G174" i="12"/>
  <c r="H174" i="12"/>
  <c r="D2" i="12"/>
  <c r="E2" i="12"/>
  <c r="F2" i="12"/>
  <c r="G2" i="12"/>
  <c r="H2" i="12"/>
  <c r="C2" i="12"/>
  <c r="R146" i="12" l="1"/>
  <c r="R147" i="12"/>
  <c r="R149" i="12"/>
  <c r="R148" i="12"/>
  <c r="R150" i="12"/>
  <c r="R151" i="12"/>
  <c r="R152" i="12"/>
  <c r="R153" i="12"/>
  <c r="R154" i="12"/>
  <c r="R155" i="12"/>
  <c r="R156" i="12"/>
  <c r="R157" i="12"/>
  <c r="R158" i="12"/>
  <c r="R159" i="12"/>
  <c r="R161" i="12"/>
  <c r="R160" i="12"/>
  <c r="R162" i="12"/>
  <c r="R163" i="12"/>
  <c r="R164" i="12"/>
  <c r="R165" i="12"/>
  <c r="R166" i="12"/>
  <c r="R167" i="12"/>
  <c r="R168" i="12"/>
  <c r="R169" i="12"/>
  <c r="R170" i="12"/>
  <c r="R171" i="12"/>
  <c r="R174" i="12"/>
  <c r="R2" i="12"/>
  <c r="R28" i="12"/>
  <c r="R30" i="12"/>
  <c r="R49" i="12"/>
  <c r="R67" i="12"/>
  <c r="R87" i="12"/>
  <c r="R88" i="12"/>
  <c r="R89" i="12"/>
  <c r="R90" i="12"/>
  <c r="R93" i="12"/>
  <c r="R94" i="12"/>
  <c r="R91" i="12"/>
  <c r="R3" i="12"/>
  <c r="R33" i="12"/>
  <c r="R31" i="12"/>
  <c r="R32" i="12"/>
  <c r="R50" i="12"/>
  <c r="R68" i="12"/>
  <c r="R69" i="12"/>
  <c r="R95" i="12"/>
  <c r="R92" i="12"/>
  <c r="R4" i="12"/>
  <c r="R34" i="12"/>
  <c r="R46" i="12"/>
  <c r="R96" i="12"/>
  <c r="R97" i="12"/>
  <c r="R98" i="12"/>
  <c r="R51" i="12"/>
  <c r="R70" i="12"/>
  <c r="R22" i="12"/>
  <c r="R6" i="12"/>
  <c r="R7" i="12"/>
  <c r="R5" i="12"/>
  <c r="R8" i="12"/>
  <c r="R35" i="12"/>
  <c r="R36" i="12"/>
  <c r="R52" i="12"/>
  <c r="R99" i="12"/>
  <c r="R72" i="12"/>
  <c r="R71" i="12"/>
  <c r="R9" i="12"/>
  <c r="R37" i="12"/>
  <c r="R54" i="12"/>
  <c r="R53" i="12"/>
  <c r="R55" i="12"/>
  <c r="R73" i="12"/>
  <c r="R74" i="12"/>
  <c r="R75" i="12"/>
  <c r="R10" i="12"/>
  <c r="R39" i="12"/>
  <c r="R38" i="12"/>
  <c r="R56" i="12"/>
  <c r="R100" i="12"/>
  <c r="R84" i="12"/>
  <c r="R76" i="12"/>
  <c r="R11" i="12"/>
  <c r="R40" i="12"/>
  <c r="R57" i="12"/>
  <c r="R172" i="12"/>
  <c r="R101" i="12"/>
  <c r="R102" i="12"/>
  <c r="R77" i="12"/>
  <c r="R23" i="12"/>
  <c r="R24" i="12"/>
  <c r="R12" i="12"/>
  <c r="R13" i="12"/>
  <c r="R25" i="12"/>
  <c r="R41" i="12"/>
  <c r="R42" i="12"/>
  <c r="R47" i="12"/>
  <c r="R58" i="12"/>
  <c r="R85" i="12"/>
  <c r="R103" i="12"/>
  <c r="R78" i="12"/>
  <c r="R79" i="12"/>
  <c r="R15" i="12"/>
  <c r="R16" i="12"/>
  <c r="R14" i="12"/>
  <c r="R17" i="12"/>
  <c r="R43" i="12"/>
  <c r="R104" i="12"/>
  <c r="R48" i="12"/>
  <c r="R60" i="12"/>
  <c r="R61" i="12"/>
  <c r="R59" i="12"/>
  <c r="R62" i="12"/>
  <c r="R81" i="12"/>
  <c r="R82" i="12"/>
  <c r="R80" i="12"/>
  <c r="R86" i="12"/>
  <c r="R19" i="12"/>
  <c r="R20" i="12"/>
  <c r="R18" i="12"/>
  <c r="R21" i="12"/>
  <c r="R26" i="12"/>
  <c r="R45" i="12"/>
  <c r="R44" i="12"/>
  <c r="R63" i="12"/>
  <c r="R83" i="12"/>
  <c r="R27" i="12"/>
  <c r="R105" i="12"/>
  <c r="R106" i="12"/>
  <c r="R107" i="12"/>
  <c r="R108" i="12"/>
  <c r="R109" i="12"/>
  <c r="R112" i="12"/>
  <c r="R110" i="12"/>
  <c r="R113" i="12"/>
  <c r="R114" i="12"/>
  <c r="R115" i="12"/>
  <c r="R116" i="12"/>
  <c r="R117" i="12"/>
  <c r="R118" i="12"/>
  <c r="R111" i="12"/>
  <c r="R119" i="12"/>
  <c r="R173" i="12"/>
  <c r="R121" i="12"/>
  <c r="R120" i="12"/>
  <c r="R122" i="12"/>
  <c r="R123" i="12"/>
  <c r="R124" i="12"/>
  <c r="R125" i="12"/>
  <c r="R126" i="12"/>
  <c r="R127" i="12"/>
  <c r="R128" i="12"/>
  <c r="R129" i="12"/>
  <c r="R130" i="12"/>
  <c r="R131" i="12"/>
  <c r="R132" i="12"/>
  <c r="R133" i="12"/>
  <c r="R134" i="12"/>
  <c r="R135" i="12"/>
  <c r="R136" i="12"/>
  <c r="R137" i="12"/>
  <c r="R138" i="12"/>
  <c r="R139" i="12"/>
  <c r="R140" i="12"/>
  <c r="R141" i="12"/>
  <c r="R142" i="12"/>
  <c r="R144" i="12"/>
  <c r="R143" i="12"/>
  <c r="R145" i="12"/>
</calcChain>
</file>

<file path=xl/connections.xml><?xml version="1.0" encoding="utf-8"?>
<connections xmlns="http://schemas.openxmlformats.org/spreadsheetml/2006/main">
  <connection id="1" name="I72_Ing_1" type="6" refreshedVersion="3" background="1" saveData="1">
    <textPr codePage="437" sourceFile="J:\DAT\Icrp72\I72_Ing_1.TXT" delimited="0">
      <textFields count="10">
        <textField/>
        <textField position="9"/>
        <textField position="20"/>
        <textField position="26"/>
        <textField position="33"/>
        <textField position="41"/>
        <textField position="48"/>
        <textField position="56"/>
        <textField position="64"/>
        <textField position="72"/>
      </textFields>
    </textPr>
  </connection>
  <connection id="2" name="I72_Inh_2" type="6" refreshedVersion="3" background="1" saveData="1">
    <textPr codePage="437" sourceFile="J:\DAT\Icrp72\I72_Inh_2.TXT" delimited="0">
      <textFields count="11">
        <textField/>
        <textField position="9"/>
        <textField position="20"/>
        <textField position="23"/>
        <textField position="30"/>
        <textField position="38"/>
        <textField position="48"/>
        <textField position="55"/>
        <textField position="63"/>
        <textField position="71"/>
        <textField position="79"/>
      </textFields>
    </textPr>
  </connection>
  <connection id="3" name="Table_A111" type="6" refreshedVersion="3" background="1" saveData="1">
    <textPr codePage="437" sourceFile="J:\DAT\Icrp68\Table\Table_A11.TXT" delimited="0">
      <textFields count="10">
        <textField/>
        <textField position="9"/>
        <textField position="20"/>
        <textField position="21"/>
        <textField position="31"/>
        <textField position="41"/>
        <textField position="48"/>
        <textField position="51"/>
        <textField position="58"/>
        <textField position="65"/>
      </textFields>
    </textPr>
  </connection>
  <connection id="4" name="Table_A1111" type="6" refreshedVersion="3" background="1" saveData="1">
    <textPr codePage="437" sourceFile="J:\DAT\Icrp68\Table\Table_A11.TXT" delimited="0">
      <textFields count="10">
        <textField/>
        <textField position="9"/>
        <textField position="20"/>
        <textField position="21"/>
        <textField position="31"/>
        <textField position="41"/>
        <textField position="48"/>
        <textField position="51"/>
        <textField position="58"/>
        <textField position="65"/>
      </textFields>
    </textPr>
  </connection>
</connections>
</file>

<file path=xl/sharedStrings.xml><?xml version="1.0" encoding="utf-8"?>
<sst xmlns="http://schemas.openxmlformats.org/spreadsheetml/2006/main" count="6990" uniqueCount="2144">
  <si>
    <t>Isotope</t>
  </si>
  <si>
    <t>H-3</t>
  </si>
  <si>
    <t>C-14</t>
  </si>
  <si>
    <t>NA-22</t>
  </si>
  <si>
    <t>P-32</t>
  </si>
  <si>
    <t>P-33</t>
  </si>
  <si>
    <t>S-35</t>
  </si>
  <si>
    <t>CL-36</t>
  </si>
  <si>
    <t>CA-45</t>
  </si>
  <si>
    <t>CR-51</t>
  </si>
  <si>
    <t>MN-54</t>
  </si>
  <si>
    <t>FE-55</t>
  </si>
  <si>
    <t>CO-57</t>
  </si>
  <si>
    <t>FE-59</t>
  </si>
  <si>
    <t>CO-60</t>
  </si>
  <si>
    <t>NI-63</t>
  </si>
  <si>
    <t>CU-64</t>
  </si>
  <si>
    <t>ZN-65</t>
  </si>
  <si>
    <t>KR-85</t>
  </si>
  <si>
    <t>RB-86</t>
  </si>
  <si>
    <t>Y-90</t>
  </si>
  <si>
    <t>SR-90</t>
  </si>
  <si>
    <t>TC-99</t>
  </si>
  <si>
    <t>TC-99M</t>
  </si>
  <si>
    <t>RH-99</t>
  </si>
  <si>
    <t>I-123</t>
  </si>
  <si>
    <t>I-124</t>
  </si>
  <si>
    <t>I-125</t>
  </si>
  <si>
    <t>I-129</t>
  </si>
  <si>
    <t>XE-131M</t>
  </si>
  <si>
    <t>I-131</t>
  </si>
  <si>
    <t>CS-137</t>
  </si>
  <si>
    <t>BA-137M</t>
  </si>
  <si>
    <t>ND-144</t>
  </si>
  <si>
    <t>SM-148</t>
  </si>
  <si>
    <t>GD-152</t>
  </si>
  <si>
    <t>EU-152</t>
  </si>
  <si>
    <t>TL-206</t>
  </si>
  <si>
    <t>TL-207</t>
  </si>
  <si>
    <t>TL-208</t>
  </si>
  <si>
    <t>PB-209</t>
  </si>
  <si>
    <t>TL-209</t>
  </si>
  <si>
    <t>PO-210</t>
  </si>
  <si>
    <t>BI-210</t>
  </si>
  <si>
    <t>PB-210</t>
  </si>
  <si>
    <t>TL-210</t>
  </si>
  <si>
    <t>PO-211</t>
  </si>
  <si>
    <t>BI-211</t>
  </si>
  <si>
    <t>PB-211</t>
  </si>
  <si>
    <t>PO-212</t>
  </si>
  <si>
    <t>BI-212</t>
  </si>
  <si>
    <t>PB-212</t>
  </si>
  <si>
    <t>PO-213</t>
  </si>
  <si>
    <t>BI-213</t>
  </si>
  <si>
    <t>PO-214</t>
  </si>
  <si>
    <t>BI-214</t>
  </si>
  <si>
    <t>PB-214</t>
  </si>
  <si>
    <t>AT-215</t>
  </si>
  <si>
    <t>PO-215</t>
  </si>
  <si>
    <t>BI-215</t>
  </si>
  <si>
    <t>PO-216</t>
  </si>
  <si>
    <t>RN-217</t>
  </si>
  <si>
    <t>AT-217</t>
  </si>
  <si>
    <t>RN-218</t>
  </si>
  <si>
    <t>AT-218</t>
  </si>
  <si>
    <t>PO-218</t>
  </si>
  <si>
    <t>RN-219</t>
  </si>
  <si>
    <t>AT-219</t>
  </si>
  <si>
    <t>RN-220</t>
  </si>
  <si>
    <t>FR-221</t>
  </si>
  <si>
    <t>RN-222</t>
  </si>
  <si>
    <t>RA-223</t>
  </si>
  <si>
    <t>FR-223</t>
  </si>
  <si>
    <t>RA-224</t>
  </si>
  <si>
    <t>AC-225</t>
  </si>
  <si>
    <t>RA-225</t>
  </si>
  <si>
    <t>RA-226</t>
  </si>
  <si>
    <t>TH-227</t>
  </si>
  <si>
    <t>AC-227</t>
  </si>
  <si>
    <t>TH-228</t>
  </si>
  <si>
    <t>AC-228</t>
  </si>
  <si>
    <t>RA-228</t>
  </si>
  <si>
    <t>TH-229</t>
  </si>
  <si>
    <t>TH-230</t>
  </si>
  <si>
    <t>PA-231</t>
  </si>
  <si>
    <t>TH-231</t>
  </si>
  <si>
    <t>TH-232</t>
  </si>
  <si>
    <t>U-233</t>
  </si>
  <si>
    <t>PA-233</t>
  </si>
  <si>
    <t>U-234</t>
  </si>
  <si>
    <t>PA-234</t>
  </si>
  <si>
    <t>PA-234M</t>
  </si>
  <si>
    <t>TH-234</t>
  </si>
  <si>
    <t>U-235</t>
  </si>
  <si>
    <t>U-236</t>
  </si>
  <si>
    <t>NP-237</t>
  </si>
  <si>
    <t>U-237</t>
  </si>
  <si>
    <t>PU-238</t>
  </si>
  <si>
    <t>U-238</t>
  </si>
  <si>
    <t>PU-239</t>
  </si>
  <si>
    <t>NP-239</t>
  </si>
  <si>
    <t>PU-240</t>
  </si>
  <si>
    <t>AM-241</t>
  </si>
  <si>
    <t>PU-241</t>
  </si>
  <si>
    <t>AM-243</t>
  </si>
  <si>
    <t>CM-243</t>
  </si>
  <si>
    <t>CM-244</t>
  </si>
  <si>
    <t>U-232</t>
  </si>
  <si>
    <t>NI-59</t>
  </si>
  <si>
    <t>SE-79</t>
  </si>
  <si>
    <t>ZR-93</t>
  </si>
  <si>
    <t>NB-93M</t>
  </si>
  <si>
    <t>RU-106</t>
  </si>
  <si>
    <t>RH-106</t>
  </si>
  <si>
    <t>PD-107</t>
  </si>
  <si>
    <t>CD-113M</t>
  </si>
  <si>
    <t>SN-121M</t>
  </si>
  <si>
    <t>SB-125</t>
  </si>
  <si>
    <t>TE-125M</t>
  </si>
  <si>
    <t>SN-126</t>
  </si>
  <si>
    <t>SB-126M</t>
  </si>
  <si>
    <t>SB-126</t>
  </si>
  <si>
    <t>CS-134</t>
  </si>
  <si>
    <t>CS-135</t>
  </si>
  <si>
    <t>CE-144</t>
  </si>
  <si>
    <t>PR-144</t>
  </si>
  <si>
    <t>PM-146</t>
  </si>
  <si>
    <t>PM-147</t>
  </si>
  <si>
    <t>SM-151</t>
  </si>
  <si>
    <t>EU-154</t>
  </si>
  <si>
    <t>EU-155</t>
  </si>
  <si>
    <t>NP-236</t>
  </si>
  <si>
    <t>PU-236</t>
  </si>
  <si>
    <t>PU-242</t>
  </si>
  <si>
    <t>AM-242</t>
  </si>
  <si>
    <t>AM-242M</t>
  </si>
  <si>
    <t>CM-242</t>
  </si>
  <si>
    <t>CM-245</t>
  </si>
  <si>
    <t>CM-246</t>
  </si>
  <si>
    <t>Lambda (/s)</t>
  </si>
  <si>
    <t>Daughter</t>
  </si>
  <si>
    <t>BR</t>
  </si>
  <si>
    <t>END</t>
  </si>
  <si>
    <t>ZN-59</t>
  </si>
  <si>
    <t>CU-59</t>
  </si>
  <si>
    <t>CD-113</t>
  </si>
  <si>
    <t>SN-121</t>
  </si>
  <si>
    <t>SM-146</t>
  </si>
  <si>
    <t>SM-147</t>
  </si>
  <si>
    <t>NP-238</t>
  </si>
  <si>
    <t>Order</t>
  </si>
  <si>
    <t xml:space="preserve"> </t>
  </si>
  <si>
    <t>Set dsi = New DecaySeriesItem</t>
  </si>
  <si>
    <t>dsi.Daughter = "FR-221"</t>
  </si>
  <si>
    <t>dsi.Lambda = 8.0225368120364E-07</t>
  </si>
  <si>
    <t>dsi.BranchingRatio = 1</t>
  </si>
  <si>
    <t xml:space="preserve">dci.Add dsi </t>
  </si>
  <si>
    <t>dsi.Daughter = "TH-227"</t>
  </si>
  <si>
    <t>dsi.Lambda = 1.00884203222626E-09</t>
  </si>
  <si>
    <t>dsi.BranchingRatio = 0.9862</t>
  </si>
  <si>
    <t>dsi.Daughter = "FR-223"</t>
  </si>
  <si>
    <t>dsi.BranchingRatio = 0.0138</t>
  </si>
  <si>
    <t>dsi.Daughter = "TH-228"</t>
  </si>
  <si>
    <t>dsi.Lambda = 3.13074607298982E-05</t>
  </si>
  <si>
    <t>dsi.Daughter = "NP-237"</t>
  </si>
  <si>
    <t>dsi.Lambda = 5.07732517929499E-11</t>
  </si>
  <si>
    <t>dsi.Daughter = "CM-242"</t>
  </si>
  <si>
    <t>dsi.Lambda = 1.20187817408785E-05</t>
  </si>
  <si>
    <t>dsi.BranchingRatio = 0.827</t>
  </si>
  <si>
    <t>dsi.Daughter = "PU-242"</t>
  </si>
  <si>
    <t>dsi.BranchingRatio = 0.173</t>
  </si>
  <si>
    <t>dsi.Daughter = "AM-242"</t>
  </si>
  <si>
    <t>dsi.Lambda = 1.55763411361785E-10</t>
  </si>
  <si>
    <t>dsi.BranchingRatio = 0.99541</t>
  </si>
  <si>
    <t>dsi.Daughter = "NP-238"</t>
  </si>
  <si>
    <t>dsi.BranchingRatio = 0.459</t>
  </si>
  <si>
    <t>dsi.Daughter = "NP-239"</t>
  </si>
  <si>
    <t>dsi.Lambda = 2.98025898583855E-12</t>
  </si>
  <si>
    <t>dsi.Daughter = "BI-211"</t>
  </si>
  <si>
    <t>dsi.Lambda = 6931.47180559945</t>
  </si>
  <si>
    <t>dsi.Daughter = "BI-213"</t>
  </si>
  <si>
    <t>dsi.Lambda = 21.4596650328156</t>
  </si>
  <si>
    <t>dsi.BranchingRatio = 0.99993</t>
  </si>
  <si>
    <t>dsi.Daughter = "RN-217"</t>
  </si>
  <si>
    <t>dsi.BranchingRatio = 0.00007</t>
  </si>
  <si>
    <t>dsi.Daughter = "BI-214"</t>
  </si>
  <si>
    <t>dsi.Lambda = 0.462098120373297</t>
  </si>
  <si>
    <t>dsi.BranchingRatio = 0.999</t>
  </si>
  <si>
    <t>dsi.Daughter = "RN-218"</t>
  </si>
  <si>
    <t>dsi.BranchingRatio = 0.001</t>
  </si>
  <si>
    <t>dsi.Daughter = "BI-215"</t>
  </si>
  <si>
    <t>dsi.Lambda = 1.23776282242847E-02</t>
  </si>
  <si>
    <t>dsi.BranchingRatio = 0.97</t>
  </si>
  <si>
    <t>dsi.Daughter = "RN-219"</t>
  </si>
  <si>
    <t>dsi.BranchingRatio = 0.03</t>
  </si>
  <si>
    <t>dsi.Daughter = "END"</t>
  </si>
  <si>
    <t>dsi.Lambda = 4.52682327951897E-03</t>
  </si>
  <si>
    <t>dsi.Daughter = "PO-210"</t>
  </si>
  <si>
    <t>dsi.Lambda = 1.60066576457231E-06</t>
  </si>
  <si>
    <t>dsi.BranchingRatio = 0.99999868</t>
  </si>
  <si>
    <t>dsi.Daughter = "TL-206"</t>
  </si>
  <si>
    <t>dsi.BranchingRatio = 0.0000013</t>
  </si>
  <si>
    <t>dsi.Daughter = "TL-207"</t>
  </si>
  <si>
    <t>dsi.Lambda = 5.39834252772543E-03</t>
  </si>
  <si>
    <t>dsi.BranchingRatio = 0.99724</t>
  </si>
  <si>
    <t>dsi.Daughter = "PO-211"</t>
  </si>
  <si>
    <t>dsi.BranchingRatio = 2.75999999999998E-03</t>
  </si>
  <si>
    <t>dsi.Daughter = "PO-212"</t>
  </si>
  <si>
    <t>dsi.Lambda = 1.90791957214408E-04</t>
  </si>
  <si>
    <t>dsi.BranchingRatio = 0.6406</t>
  </si>
  <si>
    <t>dsi.Daughter = "TL-208"</t>
  </si>
  <si>
    <t>dsi.BranchingRatio = 0.3594</t>
  </si>
  <si>
    <t>dsi.Daughter = "PO-213"</t>
  </si>
  <si>
    <t>dsi.Lambda = 2.53398837669059E-04</t>
  </si>
  <si>
    <t>dsi.BranchingRatio = 0.978</t>
  </si>
  <si>
    <t>dsi.Daughter = "TL-209"</t>
  </si>
  <si>
    <t>dsi.BranchingRatio = 0.022</t>
  </si>
  <si>
    <t>dsi.Daughter = "PO-214"</t>
  </si>
  <si>
    <t>dsi.Lambda = 5.80525276850875E-04</t>
  </si>
  <si>
    <t>dsi.BranchingRatio = 0.9979</t>
  </si>
  <si>
    <t>dsi.Daughter = "TL-210"</t>
  </si>
  <si>
    <t>dsi.BranchingRatio = 2.09999999999999E-03</t>
  </si>
  <si>
    <t>dsi.Daughter = "PO-215"</t>
  </si>
  <si>
    <t>dsi.Lambda = 1.52005960649111E-03</t>
  </si>
  <si>
    <t>dsi.Lambda = 3.85342258344388E-12</t>
  </si>
  <si>
    <t>dsi.Lambda = 4.93360605869036E-08</t>
  </si>
  <si>
    <t>dsi.Lambda = 2.74513734875226E-24</t>
  </si>
  <si>
    <t>dsi.Lambda = 1.55763411361785E-09</t>
  </si>
  <si>
    <t>dsi.BranchingRatio = 0.9986</t>
  </si>
  <si>
    <t>dsi.Daughter = "CD-113"</t>
  </si>
  <si>
    <t>dsi.BranchingRatio = 1.39999999999996E-03</t>
  </si>
  <si>
    <t>dsi.Daughter = "PR-144"</t>
  </si>
  <si>
    <t>dsi.Lambda = 2.81538253679913E-08</t>
  </si>
  <si>
    <t>dsi.Lambda = 7.29717897861466E-14</t>
  </si>
  <si>
    <t>dsi.Daughter = "PU-238"</t>
  </si>
  <si>
    <t>dsi.Lambda = 4.92641919374517E-08</t>
  </si>
  <si>
    <t>dsi.Daughter = "PU-239"</t>
  </si>
  <si>
    <t>dsi.Lambda = 7.54794114282822E-10</t>
  </si>
  <si>
    <t>dsi.BranchingRatio = 0.9971</t>
  </si>
  <si>
    <t>dsi.Daughter = "AM-243"</t>
  </si>
  <si>
    <t>dsi.BranchingRatio = 2.90000000000001E-03</t>
  </si>
  <si>
    <t>dsi.Daughter = "PU-240"</t>
  </si>
  <si>
    <t>dsi.Lambda = 1.21350876937183E-09</t>
  </si>
  <si>
    <t>dsi.Daughter = "PU-241"</t>
  </si>
  <si>
    <t>dsi.Lambda = 2.60777720300958E-12</t>
  </si>
  <si>
    <t>dsi.Lambda = 4.66765778154845E-12</t>
  </si>
  <si>
    <t>dsi.BranchingRatio = 0.999737</t>
  </si>
  <si>
    <t>dsi.BranchingRatio = 0.0263</t>
  </si>
  <si>
    <t>dsi.Lambda = 2.95228409952028E-08</t>
  </si>
  <si>
    <t>dsi.Lambda = 4.16694548950615E-09</t>
  </si>
  <si>
    <t>dsi.Lambda = 2.89596130747637E-07</t>
  </si>
  <si>
    <t>dsi.Lambda = 1.06359855847774E-08</t>
  </si>
  <si>
    <t>dsi.Lambda = 9.5501127109389E-15</t>
  </si>
  <si>
    <t>dsi.Daughter = "BA-137M"</t>
  </si>
  <si>
    <t>dsi.Lambda = 7.3021928011085E-10</t>
  </si>
  <si>
    <t>dsi.Daughter = "NI-59"</t>
  </si>
  <si>
    <t>dsi.Lambda = 8.50487338110362E-03</t>
  </si>
  <si>
    <t>dsi.Lambda = 1.51595058254369E-05</t>
  </si>
  <si>
    <t>dsi.Lambda = 1.62363311100164E-09</t>
  </si>
  <si>
    <t>dsi.BranchingRatio = 0.7208</t>
  </si>
  <si>
    <t>dsi.Daughter = "GD-152"</t>
  </si>
  <si>
    <t>dsi.BranchingRatio = 0.2792</t>
  </si>
  <si>
    <t>dsi.Lambda = 2.55396897774482E-09</t>
  </si>
  <si>
    <t>dsi.Lambda = 4.62098120373297E-09</t>
  </si>
  <si>
    <t>dsi.Lambda = 8.00455857348037E-09</t>
  </si>
  <si>
    <t>dsi.Lambda = 1.80301984763151E-07</t>
  </si>
  <si>
    <t>dsi.Daughter = "AT-217"</t>
  </si>
  <si>
    <t>dsi.Lambda = 2.42274442698338E-03</t>
  </si>
  <si>
    <t>dsi.Daughter = "RA-223"</t>
  </si>
  <si>
    <t>dsi.Lambda = 5.25111500424201E-04</t>
  </si>
  <si>
    <t>dsi.BranchingRatio = 0.99994</t>
  </si>
  <si>
    <t>dsi.Daughter = "AT-219"</t>
  </si>
  <si>
    <t>dsi.BranchingRatio = 5.9999999999949E-05</t>
  </si>
  <si>
    <t>dsi.Daughter = "SM-148"</t>
  </si>
  <si>
    <t>dsi.Lambda = 2.03375080792872E-22</t>
  </si>
  <si>
    <t>dsi.Lambda = 1.78283350045699E-09</t>
  </si>
  <si>
    <t>dsi.Lambda = 1.45605084500226E-05</t>
  </si>
  <si>
    <t>dsi.Lambda = 1.92110555843784E-06</t>
  </si>
  <si>
    <t>dsi.Lambda = 1.35043628057912E-07</t>
  </si>
  <si>
    <t>dsi.Lambda = 1.39901329462612E-15</t>
  </si>
  <si>
    <t>dsi.Daughter = "XE-131M"</t>
  </si>
  <si>
    <t>dsi.Lambda = 9.99668146841998E-07</t>
  </si>
  <si>
    <t>dsi.Lambda = 2.04283005260697E-09</t>
  </si>
  <si>
    <t>dsi.Lambda = 2.57033731002063E-08</t>
  </si>
  <si>
    <t>dsi.Lambda = 8.43912426542826E-09</t>
  </si>
  <si>
    <t>dsi.Lambda = 1.36171783791879E-09</t>
  </si>
  <si>
    <t>dsi.Lambda = 9.59148852647604E-24</t>
  </si>
  <si>
    <t>dsi.Lambda = 2.89052202068368E-13</t>
  </si>
  <si>
    <t>dsi.Lambda = 2.17040600055634E-10</t>
  </si>
  <si>
    <t>dsi.Daughter = "U-236"</t>
  </si>
  <si>
    <t>dsi.Lambda = 1.43568181557569E-13</t>
  </si>
  <si>
    <t>dsi.BranchingRatio = 0.873</t>
  </si>
  <si>
    <t>dsi.Daughter = "PU-236"</t>
  </si>
  <si>
    <t>dsi.BranchingRatio = 0.125</t>
  </si>
  <si>
    <t>dsi.Daughter = "PA-233"</t>
  </si>
  <si>
    <t>dsi.Lambda = 1.024464026382E-14</t>
  </si>
  <si>
    <t>dsi.Lambda = 3.78957808787738E-06</t>
  </si>
  <si>
    <t>dsi.Lambda = 3.40515144823277E-06</t>
  </si>
  <si>
    <t>dsi.Lambda = 5.62511345676371E-07</t>
  </si>
  <si>
    <t>dsi.Lambda = 3.16470880159227E-07</t>
  </si>
  <si>
    <t>dsi.Daughter = "AC-227"</t>
  </si>
  <si>
    <t>dsi.Lambda = 6.70467299317159E-13</t>
  </si>
  <si>
    <t>dsi.Daughter = "U-233"</t>
  </si>
  <si>
    <t>dsi.Lambda = 2.97406369306262E-07</t>
  </si>
  <si>
    <t>dsi.Daughter = "U-234"</t>
  </si>
  <si>
    <t>dsi.Lambda = 2.87374452968468E-05</t>
  </si>
  <si>
    <t>dsi.Lambda = 9.96760397699087E-03</t>
  </si>
  <si>
    <t>dsi.BranchingRatio = 0.9984</t>
  </si>
  <si>
    <t>dsi.Daughter = "PA-234"</t>
  </si>
  <si>
    <t>dsi.BranchingRatio = 0.0016</t>
  </si>
  <si>
    <t>dsi.Lambda = 5.9188713030702E-05</t>
  </si>
  <si>
    <t>dsi.Daughter = "BI-210"</t>
  </si>
  <si>
    <t>dsi.Lambda = 9.89392284938294E-10</t>
  </si>
  <si>
    <t>dsi.Lambda = 3.2001254873497E-04</t>
  </si>
  <si>
    <t>dsi.Daughter = "BI-212"</t>
  </si>
  <si>
    <t>dsi.Lambda = 1.80959476963227E-05</t>
  </si>
  <si>
    <t>dsi.Lambda = 4.31061679452702E-04</t>
  </si>
  <si>
    <t>dsi.Lambda = 3.37922767433671E-15</t>
  </si>
  <si>
    <t>dsi.Lambda = 3.97219014647533E-09</t>
  </si>
  <si>
    <t>dsi.BranchingRatio = 0.66</t>
  </si>
  <si>
    <t>dsi.Daughter = "SM-146"</t>
  </si>
  <si>
    <t>dsi.BranchingRatio = 0.34</t>
  </si>
  <si>
    <t>dsi.Daughter = "SM-147"</t>
  </si>
  <si>
    <t>dsi.Lambda = 8.37235391424019E-09</t>
  </si>
  <si>
    <t>dsi.Lambda = 5.79763601494219E-08</t>
  </si>
  <si>
    <t>dsi.Lambda = 1.34330848945726</t>
  </si>
  <si>
    <t>dsi.Lambda = 2318217.99518376</t>
  </si>
  <si>
    <t>dsi.Daughter = "PB-209"</t>
  </si>
  <si>
    <t>dsi.Lambda = 186329.887247297</t>
  </si>
  <si>
    <t>dsi.Daughter = "PB-210"</t>
  </si>
  <si>
    <t>dsi.Lambda = 4218.7898999388</t>
  </si>
  <si>
    <t>dsi.Daughter = "PB-211"</t>
  </si>
  <si>
    <t>dsi.Lambda = 389.189882403114</t>
  </si>
  <si>
    <t>dsi.BranchingRatio = 0.9999977</t>
  </si>
  <si>
    <t>dsi.Daughter = "AT-215"</t>
  </si>
  <si>
    <t>dsi.BranchingRatio = 2.30000000001063E-06</t>
  </si>
  <si>
    <t>dsi.Daughter = "PB-212"</t>
  </si>
  <si>
    <t>dsi.Lambda = 4.78032538317204</t>
  </si>
  <si>
    <t>dsi.Daughter = "PB-214"</t>
  </si>
  <si>
    <t>dsi.Lambda = 3.72900355369026E-03</t>
  </si>
  <si>
    <t>dsi.BranchingRatio = 0.9998</t>
  </si>
  <si>
    <t>dsi.Daughter = "AT-218"</t>
  </si>
  <si>
    <t>dsi.BranchingRatio = 0.0002</t>
  </si>
  <si>
    <t>dsi.Daughter = "ND-144"</t>
  </si>
  <si>
    <t>dsi.Lambda = 6.68544734336367E-04</t>
  </si>
  <si>
    <t>dsi.Daughter = "U-232"</t>
  </si>
  <si>
    <t>dsi.Lambda = 7.68524016054578E-09</t>
  </si>
  <si>
    <t>dsi.Lambda = 2.50450498581871E-10</t>
  </si>
  <si>
    <t>dsi.Daughter = "U-235"</t>
  </si>
  <si>
    <t>dsi.Lambda = 9.11012390113236E-13</t>
  </si>
  <si>
    <t>dsi.Lambda = 3.34773795543821E-12</t>
  </si>
  <si>
    <t>dsi.Daughter = "AM-241"</t>
  </si>
  <si>
    <t>dsi.Lambda = 1.5332990384384E-09</t>
  </si>
  <si>
    <t>dsi.BranchingRatio = 0.999975</t>
  </si>
  <si>
    <t>dsi.Daughter = "U-237"</t>
  </si>
  <si>
    <t>dsi.BranchingRatio = 0.0000245</t>
  </si>
  <si>
    <t>dsi.Daughter = "U-238"</t>
  </si>
  <si>
    <t>dsi.Lambda = 5.8592322955194E-14</t>
  </si>
  <si>
    <t>dsi.Lambda = 7.01884235523745E-07</t>
  </si>
  <si>
    <t>dsi.Daughter = "RN-220"</t>
  </si>
  <si>
    <t>dsi.Lambda = 2.20890905918015E-06</t>
  </si>
  <si>
    <t>dsi.Daughter = "AC-225"</t>
  </si>
  <si>
    <t>dsi.Lambda = 5.38425289398416E-07</t>
  </si>
  <si>
    <t>dsi.Daughter = "RN-222"</t>
  </si>
  <si>
    <t>dsi.Lambda = 1.37278179535188E-11</t>
  </si>
  <si>
    <t>dsi.Daughter = "AC-228"</t>
  </si>
  <si>
    <t>dsi.Lambda = 3.81991456097915E-09</t>
  </si>
  <si>
    <t>dsi.Lambda = 4.30347431178865E-07</t>
  </si>
  <si>
    <t>dsi.Lambda = 2.30511200718306E-02</t>
  </si>
  <si>
    <t>dsi.Lambda = 4.98294211927727E-07</t>
  </si>
  <si>
    <t>dsi.Lambda = 1283.60588992582</t>
  </si>
  <si>
    <t>dsi.Lambda = 19.8042051588556</t>
  </si>
  <si>
    <t>dsi.Lambda = 0.175037166808067</t>
  </si>
  <si>
    <t>dsi.Daughter = "PO-216"</t>
  </si>
  <si>
    <t>dsi.Lambda = 1.24666759093515E-02</t>
  </si>
  <si>
    <t>dsi.Daughter = "PO-218"</t>
  </si>
  <si>
    <t>dsi.Lambda = 2.09821807559472E-06</t>
  </si>
  <si>
    <t>dsi.Daughter = "RH-106"</t>
  </si>
  <si>
    <t>dsi.Lambda = 2.15799246749672E-08</t>
  </si>
  <si>
    <t>dsi.Lambda = 9.18225570795056E-08</t>
  </si>
  <si>
    <t>dsi.Daughter = "TE-125M"</t>
  </si>
  <si>
    <t>dsi.Lambda = 7.96263274623717E-09</t>
  </si>
  <si>
    <t>dsi.Lambda = 6.49598122432098E-07</t>
  </si>
  <si>
    <t>dsi.Lambda = 6.0326125375104E-04</t>
  </si>
  <si>
    <t>dsi.BranchingRatio = 0.86</t>
  </si>
  <si>
    <t>dsi.Daughter = "SB-126"</t>
  </si>
  <si>
    <t>dsi.BranchingRatio = 0.14</t>
  </si>
  <si>
    <t>dsi.Lambda = 7.44598969341439E-14</t>
  </si>
  <si>
    <t>dsi.Lambda = 2.13276055556906E-16</t>
  </si>
  <si>
    <t>dsi.Lambda = 2.07218888059774E-19</t>
  </si>
  <si>
    <t>dsi.Lambda = 3.1377869608043E-24</t>
  </si>
  <si>
    <t>dsi.Lambda = 2.44065908647868E-10</t>
  </si>
  <si>
    <t>dsi.Lambda = 7.1232291338836E-06</t>
  </si>
  <si>
    <t>dsi.Daughter = "SN-121"</t>
  </si>
  <si>
    <t>dsi.Lambda = 5.00467278382632E-10</t>
  </si>
  <si>
    <t>dsi.Daughter = "SB-126M"</t>
  </si>
  <si>
    <t>dsi.Lambda = 9.5501127109389E-14</t>
  </si>
  <si>
    <t>dsi.Daughter = "Y-90"</t>
  </si>
  <si>
    <t>dsi.Lambda = 7.6001760296298E-10</t>
  </si>
  <si>
    <t>dsi.Lambda = 1.04047885957509E-13</t>
  </si>
  <si>
    <t>dsi.Lambda = 3.20543532203828E-05</t>
  </si>
  <si>
    <t>dsi.Lambda = 1.39765449687045E-07</t>
  </si>
  <si>
    <t>dsi.Lambda = 4.29471992079037E-07</t>
  </si>
  <si>
    <t>dsi.Daughter = "RA-224"</t>
  </si>
  <si>
    <t>dsi.Lambda = 1.14901175589193E-08</t>
  </si>
  <si>
    <t>dsi.Daughter = "RA-225"</t>
  </si>
  <si>
    <t>dsi.Lambda = 2.7691009487683E-12</t>
  </si>
  <si>
    <t>dsi.Daughter = "RA-226"</t>
  </si>
  <si>
    <t>dsi.Lambda = 2.91306481772283E-13</t>
  </si>
  <si>
    <t>dsi.Daughter = "PA-231"</t>
  </si>
  <si>
    <t>dsi.Lambda = 7.54470546586496E-06</t>
  </si>
  <si>
    <t>dsi.Daughter = "RA-228"</t>
  </si>
  <si>
    <t>dsi.Lambda = 1.56889348040215E-18</t>
  </si>
  <si>
    <t>dsi.Daughter = "PA-234M"</t>
  </si>
  <si>
    <t>dsi.Lambda = 3.32885344897776E-07</t>
  </si>
  <si>
    <t>dsi.Lambda = 2.74927487133089E-03</t>
  </si>
  <si>
    <t>dsi.Lambda = 2.42189790552042E-03</t>
  </si>
  <si>
    <t>dsi.Lambda = 3.78396757593594E-03</t>
  </si>
  <si>
    <t>dsi.Lambda = 5.34588292889052E-03</t>
  </si>
  <si>
    <t>dsi.Lambda = 8.88650231487109E-03</t>
  </si>
  <si>
    <t>dsi.Lambda = 3.18834949659588E-10</t>
  </si>
  <si>
    <t>dsi.Daughter = "TH-229"</t>
  </si>
  <si>
    <t>dsi.Lambda = 1.37968019633355E-13</t>
  </si>
  <si>
    <t>dsi.Daughter = "TH-230"</t>
  </si>
  <si>
    <t>dsi.Lambda = 8.94684673141757E-14</t>
  </si>
  <si>
    <t>dsi.Daughter = "TH-231"</t>
  </si>
  <si>
    <t>dsi.Lambda = 3.11995862579973E-17</t>
  </si>
  <si>
    <t>dsi.Daughter = "TH-232"</t>
  </si>
  <si>
    <t>dsi.Lambda = 9.37852635594796E-16</t>
  </si>
  <si>
    <t>dsi.Lambda = 1.18852397215354E-06</t>
  </si>
  <si>
    <t>dsi.Daughter = "TH-234"</t>
  </si>
  <si>
    <t>dsi.Lambda = 4.91595987592438E-18</t>
  </si>
  <si>
    <t>dsi.Lambda = 6.7757912263821E-07</t>
  </si>
  <si>
    <t>dsi.Lambda = 3.00596199223883E-06</t>
  </si>
  <si>
    <t>dsi.Daughter = "CU-59"</t>
  </si>
  <si>
    <t>dsi.Lambda = 3.80850099208761</t>
  </si>
  <si>
    <t>dsi.Lambda = 3.28886845079999E-08</t>
  </si>
  <si>
    <t>dsi.Daughter = "NB-93M"</t>
  </si>
  <si>
    <t>dsi.Lambda = 1.36424811163586E-14</t>
  </si>
  <si>
    <t>dsi.Isotope = "AC-225"</t>
  </si>
  <si>
    <t>dsi.Isotope = "AC-227"</t>
  </si>
  <si>
    <t>dsi.Isotope = "AC-228"</t>
  </si>
  <si>
    <t>dsi.Isotope = "AM-241"</t>
  </si>
  <si>
    <t>dsi.Isotope = "AM-242"</t>
  </si>
  <si>
    <t>dsi.Isotope = "AM-242M"</t>
  </si>
  <si>
    <t>dsi.Isotope = "AM-243"</t>
  </si>
  <si>
    <t>dsi.Isotope = "AT-215"</t>
  </si>
  <si>
    <t>dsi.Isotope = "AT-217"</t>
  </si>
  <si>
    <t>dsi.Isotope = "AT-218"</t>
  </si>
  <si>
    <t>dsi.Isotope = "AT-219"</t>
  </si>
  <si>
    <t>dsi.Isotope = "BA-137M"</t>
  </si>
  <si>
    <t>dsi.Isotope = "BI-210"</t>
  </si>
  <si>
    <t>dsi.Isotope = "BI-211"</t>
  </si>
  <si>
    <t>dsi.Isotope = "BI-212"</t>
  </si>
  <si>
    <t>dsi.Isotope = "BI-213"</t>
  </si>
  <si>
    <t>dsi.Isotope = "BI-214"</t>
  </si>
  <si>
    <t>dsi.Isotope = "BI-215"</t>
  </si>
  <si>
    <t>dsi.Isotope = "C-14"</t>
  </si>
  <si>
    <t>dsi.Isotope = "CA-45"</t>
  </si>
  <si>
    <t>dsi.Isotope = "CD-113"</t>
  </si>
  <si>
    <t>dsi.Isotope = "CD-113M"</t>
  </si>
  <si>
    <t>dsi.Isotope = "CE-144"</t>
  </si>
  <si>
    <t>dsi.Isotope = "CL-36"</t>
  </si>
  <si>
    <t>dsi.Isotope = "CM-242"</t>
  </si>
  <si>
    <t>dsi.Isotope = "CM-243"</t>
  </si>
  <si>
    <t>dsi.Isotope = "CM-244"</t>
  </si>
  <si>
    <t>dsi.Isotope = "CM-245"</t>
  </si>
  <si>
    <t>dsi.Isotope = "CM-246"</t>
  </si>
  <si>
    <t>dsi.Isotope = "CO-57"</t>
  </si>
  <si>
    <t>dsi.Isotope = "CO-60"</t>
  </si>
  <si>
    <t>dsi.Isotope = "CR-51"</t>
  </si>
  <si>
    <t>dsi.Isotope = "CS-134"</t>
  </si>
  <si>
    <t>dsi.Isotope = "CS-135"</t>
  </si>
  <si>
    <t>dsi.Isotope = "CS-137"</t>
  </si>
  <si>
    <t>dsi.Isotope = "CU-59"</t>
  </si>
  <si>
    <t>dsi.Isotope = "CU-64"</t>
  </si>
  <si>
    <t>dsi.Isotope = "EU-152"</t>
  </si>
  <si>
    <t>dsi.Isotope = "EU-154"</t>
  </si>
  <si>
    <t>dsi.Isotope = "EU-155"</t>
  </si>
  <si>
    <t>dsi.Isotope = "FE-55"</t>
  </si>
  <si>
    <t>dsi.Isotope = "FE-59"</t>
  </si>
  <si>
    <t>dsi.Isotope = "FR-221"</t>
  </si>
  <si>
    <t>dsi.Isotope = "FR-223"</t>
  </si>
  <si>
    <t>dsi.Isotope = "GD-152"</t>
  </si>
  <si>
    <t>dsi.Isotope = "H-3"</t>
  </si>
  <si>
    <t>dsi.Isotope = "I-123"</t>
  </si>
  <si>
    <t>dsi.Isotope = "I-124"</t>
  </si>
  <si>
    <t>dsi.Isotope = "I-125"</t>
  </si>
  <si>
    <t>dsi.Isotope = "I-129"</t>
  </si>
  <si>
    <t>dsi.Isotope = "I-131"</t>
  </si>
  <si>
    <t>dsi.Isotope = "KR-85"</t>
  </si>
  <si>
    <t>dsi.Isotope = "MN-54"</t>
  </si>
  <si>
    <t>dsi.Isotope = "NA-22"</t>
  </si>
  <si>
    <t>dsi.Isotope = "NB-93M"</t>
  </si>
  <si>
    <t>dsi.Isotope = "ND-144"</t>
  </si>
  <si>
    <t>dsi.Isotope = "NI-59"</t>
  </si>
  <si>
    <t>dsi.Isotope = "NI-63"</t>
  </si>
  <si>
    <t>dsi.Isotope = "NP-236"</t>
  </si>
  <si>
    <t>dsi.Isotope = "NP-237"</t>
  </si>
  <si>
    <t>dsi.Isotope = "NP-238"</t>
  </si>
  <si>
    <t>dsi.Isotope = "NP-239"</t>
  </si>
  <si>
    <t>dsi.Isotope = "P-32"</t>
  </si>
  <si>
    <t>dsi.Isotope = "P-33"</t>
  </si>
  <si>
    <t>dsi.Isotope = "PA-231"</t>
  </si>
  <si>
    <t>dsi.Isotope = "PA-233"</t>
  </si>
  <si>
    <t>dsi.Isotope = "PA-234"</t>
  </si>
  <si>
    <t>dsi.Isotope = "PA-234M"</t>
  </si>
  <si>
    <t>dsi.Isotope = "PB-209"</t>
  </si>
  <si>
    <t>dsi.Isotope = "PB-210"</t>
  </si>
  <si>
    <t>dsi.Isotope = "PB-211"</t>
  </si>
  <si>
    <t>dsi.Isotope = "PB-212"</t>
  </si>
  <si>
    <t>dsi.Isotope = "PB-214"</t>
  </si>
  <si>
    <t>dsi.Isotope = "PD-107"</t>
  </si>
  <si>
    <t>dsi.Isotope = "PM-146"</t>
  </si>
  <si>
    <t>dsi.Isotope = "PM-147"</t>
  </si>
  <si>
    <t>dsi.Isotope = "PO-210"</t>
  </si>
  <si>
    <t>dsi.Isotope = "PO-211"</t>
  </si>
  <si>
    <t>dsi.Isotope = "PO-212"</t>
  </si>
  <si>
    <t>dsi.Isotope = "PO-213"</t>
  </si>
  <si>
    <t>dsi.Isotope = "PO-214"</t>
  </si>
  <si>
    <t>dsi.Isotope = "PO-215"</t>
  </si>
  <si>
    <t>dsi.Isotope = "PO-216"</t>
  </si>
  <si>
    <t>dsi.Isotope = "PO-218"</t>
  </si>
  <si>
    <t>dsi.Isotope = "PR-144"</t>
  </si>
  <si>
    <t>dsi.Isotope = "PU-236"</t>
  </si>
  <si>
    <t>dsi.Isotope = "PU-238"</t>
  </si>
  <si>
    <t>dsi.Isotope = "PU-239"</t>
  </si>
  <si>
    <t>dsi.Isotope = "PU-240"</t>
  </si>
  <si>
    <t>dsi.Isotope = "PU-241"</t>
  </si>
  <si>
    <t>dsi.Isotope = "PU-242"</t>
  </si>
  <si>
    <t>dsi.Isotope = "RA-223"</t>
  </si>
  <si>
    <t>dsi.Isotope = "RA-224"</t>
  </si>
  <si>
    <t>dsi.Isotope = "RA-225"</t>
  </si>
  <si>
    <t>dsi.Isotope = "RA-226"</t>
  </si>
  <si>
    <t>dsi.Isotope = "RA-228"</t>
  </si>
  <si>
    <t>dsi.Isotope = "RB-86"</t>
  </si>
  <si>
    <t>dsi.Isotope = "RH-106"</t>
  </si>
  <si>
    <t>dsi.Isotope = "RH-99"</t>
  </si>
  <si>
    <t>dsi.Isotope = "RN-217"</t>
  </si>
  <si>
    <t>dsi.Isotope = "RN-218"</t>
  </si>
  <si>
    <t>dsi.Isotope = "RN-219"</t>
  </si>
  <si>
    <t>dsi.Isotope = "RN-220"</t>
  </si>
  <si>
    <t>dsi.Isotope = "RN-222"</t>
  </si>
  <si>
    <t>dsi.Isotope = "RU-106"</t>
  </si>
  <si>
    <t>dsi.Isotope = "S-35"</t>
  </si>
  <si>
    <t>dsi.Isotope = "SB-125"</t>
  </si>
  <si>
    <t>dsi.Isotope = "SB-126"</t>
  </si>
  <si>
    <t>dsi.Isotope = "SB-126M"</t>
  </si>
  <si>
    <t>dsi.Isotope = "SE-79"</t>
  </si>
  <si>
    <t>dsi.Isotope = "SM-146"</t>
  </si>
  <si>
    <t>dsi.Isotope = "SM-147"</t>
  </si>
  <si>
    <t>dsi.Isotope = "SM-148"</t>
  </si>
  <si>
    <t>dsi.Isotope = "SM-151"</t>
  </si>
  <si>
    <t>dsi.Isotope = "SN-121"</t>
  </si>
  <si>
    <t>dsi.Isotope = "SN-121M"</t>
  </si>
  <si>
    <t>dsi.Isotope = "SN-126"</t>
  </si>
  <si>
    <t>dsi.Isotope = "SR-90"</t>
  </si>
  <si>
    <t>dsi.Isotope = "TC-99"</t>
  </si>
  <si>
    <t>dsi.Isotope = "TC-99M"</t>
  </si>
  <si>
    <t>dsi.Isotope = "TE-125M"</t>
  </si>
  <si>
    <t>dsi.Isotope = "TH-227"</t>
  </si>
  <si>
    <t>dsi.Isotope = "TH-228"</t>
  </si>
  <si>
    <t>dsi.Isotope = "TH-229"</t>
  </si>
  <si>
    <t>dsi.Isotope = "TH-230"</t>
  </si>
  <si>
    <t>dsi.Isotope = "TH-231"</t>
  </si>
  <si>
    <t>dsi.Isotope = "TH-232"</t>
  </si>
  <si>
    <t>dsi.Isotope = "TH-234"</t>
  </si>
  <si>
    <t>dsi.Isotope = "TL-206"</t>
  </si>
  <si>
    <t>dsi.Isotope = "TL-207"</t>
  </si>
  <si>
    <t>dsi.Isotope = "TL-208"</t>
  </si>
  <si>
    <t>dsi.Isotope = "TL-209"</t>
  </si>
  <si>
    <t>dsi.Isotope = "TL-210"</t>
  </si>
  <si>
    <t>dsi.Isotope = "U-232"</t>
  </si>
  <si>
    <t>dsi.Isotope = "U-233"</t>
  </si>
  <si>
    <t>dsi.Isotope = "U-234"</t>
  </si>
  <si>
    <t>dsi.Isotope = "U-235"</t>
  </si>
  <si>
    <t>dsi.Isotope = "U-236"</t>
  </si>
  <si>
    <t>dsi.Isotope = "U-237"</t>
  </si>
  <si>
    <t>dsi.Isotope = "U-238"</t>
  </si>
  <si>
    <t>dsi.Isotope = "XE-131M"</t>
  </si>
  <si>
    <t>dsi.Isotope = "Y-90"</t>
  </si>
  <si>
    <t>dsi.Isotope = "ZN-59"</t>
  </si>
  <si>
    <t>dsi.Isotope = "ZN-65"</t>
  </si>
  <si>
    <t>dsi.Isotope = "ZR-93"</t>
  </si>
  <si>
    <t>MASS</t>
  </si>
  <si>
    <t>Nuclide</t>
  </si>
  <si>
    <t>Y-95</t>
  </si>
  <si>
    <t>Y-94</t>
  </si>
  <si>
    <t>Y-93</t>
  </si>
  <si>
    <t>Y-92</t>
  </si>
  <si>
    <t>Y-91</t>
  </si>
  <si>
    <t>Y-88</t>
  </si>
  <si>
    <t>Y-87</t>
  </si>
  <si>
    <t>Y-86</t>
  </si>
  <si>
    <t>W-188</t>
  </si>
  <si>
    <t>W-187</t>
  </si>
  <si>
    <t>W-185</t>
  </si>
  <si>
    <t>W-181</t>
  </si>
  <si>
    <t>W-179</t>
  </si>
  <si>
    <t>W-178</t>
  </si>
  <si>
    <t>W-177</t>
  </si>
  <si>
    <t>W-176</t>
  </si>
  <si>
    <t>V-49</t>
  </si>
  <si>
    <t>V-48</t>
  </si>
  <si>
    <t>V-47</t>
  </si>
  <si>
    <t>U-240</t>
  </si>
  <si>
    <t>U-239</t>
  </si>
  <si>
    <t>U-231</t>
  </si>
  <si>
    <t>U-230</t>
  </si>
  <si>
    <t>K-45</t>
  </si>
  <si>
    <t>K-44</t>
  </si>
  <si>
    <t>K-43</t>
  </si>
  <si>
    <t>K-42</t>
  </si>
  <si>
    <t>K-40</t>
  </si>
  <si>
    <t>I-135</t>
  </si>
  <si>
    <t>I-134</t>
  </si>
  <si>
    <t>I-133</t>
  </si>
  <si>
    <t>I-132</t>
  </si>
  <si>
    <t>I-130</t>
  </si>
  <si>
    <t>I-128</t>
  </si>
  <si>
    <t>I-126</t>
  </si>
  <si>
    <t>I-121</t>
  </si>
  <si>
    <t>I-120</t>
  </si>
  <si>
    <t>F-18</t>
  </si>
  <si>
    <t>S5</t>
  </si>
  <si>
    <t>S1</t>
  </si>
  <si>
    <t>M5</t>
  </si>
  <si>
    <t>M1</t>
  </si>
  <si>
    <t>F5</t>
  </si>
  <si>
    <t>F1</t>
  </si>
  <si>
    <t>C-11</t>
  </si>
  <si>
    <t>Sv/Bq</t>
  </si>
  <si>
    <t>Adult</t>
  </si>
  <si>
    <t>AC-224</t>
  </si>
  <si>
    <t>AC-226</t>
  </si>
  <si>
    <t>AG-102</t>
  </si>
  <si>
    <t>AG-103</t>
  </si>
  <si>
    <t>AG-104</t>
  </si>
  <si>
    <t>AG-104M</t>
  </si>
  <si>
    <t>AG-105</t>
  </si>
  <si>
    <t>AG-106</t>
  </si>
  <si>
    <t>AG-106M</t>
  </si>
  <si>
    <t>AG-108M</t>
  </si>
  <si>
    <t>AG-110M</t>
  </si>
  <si>
    <t>AG-111</t>
  </si>
  <si>
    <t>AG-112</t>
  </si>
  <si>
    <t>AG-115</t>
  </si>
  <si>
    <t>AL-26</t>
  </si>
  <si>
    <t>AM-237</t>
  </si>
  <si>
    <t>AM-238</t>
  </si>
  <si>
    <t>AM-239</t>
  </si>
  <si>
    <t>AM-240</t>
  </si>
  <si>
    <t>AM-244</t>
  </si>
  <si>
    <t>AM-244M</t>
  </si>
  <si>
    <t>AM-245</t>
  </si>
  <si>
    <t>AM-246</t>
  </si>
  <si>
    <t>AM-246M</t>
  </si>
  <si>
    <t>AS-69</t>
  </si>
  <si>
    <t>AS-70</t>
  </si>
  <si>
    <t>AS-71</t>
  </si>
  <si>
    <t>AS-72</t>
  </si>
  <si>
    <t>AS-73</t>
  </si>
  <si>
    <t>AS-74</t>
  </si>
  <si>
    <t>AS-76</t>
  </si>
  <si>
    <t>AS-77</t>
  </si>
  <si>
    <t>AS-78</t>
  </si>
  <si>
    <t>AT-207</t>
  </si>
  <si>
    <t>AT-211</t>
  </si>
  <si>
    <t>AU-193</t>
  </si>
  <si>
    <t>AU-194</t>
  </si>
  <si>
    <t>AU-195</t>
  </si>
  <si>
    <t>AU-198</t>
  </si>
  <si>
    <t>AU-198M</t>
  </si>
  <si>
    <t>AU-199</t>
  </si>
  <si>
    <t>AU-200</t>
  </si>
  <si>
    <t>AU-200M</t>
  </si>
  <si>
    <t>AU-201</t>
  </si>
  <si>
    <t>BA-126</t>
  </si>
  <si>
    <t>BA-128</t>
  </si>
  <si>
    <t>BA-131</t>
  </si>
  <si>
    <t>BA-131M</t>
  </si>
  <si>
    <t>BA-133</t>
  </si>
  <si>
    <t>BA-133M</t>
  </si>
  <si>
    <t>BA-135M</t>
  </si>
  <si>
    <t>BA-139</t>
  </si>
  <si>
    <t>BA-140</t>
  </si>
  <si>
    <t>BA-141</t>
  </si>
  <si>
    <t>BA-142</t>
  </si>
  <si>
    <t>BE-10</t>
  </si>
  <si>
    <t>BE-7</t>
  </si>
  <si>
    <t>BI-200</t>
  </si>
  <si>
    <t>BI-201</t>
  </si>
  <si>
    <t>BI-202</t>
  </si>
  <si>
    <t>BI-203</t>
  </si>
  <si>
    <t>BI-205</t>
  </si>
  <si>
    <t>BI-206</t>
  </si>
  <si>
    <t>BI-207</t>
  </si>
  <si>
    <t>BI-210M</t>
  </si>
  <si>
    <t>BK-245</t>
  </si>
  <si>
    <t>BK-246</t>
  </si>
  <si>
    <t>BK-247</t>
  </si>
  <si>
    <t>BK-249</t>
  </si>
  <si>
    <t>BK-250</t>
  </si>
  <si>
    <t>BR-74</t>
  </si>
  <si>
    <t>BR-74M</t>
  </si>
  <si>
    <t>BR-75</t>
  </si>
  <si>
    <t>BR-76</t>
  </si>
  <si>
    <t>BR-77</t>
  </si>
  <si>
    <t>BR-80</t>
  </si>
  <si>
    <t>BR-80M</t>
  </si>
  <si>
    <t>BR-82</t>
  </si>
  <si>
    <t>BR-83</t>
  </si>
  <si>
    <t>BR-84</t>
  </si>
  <si>
    <t>CA-41</t>
  </si>
  <si>
    <t>CA-47</t>
  </si>
  <si>
    <t>CD-104</t>
  </si>
  <si>
    <t>CD-107</t>
  </si>
  <si>
    <t>CD-109</t>
  </si>
  <si>
    <t>CD-115</t>
  </si>
  <si>
    <t>CD-115M</t>
  </si>
  <si>
    <t>CD-117</t>
  </si>
  <si>
    <t>CD-117M</t>
  </si>
  <si>
    <t>CE-134</t>
  </si>
  <si>
    <t>CE-135</t>
  </si>
  <si>
    <t>CE-137</t>
  </si>
  <si>
    <t>CE-137M</t>
  </si>
  <si>
    <t>CE-139</t>
  </si>
  <si>
    <t>CE-141</t>
  </si>
  <si>
    <t>CE-143</t>
  </si>
  <si>
    <t>CF-244</t>
  </si>
  <si>
    <t>CF-246</t>
  </si>
  <si>
    <t>CF-248</t>
  </si>
  <si>
    <t>CF-249</t>
  </si>
  <si>
    <t>CF-250</t>
  </si>
  <si>
    <t>CF-251</t>
  </si>
  <si>
    <t>CF-252</t>
  </si>
  <si>
    <t>CF-253</t>
  </si>
  <si>
    <t>CF-254</t>
  </si>
  <si>
    <t>CL-38</t>
  </si>
  <si>
    <t>CL-39</t>
  </si>
  <si>
    <t>CM-238</t>
  </si>
  <si>
    <t>CM-240</t>
  </si>
  <si>
    <t>CM-241</t>
  </si>
  <si>
    <t>CM-247</t>
  </si>
  <si>
    <t>CM-248</t>
  </si>
  <si>
    <t>CM-249</t>
  </si>
  <si>
    <t>CM-250</t>
  </si>
  <si>
    <t>CO-55</t>
  </si>
  <si>
    <t>CO-56</t>
  </si>
  <si>
    <t>CO-58</t>
  </si>
  <si>
    <t>CO-58M</t>
  </si>
  <si>
    <t>CO-60M</t>
  </si>
  <si>
    <t>CO-61</t>
  </si>
  <si>
    <t>CO-62M</t>
  </si>
  <si>
    <t>CR-48</t>
  </si>
  <si>
    <t>CR-49</t>
  </si>
  <si>
    <t>CS-125</t>
  </si>
  <si>
    <t>CS-127</t>
  </si>
  <si>
    <t>CS-129</t>
  </si>
  <si>
    <t>CS-130</t>
  </si>
  <si>
    <t>CS-131</t>
  </si>
  <si>
    <t>CS-132</t>
  </si>
  <si>
    <t>CS-134M</t>
  </si>
  <si>
    <t>CS-135M</t>
  </si>
  <si>
    <t>CS-136</t>
  </si>
  <si>
    <t>CS-138</t>
  </si>
  <si>
    <t>CU-60</t>
  </si>
  <si>
    <t>CU-61</t>
  </si>
  <si>
    <t>CU-67</t>
  </si>
  <si>
    <t>DY-155</t>
  </si>
  <si>
    <t>DY-157</t>
  </si>
  <si>
    <t>DY-159</t>
  </si>
  <si>
    <t>DY-165</t>
  </si>
  <si>
    <t>DY-166</t>
  </si>
  <si>
    <t>ER-161</t>
  </si>
  <si>
    <t>ER-165</t>
  </si>
  <si>
    <t>ER-169</t>
  </si>
  <si>
    <t>ER-171</t>
  </si>
  <si>
    <t>ER-172</t>
  </si>
  <si>
    <t>ES-250M</t>
  </si>
  <si>
    <t>ES-251</t>
  </si>
  <si>
    <t>ES-253</t>
  </si>
  <si>
    <t>ES-254</t>
  </si>
  <si>
    <t>ES-254M</t>
  </si>
  <si>
    <t>EU-145</t>
  </si>
  <si>
    <t>EU-146</t>
  </si>
  <si>
    <t>EU-147</t>
  </si>
  <si>
    <t>EU-148</t>
  </si>
  <si>
    <t>EU-149</t>
  </si>
  <si>
    <t>EU-150</t>
  </si>
  <si>
    <t>EU-150M</t>
  </si>
  <si>
    <t>EU-152M</t>
  </si>
  <si>
    <t>EU-156</t>
  </si>
  <si>
    <t>EU-157</t>
  </si>
  <si>
    <t>EU-158</t>
  </si>
  <si>
    <t>FE-52</t>
  </si>
  <si>
    <t>FE-60</t>
  </si>
  <si>
    <t>FM-252</t>
  </si>
  <si>
    <t>FM-253</t>
  </si>
  <si>
    <t>FM-254</t>
  </si>
  <si>
    <t>FM-255</t>
  </si>
  <si>
    <t>FM-257</t>
  </si>
  <si>
    <t>FR-222</t>
  </si>
  <si>
    <t>GA-65</t>
  </si>
  <si>
    <t>GA-66</t>
  </si>
  <si>
    <t>GA-67</t>
  </si>
  <si>
    <t>GA-68</t>
  </si>
  <si>
    <t>GA-70</t>
  </si>
  <si>
    <t>GA-72</t>
  </si>
  <si>
    <t>GA-73</t>
  </si>
  <si>
    <t>GD-145</t>
  </si>
  <si>
    <t>GD-146</t>
  </si>
  <si>
    <t>GD-147</t>
  </si>
  <si>
    <t>GD-148</t>
  </si>
  <si>
    <t>GD-149</t>
  </si>
  <si>
    <t>GD-151</t>
  </si>
  <si>
    <t>GD-153</t>
  </si>
  <si>
    <t>GD-159</t>
  </si>
  <si>
    <t>GE-66</t>
  </si>
  <si>
    <t>GE-67</t>
  </si>
  <si>
    <t>GE-68</t>
  </si>
  <si>
    <t>GE-69</t>
  </si>
  <si>
    <t>GE-71</t>
  </si>
  <si>
    <t>GE-75</t>
  </si>
  <si>
    <t>GE-77</t>
  </si>
  <si>
    <t>GE-78</t>
  </si>
  <si>
    <t>HF-170</t>
  </si>
  <si>
    <t>HF-172</t>
  </si>
  <si>
    <t>HF-173</t>
  </si>
  <si>
    <t>HF-175</t>
  </si>
  <si>
    <t>HF-177M</t>
  </si>
  <si>
    <t>HF-178M</t>
  </si>
  <si>
    <t>HF-179M</t>
  </si>
  <si>
    <t>HF-180M</t>
  </si>
  <si>
    <t>HF-181</t>
  </si>
  <si>
    <t>HF-182</t>
  </si>
  <si>
    <t>HF-182M</t>
  </si>
  <si>
    <t>HF-183</t>
  </si>
  <si>
    <t>HF-184</t>
  </si>
  <si>
    <t>HG-193</t>
  </si>
  <si>
    <t>HG-193M</t>
  </si>
  <si>
    <t>HG-194</t>
  </si>
  <si>
    <t>HG-195</t>
  </si>
  <si>
    <t>HG-195M</t>
  </si>
  <si>
    <t>HG-197</t>
  </si>
  <si>
    <t>HG-197M</t>
  </si>
  <si>
    <t>HG-199M</t>
  </si>
  <si>
    <t>HG-203</t>
  </si>
  <si>
    <t>HO-155</t>
  </si>
  <si>
    <t>HO-157</t>
  </si>
  <si>
    <t>HO-159</t>
  </si>
  <si>
    <t>HO-161</t>
  </si>
  <si>
    <t>HO-162</t>
  </si>
  <si>
    <t>HO-162M</t>
  </si>
  <si>
    <t>HO-164</t>
  </si>
  <si>
    <t>HO-164M</t>
  </si>
  <si>
    <t>HO-166</t>
  </si>
  <si>
    <t>HO-166M</t>
  </si>
  <si>
    <t>HO-167</t>
  </si>
  <si>
    <t>I-120M</t>
  </si>
  <si>
    <t>I-132M</t>
  </si>
  <si>
    <t>IN-109</t>
  </si>
  <si>
    <t>IN-110</t>
  </si>
  <si>
    <t>IN-110M</t>
  </si>
  <si>
    <t>IN-111</t>
  </si>
  <si>
    <t>IN-112</t>
  </si>
  <si>
    <t>IN-113M</t>
  </si>
  <si>
    <t>IN-114M</t>
  </si>
  <si>
    <t>IN-115</t>
  </si>
  <si>
    <t>IN-115M</t>
  </si>
  <si>
    <t>IN-116M</t>
  </si>
  <si>
    <t>IN-117</t>
  </si>
  <si>
    <t>IN-117M</t>
  </si>
  <si>
    <t>IN-119M</t>
  </si>
  <si>
    <t>IR-182</t>
  </si>
  <si>
    <t>IR-184</t>
  </si>
  <si>
    <t>IR-185</t>
  </si>
  <si>
    <t>IR-186</t>
  </si>
  <si>
    <t>IR-186M</t>
  </si>
  <si>
    <t>IR-187</t>
  </si>
  <si>
    <t>IR-188</t>
  </si>
  <si>
    <t>IR-189</t>
  </si>
  <si>
    <t>IR-190</t>
  </si>
  <si>
    <t>IR-190M</t>
  </si>
  <si>
    <t>IR-190N</t>
  </si>
  <si>
    <t>IR-192</t>
  </si>
  <si>
    <t>IR-192N</t>
  </si>
  <si>
    <t>IR-193M</t>
  </si>
  <si>
    <t>IR-194</t>
  </si>
  <si>
    <t>IR-194M</t>
  </si>
  <si>
    <t>IR-195</t>
  </si>
  <si>
    <t>IR-195M</t>
  </si>
  <si>
    <t>LA-131</t>
  </si>
  <si>
    <t>LA-132</t>
  </si>
  <si>
    <t>LA-135</t>
  </si>
  <si>
    <t>LA-137</t>
  </si>
  <si>
    <t>LA-138</t>
  </si>
  <si>
    <t>LA-140</t>
  </si>
  <si>
    <t>LA-141</t>
  </si>
  <si>
    <t>LA-142</t>
  </si>
  <si>
    <t>LA-143</t>
  </si>
  <si>
    <t>LU-169</t>
  </si>
  <si>
    <t>LU-170</t>
  </si>
  <si>
    <t>LU-171</t>
  </si>
  <si>
    <t>LU-172</t>
  </si>
  <si>
    <t>LU-173</t>
  </si>
  <si>
    <t>LU-174</t>
  </si>
  <si>
    <t>LU-174M</t>
  </si>
  <si>
    <t>LU-176</t>
  </si>
  <si>
    <t>LU-176M</t>
  </si>
  <si>
    <t>LU-177</t>
  </si>
  <si>
    <t>LU-177M</t>
  </si>
  <si>
    <t>LU-178</t>
  </si>
  <si>
    <t>LU-178M</t>
  </si>
  <si>
    <t>LU-179</t>
  </si>
  <si>
    <t>MD-257</t>
  </si>
  <si>
    <t>MD-258</t>
  </si>
  <si>
    <t>MG-28</t>
  </si>
  <si>
    <t>MN-51</t>
  </si>
  <si>
    <t>MN-52</t>
  </si>
  <si>
    <t>MN-52M</t>
  </si>
  <si>
    <t>MN-53</t>
  </si>
  <si>
    <t>MN-56</t>
  </si>
  <si>
    <t>MO-101</t>
  </si>
  <si>
    <t>MO-90</t>
  </si>
  <si>
    <t>MO-93</t>
  </si>
  <si>
    <t>MO-93M</t>
  </si>
  <si>
    <t>MO-99</t>
  </si>
  <si>
    <t>NA-24</t>
  </si>
  <si>
    <t>NB-88</t>
  </si>
  <si>
    <t>NB-89</t>
  </si>
  <si>
    <t>NB-89M</t>
  </si>
  <si>
    <t>NB-90</t>
  </si>
  <si>
    <t>NB-94</t>
  </si>
  <si>
    <t>NB-95</t>
  </si>
  <si>
    <t>NB-95M</t>
  </si>
  <si>
    <t>NB-96</t>
  </si>
  <si>
    <t>NB-97</t>
  </si>
  <si>
    <t>NB-98M</t>
  </si>
  <si>
    <t>ND-136</t>
  </si>
  <si>
    <t>ND-138</t>
  </si>
  <si>
    <t>ND-139</t>
  </si>
  <si>
    <t>ND-139M</t>
  </si>
  <si>
    <t>ND-141</t>
  </si>
  <si>
    <t>ND-147</t>
  </si>
  <si>
    <t>ND-149</t>
  </si>
  <si>
    <t>ND-151</t>
  </si>
  <si>
    <t>NI-56</t>
  </si>
  <si>
    <t>NI-57</t>
  </si>
  <si>
    <t>NI-65</t>
  </si>
  <si>
    <t>NI-66</t>
  </si>
  <si>
    <t>NP-232</t>
  </si>
  <si>
    <t>NP-233</t>
  </si>
  <si>
    <t>NP-234</t>
  </si>
  <si>
    <t>NP-235</t>
  </si>
  <si>
    <t>NP-236M</t>
  </si>
  <si>
    <t>NP-240</t>
  </si>
  <si>
    <t>OS-180</t>
  </si>
  <si>
    <t>OS-181</t>
  </si>
  <si>
    <t>OS-182</t>
  </si>
  <si>
    <t>OS-185</t>
  </si>
  <si>
    <t>OS-189M</t>
  </si>
  <si>
    <t>OS-191</t>
  </si>
  <si>
    <t>OS-191M</t>
  </si>
  <si>
    <t>OS-193</t>
  </si>
  <si>
    <t>OS-194</t>
  </si>
  <si>
    <t>PA-227</t>
  </si>
  <si>
    <t>PA-228</t>
  </si>
  <si>
    <t>PA-230</t>
  </si>
  <si>
    <t>PA-232</t>
  </si>
  <si>
    <t>PB-195M</t>
  </si>
  <si>
    <t>PB-198</t>
  </si>
  <si>
    <t>PB-199</t>
  </si>
  <si>
    <t>PB-200</t>
  </si>
  <si>
    <t>PB-201</t>
  </si>
  <si>
    <t>PB-202</t>
  </si>
  <si>
    <t>PB-202M</t>
  </si>
  <si>
    <t>PB-203</t>
  </si>
  <si>
    <t>PB-205</t>
  </si>
  <si>
    <t>PD-100</t>
  </si>
  <si>
    <t>PD-101</t>
  </si>
  <si>
    <t>PD-103</t>
  </si>
  <si>
    <t>PD-109</t>
  </si>
  <si>
    <t>PM-141</t>
  </si>
  <si>
    <t>PM-143</t>
  </si>
  <si>
    <t>PM-144</t>
  </si>
  <si>
    <t>PM-145</t>
  </si>
  <si>
    <t>PM-148</t>
  </si>
  <si>
    <t>PM-148M</t>
  </si>
  <si>
    <t>PM-149</t>
  </si>
  <si>
    <t>PM-150</t>
  </si>
  <si>
    <t>PM-151</t>
  </si>
  <si>
    <t>PO-203</t>
  </si>
  <si>
    <t>PO-205</t>
  </si>
  <si>
    <t>PO-207</t>
  </si>
  <si>
    <t>PR-136</t>
  </si>
  <si>
    <t>PR-137</t>
  </si>
  <si>
    <t>PR-138M</t>
  </si>
  <si>
    <t>PR-139</t>
  </si>
  <si>
    <t>PR-142</t>
  </si>
  <si>
    <t>PR-142M</t>
  </si>
  <si>
    <t>PR-143</t>
  </si>
  <si>
    <t>PR-145</t>
  </si>
  <si>
    <t>PR-147</t>
  </si>
  <si>
    <t>PT-186</t>
  </si>
  <si>
    <t>PT-188</t>
  </si>
  <si>
    <t>PT-189</t>
  </si>
  <si>
    <t>PT-191</t>
  </si>
  <si>
    <t>PT-193</t>
  </si>
  <si>
    <t>PT-193M</t>
  </si>
  <si>
    <t>PT-195M</t>
  </si>
  <si>
    <t>PT-197</t>
  </si>
  <si>
    <t>PT-197M</t>
  </si>
  <si>
    <t>PT-199</t>
  </si>
  <si>
    <t>PT-200</t>
  </si>
  <si>
    <t>PU-234</t>
  </si>
  <si>
    <t>PU-235</t>
  </si>
  <si>
    <t>PU-237</t>
  </si>
  <si>
    <t>PU-243</t>
  </si>
  <si>
    <t>PU-244</t>
  </si>
  <si>
    <t>PU-245</t>
  </si>
  <si>
    <t>PU-246</t>
  </si>
  <si>
    <t>RA-227</t>
  </si>
  <si>
    <t>RB-79</t>
  </si>
  <si>
    <t>RB-81</t>
  </si>
  <si>
    <t>RB-81M</t>
  </si>
  <si>
    <t>RB-82M</t>
  </si>
  <si>
    <t>RB-83</t>
  </si>
  <si>
    <t>RB-84</t>
  </si>
  <si>
    <t>RB-87</t>
  </si>
  <si>
    <t>RB-88</t>
  </si>
  <si>
    <t>RB-89</t>
  </si>
  <si>
    <t>RE-177</t>
  </si>
  <si>
    <t>RE-178</t>
  </si>
  <si>
    <t>RE-181</t>
  </si>
  <si>
    <t>RE-182</t>
  </si>
  <si>
    <t>RE-182M</t>
  </si>
  <si>
    <t>RE-184</t>
  </si>
  <si>
    <t>RE-184M</t>
  </si>
  <si>
    <t>RE-186</t>
  </si>
  <si>
    <t>RE-186M</t>
  </si>
  <si>
    <t>RE-187</t>
  </si>
  <si>
    <t>RE-188</t>
  </si>
  <si>
    <t>RE-188M</t>
  </si>
  <si>
    <t>RE-189</t>
  </si>
  <si>
    <t>RH-100</t>
  </si>
  <si>
    <t>RH-101</t>
  </si>
  <si>
    <t>RH-101M</t>
  </si>
  <si>
    <t>RH-102</t>
  </si>
  <si>
    <t>RH-102M</t>
  </si>
  <si>
    <t>RH-103M</t>
  </si>
  <si>
    <t>RH-105</t>
  </si>
  <si>
    <t>RH-106M</t>
  </si>
  <si>
    <t>RH-107</t>
  </si>
  <si>
    <t>RH-99M</t>
  </si>
  <si>
    <t>RU-103</t>
  </si>
  <si>
    <t>RU-105</t>
  </si>
  <si>
    <t>RU-94</t>
  </si>
  <si>
    <t>RU-97</t>
  </si>
  <si>
    <t>SB-115</t>
  </si>
  <si>
    <t>SB-116</t>
  </si>
  <si>
    <t>SB-116M</t>
  </si>
  <si>
    <t>SB-117</t>
  </si>
  <si>
    <t>SB-118M</t>
  </si>
  <si>
    <t>SB-119</t>
  </si>
  <si>
    <t>SB-120</t>
  </si>
  <si>
    <t>SB-120M</t>
  </si>
  <si>
    <t>SB-122</t>
  </si>
  <si>
    <t>SB-124</t>
  </si>
  <si>
    <t>SB-124N</t>
  </si>
  <si>
    <t>SB-127</t>
  </si>
  <si>
    <t>SB-128</t>
  </si>
  <si>
    <t>SB-128M</t>
  </si>
  <si>
    <t>SB-129</t>
  </si>
  <si>
    <t>SB-130</t>
  </si>
  <si>
    <t>SB-131</t>
  </si>
  <si>
    <t>SC-43</t>
  </si>
  <si>
    <t>SC-44</t>
  </si>
  <si>
    <t>SC-44M</t>
  </si>
  <si>
    <t>SC-46</t>
  </si>
  <si>
    <t>SC-47</t>
  </si>
  <si>
    <t>SC-48</t>
  </si>
  <si>
    <t>SC-49</t>
  </si>
  <si>
    <t>SE-70</t>
  </si>
  <si>
    <t>SE-73</t>
  </si>
  <si>
    <t>SE-73M</t>
  </si>
  <si>
    <t>SE-75</t>
  </si>
  <si>
    <t>SE-81</t>
  </si>
  <si>
    <t>SE-81M</t>
  </si>
  <si>
    <t>SE-83</t>
  </si>
  <si>
    <t>SI-31</t>
  </si>
  <si>
    <t>SI-32</t>
  </si>
  <si>
    <t>SM-141</t>
  </si>
  <si>
    <t>SM-141M</t>
  </si>
  <si>
    <t>SM-142</t>
  </si>
  <si>
    <t>SM-145</t>
  </si>
  <si>
    <t>SM-153</t>
  </si>
  <si>
    <t>SM-155</t>
  </si>
  <si>
    <t>SM-156</t>
  </si>
  <si>
    <t>SN-110</t>
  </si>
  <si>
    <t>SN-111</t>
  </si>
  <si>
    <t>SN-113</t>
  </si>
  <si>
    <t>SN-117M</t>
  </si>
  <si>
    <t>SN-119M</t>
  </si>
  <si>
    <t>SN-123</t>
  </si>
  <si>
    <t>SN-123M</t>
  </si>
  <si>
    <t>SN-125</t>
  </si>
  <si>
    <t>SN-127</t>
  </si>
  <si>
    <t>SN-128</t>
  </si>
  <si>
    <t>SR-80</t>
  </si>
  <si>
    <t>SR-81</t>
  </si>
  <si>
    <t>SR-82</t>
  </si>
  <si>
    <t>SR-83</t>
  </si>
  <si>
    <t>SR-85</t>
  </si>
  <si>
    <t>SR-85M</t>
  </si>
  <si>
    <t>SR-87M</t>
  </si>
  <si>
    <t>SR-89</t>
  </si>
  <si>
    <t>SR-91</t>
  </si>
  <si>
    <t>SR-92</t>
  </si>
  <si>
    <t>TA-172</t>
  </si>
  <si>
    <t>TA-173</t>
  </si>
  <si>
    <t>TA-174</t>
  </si>
  <si>
    <t>TA-175</t>
  </si>
  <si>
    <t>TA-176</t>
  </si>
  <si>
    <t>TA-177</t>
  </si>
  <si>
    <t>TA-178M</t>
  </si>
  <si>
    <t>TA-179</t>
  </si>
  <si>
    <t>TA-180</t>
  </si>
  <si>
    <t>TA-182</t>
  </si>
  <si>
    <t>TA-183</t>
  </si>
  <si>
    <t>TA-184</t>
  </si>
  <si>
    <t>TA-185</t>
  </si>
  <si>
    <t>TA-186</t>
  </si>
  <si>
    <t>TB-147</t>
  </si>
  <si>
    <t>TB-149</t>
  </si>
  <si>
    <t>TB-150</t>
  </si>
  <si>
    <t>TB-151</t>
  </si>
  <si>
    <t>TB-153</t>
  </si>
  <si>
    <t>TB-154</t>
  </si>
  <si>
    <t>TB-155</t>
  </si>
  <si>
    <t>TB-156</t>
  </si>
  <si>
    <t>TB-156M</t>
  </si>
  <si>
    <t>TB-156N</t>
  </si>
  <si>
    <t>TB-157</t>
  </si>
  <si>
    <t>TB-158</t>
  </si>
  <si>
    <t>TB-160</t>
  </si>
  <si>
    <t>TB-161</t>
  </si>
  <si>
    <t>TC-101</t>
  </si>
  <si>
    <t>TC-104</t>
  </si>
  <si>
    <t>TC-93</t>
  </si>
  <si>
    <t>TC-93M</t>
  </si>
  <si>
    <t>TC-94</t>
  </si>
  <si>
    <t>TC-94M</t>
  </si>
  <si>
    <t>TC-95</t>
  </si>
  <si>
    <t>TC-95M</t>
  </si>
  <si>
    <t>TC-96</t>
  </si>
  <si>
    <t>TC-96M</t>
  </si>
  <si>
    <t>TC-97</t>
  </si>
  <si>
    <t>TC-97M</t>
  </si>
  <si>
    <t>TC-98</t>
  </si>
  <si>
    <t>TE-116</t>
  </si>
  <si>
    <t>TE-121</t>
  </si>
  <si>
    <t>TE-121M</t>
  </si>
  <si>
    <t>TE-123</t>
  </si>
  <si>
    <t>TE-123M</t>
  </si>
  <si>
    <t>TE-127</t>
  </si>
  <si>
    <t>TE-127M</t>
  </si>
  <si>
    <t>TE-129</t>
  </si>
  <si>
    <t>TE-129M</t>
  </si>
  <si>
    <t>TE-131</t>
  </si>
  <si>
    <t>TE-131M</t>
  </si>
  <si>
    <t>TE-132</t>
  </si>
  <si>
    <t>TE-133</t>
  </si>
  <si>
    <t>TE-133M</t>
  </si>
  <si>
    <t>TE-134</t>
  </si>
  <si>
    <t>TH-226</t>
  </si>
  <si>
    <t>TI-44</t>
  </si>
  <si>
    <t>TI-45</t>
  </si>
  <si>
    <t>TL-194</t>
  </si>
  <si>
    <t>TL-194M</t>
  </si>
  <si>
    <t>TL-195</t>
  </si>
  <si>
    <t>TL-197</t>
  </si>
  <si>
    <t>TL-198</t>
  </si>
  <si>
    <t>TL-198M</t>
  </si>
  <si>
    <t>TL-199</t>
  </si>
  <si>
    <t>TL-200</t>
  </si>
  <si>
    <t>TL-201</t>
  </si>
  <si>
    <t>TL-202</t>
  </si>
  <si>
    <t>TL-204</t>
  </si>
  <si>
    <t>TM-162</t>
  </si>
  <si>
    <t>TM-166</t>
  </si>
  <si>
    <t>TM-167</t>
  </si>
  <si>
    <t>TM-170</t>
  </si>
  <si>
    <t>TM-171</t>
  </si>
  <si>
    <t>TM-172</t>
  </si>
  <si>
    <t>TM-173</t>
  </si>
  <si>
    <t>TM-175</t>
  </si>
  <si>
    <t>Y-86M</t>
  </si>
  <si>
    <t>Y-90M</t>
  </si>
  <si>
    <t>Y-91M</t>
  </si>
  <si>
    <t>YB-162</t>
  </si>
  <si>
    <t>YB-166</t>
  </si>
  <si>
    <t>YB-167</t>
  </si>
  <si>
    <t>YB-169</t>
  </si>
  <si>
    <t>YB-175</t>
  </si>
  <si>
    <t>YB-177</t>
  </si>
  <si>
    <t>YB-178</t>
  </si>
  <si>
    <t>ZN-62</t>
  </si>
  <si>
    <t>ZN-63</t>
  </si>
  <si>
    <t>ZN-69</t>
  </si>
  <si>
    <t>ZN-69M</t>
  </si>
  <si>
    <t>ZN-71M</t>
  </si>
  <si>
    <t>ZN-72</t>
  </si>
  <si>
    <t>ZR-86</t>
  </si>
  <si>
    <t>ZR-88</t>
  </si>
  <si>
    <t>ZR-89</t>
  </si>
  <si>
    <t>ZR-95</t>
  </si>
  <si>
    <t>ZR-97</t>
  </si>
  <si>
    <t>TA-182M</t>
  </si>
  <si>
    <t>68inhF1 (Sv/Bq)</t>
  </si>
  <si>
    <t>68inhF5 (Sv/Bq)</t>
  </si>
  <si>
    <t>68inhM1 (Sv/Bq)</t>
  </si>
  <si>
    <t>68inhM5 (Sv/Bq)</t>
  </si>
  <si>
    <t>68inhS1 (Sv/Bq)</t>
  </si>
  <si>
    <t>68inhS5 (Sv/Bq)</t>
  </si>
  <si>
    <t>68ing (Sv/Bq)</t>
  </si>
  <si>
    <t>72inhF1 (Sv/Bq)</t>
  </si>
  <si>
    <t>72inhM1 (Sv/Bq)</t>
  </si>
  <si>
    <t>72inhS1 (Sv/Bq)</t>
  </si>
  <si>
    <t>72ing (Sv/Bq)</t>
  </si>
  <si>
    <t>dsi.DCF68inhM1 = 148</t>
  </si>
  <si>
    <t>dsi.DCF68inhM5 = 99.9</t>
  </si>
  <si>
    <t>dsi.DCF68ing = 0.777</t>
  </si>
  <si>
    <t>dsi.DCF72inhF1 = 362.6</t>
  </si>
  <si>
    <t>dsi.DCF72ing = 0.777</t>
  </si>
  <si>
    <t>dsi.DCF68inhM1 = 162.8</t>
  </si>
  <si>
    <t>dsi.DCF68inhM5 = 114.7</t>
  </si>
  <si>
    <t>dsi.DCF68inhS1 = 51.8</t>
  </si>
  <si>
    <t>dsi.DCF68inhS5 = 28.49</t>
  </si>
  <si>
    <t>dsi.DCF68ing = 0.888</t>
  </si>
  <si>
    <t>dsi.DCF72inhF1 = 407</t>
  </si>
  <si>
    <t>dsi.DCF72inhM1 = 407</t>
  </si>
  <si>
    <t>dsi.DCF72ing = 0.888</t>
  </si>
  <si>
    <t>dsi.DCF68inhF1 = 1.813</t>
  </si>
  <si>
    <t>dsi.DCF68inhF5 = 2.146</t>
  </si>
  <si>
    <t>dsi.DCF68inhM1 = 9.62</t>
  </si>
  <si>
    <t>dsi.DCF68inhM5 = 5.92</t>
  </si>
  <si>
    <t>dsi.DCF68inhS1 = 27.01</t>
  </si>
  <si>
    <t>dsi.DCF68inhS5 = 21.09</t>
  </si>
  <si>
    <t>dsi.DCF68ing = 0.1628</t>
  </si>
  <si>
    <t>dsi.DCF72inhF1 = 1.85</t>
  </si>
  <si>
    <t>dsi.DCF72ing = 0.1665</t>
  </si>
  <si>
    <t>dsi.DCF68inhM1 = 0.02331</t>
  </si>
  <si>
    <t>dsi.DCF68inhM5 = 0.01961</t>
  </si>
  <si>
    <t>dsi.DCF68inhS1 = 0.02701</t>
  </si>
  <si>
    <t>dsi.DCF68inhS5 = 0.02146</t>
  </si>
  <si>
    <t>dsi.DCF68ing = 0.01258</t>
  </si>
  <si>
    <t>dsi.DCF72inhF1 = 0.00925</t>
  </si>
  <si>
    <t>dsi.DCF72ing = 0.01258</t>
  </si>
  <si>
    <t>dsi.DCF68inhF1 = 2.035</t>
  </si>
  <si>
    <t>dsi.DCF68inhF5 = 2.368</t>
  </si>
  <si>
    <t>dsi.DCF68inhM1 = 11.47</t>
  </si>
  <si>
    <t>dsi.DCF68inhM5 = 7.77</t>
  </si>
  <si>
    <t>dsi.DCF68inhS1 = 31.45</t>
  </si>
  <si>
    <t>dsi.DCF68inhS5 = 25.16</t>
  </si>
  <si>
    <t>dsi.DCF68ing = 0.1813</t>
  </si>
  <si>
    <t>dsi.DCF72inhF1 = 2.072</t>
  </si>
  <si>
    <t>dsi.DCF72ing = 0.1813</t>
  </si>
  <si>
    <t>dsi.DCF68inhM5 = 103.6</t>
  </si>
  <si>
    <t>dsi.DCF68inhS1 = 48.1</t>
  </si>
  <si>
    <t>dsi.DCF68inhS5 = 26.64</t>
  </si>
  <si>
    <t>dsi.DCF72inhF1 = 370</t>
  </si>
  <si>
    <t>dsi.DCF68inhM1 = 11.84</t>
  </si>
  <si>
    <t>dsi.DCF68inhM5 = 8.14</t>
  </si>
  <si>
    <t>dsi.DCF68ing = 1.036</t>
  </si>
  <si>
    <t>dsi.DCF72inhF1 = 1.332</t>
  </si>
  <si>
    <t>dsi.DCF72ing = 1.036</t>
  </si>
  <si>
    <t>dsi.DCF68inhF1 = 0.01073</t>
  </si>
  <si>
    <t>dsi.DCF68inhF5 = 0.01776</t>
  </si>
  <si>
    <t>dsi.DCF68ing = 0.000518</t>
  </si>
  <si>
    <t>dsi.DCF72inhF1 = 0.01036</t>
  </si>
  <si>
    <t>dsi.DCF72inhM1 = 0.01036</t>
  </si>
  <si>
    <t>dsi.DCF72ing = 0.000518</t>
  </si>
  <si>
    <t>dsi.DCF68inhF1 = 0.02664</t>
  </si>
  <si>
    <t>dsi.DCF68inhF5 = 0.0444</t>
  </si>
  <si>
    <t>dsi.DCF68inhM1 = 0.0518</t>
  </si>
  <si>
    <t>dsi.DCF68inhM5 = 0.0777</t>
  </si>
  <si>
    <t>dsi.DCF68ing = 0.000407</t>
  </si>
  <si>
    <t>dsi.DCF72inhF1 = 0.02627</t>
  </si>
  <si>
    <t>dsi.DCF72ing = 0.000407</t>
  </si>
  <si>
    <t>dsi.DCF68inhF1 = 3.293</t>
  </si>
  <si>
    <t>dsi.DCF68inhF5 = 4.07</t>
  </si>
  <si>
    <t>dsi.DCF68ing = 2.516</t>
  </si>
  <si>
    <t>dsi.DCF72inhF1 = 3.33</t>
  </si>
  <si>
    <t>dsi.DCF72inhM1 = 3.33</t>
  </si>
  <si>
    <t>dsi.DCF72ing = 2.553</t>
  </si>
  <si>
    <t>dsi.DCF68inhF1 = 0.00407</t>
  </si>
  <si>
    <t>dsi.DCF68inhF5 = 0.00518</t>
  </si>
  <si>
    <t>dsi.DCF68inhM1 = 0.3108</t>
  </si>
  <si>
    <t>dsi.DCF68inhM5 = 0.222</t>
  </si>
  <si>
    <t>dsi.DCF68ing = 0.00481</t>
  </si>
  <si>
    <t>dsi.DCF72inhF1 = 0.00407</t>
  </si>
  <si>
    <t>dsi.DCF72ing = 0.00481</t>
  </si>
  <si>
    <t>dsi.DCF68inhF1 = 2.22</t>
  </si>
  <si>
    <t>dsi.DCF68inhF5 = 2.627</t>
  </si>
  <si>
    <t>dsi.DCF68inhM1 = 11.1</t>
  </si>
  <si>
    <t>dsi.DCF72inhF1 = 2.257</t>
  </si>
  <si>
    <t>dsi.DCF72ing = 4.44</t>
  </si>
  <si>
    <t>dsi.DCF68inhM1 = 0.001406</t>
  </si>
  <si>
    <t>dsi.DCF68inhM5 = 0.002035</t>
  </si>
  <si>
    <t>dsi.DCF68inhS1 = 0.00148</t>
  </si>
  <si>
    <t>dsi.DCF68inhS5 = 0.002146</t>
  </si>
  <si>
    <t>dsi.DCF68ing = 0.001887</t>
  </si>
  <si>
    <t>dsi.DCF72ing = 0.001887</t>
  </si>
  <si>
    <t>dsi.DCF72inhF1 = 366.3</t>
  </si>
  <si>
    <t>dsi.DCF68inhM1 = 3.145</t>
  </si>
  <si>
    <t>dsi.DCF68inhM5 = 2.146</t>
  </si>
  <si>
    <t>dsi.DCF68inhS1 = 0.592</t>
  </si>
  <si>
    <t>dsi.DCF68inhS5 = 0.3108</t>
  </si>
  <si>
    <t>dsi.DCF68ing = 0.01739</t>
  </si>
  <si>
    <t>dsi.DCF72inhF1 = 8.51</t>
  </si>
  <si>
    <t>dsi.DCF72ing = 0.01776</t>
  </si>
  <si>
    <t>dsi.DCF68inhM1 = 144.3</t>
  </si>
  <si>
    <t>dsi.DCF68ing = 0.74</t>
  </si>
  <si>
    <t>dsi.DCF72inhF1 = 355.2</t>
  </si>
  <si>
    <t>dsi.DCF72ing = 0.74</t>
  </si>
  <si>
    <t>dsi.DCF68inhM1 = 77.7</t>
  </si>
  <si>
    <t>dsi.DCF68inhM5 = 55.5</t>
  </si>
  <si>
    <t>dsi.DCF68ing = 0.407</t>
  </si>
  <si>
    <t>dsi.DCF72inhF1 = 185</t>
  </si>
  <si>
    <t>dsi.DCF72inhM1 = 185</t>
  </si>
  <si>
    <t>dsi.DCF72ing = 0.407</t>
  </si>
  <si>
    <t>dsi.DCF68inhM1 = 0.01147</t>
  </si>
  <si>
    <t>dsi.DCF68inhM5 = 0.01036</t>
  </si>
  <si>
    <t>dsi.DCF68inhS1 = 0.01369</t>
  </si>
  <si>
    <t>dsi.DCF68inhS5 = 0.01184</t>
  </si>
  <si>
    <t>dsi.DCF68ing = 0.003219</t>
  </si>
  <si>
    <t>dsi.DCF72ing = 0.003219</t>
  </si>
  <si>
    <t>dsi.DCF68inhF1 = 2.109</t>
  </si>
  <si>
    <t>dsi.DCF68inhF5 = 2.442</t>
  </si>
  <si>
    <t>dsi.DCF68inhS1 = 32.19</t>
  </si>
  <si>
    <t>dsi.DCF68inhS5 = 25.53</t>
  </si>
  <si>
    <t>dsi.DCF68ing = 0.185</t>
  </si>
  <si>
    <t>dsi.DCF72inhF1 = 2.146</t>
  </si>
  <si>
    <t>dsi.DCF72ing = 0.1887</t>
  </si>
  <si>
    <t>dsi.DCF68inhM1 = 366.3</t>
  </si>
  <si>
    <t>dsi.DCF68inhM5 = 255.3</t>
  </si>
  <si>
    <t>dsi.DCF68inhS1 = 240.5</t>
  </si>
  <si>
    <t>dsi.DCF68inhS5 = 177.6</t>
  </si>
  <si>
    <t>dsi.DCF68ing = 1.776</t>
  </si>
  <si>
    <t>dsi.DCF72inhF1 = 888</t>
  </si>
  <si>
    <t>dsi.DCF72ing = 1.813</t>
  </si>
  <si>
    <t>dsi.DCF68inhM1 = 21.46</t>
  </si>
  <si>
    <t>dsi.DCF68inhM5 = 17.76</t>
  </si>
  <si>
    <t>dsi.DCF68ing = 0.3515</t>
  </si>
  <si>
    <t>dsi.DCF72inhF1 = 0.481</t>
  </si>
  <si>
    <t>dsi.DCF72ing = 0.3663</t>
  </si>
  <si>
    <t>dsi.DCF68inhF1 = 3.219</t>
  </si>
  <si>
    <t>dsi.DCF68inhF5 = 3.7</t>
  </si>
  <si>
    <t>dsi.DCF68inhM1 = 25.53</t>
  </si>
  <si>
    <t>dsi.DCF68inhM5 = 21.09</t>
  </si>
  <si>
    <t>dsi.DCF68inhS1 = 29.23</t>
  </si>
  <si>
    <t>dsi.DCF68inhS5 = 24.05</t>
  </si>
  <si>
    <t>dsi.DCF68ing = 0.0888</t>
  </si>
  <si>
    <t>dsi.DCF72inhF1 = 3.256</t>
  </si>
  <si>
    <t>dsi.DCF72ing = 0.0888</t>
  </si>
  <si>
    <t>dsi.DCF68inhF1 = 0.0407</t>
  </si>
  <si>
    <t>dsi.DCF68inhF5 = 0.0666</t>
  </si>
  <si>
    <t>dsi.DCF68inhM1 = 0.1073</t>
  </si>
  <si>
    <t>dsi.DCF68inhM5 = 0.1517</t>
  </si>
  <si>
    <t>dsi.DCF68ing = 0.00074</t>
  </si>
  <si>
    <t>dsi.DCF72inhF1 = 0.037</t>
  </si>
  <si>
    <t>dsi.DCF72inhM1 = 0.037</t>
  </si>
  <si>
    <t>dsi.DCF72ing = 0.00074</t>
  </si>
  <si>
    <t>dsi.DCF68inhF1 = 0.0000666</t>
  </si>
  <si>
    <t>dsi.DCF68inhF5 = 0.0001184</t>
  </si>
  <si>
    <t>dsi.DCF68ing = 0.0002109</t>
  </si>
  <si>
    <t>dsi.DCF72inhF1 = 0.0000629</t>
  </si>
  <si>
    <t>dsi.DCF72ing = 0.0002109</t>
  </si>
  <si>
    <t>dsi.DCF68inhF1 = 0.000703</t>
  </si>
  <si>
    <t>dsi.DCF68inhF5 = 0.001221</t>
  </si>
  <si>
    <t>dsi.DCF68inhM1 = 0.00592</t>
  </si>
  <si>
    <t>dsi.DCF68inhM5 = 0.00555</t>
  </si>
  <si>
    <t>dsi.DCF68inhS1 = 0.00666</t>
  </si>
  <si>
    <t>dsi.DCF68inhS5 = 0.00629</t>
  </si>
  <si>
    <t>dsi.DCF68ing = 0.002849</t>
  </si>
  <si>
    <t>dsi.DCF72inhF1 = 0.000666</t>
  </si>
  <si>
    <t>dsi.DCF72inhS1 = 0.000666</t>
  </si>
  <si>
    <t>dsi.DCF72ing = 0.002812</t>
  </si>
  <si>
    <t>dsi.DCF68inhM1 = 92.5</t>
  </si>
  <si>
    <t>dsi.DCF68inhM5 = 62.9</t>
  </si>
  <si>
    <t>dsi.DCF68ing = 0.444</t>
  </si>
  <si>
    <t>dsi.DCF72inhF1 = 210.9</t>
  </si>
  <si>
    <t>dsi.DCF72ing = 0.444</t>
  </si>
  <si>
    <t>dsi.DCF68inhM1 = 173.9</t>
  </si>
  <si>
    <t>dsi.DCF68inhM5 = 118.4</t>
  </si>
  <si>
    <t>dsi.DCF68inhS1 = 55.5</t>
  </si>
  <si>
    <t>dsi.DCF68inhS5 = 30.71</t>
  </si>
  <si>
    <t>dsi.DCF68ing = 0.925</t>
  </si>
  <si>
    <t>dsi.DCF72inhF1 = 444</t>
  </si>
  <si>
    <t>dsi.DCF72ing = 0.925</t>
  </si>
  <si>
    <t>dsi.DCF68inhF1 = 1.924</t>
  </si>
  <si>
    <t>dsi.DCF68inhF5 = 2.257</t>
  </si>
  <si>
    <t>dsi.DCF68inhM1 = 10.73</t>
  </si>
  <si>
    <t>dsi.DCF68inhM5 = 7.03</t>
  </si>
  <si>
    <t>dsi.DCF68inhS5 = 23.31</t>
  </si>
  <si>
    <t>dsi.DCF68ing = 0.1702</t>
  </si>
  <si>
    <t>dsi.DCF72inhF1 = 1.961</t>
  </si>
  <si>
    <t>dsi.DCF72ing = 0.1739</t>
  </si>
  <si>
    <t>dsi.DCF68inhM1 = 155.4</t>
  </si>
  <si>
    <t>dsi.DCF68inhM5 = 107.3</t>
  </si>
  <si>
    <t>dsi.DCF68inhS1 = 85.1</t>
  </si>
  <si>
    <t>dsi.DCF68inhS5 = 44.4</t>
  </si>
  <si>
    <t>dsi.DCF68ing = 0.814</t>
  </si>
  <si>
    <t>dsi.DCF72ing = 0.851</t>
  </si>
  <si>
    <t>dsi.DCF68inhM5 = 6.29</t>
  </si>
  <si>
    <t>dsi.DCF68ing = 2.479</t>
  </si>
  <si>
    <t>dsi.DCF68inhF1 = 0.0925</t>
  </si>
  <si>
    <t>dsi.DCF68inhF5 = 0.1073</t>
  </si>
  <si>
    <t>dsi.DCF68inhM1 = 0.0592</t>
  </si>
  <si>
    <t>dsi.DCF68inhM5 = 0.0444</t>
  </si>
  <si>
    <t>dsi.DCF68inhS1 = 0.0518</t>
  </si>
  <si>
    <t>dsi.DCF68inhS5 = 0.0444</t>
  </si>
  <si>
    <t>dsi.DCF68ing = 0.001591</t>
  </si>
  <si>
    <t>dsi.DCF72inhF1 = 0.0925</t>
  </si>
  <si>
    <t>dsi.DCF72ing = 0.001591</t>
  </si>
  <si>
    <t>dsi.DCF68inhM1 = 111</t>
  </si>
  <si>
    <t>dsi.DCF68inhM5 = 81.4</t>
  </si>
  <si>
    <t>dsi.DCF68inhS1 = 136.9</t>
  </si>
  <si>
    <t>dsi.DCF68inhS5 = 92.5</t>
  </si>
  <si>
    <t>dsi.DCF68ing = 0.2664</t>
  </si>
  <si>
    <t>dsi.DCF72inhF1 = 111</t>
  </si>
  <si>
    <t>dsi.DCF72ing = 0.2664</t>
  </si>
  <si>
    <t>dsi.DCF68inhM5 = 8.88</t>
  </si>
  <si>
    <t>dsi.DCF68ing = 0.2405</t>
  </si>
  <si>
    <t>dsi.DCF72inhF1 = 0.2775</t>
  </si>
  <si>
    <t>dsi.DCF72ing = 0.2405</t>
  </si>
  <si>
    <t>dsi.DCF68inhF1 = 0.0703</t>
  </si>
  <si>
    <t>dsi.DCF68inhF5 = 0.1221</t>
  </si>
  <si>
    <t>dsi.DCF68ing = 0.02183</t>
  </si>
  <si>
    <t>dsi.DCF72inhF1 = 0.0666</t>
  </si>
  <si>
    <t>dsi.DCF72ing = 0.0222</t>
  </si>
  <si>
    <t>dsi.DCF68inhF1 = 0.03441</t>
  </si>
  <si>
    <t>dsi.DCF68inhF5 = 0.0555</t>
  </si>
  <si>
    <t>dsi.DCF68inhM1 = 0.111</t>
  </si>
  <si>
    <t>dsi.DCF68inhM5 = 0.1443</t>
  </si>
  <si>
    <t>dsi.DCF68ing = 0.000962</t>
  </si>
  <si>
    <t>dsi.DCF72inhF1 = 0.03367</t>
  </si>
  <si>
    <t>dsi.DCF72inhM1 = 0.03367</t>
  </si>
  <si>
    <t>dsi.DCF72ing = 0.000962</t>
  </si>
  <si>
    <t>dsi.DCF68inhM1 = 0.00333</t>
  </si>
  <si>
    <t>dsi.DCF68inhM5 = 0.00407</t>
  </si>
  <si>
    <t>dsi.DCF68ing = 0.00296</t>
  </si>
  <si>
    <t>dsi.DCF72inhF1 = 0.000629</t>
  </si>
  <si>
    <t>dsi.DCF72ing = 0.00296</t>
  </si>
  <si>
    <t>dsi.DCF68inhF1 = 1.887</t>
  </si>
  <si>
    <t>dsi.DCF68inhF5 = 2.22</t>
  </si>
  <si>
    <t>dsi.DCF68inhM1 = 10.36</t>
  </si>
  <si>
    <t>dsi.DCF68inhM5 = 6.66</t>
  </si>
  <si>
    <t>dsi.DCF68inhS1 = 28.49</t>
  </si>
  <si>
    <t>dsi.DCF68inhS5 = 22.57</t>
  </si>
  <si>
    <t>dsi.DCF72inhF1 = 1.924</t>
  </si>
  <si>
    <t>dsi.DCF68inhM1 = 0.001073</t>
  </si>
  <si>
    <t>dsi.DCF68inhM5 = 0.001369</t>
  </si>
  <si>
    <t>dsi.DCF68inhS1 = 0.001184</t>
  </si>
  <si>
    <t>dsi.DCF68inhS5 = 0.00148</t>
  </si>
  <si>
    <t>dsi.DCF68ing = 0.001258</t>
  </si>
  <si>
    <t>dsi.DCF72inhF1 = 0.0002886</t>
  </si>
  <si>
    <t>dsi.DCF72ing = 0.001258</t>
  </si>
  <si>
    <t>dsi.DCF68inhM1 = 481</t>
  </si>
  <si>
    <t>dsi.DCF68inhM5 = 329.3</t>
  </si>
  <si>
    <t>dsi.DCF68inhS1 = 118.4</t>
  </si>
  <si>
    <t>dsi.DCF68inhS5 = 62.9</t>
  </si>
  <si>
    <t>dsi.DCF68ing = 2.627</t>
  </si>
  <si>
    <t>dsi.DCF72ing = 2.627</t>
  </si>
  <si>
    <t>dsi.DCF68inhF1 = 1998</t>
  </si>
  <si>
    <t>dsi.DCF68inhF5 = 2331</t>
  </si>
  <si>
    <t>dsi.DCF68inhM1 = 777</t>
  </si>
  <si>
    <t>dsi.DCF68inhM5 = 555</t>
  </si>
  <si>
    <t>dsi.DCF68inhS1 = 244.2</t>
  </si>
  <si>
    <t>dsi.DCF68inhS5 = 173.9</t>
  </si>
  <si>
    <t>dsi.DCF68ing = 4.07</t>
  </si>
  <si>
    <t>dsi.DCF72inhF1 = 2035</t>
  </si>
  <si>
    <t>dsi.DCF72ing = 4.07</t>
  </si>
  <si>
    <t>dsi.DCF68inhM1 = 28.86</t>
  </si>
  <si>
    <t>dsi.DCF68inhM5 = 22.94</t>
  </si>
  <si>
    <t>dsi.DCF68inhS1 = 35.52</t>
  </si>
  <si>
    <t>dsi.DCF68inhS5 = 28.12</t>
  </si>
  <si>
    <t>dsi.DCF68ing = 0.03293</t>
  </si>
  <si>
    <t>dsi.DCF72inhF1 = 2.479</t>
  </si>
  <si>
    <t>dsi.DCF72ing = 0.03256</t>
  </si>
  <si>
    <t>dsi.DCF68ing = 0.37</t>
  </si>
  <si>
    <t>dsi.DCF72inhF1 = 0.444</t>
  </si>
  <si>
    <t>dsi.DCF72ing = 0.37</t>
  </si>
  <si>
    <t>dsi.DCF68inhF1 = 0.01443</t>
  </si>
  <si>
    <t>dsi.DCF68inhF5 = 0.02072</t>
  </si>
  <si>
    <t>dsi.DCF68ing = 0.000666</t>
  </si>
  <si>
    <t>dsi.DCF72inhF1 = 0.01443</t>
  </si>
  <si>
    <t>dsi.DCF72inhS1 = 0.01443</t>
  </si>
  <si>
    <t>dsi.DCF72ing = 0.000666</t>
  </si>
  <si>
    <t>dsi.DCF68inhF1 = 0.003367</t>
  </si>
  <si>
    <t>dsi.DCF68inhF5 = 0.00481</t>
  </si>
  <si>
    <t>dsi.DCF68ing = 0.00851</t>
  </si>
  <si>
    <t>dsi.DCF72inhF1 = 0.003293</t>
  </si>
  <si>
    <t>dsi.DCF72ing = 0.00888</t>
  </si>
  <si>
    <t>dsi.DCF68inhM1 = 107.3</t>
  </si>
  <si>
    <t>dsi.DCF68inhM5 = 74</t>
  </si>
  <si>
    <t>dsi.DCF68ing = 0.555</t>
  </si>
  <si>
    <t>dsi.DCF72inhF1 = 255.3</t>
  </si>
  <si>
    <t>dsi.DCF72ing = 0.555</t>
  </si>
  <si>
    <t>dsi.DCF68ing = 0.00111</t>
  </si>
  <si>
    <t>dsi.DCF72inhF1 = 0.0407</t>
  </si>
  <si>
    <t>dsi.DCF72inhM1 = 0.0407</t>
  </si>
  <si>
    <t>dsi.DCF72ing = 0.00111</t>
  </si>
  <si>
    <t>dsi.DCF68inhM1 = 17.76</t>
  </si>
  <si>
    <t>dsi.DCF68inhM5 = 13.69</t>
  </si>
  <si>
    <t>dsi.DCF68ing = 0.0444</t>
  </si>
  <si>
    <t>dsi.DCF72inhF1 = 12.21</t>
  </si>
  <si>
    <t>dsi.DCF72inhM1 = 12.21</t>
  </si>
  <si>
    <t>dsi.DCF72ing = 0.0444</t>
  </si>
  <si>
    <t>dsi.DCF68inhM1 = 159.1</t>
  </si>
  <si>
    <t>dsi.DCF68inhM5 = 111</t>
  </si>
  <si>
    <t>dsi.DCF68inhS5 = 40.7</t>
  </si>
  <si>
    <t>dsi.DCF68ing = 0.851</t>
  </si>
  <si>
    <t>dsi.DCF68inhM1 = 129.5</t>
  </si>
  <si>
    <t>dsi.DCF68inhM5 = 88.8</t>
  </si>
  <si>
    <t>dsi.DCF68ing = 0.703</t>
  </si>
  <si>
    <t>dsi.DCF72inhF1 = 340.4</t>
  </si>
  <si>
    <t>dsi.DCF72ing = 0.703</t>
  </si>
  <si>
    <t>dsi.DCF68inhM1 = 0.0074</t>
  </si>
  <si>
    <t>dsi.DCF68inhM5 = 0.00629</t>
  </si>
  <si>
    <t>dsi.DCF68ing = 0.003367</t>
  </si>
  <si>
    <t>dsi.DCF72inhF1 = 0.01295</t>
  </si>
  <si>
    <t>dsi.DCF72ing = 0.003367</t>
  </si>
  <si>
    <t>dsi.DCF68inhM5 = 7.4</t>
  </si>
  <si>
    <t>dsi.DCF68ing = 0.0629</t>
  </si>
  <si>
    <t>dsi.DCF72inhF1 = 29.6</t>
  </si>
  <si>
    <t>dsi.DCF72inhM1 = 29.6</t>
  </si>
  <si>
    <t>dsi.DCF72inhS1 = 29.6</t>
  </si>
  <si>
    <t>dsi.DCF72ing = 0.0629</t>
  </si>
  <si>
    <t>dsi.DCF68inhM1 = 66.6</t>
  </si>
  <si>
    <t>dsi.DCF68inhM5 = 48.1</t>
  </si>
  <si>
    <t>dsi.DCF68inhS5 = 27.38</t>
  </si>
  <si>
    <t>dsi.DCF68ing = 0.3182</t>
  </si>
  <si>
    <t>dsi.DCF72inhF1 = 148</t>
  </si>
  <si>
    <t>dsi.DCF72inhS1 = 148</t>
  </si>
  <si>
    <t>dsi.DCF72ing = 0.3219</t>
  </si>
  <si>
    <t>dsi.DCF68inhF1 = 14.8</t>
  </si>
  <si>
    <t>dsi.DCF68inhF5 = 17.39</t>
  </si>
  <si>
    <t>dsi.DCF68inhM1 = 26.64</t>
  </si>
  <si>
    <t>dsi.DCF68inhS1 = 129.5</t>
  </si>
  <si>
    <t>dsi.DCF68inhS5 = 96.2</t>
  </si>
  <si>
    <t>dsi.DCF68ing = 0.1369</t>
  </si>
  <si>
    <t>dsi.DCF72inhF1 = 14.8</t>
  </si>
  <si>
    <t>dsi.DCF72ing = 1.221</t>
  </si>
  <si>
    <t>dsi.DCF68inhM1 = 0.02405</t>
  </si>
  <si>
    <t>dsi.DCF68inhM5 = 0.01739</t>
  </si>
  <si>
    <t>dsi.DCF68ing = 0.001184</t>
  </si>
  <si>
    <t>dsi.DCF72ing = 0.001184</t>
  </si>
  <si>
    <t>dsi.DCF68inhM1 = 0.185</t>
  </si>
  <si>
    <t>dsi.DCF68inhM5 = 0.1295</t>
  </si>
  <si>
    <t>dsi.DCF68ing = 0.0074</t>
  </si>
  <si>
    <t>dsi.DCF72ing = 0.0074</t>
  </si>
  <si>
    <t>dsi.DCF68inhM1 = 0.1443</t>
  </si>
  <si>
    <t>dsi.DCF68inhM5 = 0.0999</t>
  </si>
  <si>
    <t>dsi.DCF68ing = 0.00518</t>
  </si>
  <si>
    <t>dsi.DCF72ing = 0.00518</t>
  </si>
  <si>
    <t>dsi.DCF68inhF1 = 70.3</t>
  </si>
  <si>
    <t>dsi.DCF68inhF5 = 81.4</t>
  </si>
  <si>
    <t>dsi.DCF68inhM1 = 27.38</t>
  </si>
  <si>
    <t>dsi.DCF68inhM5 = 18.5</t>
  </si>
  <si>
    <t>dsi.DCF68ing = 0.1517</t>
  </si>
  <si>
    <t>dsi.DCF72inhF1 = 70.3</t>
  </si>
  <si>
    <t>dsi.DCF72ing = 0.1517</t>
  </si>
  <si>
    <t>dsi.DCF68inhM1 = 0.01369</t>
  </si>
  <si>
    <t>dsi.DCF68inhM5 = 0.00962</t>
  </si>
  <si>
    <t>dsi.DCF68ing = 0.0003626</t>
  </si>
  <si>
    <t>dsi.DCF72ing = 0.0003626</t>
  </si>
  <si>
    <t>dsi.DCF68inhM1 = 0.01739</t>
  </si>
  <si>
    <t>dsi.DCF68inhM5 = 0.01295</t>
  </si>
  <si>
    <t>dsi.DCF68inhS1 = 0.01702</t>
  </si>
  <si>
    <t>dsi.DCF68inhM1 = 32.93</t>
  </si>
  <si>
    <t>dsi.DCF68inhM5 = 22.57</t>
  </si>
  <si>
    <t>dsi.DCF68inhM1 = 0.0703</t>
  </si>
  <si>
    <t>dsi.DCF68inhM5 = 0.0481</t>
  </si>
  <si>
    <t>dsi.DCF68inhS1 = 0.0592</t>
  </si>
  <si>
    <t>dsi.DCF68inhS5 = 0.0333</t>
  </si>
  <si>
    <t>dsi.DCF68ing = 0.00333</t>
  </si>
  <si>
    <t>dsi.DCF72ing = 0.00333</t>
  </si>
  <si>
    <t>dsi.DCF68inhM1 = 36.63</t>
  </si>
  <si>
    <t>dsi.DCF68inhM5 = 24.79</t>
  </si>
  <si>
    <t>dsi.DCF68ing = 0.1998</t>
  </si>
  <si>
    <t>dsi.DCF72ing = 0.1998</t>
  </si>
  <si>
    <t>dsi.DCF68inhM1 = 0.1258</t>
  </si>
  <si>
    <t>dsi.DCF68inhM5 = 0.0851</t>
  </si>
  <si>
    <t>dsi.DCF68inhS1 = 0.1813</t>
  </si>
  <si>
    <t>dsi.DCF68inhS5 = 0.1073</t>
  </si>
  <si>
    <t>dsi.DCF68ing = 0.01924</t>
  </si>
  <si>
    <t>dsi.DCF72inhF1 = 0.148</t>
  </si>
  <si>
    <t>dsi.DCF72ing = 0.01924</t>
  </si>
  <si>
    <t>dsi.DCF68inhM1 = 0.0000666</t>
  </si>
  <si>
    <t>dsi.DCF68inhM5 = 0.0001073</t>
  </si>
  <si>
    <t>dsi.DCF68inhS1 = 0.0000703</t>
  </si>
  <si>
    <t>dsi.DCF68inhS5 = 0.000111</t>
  </si>
  <si>
    <t>dsi.DCF68ing = 0.000185</t>
  </si>
  <si>
    <t>dsi.DCF72ing = 0.000185</t>
  </si>
  <si>
    <t>dsi.DCF68inhF1 = 0.01776</t>
  </si>
  <si>
    <t>dsi.DCF68inhF5 = 0.02479</t>
  </si>
  <si>
    <t>dsi.DCF68ing = 0.0481</t>
  </si>
  <si>
    <t>dsi.DCF72inhF1 = 0.01702</t>
  </si>
  <si>
    <t>dsi.DCF72ing = 0.0481</t>
  </si>
  <si>
    <t>dsi.DCF68inhF1 = 0.002627</t>
  </si>
  <si>
    <t>dsi.DCF68inhF5 = 0.003663</t>
  </si>
  <si>
    <t>dsi.DCF72inhF1 = 0.002553</t>
  </si>
  <si>
    <t>dsi.DCF68inhF1 = 0.02516</t>
  </si>
  <si>
    <t>dsi.DCF68inhF5 = 0.03552</t>
  </si>
  <si>
    <t>dsi.DCF68ing = 0.0703</t>
  </si>
  <si>
    <t>dsi.DCF72inhF1 = 0.02442</t>
  </si>
  <si>
    <t>dsi.DCF72inhM1 = 0.02442</t>
  </si>
  <si>
    <t>dsi.DCF72ing = 0.0703</t>
  </si>
  <si>
    <t>dsi.DCF68inhF1 = 0.02812</t>
  </si>
  <si>
    <t>dsi.DCF68inhF5 = 0.0407</t>
  </si>
  <si>
    <t>dsi.DCF68ing = 0.0814</t>
  </si>
  <si>
    <t>dsi.DCF72inhF1 = 0.02738</t>
  </si>
  <si>
    <t>dsi.DCF72ing = 0.0814</t>
  </si>
  <si>
    <t>dsi.DCF68inhF1 = 0.1369</t>
  </si>
  <si>
    <t>dsi.DCF68inhF5 = 0.1887</t>
  </si>
  <si>
    <t>dsi.DCF72inhF1 = 0.1332</t>
  </si>
  <si>
    <t>dsi.DCF72inhM1 = 0.1332</t>
  </si>
  <si>
    <t>dsi.DCF68inhF5 = 0.00629</t>
  </si>
  <si>
    <t>dsi.DCF68inhM1 = 0.00999</t>
  </si>
  <si>
    <t>dsi.DCF68inhM5 = 0.01184</t>
  </si>
  <si>
    <t>dsi.DCF68ing = 0.00888</t>
  </si>
  <si>
    <t>dsi.DCF72inhF1 = 0.0037</t>
  </si>
  <si>
    <t>dsi.DCF72inhS1 = 0.0037</t>
  </si>
  <si>
    <t>dsi.DCF68inhF1 = 0.0000481</t>
  </si>
  <si>
    <t>dsi.DCF68inhF5 = 0.0000851</t>
  </si>
  <si>
    <t>dsi.DCF68inhM1 = 0.000074</t>
  </si>
  <si>
    <t>dsi.DCF68inhM5 = 0.0001221</t>
  </si>
  <si>
    <t>dsi.DCF68ing = 0.0001332</t>
  </si>
  <si>
    <t>dsi.DCF72inhF1 = 0.0000444</t>
  </si>
  <si>
    <t>dsi.DCF72ing = 0.0001332</t>
  </si>
  <si>
    <t>dsi.DCF68inhF5 = 0.0518</t>
  </si>
  <si>
    <t>dsi.DCF68inhM1 = 0.0999</t>
  </si>
  <si>
    <t>dsi.DCF68inhM5 = 0.0666</t>
  </si>
  <si>
    <t>dsi.DCF72ing = 0.01739</t>
  </si>
  <si>
    <t>dsi.DCF68inhF1 = 0.01961</t>
  </si>
  <si>
    <t>dsi.DCF68inhF5 = 0.02701</t>
  </si>
  <si>
    <t>dsi.DCF68ing = 0.0555</t>
  </si>
  <si>
    <t>dsi.DCF72inhF1 = 0.01887</t>
  </si>
  <si>
    <t>dsi.DCF72ing = 0.0555</t>
  </si>
  <si>
    <t>dsi.DCF68inhF1 = 0.00518</t>
  </si>
  <si>
    <t>dsi.DCF68inhM1 = 0.01665</t>
  </si>
  <si>
    <t>dsi.DCF68inhM5 = 0.01221</t>
  </si>
  <si>
    <t>dsi.DCF68ing = 0.00407</t>
  </si>
  <si>
    <t>dsi.DCF72inhF1 = 0.00518</t>
  </si>
  <si>
    <t>dsi.DCF72inhM1 = 0.00518</t>
  </si>
  <si>
    <t>dsi.DCF72ing = 0.00407</t>
  </si>
  <si>
    <t>dsi.DCF68inhF1 = 0.001887</t>
  </si>
  <si>
    <t>dsi.DCF68inhF5 = 0.002479</t>
  </si>
  <si>
    <t>dsi.DCF68inhM1 = 0.01221</t>
  </si>
  <si>
    <t>dsi.DCF68inhM5 = 0.01073</t>
  </si>
  <si>
    <t>dsi.DCF72inhF1 = 0.001887</t>
  </si>
  <si>
    <t>dsi.DCF72inhM1 = 0.001887</t>
  </si>
  <si>
    <t>dsi.DCF68inhF1 = 0.01665</t>
  </si>
  <si>
    <t>dsi.DCF68inhF5 = 0.02331</t>
  </si>
  <si>
    <t>dsi.DCF72inhF1 = 0.01628</t>
  </si>
  <si>
    <t>dsi.DCF68inhF1 = 0.0002812</t>
  </si>
  <si>
    <t>dsi.DCF68inhF5 = 0.000407</t>
  </si>
  <si>
    <t>dsi.DCF68ing = 0.000777</t>
  </si>
  <si>
    <t>dsi.DCF72inhF1 = 0.0002738</t>
  </si>
  <si>
    <t>dsi.DCF72ing = 0.000777</t>
  </si>
  <si>
    <t>dsi.DCF68inhF1 = 0.0002368</t>
  </si>
  <si>
    <t>dsi.DCF68inhF5 = 0.00037</t>
  </si>
  <si>
    <t>dsi.DCF68inhM1 = 0.000814</t>
  </si>
  <si>
    <t>dsi.DCF68inhM5 = 0.001036</t>
  </si>
  <si>
    <t>dsi.DCF68ing = 0.000851</t>
  </si>
  <si>
    <t>dsi.DCF72inhF1 = 0.000222</t>
  </si>
  <si>
    <t>dsi.DCF72inhS1 = 0.000222</t>
  </si>
  <si>
    <t>dsi.DCF72ing = 0.000851</t>
  </si>
  <si>
    <t>dsi.DCF68inhF1 = 0.00296</t>
  </si>
  <si>
    <t>dsi.DCF68inhF5 = 0.003589</t>
  </si>
  <si>
    <t>dsi.DCF68inhM1 = 0.01554</t>
  </si>
  <si>
    <t>dsi.DCF68ing = 0.001406</t>
  </si>
  <si>
    <t>dsi.DCF72inhF1 = 0.00296</t>
  </si>
  <si>
    <t>dsi.DCF72ing = 0.001406</t>
  </si>
  <si>
    <t>dsi.DCF68inhF1 = 0.444</t>
  </si>
  <si>
    <t>dsi.DCF68inhF5 = 0.518</t>
  </si>
  <si>
    <t>dsi.DCF68inhM1 = 0.1961</t>
  </si>
  <si>
    <t>dsi.DCF68inhM5 = 0.1591</t>
  </si>
  <si>
    <t>dsi.DCF68inhS1 = 0.0925</t>
  </si>
  <si>
    <t>dsi.DCF68inhS5 = 0.0777</t>
  </si>
  <si>
    <t>dsi.DCF68ing = 0.0925</t>
  </si>
  <si>
    <t>dsi.DCF72ing = 0.0925</t>
  </si>
  <si>
    <t>dsi.DCF68inhF1 = 0.407</t>
  </si>
  <si>
    <t>dsi.DCF68inhF5 = 0.481</t>
  </si>
  <si>
    <t>dsi.DCF68inhM5 = 0.148</t>
  </si>
  <si>
    <t>dsi.DCF68inhS1 = 0.111</t>
  </si>
  <si>
    <t>dsi.DCF68inhS5 = 0.0888</t>
  </si>
  <si>
    <t>dsi.DCF68ing = 0.0851</t>
  </si>
  <si>
    <t>dsi.DCF72inhF1 = 0.407</t>
  </si>
  <si>
    <t>dsi.DCF72ing = 0.0851</t>
  </si>
  <si>
    <t>dsi.DCF68inhF1 = 0.0000962</t>
  </si>
  <si>
    <t>dsi.DCF68inhF5 = 0.0001221</t>
  </si>
  <si>
    <t>dsi.DCF68inhM1 = 0.000296</t>
  </si>
  <si>
    <t>dsi.DCF68inhM5 = 0.0001924</t>
  </si>
  <si>
    <t>dsi.DCF68inhS1 = 0.002035</t>
  </si>
  <si>
    <t>dsi.DCF68inhS5 = 0.001073</t>
  </si>
  <si>
    <t>dsi.DCF68ing = 0.0001369</t>
  </si>
  <si>
    <t>dsi.DCF72inhF1 = 0.0000925</t>
  </si>
  <si>
    <t>dsi.DCF72ing = 0.0001369</t>
  </si>
  <si>
    <t>dsi.DCF68inhF1 = 0.0296</t>
  </si>
  <si>
    <t>dsi.DCF68inhF5 = 0.03626</t>
  </si>
  <si>
    <t>dsi.DCF68inhM1 = 0.0962</t>
  </si>
  <si>
    <t>dsi.DCF68inhM5 = 0.0629</t>
  </si>
  <si>
    <t>dsi.DCF68inhS1 = 0.2294</t>
  </si>
  <si>
    <t>dsi.DCF68inhS5 = 0.1295</t>
  </si>
  <si>
    <t>dsi.DCF68ing = 0.0259</t>
  </si>
  <si>
    <t>dsi.DCF72inhF1 = 0.02923</t>
  </si>
  <si>
    <t>dsi.DCF72ing = 0.0259</t>
  </si>
  <si>
    <t>dsi.DCF68inhF1 = 0.001221</t>
  </si>
  <si>
    <t>dsi.DCF68inhF5 = 0.001813</t>
  </si>
  <si>
    <t>dsi.DCF68inhM1 = 0.002701</t>
  </si>
  <si>
    <t>dsi.DCF68inhM5 = 0.003034</t>
  </si>
  <si>
    <t>dsi.DCF68inhS1 = 0.003071</t>
  </si>
  <si>
    <t>dsi.DCF68inhS5 = 0.003293</t>
  </si>
  <si>
    <t>dsi.DCF72inhF1 = 0.001184</t>
  </si>
  <si>
    <t>dsi.DCF68inhF1 = 0.001073</t>
  </si>
  <si>
    <t>dsi.DCF68inhF5 = 0.00148</t>
  </si>
  <si>
    <t>dsi.DCF68inhM1 = 0.01443</t>
  </si>
  <si>
    <t>dsi.DCF68ing = 0.002886</t>
  </si>
  <si>
    <t>dsi.DCF72inhF1 = 0.001073</t>
  </si>
  <si>
    <t>dsi.DCF72ing = 0.002368</t>
  </si>
  <si>
    <t>dsi.DCF68inhF1 = 0.0000444</t>
  </si>
  <si>
    <t>dsi.DCF68inhF5 = 0.000074</t>
  </si>
  <si>
    <t>dsi.DCF68inhM1 = 0.0000703</t>
  </si>
  <si>
    <t>dsi.DCF68ing = 0.0000814</t>
  </si>
  <si>
    <t>dsi.DCF72ing = 0.0000814</t>
  </si>
  <si>
    <t>dsi.DCF68inhM1 = 0.03552</t>
  </si>
  <si>
    <t>dsi.DCF68inhM5 = 0.02442</t>
  </si>
  <si>
    <t>dsi.DCF68inhS1 = 0.01147</t>
  </si>
  <si>
    <t>dsi.DCF68ing = 0.001036</t>
  </si>
  <si>
    <t>dsi.DCF68inhM1 = 0.001702</t>
  </si>
  <si>
    <t>dsi.DCF68inhM5 = 0.001073</t>
  </si>
  <si>
    <t>dsi.DCF68inhS1 = 0.00592</t>
  </si>
  <si>
    <t>dsi.DCF68inhS5 = 0.003182</t>
  </si>
  <si>
    <t>dsi.DCF68ing = 0.000444</t>
  </si>
  <si>
    <t>dsi.DCF72inhF1 = 0.000814</t>
  </si>
  <si>
    <t>dsi.DCF72ing = 0.000444</t>
  </si>
  <si>
    <t>dsi.DCF68inhF1 = 0.0888</t>
  </si>
  <si>
    <t>dsi.DCF68inhF5 = 0.111</t>
  </si>
  <si>
    <t>dsi.DCF68inhS1 = 0.555</t>
  </si>
  <si>
    <t>dsi.DCF68inhS5 = 0.2849</t>
  </si>
  <si>
    <t>dsi.DCF68ing = 0.1036</t>
  </si>
  <si>
    <t>dsi.DCF72inhF1 = 0.0888</t>
  </si>
  <si>
    <t>dsi.DCF72ing = 0.1036</t>
  </si>
  <si>
    <t>dsi.DCF68inhM1 = 0.00518</t>
  </si>
  <si>
    <t>dsi.DCF68inhM5 = 0.00592</t>
  </si>
  <si>
    <t>dsi.DCF68inhS1 = 0.00555</t>
  </si>
  <si>
    <t>dsi.DCF68ing = 0.00999</t>
  </si>
  <si>
    <t>dsi.DCF72ing = 0.00999</t>
  </si>
  <si>
    <t>dsi.DCF68inhF1 = 0.003552</t>
  </si>
  <si>
    <t>dsi.DCF68ing = 0.01036</t>
  </si>
  <si>
    <t>dsi.DCF72inhF1 = 0.003441</t>
  </si>
  <si>
    <t>dsi.DCF72inhM1 = 0.003441</t>
  </si>
  <si>
    <t>dsi.DCF72ing = 0.01036</t>
  </si>
  <si>
    <t>dsi.DCF68inhF1 = 0.00444</t>
  </si>
  <si>
    <t>dsi.DCF68inhF5 = 0.00592</t>
  </si>
  <si>
    <t>dsi.DCF68inhM1 = 0.01073</t>
  </si>
  <si>
    <t>dsi.DCF68inhM5 = 0.01147</t>
  </si>
  <si>
    <t>dsi.DCF68ing = 0.01073</t>
  </si>
  <si>
    <t>dsi.DCF72ing = 0.01073</t>
  </si>
  <si>
    <t>dsi.DCF68inhS1 = 0.01073</t>
  </si>
  <si>
    <t>dsi.DCF68inhS5 = 0.01036</t>
  </si>
  <si>
    <t>dsi.DCF68ing = 0.01443</t>
  </si>
  <si>
    <t>dsi.DCF72inhF1 = 0.00814</t>
  </si>
  <si>
    <t>dsi.DCF72ing = 0.01443</t>
  </si>
  <si>
    <t>dsi.DCF68inhF1 = 0.0001406</t>
  </si>
  <si>
    <t>dsi.DCF68inhF5 = 0.0002516</t>
  </si>
  <si>
    <t>dsi.DCF68inhM1 = 0.000407</t>
  </si>
  <si>
    <t>dsi.DCF68inhM5 = 0.000555</t>
  </si>
  <si>
    <t>dsi.DCF68inhS1 = 0.000444</t>
  </si>
  <si>
    <t>dsi.DCF68inhS5 = 0.000555</t>
  </si>
  <si>
    <t>dsi.DCF72inhF1 = 0.0001295</t>
  </si>
  <si>
    <t>dsi.DCF68inhF1 = 0.001628</t>
  </si>
  <si>
    <t>dsi.DCF68inhF5 = 0.001924</t>
  </si>
  <si>
    <t>dsi.DCF68inhM1 = 0.001628</t>
  </si>
  <si>
    <t>dsi.DCF68inhM5 = 0.001147</t>
  </si>
  <si>
    <t>dsi.DCF68ing = 0.000555</t>
  </si>
  <si>
    <t>dsi.DCF72inhF1 = 0.001628</t>
  </si>
  <si>
    <t>dsi.DCF72inhS1 = 0.001628</t>
  </si>
  <si>
    <t>dsi.DCF72ing = 0.000555</t>
  </si>
  <si>
    <t>dsi.DCF68inhM5 = 0.02627</t>
  </si>
  <si>
    <t>dsi.DCF68inhS1 = 0.1073</t>
  </si>
  <si>
    <t>dsi.DCF68inhS5 = 0.0629</t>
  </si>
  <si>
    <t>dsi.DCF72inhF1 = 0.01924</t>
  </si>
  <si>
    <t>dsi.DCF68inhF1 = 0.000666</t>
  </si>
  <si>
    <t>dsi.DCF68inhF5 = 0.000814</t>
  </si>
  <si>
    <t>dsi.DCF68inhM1 = 0.000481</t>
  </si>
  <si>
    <t>dsi.DCF68inhM5 = 0.0003478</t>
  </si>
  <si>
    <t>dsi.DCF68ing = 0.0002331</t>
  </si>
  <si>
    <t>dsi.DCF72ing = 0.0002331</t>
  </si>
  <si>
    <t>dsi.DCF68inhF1 = 0.00814</t>
  </si>
  <si>
    <t>dsi.DCF68inhF5 = 0.0111</t>
  </si>
  <si>
    <t>dsi.DCF68inhM1 = 0.01295</t>
  </si>
  <si>
    <t>dsi.DCF68ing = 0.00666</t>
  </si>
  <si>
    <t>dsi.DCF72ing = 0.00666</t>
  </si>
  <si>
    <t>dsi.DCF68inhM1 = 0.001924</t>
  </si>
  <si>
    <t>dsi.DCF68inhM5 = 0.001443</t>
  </si>
  <si>
    <t>dsi.DCF68inhS1 = 0.003478</t>
  </si>
  <si>
    <t>dsi.DCF68inhS5 = 0.00222</t>
  </si>
  <si>
    <t>dsi.DCF72inhF1 = 0.000703</t>
  </si>
  <si>
    <t>dsi.DCF68inhF1 = 0.002849</t>
  </si>
  <si>
    <t>dsi.DCF68inhF5 = 0.003404</t>
  </si>
  <si>
    <t>dsi.DCF68inhM1 = 0.001369</t>
  </si>
  <si>
    <t>dsi.DCF68inhM5 = 0.001221</t>
  </si>
  <si>
    <t>dsi.DCF68ing = 0.001221</t>
  </si>
  <si>
    <t>dsi.DCF72inhF1 = 0.002849</t>
  </si>
  <si>
    <t>dsi.DCF72inhM1 = 0.002849</t>
  </si>
  <si>
    <t>dsi.DCF72inhS1 = 0.002849</t>
  </si>
  <si>
    <t>dsi.DCF72ing = 0.001221</t>
  </si>
  <si>
    <t>dsi.DCF68inhF1 = 0.003219</t>
  </si>
  <si>
    <t>dsi.DCF68inhF5 = 0.00407</t>
  </si>
  <si>
    <t>dsi.DCF68inhM1 = 0.00555</t>
  </si>
  <si>
    <t>dsi.DCF68inhM5 = 0.00444</t>
  </si>
  <si>
    <t>dsi.DCF68ing = 0.002627</t>
  </si>
  <si>
    <t>dsi.DCF72inhF1 = 0.003145</t>
  </si>
  <si>
    <t>dsi.DCF72ing = 0.002627</t>
  </si>
  <si>
    <t>dsi.DCF68inhF1 = 0.0000777</t>
  </si>
  <si>
    <t>dsi.DCF68inhF5 = 0.000111</t>
  </si>
  <si>
    <t>dsi.DCF68inhM1 = 0.0001147</t>
  </si>
  <si>
    <t>dsi.DCF68inhM5 = 0.0001258</t>
  </si>
  <si>
    <t>dsi.DCF68inhS1 = 0.0001332</t>
  </si>
  <si>
    <t>dsi.DCF68inhS5 = 0.0001332</t>
  </si>
  <si>
    <t>dsi.DCF68ing = 0.0001406</t>
  </si>
  <si>
    <t>dsi.DCF72inhF1 = 0.000074</t>
  </si>
  <si>
    <t>dsi.DCF72inhS1 = 0.000074</t>
  </si>
  <si>
    <t>dsi.DCF72ing = 0.0001406</t>
  </si>
  <si>
    <t>dsi.DCF68inhM5 = 0.00851</t>
  </si>
  <si>
    <t>dsi.DCF68ing = 0.002812</t>
  </si>
  <si>
    <t>dsi.DCF72inhF1 = 0.001702</t>
  </si>
  <si>
    <t>dsi.DCF68inhF1 = 0.001258</t>
  </si>
  <si>
    <t>dsi.DCF68inhM1 = 0.02553</t>
  </si>
  <si>
    <t>dsi.DCF68inhM5 = 0.01887</t>
  </si>
  <si>
    <t>dsi.DCF68ing = 0.003441</t>
  </si>
  <si>
    <t>dsi.DCF72inhF1 = 0.001221</t>
  </si>
  <si>
    <t>dsi.DCF72inhS1 = 0.001221</t>
  </si>
  <si>
    <t>dsi.DCF72ing = 0.003441</t>
  </si>
  <si>
    <t>dsi.DCF68inhF1 = 0.0001961</t>
  </si>
  <si>
    <t>dsi.DCF68inhF5 = 0.000296</t>
  </si>
  <si>
    <t>dsi.DCF68inhM1 = 0.00481</t>
  </si>
  <si>
    <t>dsi.DCF72inhF1 = 0.0001887</t>
  </si>
  <si>
    <t>dsi.DCF72ing = 0.002849</t>
  </si>
  <si>
    <t>dsi.DCF68inhF1 = 0.0003552</t>
  </si>
  <si>
    <t>dsi.DCF68inhF5 = 0.000518</t>
  </si>
  <si>
    <t>dsi.DCF68inhM5 = 0.00481</t>
  </si>
  <si>
    <t>dsi.DCF68ing = 0.000888</t>
  </si>
  <si>
    <t>dsi.DCF72inhF1 = 0.0003404</t>
  </si>
  <si>
    <t>dsi.DCF72ing = 0.000888</t>
  </si>
  <si>
    <t>dsi.DCF68inhM1 = 0.01184</t>
  </si>
  <si>
    <t>dsi.DCF68inhF1 = 0.00481</t>
  </si>
  <si>
    <t>dsi.DCF68inhF5 = 0.0074</t>
  </si>
  <si>
    <t>dsi.DCF68ing = 0.01184</t>
  </si>
  <si>
    <t>dsi.DCF72inhF1 = 0.00481</t>
  </si>
  <si>
    <t>dsi.DCF72inhS1 = 0.00481</t>
  </si>
  <si>
    <t>dsi.DCF72ing = 0.01184</t>
  </si>
  <si>
    <t>dsi.DCF68ing = 0.002146</t>
  </si>
  <si>
    <t>dsi.DCF72inhF1 = 0.00074</t>
  </si>
  <si>
    <t>dsi.DCF72ing = 0.002146</t>
  </si>
  <si>
    <t>dsi.DCF68ing = 0.0001554</t>
  </si>
  <si>
    <t>dsi.DCF72inhF1 = 0.00002294</t>
  </si>
  <si>
    <t>dsi.DCF72ing = 0.0001554</t>
  </si>
  <si>
    <t>dsi.DCF68inhF1 = 0</t>
  </si>
  <si>
    <t>dsi.DCF68inhF5 = 0</t>
  </si>
  <si>
    <t>dsi.DCF68inhS1 = 0</t>
  </si>
  <si>
    <t>dsi.DCF68inhS5 = 0</t>
  </si>
  <si>
    <t>dsi.DCF68inhM1 = 0</t>
  </si>
  <si>
    <t>dsi.DCF68inhM5 = 0</t>
  </si>
  <si>
    <t>dsi.DCF68ing = 0</t>
  </si>
  <si>
    <t>dsi.DCF72inhF1 = 0</t>
  </si>
  <si>
    <t>dsi.DCF72inhM1 = 0</t>
  </si>
  <si>
    <t>dsi.DCF72inhS1 = 0</t>
  </si>
  <si>
    <t>dsi.DCF72ing = 0</t>
  </si>
  <si>
    <t>dsi.DCF72inhM1 = 155.4</t>
  </si>
  <si>
    <t>dsi.DCF72inhS1 = 59.2</t>
  </si>
  <si>
    <t>dsi.DCF72inhM1 = 177.6</t>
  </si>
  <si>
    <t>dsi.DCF72inhS1 = 55.5</t>
  </si>
  <si>
    <t>dsi.DCF72inhM1 = 10.73</t>
  </si>
  <si>
    <t>dsi.DCF72inhS1 = 0.02849</t>
  </si>
  <si>
    <t>dsi.DCF72inhM1 = 12.95</t>
  </si>
  <si>
    <t>dsi.DCF72inhS1 = 34.78</t>
  </si>
  <si>
    <t>dsi.DCF72inhM1 = 159.1</t>
  </si>
  <si>
    <t>dsi.DCF72inhS1 = 51.8</t>
  </si>
  <si>
    <t>dsi.DCF72inhS1 = 35.15</t>
  </si>
  <si>
    <t>dsi.DCF72inhM1 = 0.0518</t>
  </si>
  <si>
    <t>dsi.DCF72inhS1 = 0.0555</t>
  </si>
  <si>
    <t>dsi.DCF72inhM1 = 4.07</t>
  </si>
  <si>
    <t>dsi.DCF72inhS1 = 20.72</t>
  </si>
  <si>
    <t>dsi.DCF72inhM1 = 0.3441</t>
  </si>
  <si>
    <t>dsi.DCF72inhS1 = 15.91</t>
  </si>
  <si>
    <t>dsi.DCF72inhM1 = 0.001406</t>
  </si>
  <si>
    <t>dsi.DCF72inhS1 = 0.00148</t>
  </si>
  <si>
    <t>dsi.DCF72inhS1 = 0.629</t>
  </si>
  <si>
    <t>dsi.DCF72inhM1 = 85.1</t>
  </si>
  <si>
    <t>dsi.DCF72inhS1 = 44.4</t>
  </si>
  <si>
    <t>dsi.DCF72inhM1 = 0.01221</t>
  </si>
  <si>
    <t>dsi.DCF72inhM1 = 13.32</t>
  </si>
  <si>
    <t>dsi.DCF72inhS1 = 35.52</t>
  </si>
  <si>
    <t>dsi.DCF72inhS1 = 262.7</t>
  </si>
  <si>
    <t>dsi.DCF72inhM1 = 23.31</t>
  </si>
  <si>
    <t>dsi.DCF72inhS1 = 28.49</t>
  </si>
  <si>
    <t>dsi.DCF72inhM1 = 27.38</t>
  </si>
  <si>
    <t>dsi.DCF72inhS1 = 31.45</t>
  </si>
  <si>
    <t>dsi.DCF72inhM1 = 0.111</t>
  </si>
  <si>
    <t>dsi.DCF72inhM1 = 0.0002072</t>
  </si>
  <si>
    <t>dsi.DCF72inhS1 = 0.0002257</t>
  </si>
  <si>
    <t>dsi.DCF72inhM1 = 0.00629</t>
  </si>
  <si>
    <t>dsi.DCF72inhS1 = 0.00703</t>
  </si>
  <si>
    <t>dsi.DCF72inhM1 = 99.9</t>
  </si>
  <si>
    <t>dsi.DCF72inhS1 = 48.1</t>
  </si>
  <si>
    <t>dsi.DCF72inhM1 = 11.84</t>
  </si>
  <si>
    <t>dsi.DCF72inhS1 = 32.19</t>
  </si>
  <si>
    <t>dsi.DCF72inhM1 = 166.5</t>
  </si>
  <si>
    <t>dsi.DCF72inhS1 = 92.5</t>
  </si>
  <si>
    <t>dsi.DCF72inhM1 = 9.62</t>
  </si>
  <si>
    <t>dsi.DCF72inhM1 = 0.0629</t>
  </si>
  <si>
    <t>dsi.DCF72inhS1 = 0.0592</t>
  </si>
  <si>
    <t>dsi.DCF72inhM1 = 118.4</t>
  </si>
  <si>
    <t>dsi.DCF72inhM1 = 11.1</t>
  </si>
  <si>
    <t>dsi.DCF72inhS1 = 12.58</t>
  </si>
  <si>
    <t>dsi.DCF72inhM1 = 0.629</t>
  </si>
  <si>
    <t>dsi.DCF72inhS1 = 0.703</t>
  </si>
  <si>
    <t>dsi.DCF72inhM1 = 0.1147</t>
  </si>
  <si>
    <t>dsi.DCF72inhM1 = 151.7</t>
  </si>
  <si>
    <t>dsi.DCF72inhM1 = 11.47</t>
  </si>
  <si>
    <t>dsi.DCF72inhM1 = 0.001147</t>
  </si>
  <si>
    <t>dsi.DCF72inhM1 = 518</t>
  </si>
  <si>
    <t>dsi.DCF72inhS1 = 125.8</t>
  </si>
  <si>
    <t>dsi.DCF72inhM1 = 814</t>
  </si>
  <si>
    <t>dsi.DCF72inhS1 = 266.4</t>
  </si>
  <si>
    <t>dsi.DCF72inhM1 = 31.45</t>
  </si>
  <si>
    <t>dsi.DCF72inhS1 = 37</t>
  </si>
  <si>
    <t>dsi.DCF72inhS1 = 0.0444</t>
  </si>
  <si>
    <t>dsi.DCF72inhM1 = 114.7</t>
  </si>
  <si>
    <t>dsi.DCF72inhS1 = 0.074</t>
  </si>
  <si>
    <t>dsi.DCF72inhM1 = 19.24</t>
  </si>
  <si>
    <t>dsi.DCF72inhS1 = 21.83</t>
  </si>
  <si>
    <t>dsi.DCF72inhM1 = 170.2</t>
  </si>
  <si>
    <t>dsi.DCF72inhM1 = 136.9</t>
  </si>
  <si>
    <t>dsi.DCF72inhS1 = 40.7</t>
  </si>
  <si>
    <t>dsi.DCF72inhM1 = 0.00777</t>
  </si>
  <si>
    <t>dsi.DCF72inhS1 = 0.00555</t>
  </si>
  <si>
    <t>dsi.DCF72inhS1 = 3.7</t>
  </si>
  <si>
    <t>dsi.DCF72inhM1 = 74</t>
  </si>
  <si>
    <t>dsi.DCF72inhM1 = 28.86</t>
  </si>
  <si>
    <t>dsi.DCF72inhS1 = 136.9</t>
  </si>
  <si>
    <t>dsi.DCF72inhM1 = 0.02553</t>
  </si>
  <si>
    <t>dsi.DCF72inhM1 = 0.1961</t>
  </si>
  <si>
    <t>dsi.DCF72inhM1 = 0.1554</t>
  </si>
  <si>
    <t>dsi.DCF72inhM1 = 0.0148</t>
  </si>
  <si>
    <t>dsi.DCF72inhM1 = 0.0185</t>
  </si>
  <si>
    <t>dsi.DCF72inhS1 = 0.01813</t>
  </si>
  <si>
    <t>dsi.DCF72inhM1 = 35.52</t>
  </si>
  <si>
    <t>dsi.DCF72inhM1 = 0.0777</t>
  </si>
  <si>
    <t>dsi.DCF72inhS1 = 0.0629</t>
  </si>
  <si>
    <t>dsi.DCF72inhM1 = 40.7</t>
  </si>
  <si>
    <t>dsi.DCF72inhS1 = 0.1961</t>
  </si>
  <si>
    <t>dsi.DCF72inhM1 = 0.0000666</t>
  </si>
  <si>
    <t>dsi.DCF72inhS1 = 0.0000666</t>
  </si>
  <si>
    <t>dsi.DCF72inhM1 = 0.03589</t>
  </si>
  <si>
    <t>dsi.DCF72inhS1 = 0.1443</t>
  </si>
  <si>
    <t>dsi.DCF72inhM1 = 0.01147</t>
  </si>
  <si>
    <t>dsi.DCF72inhS1 = 0.03182</t>
  </si>
  <si>
    <t>dsi.DCF72inhM1 = 0.00888</t>
  </si>
  <si>
    <t>dsi.DCF72inhS1 = 0.00592</t>
  </si>
  <si>
    <t>dsi.DCF72inhM1 = 0.0555</t>
  </si>
  <si>
    <t>dsi.DCF72inhS1 = 0.03626</t>
  </si>
  <si>
    <t>dsi.DCF72inhS1 = 0.01184</t>
  </si>
  <si>
    <t>dsi.DCF72inhM1 = 0.0000703</t>
  </si>
  <si>
    <t>dsi.DCF72inhM1 = 0.1036</t>
  </si>
  <si>
    <t>dsi.DCF72inhS1 = 0.001406</t>
  </si>
  <si>
    <t>dsi.DCF72inhM1 = 0.01776</t>
  </si>
  <si>
    <t>dsi.DCF72inhM1 = 0.01258</t>
  </si>
  <si>
    <t>dsi.DCF72inhS1 = 0.01554</t>
  </si>
  <si>
    <t>dsi.DCF72inhM1 = 0.00444</t>
  </si>
  <si>
    <t>dsi.DCF72inhM1 = 0.0002368</t>
  </si>
  <si>
    <t>dsi.DCF72inhM1 = 0.000851</t>
  </si>
  <si>
    <t>dsi.DCF72inhM1 = 0.01665</t>
  </si>
  <si>
    <t>dsi.DCF72inhM1 = 0.2035</t>
  </si>
  <si>
    <t>dsi.DCF72inhS1 = 0.0962</t>
  </si>
  <si>
    <t>dsi.DCF72inhM1 = 0.1924</t>
  </si>
  <si>
    <t>dsi.DCF72inhS1 = 0.1147</t>
  </si>
  <si>
    <t>dsi.DCF72inhM1 = 0.0003145</t>
  </si>
  <si>
    <t>dsi.DCF72inhS1 = 0.002183</t>
  </si>
  <si>
    <t>dsi.DCF72inhS1 = 0.2442</t>
  </si>
  <si>
    <t>dsi.DCF72inhS1 = 0.003219</t>
  </si>
  <si>
    <t>dsi.DCF72inhS1 = 0.0481</t>
  </si>
  <si>
    <t>dsi.DCF72inhS1 = 0.01221</t>
  </si>
  <si>
    <t>dsi.DCF72inhS1 = 0.00666</t>
  </si>
  <si>
    <t>dsi.DCF72inhS1 = 0.592</t>
  </si>
  <si>
    <t>dsi.DCF72inhM1 = 0.00962</t>
  </si>
  <si>
    <t>dsi.DCF72inhS1 = 0.02516</t>
  </si>
  <si>
    <t>dsi.DCF72inhM1 = 0.00592</t>
  </si>
  <si>
    <t>dsi.DCF72inhS1 = 0.0074</t>
  </si>
  <si>
    <t>dsi.DCF72inhM1 = 0.000407</t>
  </si>
  <si>
    <t>dsi.DCF72inhS1 = 0.000444</t>
  </si>
  <si>
    <t>dsi.DCF72inhM1 = 0.001776</t>
  </si>
  <si>
    <t>dsi.DCF72inhM1 = 0.000481</t>
  </si>
  <si>
    <t>dsi.DCF72inhM1 = 0.01369</t>
  </si>
  <si>
    <t>dsi.DCF72inhS1 = 0.0148</t>
  </si>
  <si>
    <t>dsi.DCF72inhM1 = 0.002035</t>
  </si>
  <si>
    <t>dsi.DCF72inhM1 = 0.00555</t>
  </si>
  <si>
    <t>dsi.DCF72inhM1 = 0.0001184</t>
  </si>
  <si>
    <t>dsi.DCF72inhS1 = 0.0001369</t>
  </si>
  <si>
    <t>dsi.DCF72inhM1 = 0.00999</t>
  </si>
  <si>
    <t>dsi.DCF72inhS1 = 0.01369</t>
  </si>
  <si>
    <t>dsi.DCF72inhM1 = 0.02701</t>
  </si>
  <si>
    <t>dsi.DCF72inhM1 = 0.0074</t>
  </si>
  <si>
    <t>dsi.DCF72inhS1 = 0.02146</t>
  </si>
  <si>
    <t>dsi.DCF72inhM1 = 0.0001665</t>
  </si>
  <si>
    <t>dsi.DCF72inhS1 = 0.000962</t>
  </si>
  <si>
    <t>days/year</t>
  </si>
  <si>
    <t>hours/day</t>
  </si>
  <si>
    <t>minutes/hour</t>
  </si>
  <si>
    <t>seconds/minute</t>
  </si>
  <si>
    <t>Years to Seconds</t>
  </si>
  <si>
    <t>Days to Seconds</t>
  </si>
  <si>
    <t>Hours to Seconds</t>
  </si>
  <si>
    <t>Multiply by</t>
  </si>
  <si>
    <t>Minutes to Seconds</t>
  </si>
  <si>
    <t>dsi.Isotope = "CD-109"</t>
  </si>
  <si>
    <t>dsi.DCF68inhF1 = 0.02997</t>
  </si>
  <si>
    <t>dsi.DCF68inhM1 = 0.02294</t>
  </si>
  <si>
    <t>dsi.DCF68inhS1 = 0.02146</t>
  </si>
  <si>
    <t>dsi.DCF68inhS5 = 0.01628</t>
  </si>
  <si>
    <t>dsi.DCF72inhF1 = 0.02997</t>
  </si>
  <si>
    <t>dsi.DCF72inhS1 = 0.02294</t>
  </si>
  <si>
    <t>dsi.Lambda = 1.73873793065375E-08</t>
  </si>
  <si>
    <t>dsi.Isotope = "F-18"</t>
  </si>
  <si>
    <t>dsi.DCF68inhF1 = 0.000111</t>
  </si>
  <si>
    <t>dsi.DCF68inhF5 = 0.0001998</t>
  </si>
  <si>
    <t>dsi.DCF68inhM1 = 0.0002109</t>
  </si>
  <si>
    <t>dsi.DCF68inhM5 = 0.0003293</t>
  </si>
  <si>
    <t>dsi.DCF68inhS1 = 0.000222</t>
  </si>
  <si>
    <t>dsi.DCF68inhS5 = 0.0003441</t>
  </si>
  <si>
    <t>dsi.DCF68ing = 0.0001813</t>
  </si>
  <si>
    <t>dsi.DCF72inhF1 = 0.0001036</t>
  </si>
  <si>
    <t>dsi.DCF72inhS1 = 0.0002183</t>
  </si>
  <si>
    <t>dsi.DCF72ing = 0.0001813</t>
  </si>
  <si>
    <t>dsi.Lambda = 1.05242352275963E-04</t>
  </si>
  <si>
    <t>dsi.Isotope = "CF-249"</t>
  </si>
  <si>
    <t>dsi.DCF68inhM1 = 244.2</t>
  </si>
  <si>
    <t>dsi.DCF68inhM5 = 166.5</t>
  </si>
  <si>
    <t>dsi.DCF68ing = 1.295</t>
  </si>
  <si>
    <t>dsi.DCF72inhM1 = 259</t>
  </si>
  <si>
    <t>dsi.DCF72ing = 1.295</t>
  </si>
  <si>
    <t>dsi.Daughter = "CM-245"</t>
  </si>
  <si>
    <t>dsi.Isotope = "CF-251"</t>
  </si>
  <si>
    <t>dsi.DCF68inhM1 = 247.9</t>
  </si>
  <si>
    <t>dsi.DCF68inhM5 = 170.2</t>
  </si>
  <si>
    <t>dsi.DCF68ing = 1.332</t>
  </si>
  <si>
    <t>dsi.DCF72inhM1 = 262.7</t>
  </si>
  <si>
    <t>dsi.DCF72ing = 1.332</t>
  </si>
  <si>
    <t>dsi.Daughter = "CM-247"</t>
  </si>
  <si>
    <t>dsi.Isotope = "CM-247"</t>
  </si>
  <si>
    <t>dsi.DCF68inhM1 = 133.2</t>
  </si>
  <si>
    <t>dsi.DCF68inhM5 = 92.5</t>
  </si>
  <si>
    <t>dsi.DCF72inhF1 = 333</t>
  </si>
  <si>
    <t>dsi.DCF72inhM1 = 144.3</t>
  </si>
  <si>
    <t>dsi.Daughter = "PU-243"</t>
  </si>
  <si>
    <t>dsi.Isotope = "PU-243"</t>
  </si>
  <si>
    <t>dsi.DCF68inhM1 = 0.0003034</t>
  </si>
  <si>
    <t>dsi.DCF68inhM5 = 0.000407</t>
  </si>
  <si>
    <t>dsi.DCF68inhS1 = 0.0003145</t>
  </si>
  <si>
    <t>dsi.DCF68inhS5 = 0.000407</t>
  </si>
  <si>
    <t>dsi.DCF68ing = 0.0003145</t>
  </si>
  <si>
    <t>dsi.DCF72inhF1 = 0.0001184</t>
  </si>
  <si>
    <t>dsi.DCF72inhM1 = 0.0003071</t>
  </si>
  <si>
    <t>dsi.DCF72inhS1 = 0.0003182</t>
  </si>
  <si>
    <t>dsi.DCF72ing = 0.0003145</t>
  </si>
  <si>
    <t>dsi.Lambda = 6.25769479362682E-11</t>
  </si>
  <si>
    <t>dsi.Lambda = 2.44593638370046E-11</t>
  </si>
  <si>
    <t>dsi.Lambda = 1.40798132856603E-15</t>
  </si>
  <si>
    <t>dsi.Lambda = 3.88500572011448E-05</t>
  </si>
  <si>
    <t>A1 (TBq)</t>
  </si>
  <si>
    <t>A2 (TBq)</t>
  </si>
  <si>
    <t>Radionuclide</t>
  </si>
  <si>
    <t>A1</t>
  </si>
  <si>
    <t>A2</t>
  </si>
  <si>
    <t>dsi.A2 = 0</t>
  </si>
  <si>
    <t>dsi.A1 = -1</t>
  </si>
  <si>
    <t>dsi.A1 = 0.3</t>
  </si>
  <si>
    <t>dsi.A1 = 0</t>
  </si>
  <si>
    <t>dsi.A1 = 0.6</t>
  </si>
  <si>
    <t>dsi.A1 = 0.7</t>
  </si>
  <si>
    <t>dsi.A1 = 0.5</t>
  </si>
  <si>
    <t>dsi.A1 = 0.2</t>
  </si>
  <si>
    <t>dsi.A1 = 0.4</t>
  </si>
  <si>
    <t>dsi.A1 = 3</t>
  </si>
  <si>
    <t>dsi.A1 = 1</t>
  </si>
  <si>
    <t>dsi.A1 = 10</t>
  </si>
  <si>
    <t>dsi.A1 = 2</t>
  </si>
  <si>
    <t>dsi.A1 = 40</t>
  </si>
  <si>
    <t>dsi.A1 = 0.9</t>
  </si>
  <si>
    <t>dsi.A1 = 4</t>
  </si>
  <si>
    <t>dsi.A1 = 30</t>
  </si>
  <si>
    <t>dsi.A1 = 9</t>
  </si>
  <si>
    <t>dsi.A2 = 0.0009</t>
  </si>
  <si>
    <t>dsi.A2 = 0.001</t>
  </si>
  <si>
    <t>dsi.A2 = -1</t>
  </si>
  <si>
    <t>dsi.A2 = 0.3</t>
  </si>
  <si>
    <t>dsi.A2 = 0.006</t>
  </si>
  <si>
    <t>dsi.A2 = 0.003</t>
  </si>
  <si>
    <t>dsi.A2 = 0.004</t>
  </si>
  <si>
    <t>dsi.A2 = 0.05</t>
  </si>
  <si>
    <t>dsi.A2 = 0.6</t>
  </si>
  <si>
    <t>dsi.A2 = 0.02</t>
  </si>
  <si>
    <t>dsi.A2 = 0.0008</t>
  </si>
  <si>
    <t>dsi.A2 = 0.06</t>
  </si>
  <si>
    <t>dsi.A1 = 20</t>
  </si>
  <si>
    <t>dsi.A2 = 0.002</t>
  </si>
  <si>
    <t>dsi.A1 = 5</t>
  </si>
  <si>
    <t>dsi.A2 = 0.7</t>
  </si>
  <si>
    <t>dsi.A2 = 0.0005</t>
  </si>
  <si>
    <t>dsi.A1 = 0.8</t>
  </si>
  <si>
    <t>dsi.A2 = 0.5</t>
  </si>
  <si>
    <t>dsi.A2 = 0.2</t>
  </si>
  <si>
    <t>dsi.A1 = 7</t>
  </si>
  <si>
    <t>dsi.A2 = 0.0007</t>
  </si>
  <si>
    <t>dsi.A2 = 0.4</t>
  </si>
  <si>
    <t>dsi.A2 = 0.0004</t>
  </si>
  <si>
    <t>dsi.A2 = 0.00009</t>
  </si>
  <si>
    <t>dsi.A2 = 0.005</t>
  </si>
  <si>
    <t>dsi.A2 = 0.007</t>
  </si>
  <si>
    <t>dsi.A2 = 0.01</t>
  </si>
  <si>
    <t>dsi.A2 = 3</t>
  </si>
  <si>
    <t>dsi.A2 = 1</t>
  </si>
  <si>
    <t>dsi.A2 = 10</t>
  </si>
  <si>
    <t>dsi.A2 = 2</t>
  </si>
  <si>
    <t>dsi.A2 = 40</t>
  </si>
  <si>
    <t>dsi.A2 = 0.9</t>
  </si>
  <si>
    <t>dsi.A1 = 6</t>
  </si>
  <si>
    <t>dsi.A2 = 4</t>
  </si>
  <si>
    <t>dsi.A2 = 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</si>
</sst>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00E+00"/>
    <numFmt numFmtId="165" formatCode="0.0000E+00"/>
  </numFmts>
  <fonts count="2" x14ac:knownFonts="1">
    <font>
      <sz val="11"/>
      <color theme="1"/>
      <name val="Calibri"/>
      <family val="2"/>
      <scheme val="minor"/>
    </font>
    <font>
      <sz val="10"/>
      <name val="Arial"/>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cellStyleXfs>
  <cellXfs count="7">
    <xf numFmtId="0" fontId="0" fillId="0" borderId="0" xfId="0"/>
    <xf numFmtId="164" fontId="0" fillId="0" borderId="0" xfId="0" applyNumberFormat="1"/>
    <xf numFmtId="165" fontId="0" fillId="0" borderId="0" xfId="0" applyNumberFormat="1"/>
    <xf numFmtId="2" fontId="0" fillId="0" borderId="0" xfId="0" applyNumberFormat="1"/>
    <xf numFmtId="1" fontId="0" fillId="0" borderId="0" xfId="0" applyNumberFormat="1"/>
    <xf numFmtId="0" fontId="0" fillId="2" borderId="0" xfId="0" applyFill="1"/>
    <xf numFmtId="11" fontId="0" fillId="0" borderId="0" xfId="0" applyNumberFormat="1"/>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mie.Prowse/Desktop/WVNS-CAL-391-R1%20-%20Hazard%20and%20Accident%20Evaluation%20Bases%20for%20WVNS-DSA-0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zard Evaluation"/>
      <sheetName val="Accident Analysis"/>
      <sheetName val="Add1 - Array Buffer Distance"/>
      <sheetName val="Add2 - VCC Tornado Impact"/>
      <sheetName val="ARF RF Basis"/>
      <sheetName val="HE General Comments"/>
      <sheetName val="HE MAR Basis"/>
      <sheetName val="HE Mitigated DR Basis"/>
      <sheetName val="Control Type - PE"/>
      <sheetName val="Control Type - PA"/>
      <sheetName val="Control Type - ME"/>
      <sheetName val="Control Type - MA"/>
      <sheetName val="HE Record of Revision"/>
      <sheetName val="Dose Conversion Factors"/>
      <sheetName val="SNF PE-Ci"/>
      <sheetName val="HLW PE-Ci"/>
      <sheetName val="TRU PE-Ci per FGE"/>
      <sheetName val="TRU Waste Statistics"/>
    </sheetNames>
    <sheetDataSet>
      <sheetData sheetId="0">
        <row r="7">
          <cell r="A7" t="str">
            <v>Event ID</v>
          </cell>
          <cell r="B7" t="str">
            <v>Event #</v>
          </cell>
          <cell r="C7" t="str">
            <v>Hazard</v>
          </cell>
          <cell r="D7" t="str">
            <v>Scenario</v>
          </cell>
          <cell r="E7" t="str">
            <v>MAR 
(PE-Ci)</v>
          </cell>
          <cell r="F7" t="str">
            <v>ARFxRF</v>
          </cell>
          <cell r="G7" t="str">
            <v>DR</v>
          </cell>
          <cell r="H7" t="str">
            <v>Rel Ht</v>
          </cell>
          <cell r="I7" t="str">
            <v>Rel Loc</v>
          </cell>
          <cell r="J7" t="str">
            <v>Freq1</v>
          </cell>
          <cell r="K7" t="str">
            <v>On1</v>
          </cell>
          <cell r="L7" t="str">
            <v>Off1</v>
          </cell>
          <cell r="M7" t="str">
            <v>On2</v>
          </cell>
          <cell r="N7" t="str">
            <v>Off2</v>
          </cell>
          <cell r="O7" t="str">
            <v>On3</v>
          </cell>
          <cell r="P7" t="str">
            <v>Off3</v>
          </cell>
          <cell r="Q7" t="str">
            <v>On4</v>
          </cell>
          <cell r="R7" t="str">
            <v>Off4</v>
          </cell>
          <cell r="S7" t="str">
            <v>ARFxRF</v>
          </cell>
          <cell r="T7" t="str">
            <v>DR</v>
          </cell>
          <cell r="U7" t="str">
            <v>Rel Ht</v>
          </cell>
          <cell r="V7" t="str">
            <v>Rel Loc</v>
          </cell>
          <cell r="W7" t="str">
            <v>Freq2</v>
          </cell>
          <cell r="X7" t="str">
            <v>On5</v>
          </cell>
          <cell r="Y7" t="str">
            <v>Off5</v>
          </cell>
          <cell r="Z7" t="str">
            <v>On6</v>
          </cell>
          <cell r="AA7" t="str">
            <v>Off6</v>
          </cell>
          <cell r="AB7" t="str">
            <v>On7</v>
          </cell>
          <cell r="AC7" t="str">
            <v>Off7</v>
          </cell>
          <cell r="AD7" t="str">
            <v>On8</v>
          </cell>
          <cell r="AE7" t="str">
            <v>Off8</v>
          </cell>
          <cell r="AF7" t="str">
            <v>Comment</v>
          </cell>
          <cell r="AG7" t="str">
            <v>PE-SAC</v>
          </cell>
          <cell r="AH7" t="str">
            <v>PE-Other</v>
          </cell>
          <cell r="AI7" t="str">
            <v>PA-SAC</v>
          </cell>
          <cell r="AJ7" t="str">
            <v>PA-Other</v>
          </cell>
          <cell r="AK7" t="str">
            <v>ME-SAC</v>
          </cell>
          <cell r="AL7" t="str">
            <v>ME-Other</v>
          </cell>
          <cell r="AM7" t="str">
            <v>MA-SAC</v>
          </cell>
          <cell r="AN7" t="str">
            <v>MA-Other</v>
          </cell>
        </row>
        <row r="8">
          <cell r="A8" t="str">
            <v>CHM</v>
          </cell>
          <cell r="B8">
            <v>1</v>
          </cell>
          <cell r="C8" t="str">
            <v>Fire or spill of PCBs</v>
          </cell>
          <cell r="D8" t="str">
            <v>Transformer fire or breach.</v>
          </cell>
          <cell r="E8" t="str">
            <v>PCBs in a transformer</v>
          </cell>
          <cell r="F8" t="str">
            <v>NA</v>
          </cell>
          <cell r="G8" t="str">
            <v>NA</v>
          </cell>
          <cell r="H8" t="str">
            <v>Gnd</v>
          </cell>
          <cell r="I8">
            <v>850</v>
          </cell>
          <cell r="J8" t="str">
            <v>A</v>
          </cell>
          <cell r="K8" t="str">
            <v>N</v>
          </cell>
          <cell r="L8" t="str">
            <v>N</v>
          </cell>
          <cell r="M8" t="str">
            <v>N</v>
          </cell>
          <cell r="N8" t="str">
            <v>N</v>
          </cell>
          <cell r="O8" t="str">
            <v>IV</v>
          </cell>
          <cell r="P8" t="str">
            <v>IV</v>
          </cell>
          <cell r="Q8" t="str">
            <v>IV</v>
          </cell>
          <cell r="R8" t="str">
            <v>IV</v>
          </cell>
          <cell r="S8" t="str">
            <v>NA</v>
          </cell>
          <cell r="T8" t="str">
            <v>NA</v>
          </cell>
          <cell r="U8" t="str">
            <v>Gnd</v>
          </cell>
          <cell r="V8">
            <v>850</v>
          </cell>
          <cell r="W8" t="str">
            <v>U</v>
          </cell>
          <cell r="X8" t="str">
            <v>N</v>
          </cell>
          <cell r="Y8" t="str">
            <v>N</v>
          </cell>
          <cell r="Z8" t="str">
            <v>N</v>
          </cell>
          <cell r="AA8" t="str">
            <v>N</v>
          </cell>
          <cell r="AB8" t="str">
            <v>IV</v>
          </cell>
          <cell r="AC8" t="str">
            <v>IV</v>
          </cell>
          <cell r="AD8" t="str">
            <v>IV</v>
          </cell>
          <cell r="AE8" t="str">
            <v>IV</v>
          </cell>
          <cell r="AF8" t="str">
            <v>None.</v>
          </cell>
          <cell r="AG8" t="str">
            <v>•  None</v>
          </cell>
          <cell r="AH8" t="str">
            <v>•  None</v>
          </cell>
          <cell r="AI8" t="str">
            <v>•  None</v>
          </cell>
          <cell r="AJ8" t="str">
            <v>•  Worker Safety Program
•  Quality Assurance Program
•  Fire Protection Program
•  Performance Based Training Program
•  Maintenance Program</v>
          </cell>
          <cell r="AK8" t="str">
            <v>•  None</v>
          </cell>
          <cell r="AL8" t="str">
            <v>•  None</v>
          </cell>
          <cell r="AM8" t="str">
            <v>•  None</v>
          </cell>
          <cell r="AN8" t="str">
            <v>•  Emergency Response Program
•  Fire Protection Program</v>
          </cell>
        </row>
        <row r="9">
          <cell r="A9" t="str">
            <v>CHM</v>
          </cell>
          <cell r="B9">
            <v>2</v>
          </cell>
          <cell r="C9" t="str">
            <v>Fire or spill involving chemicals with an NFPA health hazard rating ≥ 3</v>
          </cell>
          <cell r="D9" t="str">
            <v>Spill or fire involving sulfuric acid, sodium hypochlorite, sodium hydroxide, or hydrogen peroxide</v>
          </cell>
          <cell r="E9" t="str">
            <v>Hundreds of lbs of H2SO4, NaOCl, or NaOH; 330 gal of H2O2</v>
          </cell>
          <cell r="F9" t="str">
            <v>NA</v>
          </cell>
          <cell r="G9" t="str">
            <v>NA</v>
          </cell>
          <cell r="H9" t="str">
            <v>Gnd</v>
          </cell>
          <cell r="I9">
            <v>850</v>
          </cell>
          <cell r="J9" t="str">
            <v>A</v>
          </cell>
          <cell r="K9" t="str">
            <v>N</v>
          </cell>
          <cell r="L9" t="str">
            <v>N</v>
          </cell>
          <cell r="M9" t="str">
            <v>N</v>
          </cell>
          <cell r="N9" t="str">
            <v>N</v>
          </cell>
          <cell r="O9" t="str">
            <v>IV</v>
          </cell>
          <cell r="P9" t="str">
            <v>IV</v>
          </cell>
          <cell r="Q9" t="str">
            <v>IV</v>
          </cell>
          <cell r="R9" t="str">
            <v>IV</v>
          </cell>
          <cell r="S9" t="str">
            <v>NA</v>
          </cell>
          <cell r="T9" t="str">
            <v>NA</v>
          </cell>
          <cell r="U9" t="str">
            <v>Gnd</v>
          </cell>
          <cell r="V9">
            <v>850</v>
          </cell>
          <cell r="W9" t="str">
            <v>U</v>
          </cell>
          <cell r="X9" t="str">
            <v>N</v>
          </cell>
          <cell r="Y9" t="str">
            <v>N</v>
          </cell>
          <cell r="Z9" t="str">
            <v>N</v>
          </cell>
          <cell r="AA9" t="str">
            <v>N</v>
          </cell>
          <cell r="AB9" t="str">
            <v>IV</v>
          </cell>
          <cell r="AC9" t="str">
            <v>IV</v>
          </cell>
          <cell r="AD9" t="str">
            <v>IV</v>
          </cell>
          <cell r="AE9" t="str">
            <v>IV</v>
          </cell>
          <cell r="AF9" t="str">
            <v>None.</v>
          </cell>
          <cell r="AG9" t="str">
            <v>•  None</v>
          </cell>
          <cell r="AH9" t="str">
            <v>•  None</v>
          </cell>
          <cell r="AI9" t="str">
            <v>•  None</v>
          </cell>
          <cell r="AJ9" t="str">
            <v>•  Worker Safety Program
•  Quality Assurance Program
•  Fire Protection Program
•  Performance Based Training Program
•  Maintenance Program</v>
          </cell>
          <cell r="AK9" t="str">
            <v>•  None</v>
          </cell>
          <cell r="AL9" t="str">
            <v>•  None</v>
          </cell>
          <cell r="AM9" t="str">
            <v>•  None</v>
          </cell>
          <cell r="AN9" t="str">
            <v>•  Emergency Response Program
•  Fire Protection Program</v>
          </cell>
        </row>
        <row r="10">
          <cell r="A10" t="str">
            <v>CPCW</v>
          </cell>
          <cell r="B10">
            <v>1</v>
          </cell>
          <cell r="C10" t="str">
            <v>Localized flammable liquid pool fire</v>
          </cell>
          <cell r="D10"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0">
            <v>2100</v>
          </cell>
          <cell r="F10" t="str">
            <v>E01</v>
          </cell>
          <cell r="G10">
            <v>1</v>
          </cell>
          <cell r="H10" t="str">
            <v>Gnd</v>
          </cell>
          <cell r="I10">
            <v>850</v>
          </cell>
          <cell r="J10" t="str">
            <v>U</v>
          </cell>
          <cell r="K10" t="str">
            <v>H</v>
          </cell>
          <cell r="L10" t="str">
            <v>H</v>
          </cell>
          <cell r="M10" t="str">
            <v>N</v>
          </cell>
          <cell r="N10" t="str">
            <v>N</v>
          </cell>
          <cell r="O10" t="str">
            <v>I</v>
          </cell>
          <cell r="P10" t="str">
            <v>I</v>
          </cell>
          <cell r="Q10" t="str">
            <v>IV</v>
          </cell>
          <cell r="R10" t="str">
            <v>IV</v>
          </cell>
          <cell r="S10" t="str">
            <v>E01</v>
          </cell>
          <cell r="T10">
            <v>4.7999999999999996E-3</v>
          </cell>
          <cell r="U10" t="str">
            <v>Gnd</v>
          </cell>
          <cell r="V10">
            <v>850</v>
          </cell>
          <cell r="W10" t="str">
            <v>EU</v>
          </cell>
          <cell r="X10" t="str">
            <v>L</v>
          </cell>
          <cell r="Y10" t="str">
            <v>L</v>
          </cell>
          <cell r="Z10" t="str">
            <v>N</v>
          </cell>
          <cell r="AA10" t="str">
            <v>N</v>
          </cell>
          <cell r="AB10" t="str">
            <v>IV</v>
          </cell>
          <cell r="AC10" t="str">
            <v>IV</v>
          </cell>
          <cell r="AD10" t="str">
            <v>IV</v>
          </cell>
          <cell r="AE10" t="str">
            <v>IV</v>
          </cell>
          <cell r="AF10" t="str">
            <v>Waste in CPC-WSA is primarily non-combustible vessels and equipment with internal contamination. Topography and soil conditions in outdoor hardstand areas limit the spatial extent of any fuel spilled in the area.  MAR is entire inventory of radioactive material in WVDP packaged waste (exclusive of HLW) (Ref.WVNS-CAL-397, Table C-1, Lag Storage).  DR reflects TSR to protect arrays of TRU waste containing greater than 10 PE-Ci from spills of flammable/ combustible liquids</v>
          </cell>
          <cell r="AG10" t="str">
            <v>•  None</v>
          </cell>
          <cell r="AH10" t="str">
            <v>•  None</v>
          </cell>
          <cell r="AI10" t="str">
            <v>•  SAC for TRU waste drum fire protection
•  SAC for TRU waste container physical protection</v>
          </cell>
          <cell r="AJ10" t="str">
            <v xml:space="preserve">•  Quality Assurance Program
•  Fire Protection Program
•  Performance Based Training Program
•  Maintenance Program
•  Conduct of Operations
•  Waste Management Program </v>
          </cell>
          <cell r="AK10" t="str">
            <v>•  APPROVED CONTAINERS used for TRU waste storage
•  TSR-compliant packaging for high activity TRU waste</v>
          </cell>
          <cell r="AL10" t="str">
            <v>•  Steel-deck pallets that limit direct flame impingement on TRU containers
•  Banding of drums on pallets</v>
          </cell>
          <cell r="AM10" t="str">
            <v>•  SAC for APPROVED CONTAINER use
•  SAC for facility inventory control</v>
          </cell>
          <cell r="AN10" t="str">
            <v>•  Radiological Protection Program
•  Emergency Response Program
•  Fire Protection Program
•  Performance Based Training Program
•  Conduct of Operations</v>
          </cell>
        </row>
        <row r="11">
          <cell r="A11" t="str">
            <v>CPCW</v>
          </cell>
          <cell r="B11">
            <v>2</v>
          </cell>
          <cell r="C11" t="str">
            <v>Small combustible material fire</v>
          </cell>
          <cell r="D11" t="str">
            <v>Fire occurs in a facility area that impacts TRU waste. Includes accidents initiated due to pyrophoric reactions or reactions involving incompatible wastes.</v>
          </cell>
          <cell r="E11">
            <v>360</v>
          </cell>
          <cell r="F11" t="str">
            <v>E02</v>
          </cell>
          <cell r="G11">
            <v>1</v>
          </cell>
          <cell r="H11" t="str">
            <v>Gnd</v>
          </cell>
          <cell r="I11">
            <v>850</v>
          </cell>
          <cell r="J11" t="str">
            <v>A</v>
          </cell>
          <cell r="K11" t="str">
            <v>H</v>
          </cell>
          <cell r="L11" t="str">
            <v>H</v>
          </cell>
          <cell r="M11" t="str">
            <v>N</v>
          </cell>
          <cell r="N11" t="str">
            <v>N</v>
          </cell>
          <cell r="O11" t="str">
            <v>I</v>
          </cell>
          <cell r="P11" t="str">
            <v>I</v>
          </cell>
          <cell r="Q11" t="str">
            <v>IV</v>
          </cell>
          <cell r="R11" t="str">
            <v>IV</v>
          </cell>
          <cell r="S11" t="str">
            <v>E02</v>
          </cell>
          <cell r="T11">
            <v>2.8E-3</v>
          </cell>
          <cell r="U11" t="str">
            <v>Gnd</v>
          </cell>
          <cell r="V11">
            <v>850</v>
          </cell>
          <cell r="W11" t="str">
            <v>U</v>
          </cell>
          <cell r="X11" t="str">
            <v>L</v>
          </cell>
          <cell r="Y11" t="str">
            <v>L</v>
          </cell>
          <cell r="Z11" t="str">
            <v>N</v>
          </cell>
          <cell r="AA11" t="str">
            <v>N</v>
          </cell>
          <cell r="AB11" t="str">
            <v>III</v>
          </cell>
          <cell r="AC11" t="str">
            <v>III</v>
          </cell>
          <cell r="AD11" t="str">
            <v>IV</v>
          </cell>
          <cell r="AE11" t="str">
            <v>IV</v>
          </cell>
          <cell r="AF11" t="str">
            <v>Contingency evaluation in the event of discovery of non-conforming waste container. Credit taken for storage of waste in APPROVED CONTAINERS in assuming mitigated event progresses as contained waste fire.  MAR is activity in maximally loaded 2-drum Interim Storage Container (Ref. WVNS-CAL-397, Table A-2).  DR reflects TSR that limits the amount of TRU waste that may be outside of an APPROVED CONTAINER to 1.0 PE-Ci.</v>
          </cell>
          <cell r="AG11" t="str">
            <v>•  None</v>
          </cell>
          <cell r="AH11" t="str">
            <v>•  None</v>
          </cell>
          <cell r="AI11" t="str">
            <v>•  None</v>
          </cell>
          <cell r="AJ11" t="str">
            <v xml:space="preserve">•  Quality Assurance Program
•  Fire Protection Program
-   “Hot work” controls
-   Combustible material control program
•  Performance Based Training Program
•  Maintenance Program
•  Conduct of Operations
•  Waste Management Program </v>
          </cell>
          <cell r="AK11" t="str">
            <v>•  APPROVED CONTAINERS used for TRU waste storage
•  TSR-compliant packaging for high activity TRU waste</v>
          </cell>
          <cell r="AL11" t="str">
            <v>•  None</v>
          </cell>
          <cell r="AM11" t="str">
            <v>•  SAC for APPROVED CONTAINER use
•  SAC for facility inventory control</v>
          </cell>
          <cell r="AN11" t="str">
            <v>•  Radiological Protection Program
•  Emergency Response Program
•  Fire Protection Program
•  Performance Based Training Program
•  Conduct of Operations</v>
          </cell>
        </row>
        <row r="12">
          <cell r="A12" t="str">
            <v>CPCW</v>
          </cell>
          <cell r="B12">
            <v>3</v>
          </cell>
          <cell r="C12" t="str">
            <v>Localized explosion external to container</v>
          </cell>
          <cell r="D12"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2">
            <v>360</v>
          </cell>
          <cell r="F12" t="str">
            <v>E05</v>
          </cell>
          <cell r="G12">
            <v>1</v>
          </cell>
          <cell r="H12" t="str">
            <v>Gnd</v>
          </cell>
          <cell r="I12">
            <v>850</v>
          </cell>
          <cell r="J12" t="str">
            <v>A</v>
          </cell>
          <cell r="K12" t="str">
            <v>H</v>
          </cell>
          <cell r="L12" t="str">
            <v>M</v>
          </cell>
          <cell r="M12" t="str">
            <v>N</v>
          </cell>
          <cell r="N12" t="str">
            <v>N</v>
          </cell>
          <cell r="O12" t="str">
            <v>I</v>
          </cell>
          <cell r="P12" t="str">
            <v>I</v>
          </cell>
          <cell r="Q12" t="str">
            <v>IV</v>
          </cell>
          <cell r="R12" t="str">
            <v>IV</v>
          </cell>
          <cell r="S12" t="str">
            <v>E05</v>
          </cell>
          <cell r="T12">
            <v>2.8000000000000001E-2</v>
          </cell>
          <cell r="U12" t="str">
            <v>Gnd</v>
          </cell>
          <cell r="V12">
            <v>850</v>
          </cell>
          <cell r="W12" t="str">
            <v>U</v>
          </cell>
          <cell r="X12" t="str">
            <v>L</v>
          </cell>
          <cell r="Y12" t="str">
            <v>L</v>
          </cell>
          <cell r="Z12" t="str">
            <v>N</v>
          </cell>
          <cell r="AA12" t="str">
            <v>N</v>
          </cell>
          <cell r="AB12" t="str">
            <v>III</v>
          </cell>
          <cell r="AC12" t="str">
            <v>III</v>
          </cell>
          <cell r="AD12" t="str">
            <v>IV</v>
          </cell>
          <cell r="AE12" t="str">
            <v>IV</v>
          </cell>
          <cell r="AF12"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2" t="str">
            <v>•  None</v>
          </cell>
          <cell r="AH12" t="str">
            <v>•  None</v>
          </cell>
          <cell r="AI12" t="str">
            <v>•  None</v>
          </cell>
          <cell r="AJ12" t="str">
            <v xml:space="preserve">•  Quality Assurance Program
•  Fire Protection Program
•  Performance Based Training Program
•  Maintenance Program
•  Waste Management Program </v>
          </cell>
          <cell r="AK12" t="str">
            <v>•   APPROVED CONTAINERS used for TRU waste storage
•   TSR-compliant packaging for high activity TRU waste</v>
          </cell>
          <cell r="AL12" t="str">
            <v>•  None</v>
          </cell>
          <cell r="AM12" t="str">
            <v>•  SAC for APPROVED CONTAINER use
•  SAC for facility inventory control</v>
          </cell>
          <cell r="AN12" t="str">
            <v>•  Radiological Protection Program
•  Emergency Response Program
•  Fire Protection Program
•  Performance Based Training Program
•  Conduct of Operations</v>
          </cell>
        </row>
        <row r="13">
          <cell r="A13" t="str">
            <v>CPCW</v>
          </cell>
          <cell r="B13">
            <v>4</v>
          </cell>
          <cell r="C13" t="str">
            <v>Waste container deflagration</v>
          </cell>
          <cell r="D13" t="str">
            <v>Hydrogen or other flammable/explosive gases inside a container is ignited.</v>
          </cell>
          <cell r="E13">
            <v>360</v>
          </cell>
          <cell r="F13" t="str">
            <v>E06</v>
          </cell>
          <cell r="G13">
            <v>1</v>
          </cell>
          <cell r="H13" t="str">
            <v>Gnd</v>
          </cell>
          <cell r="I13">
            <v>850</v>
          </cell>
          <cell r="J13" t="str">
            <v>U</v>
          </cell>
          <cell r="K13" t="str">
            <v>H</v>
          </cell>
          <cell r="L13" t="str">
            <v>M</v>
          </cell>
          <cell r="M13" t="str">
            <v>N</v>
          </cell>
          <cell r="N13" t="str">
            <v>N</v>
          </cell>
          <cell r="O13" t="str">
            <v>I</v>
          </cell>
          <cell r="P13" t="str">
            <v>II</v>
          </cell>
          <cell r="Q13" t="str">
            <v>IV</v>
          </cell>
          <cell r="R13" t="str">
            <v>IV</v>
          </cell>
          <cell r="S13" t="str">
            <v>E06</v>
          </cell>
          <cell r="T13">
            <v>0.25</v>
          </cell>
          <cell r="U13" t="str">
            <v>Gnd</v>
          </cell>
          <cell r="V13">
            <v>850</v>
          </cell>
          <cell r="W13" t="str">
            <v>EU</v>
          </cell>
          <cell r="X13" t="str">
            <v>M</v>
          </cell>
          <cell r="Y13" t="str">
            <v>M</v>
          </cell>
          <cell r="Z13" t="str">
            <v>N</v>
          </cell>
          <cell r="AA13" t="str">
            <v>N</v>
          </cell>
          <cell r="AB13" t="str">
            <v>III</v>
          </cell>
          <cell r="AC13" t="str">
            <v>III</v>
          </cell>
          <cell r="AD13" t="str">
            <v>IV</v>
          </cell>
          <cell r="AE13" t="str">
            <v>IV</v>
          </cell>
          <cell r="AF13"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3" t="str">
            <v>•  None</v>
          </cell>
          <cell r="AH13" t="str">
            <v>•  HEPA filter vents on waste containers</v>
          </cell>
          <cell r="AI13" t="str">
            <v>•  None</v>
          </cell>
          <cell r="AJ13" t="str">
            <v xml:space="preserve">•  Quality Assurance Program
•  Fire Protection Program
•  Performance Based Training Program
•  Maintenance Program
•  Waste Management Program </v>
          </cell>
          <cell r="AK13" t="str">
            <v>•   TSR-compliant packaging for high activity TRU waste</v>
          </cell>
          <cell r="AL13" t="str">
            <v>•  None</v>
          </cell>
          <cell r="AM13" t="str">
            <v>•  SAC for APPROVED CONTAINER use
•  SAC for facility inventory control</v>
          </cell>
          <cell r="AN13" t="str">
            <v>•  Radiological Protection Program
•  Emergency Response Program
•  Fire Protection Program
•  Performance Based Training Program
•  Conduct of Operations</v>
          </cell>
        </row>
        <row r="14">
          <cell r="A14" t="str">
            <v>CPCW</v>
          </cell>
          <cell r="B14">
            <v>5</v>
          </cell>
          <cell r="C14" t="str">
            <v>Vehicle/equipment impacts waste/waste containers</v>
          </cell>
          <cell r="D14"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4">
            <v>360</v>
          </cell>
          <cell r="F14" t="str">
            <v>E09</v>
          </cell>
          <cell r="G14">
            <v>0.01</v>
          </cell>
          <cell r="H14" t="str">
            <v>Gnd</v>
          </cell>
          <cell r="I14">
            <v>850</v>
          </cell>
          <cell r="J14" t="str">
            <v>A</v>
          </cell>
          <cell r="K14" t="str">
            <v>N</v>
          </cell>
          <cell r="L14" t="str">
            <v>L</v>
          </cell>
          <cell r="M14" t="str">
            <v>N</v>
          </cell>
          <cell r="N14" t="str">
            <v>N</v>
          </cell>
          <cell r="O14" t="str">
            <v>IV</v>
          </cell>
          <cell r="P14" t="str">
            <v>III</v>
          </cell>
          <cell r="Q14" t="str">
            <v>IV</v>
          </cell>
          <cell r="R14" t="str">
            <v>IV</v>
          </cell>
          <cell r="S14" t="str">
            <v>E09</v>
          </cell>
          <cell r="T14">
            <v>0.01</v>
          </cell>
          <cell r="U14" t="str">
            <v>Gnd</v>
          </cell>
          <cell r="V14">
            <v>850</v>
          </cell>
          <cell r="W14" t="str">
            <v>U</v>
          </cell>
          <cell r="X14" t="str">
            <v>N</v>
          </cell>
          <cell r="Y14" t="str">
            <v>L</v>
          </cell>
          <cell r="Z14" t="str">
            <v>N</v>
          </cell>
          <cell r="AA14" t="str">
            <v>N</v>
          </cell>
          <cell r="AB14" t="str">
            <v>IV</v>
          </cell>
          <cell r="AC14" t="str">
            <v>III</v>
          </cell>
          <cell r="AD14" t="str">
            <v>IV</v>
          </cell>
          <cell r="AE14" t="str">
            <v>IV</v>
          </cell>
          <cell r="AF14" t="str">
            <v xml:space="preserve">Shielding and nature of waste associated with many of the containers in the facility expected to mitigate the consequences of this event. MAR is activity in maximally loaded 2-drum Interim Storage Container (Ref. WVNS-CAL-397, Table A-2).  </v>
          </cell>
          <cell r="AG14" t="str">
            <v>•  None</v>
          </cell>
          <cell r="AH14" t="str">
            <v>•  Physical barriers such as Jersey barriers or facility structure that protects waste containers from vehicle impacts</v>
          </cell>
          <cell r="AI14" t="str">
            <v>• SAC for TRU waste container physical protection
• SAC for TRU waste transportation</v>
          </cell>
          <cell r="AJ14" t="str">
            <v xml:space="preserve">•  Quality Assurance Program
•  Performance Based Training Program
•  Maintenance Program
•  Conduct of Operations
•  Waste Management Program </v>
          </cell>
          <cell r="AK14" t="str">
            <v>•   TSR-compliant packaging for high activity TRU waste</v>
          </cell>
          <cell r="AL14" t="str">
            <v>•  None</v>
          </cell>
          <cell r="AM14" t="str">
            <v>•  None</v>
          </cell>
          <cell r="AN14" t="str">
            <v>•  Radiological Protection Program
•  Emergency Response Program
•  Performance Based Training Program
•  Conduct of Operations</v>
          </cell>
        </row>
        <row r="15">
          <cell r="A15" t="str">
            <v>CPCW</v>
          </cell>
          <cell r="B15">
            <v>6</v>
          </cell>
          <cell r="C15" t="str">
            <v>Drop/impact/spill</v>
          </cell>
          <cell r="D15" t="str">
            <v>This event is due to mishandling of containers or to drops/impacts caused by equipment failure or may be due to leaks caused by corrosion, construction defect, or improper closure.</v>
          </cell>
          <cell r="E15">
            <v>360</v>
          </cell>
          <cell r="F15" t="str">
            <v>E10</v>
          </cell>
          <cell r="G15">
            <v>0.1</v>
          </cell>
          <cell r="H15" t="str">
            <v>Gnd</v>
          </cell>
          <cell r="I15">
            <v>850</v>
          </cell>
          <cell r="J15" t="str">
            <v>A</v>
          </cell>
          <cell r="K15" t="str">
            <v>L</v>
          </cell>
          <cell r="L15" t="str">
            <v>L</v>
          </cell>
          <cell r="M15" t="str">
            <v>N</v>
          </cell>
          <cell r="N15" t="str">
            <v>N</v>
          </cell>
          <cell r="O15" t="str">
            <v>III</v>
          </cell>
          <cell r="P15" t="str">
            <v>III</v>
          </cell>
          <cell r="Q15" t="str">
            <v>IV</v>
          </cell>
          <cell r="R15" t="str">
            <v>IV</v>
          </cell>
          <cell r="S15" t="str">
            <v>E10</v>
          </cell>
          <cell r="T15">
            <v>0.1</v>
          </cell>
          <cell r="U15" t="str">
            <v>Gnd</v>
          </cell>
          <cell r="V15">
            <v>850</v>
          </cell>
          <cell r="W15" t="str">
            <v>U</v>
          </cell>
          <cell r="X15" t="str">
            <v>L</v>
          </cell>
          <cell r="Y15" t="str">
            <v>L</v>
          </cell>
          <cell r="Z15" t="str">
            <v>N</v>
          </cell>
          <cell r="AA15" t="str">
            <v>N</v>
          </cell>
          <cell r="AB15" t="str">
            <v>III</v>
          </cell>
          <cell r="AC15" t="str">
            <v>III</v>
          </cell>
          <cell r="AD15" t="str">
            <v>IV</v>
          </cell>
          <cell r="AE15" t="str">
            <v>IV</v>
          </cell>
          <cell r="AF15" t="str">
            <v xml:space="preserve">Shielding and nature of waste associated with many of the containers in the facility expected to mitigate the consequences of this event. MAR is activity in maximally loaded 2-drum Interim Storage Container (Ref. WVNS-CAL-397, Table A-2).  </v>
          </cell>
          <cell r="AG15" t="str">
            <v>•  None</v>
          </cell>
          <cell r="AH15" t="str">
            <v>•  None</v>
          </cell>
          <cell r="AI15" t="str">
            <v>•  None</v>
          </cell>
          <cell r="AJ15" t="str">
            <v xml:space="preserve">•  Quality Assurance Program
•  Performance Based Training Program
•  Maintenance Program
•  Conduct of Operations
•  Waste Management Program </v>
          </cell>
          <cell r="AK15" t="str">
            <v>•   TSR-compliant packaging for high activity TRU waste</v>
          </cell>
          <cell r="AL15" t="str">
            <v>•  None</v>
          </cell>
          <cell r="AM15" t="str">
            <v>•  None</v>
          </cell>
          <cell r="AN15" t="str">
            <v>•  Radiological Protection Program
•  Emergency Response Program
•  Performance Based Training Program
•  Conduct of Operations</v>
          </cell>
        </row>
        <row r="16">
          <cell r="A16" t="str">
            <v>CPCW</v>
          </cell>
          <cell r="B16">
            <v>7</v>
          </cell>
          <cell r="C16" t="str">
            <v>Collapse of stacked containers</v>
          </cell>
          <cell r="D16" t="str">
            <v>Collapse of a stacked array of containers due to corrosion, defective construction, or damage of containers, or due to improper stacking (e.g., exceeding limits, unstable array).</v>
          </cell>
          <cell r="E16">
            <v>1050</v>
          </cell>
          <cell r="F16" t="str">
            <v>E11</v>
          </cell>
          <cell r="G16">
            <v>0.1</v>
          </cell>
          <cell r="H16" t="str">
            <v>Gnd</v>
          </cell>
          <cell r="I16">
            <v>850</v>
          </cell>
          <cell r="J16" t="str">
            <v>A</v>
          </cell>
          <cell r="K16" t="str">
            <v>L</v>
          </cell>
          <cell r="L16" t="str">
            <v>L</v>
          </cell>
          <cell r="M16" t="str">
            <v>N</v>
          </cell>
          <cell r="N16" t="str">
            <v>N</v>
          </cell>
          <cell r="O16" t="str">
            <v>III</v>
          </cell>
          <cell r="P16" t="str">
            <v>III</v>
          </cell>
          <cell r="Q16" t="str">
            <v>IV</v>
          </cell>
          <cell r="R16" t="str">
            <v>IV</v>
          </cell>
          <cell r="S16" t="str">
            <v>E11</v>
          </cell>
          <cell r="T16">
            <v>0.1</v>
          </cell>
          <cell r="U16" t="str">
            <v>Gnd</v>
          </cell>
          <cell r="V16">
            <v>850</v>
          </cell>
          <cell r="W16" t="str">
            <v>U</v>
          </cell>
          <cell r="X16" t="str">
            <v>L</v>
          </cell>
          <cell r="Y16" t="str">
            <v>L</v>
          </cell>
          <cell r="Z16" t="str">
            <v>N</v>
          </cell>
          <cell r="AA16" t="str">
            <v>N</v>
          </cell>
          <cell r="AB16" t="str">
            <v>III</v>
          </cell>
          <cell r="AC16" t="str">
            <v>III</v>
          </cell>
          <cell r="AD16" t="str">
            <v>IV</v>
          </cell>
          <cell r="AE16" t="str">
            <v>IV</v>
          </cell>
          <cell r="AF16" t="str">
            <v xml:space="preserve">Event applies only to containers above 2nd tier of a storage array since Type 17C containers designed to withstand 4' drop.  MAR assumed to be half of activity in storage (i.e., activity in containers on 3rd and 4th tier of storage array (Ref. WVNS-CAL-397, Appendix A) </v>
          </cell>
          <cell r="AG16" t="str">
            <v>•  None</v>
          </cell>
          <cell r="AH16" t="str">
            <v>•  None</v>
          </cell>
          <cell r="AI16" t="str">
            <v>•  None</v>
          </cell>
          <cell r="AJ16" t="str">
            <v xml:space="preserve">•  Quality Assurance Program
•  Performance Based Training Program
•  Maintenance Program
•  Waste Management Program </v>
          </cell>
          <cell r="AK16" t="str">
            <v>•   APPROVED CONTAINERS used for TRU waste storage
•   TSR-compliant packaging for high activity TRU waste</v>
          </cell>
          <cell r="AL16" t="str">
            <v>•  Steel pallets used for TRU waste storage arrays
•  Banding of drums on pallets</v>
          </cell>
          <cell r="AM16" t="str">
            <v>•  None</v>
          </cell>
          <cell r="AN16" t="str">
            <v>•  Radiological Protection Program
•  Emergency Response Program
•  Performance Based Training Program
•  Conduct of Operations</v>
          </cell>
        </row>
        <row r="17">
          <cell r="A17" t="str">
            <v>CPCW</v>
          </cell>
          <cell r="B17">
            <v>8</v>
          </cell>
          <cell r="C17" t="str">
            <v>Waste container over-pressurization</v>
          </cell>
          <cell r="D17" t="str">
            <v>Container failure occurs due to pressure buildup, possibly due to radiolysis of water or other hydrogenous material, thermal expansion of material/gases inside the container, or chemical reactions inside the container.</v>
          </cell>
          <cell r="E17">
            <v>360</v>
          </cell>
          <cell r="F17" t="str">
            <v>E12</v>
          </cell>
          <cell r="G17">
            <v>1</v>
          </cell>
          <cell r="H17" t="str">
            <v>Gnd</v>
          </cell>
          <cell r="I17">
            <v>850</v>
          </cell>
          <cell r="J17" t="str">
            <v>A</v>
          </cell>
          <cell r="K17" t="str">
            <v>M</v>
          </cell>
          <cell r="L17" t="str">
            <v>M</v>
          </cell>
          <cell r="M17" t="str">
            <v>N</v>
          </cell>
          <cell r="N17" t="str">
            <v>N</v>
          </cell>
          <cell r="O17" t="str">
            <v>I</v>
          </cell>
          <cell r="P17" t="str">
            <v>I</v>
          </cell>
          <cell r="Q17" t="str">
            <v>IV</v>
          </cell>
          <cell r="R17" t="str">
            <v>IV</v>
          </cell>
          <cell r="S17" t="str">
            <v>E12</v>
          </cell>
          <cell r="T17">
            <v>0.1</v>
          </cell>
          <cell r="U17" t="str">
            <v>Gnd</v>
          </cell>
          <cell r="V17">
            <v>850</v>
          </cell>
          <cell r="W17" t="str">
            <v>U</v>
          </cell>
          <cell r="X17" t="str">
            <v>L</v>
          </cell>
          <cell r="Y17" t="str">
            <v>L</v>
          </cell>
          <cell r="Z17" t="str">
            <v>N</v>
          </cell>
          <cell r="AA17" t="str">
            <v>N</v>
          </cell>
          <cell r="AB17" t="str">
            <v>III</v>
          </cell>
          <cell r="AC17" t="str">
            <v>III</v>
          </cell>
          <cell r="AD17" t="str">
            <v>IV</v>
          </cell>
          <cell r="AE17" t="str">
            <v>IV</v>
          </cell>
          <cell r="AF17"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7" t="str">
            <v>•  None</v>
          </cell>
          <cell r="AH17" t="str">
            <v>•  HEPA filter vents on waste containers</v>
          </cell>
          <cell r="AI17" t="str">
            <v>•  None</v>
          </cell>
          <cell r="AJ17" t="str">
            <v xml:space="preserve">•  Quality Assurance Program
•  Performance Based Training Program
•  Waste Management Program </v>
          </cell>
          <cell r="AK17" t="str">
            <v>•  None</v>
          </cell>
          <cell r="AL17" t="str">
            <v>•  Lid restraining devices for bulging drums</v>
          </cell>
          <cell r="AM17" t="str">
            <v>•  None</v>
          </cell>
          <cell r="AN17" t="str">
            <v>•  Radiological Protection Program
•  Emergency Response Program
•  Performance Based Training Program
•  Conduct of Operations</v>
          </cell>
        </row>
        <row r="18">
          <cell r="A18" t="str">
            <v>CPCW</v>
          </cell>
          <cell r="B18">
            <v>9</v>
          </cell>
          <cell r="C18" t="str">
            <v>Direct exposure to radiation</v>
          </cell>
          <cell r="D18" t="str">
            <v>Exposure to ionizing radiation from the waste, possibly due to loss of proper shielding within a container or instrument miscalibration</v>
          </cell>
          <cell r="E18" t="str">
            <v>Not applicable.</v>
          </cell>
          <cell r="F18" t="str">
            <v>NA</v>
          </cell>
          <cell r="G18" t="str">
            <v>NA</v>
          </cell>
          <cell r="H18" t="str">
            <v>Gnd</v>
          </cell>
          <cell r="I18">
            <v>850</v>
          </cell>
          <cell r="J18" t="str">
            <v>A</v>
          </cell>
          <cell r="K18" t="str">
            <v>L</v>
          </cell>
          <cell r="L18" t="str">
            <v>N</v>
          </cell>
          <cell r="M18" t="str">
            <v>N</v>
          </cell>
          <cell r="N18" t="str">
            <v>N</v>
          </cell>
          <cell r="O18" t="str">
            <v>III</v>
          </cell>
          <cell r="P18" t="str">
            <v>IV</v>
          </cell>
          <cell r="Q18" t="str">
            <v>IV</v>
          </cell>
          <cell r="R18" t="str">
            <v>IV</v>
          </cell>
          <cell r="S18" t="str">
            <v>NA</v>
          </cell>
          <cell r="T18" t="str">
            <v>NA</v>
          </cell>
          <cell r="U18" t="str">
            <v>Gnd</v>
          </cell>
          <cell r="V18">
            <v>850</v>
          </cell>
          <cell r="W18" t="str">
            <v>U</v>
          </cell>
          <cell r="X18" t="str">
            <v>L</v>
          </cell>
          <cell r="Y18" t="str">
            <v>N</v>
          </cell>
          <cell r="Z18" t="str">
            <v>N</v>
          </cell>
          <cell r="AA18" t="str">
            <v>N</v>
          </cell>
          <cell r="AB18" t="str">
            <v>III</v>
          </cell>
          <cell r="AC18" t="str">
            <v>IV</v>
          </cell>
          <cell r="AD18" t="str">
            <v>IV</v>
          </cell>
          <cell r="AE18" t="str">
            <v>IV</v>
          </cell>
          <cell r="AF18" t="str">
            <v xml:space="preserve">None.  </v>
          </cell>
          <cell r="AG18" t="str">
            <v>•  None</v>
          </cell>
          <cell r="AH18" t="str">
            <v>•  Engineered radiation shielding on high dose rate waste containers</v>
          </cell>
          <cell r="AI18" t="str">
            <v>•  None</v>
          </cell>
          <cell r="AJ18" t="str">
            <v xml:space="preserve">•  Radiological Protection Program
•  Quality Assurance Program
•  Performance Based Training Program
•  Conduct of Operations
•  Waste Management Program </v>
          </cell>
          <cell r="AK18" t="str">
            <v>•  None</v>
          </cell>
          <cell r="AL18" t="str">
            <v>•  None</v>
          </cell>
          <cell r="AM18" t="str">
            <v>•  None</v>
          </cell>
          <cell r="AN18" t="str">
            <v>•  Radiological Protection Program
•  Performance Based Training Program
•  Conduct of Operations</v>
          </cell>
        </row>
        <row r="19">
          <cell r="A19" t="str">
            <v>CPCW</v>
          </cell>
          <cell r="B19">
            <v>10</v>
          </cell>
          <cell r="C19" t="str">
            <v>Criticality</v>
          </cell>
          <cell r="D19" t="str">
            <v>Inadvertent criticality occurs due to multiple independent failures and/or highly improbable circumstances</v>
          </cell>
          <cell r="E19" t="str">
            <v>&gt;450 FGE
Pu-239</v>
          </cell>
          <cell r="F19" t="str">
            <v>NA</v>
          </cell>
          <cell r="G19" t="str">
            <v>NA</v>
          </cell>
          <cell r="H19" t="str">
            <v>Gnd</v>
          </cell>
          <cell r="I19">
            <v>850</v>
          </cell>
          <cell r="J19" t="str">
            <v>BEU</v>
          </cell>
          <cell r="K19" t="str">
            <v>H</v>
          </cell>
          <cell r="L19" t="str">
            <v>N</v>
          </cell>
          <cell r="M19" t="str">
            <v>N</v>
          </cell>
          <cell r="N19" t="str">
            <v>N</v>
          </cell>
          <cell r="O19" t="str">
            <v>III</v>
          </cell>
          <cell r="P19" t="str">
            <v>IV</v>
          </cell>
          <cell r="Q19" t="str">
            <v>IV</v>
          </cell>
          <cell r="R19" t="str">
            <v>IV</v>
          </cell>
          <cell r="S19" t="str">
            <v>NA</v>
          </cell>
          <cell r="T19" t="str">
            <v>NA</v>
          </cell>
          <cell r="U19" t="str">
            <v>Gnd</v>
          </cell>
          <cell r="V19">
            <v>850</v>
          </cell>
          <cell r="W19" t="str">
            <v>BEU</v>
          </cell>
          <cell r="X19" t="str">
            <v>H</v>
          </cell>
          <cell r="Y19" t="str">
            <v>N</v>
          </cell>
          <cell r="Z19" t="str">
            <v>N</v>
          </cell>
          <cell r="AA19" t="str">
            <v>N</v>
          </cell>
          <cell r="AB19" t="str">
            <v>III</v>
          </cell>
          <cell r="AC19" t="str">
            <v>IV</v>
          </cell>
          <cell r="AD19" t="str">
            <v>IV</v>
          </cell>
          <cell r="AE19" t="str">
            <v>IV</v>
          </cell>
          <cell r="AF19" t="str">
            <v xml:space="preserve">Nuclear criticality safety administrative controls ensure that only safe quantities of fissile material are placed in waste packages.   </v>
          </cell>
          <cell r="AG19" t="str">
            <v>• PSRs for fissile material storage container specifications</v>
          </cell>
          <cell r="AH19" t="str">
            <v>•  None</v>
          </cell>
          <cell r="AI19" t="str">
            <v>• PSR limits on container fissile mass
• PSR for fissile material storage containers</v>
          </cell>
          <cell r="AJ19" t="str">
            <v xml:space="preserve">•  Radiological Protection Program
•  Nuclear Criticality Safety Program
•  Quality Assurance Program
•  Performance Based Training Program
•  Conduct of Operations
•  Waste Management Program </v>
          </cell>
          <cell r="AK19" t="str">
            <v>•  None</v>
          </cell>
          <cell r="AL19" t="str">
            <v>•  None</v>
          </cell>
          <cell r="AM19" t="str">
            <v>•  None</v>
          </cell>
          <cell r="AN19" t="str">
            <v>•  Radiological Protection Program
•  Nuclear Criticality Safety Program
•  Emergency Response Program
•  Performance Based Training Program
•  Conduct of Operations</v>
          </cell>
        </row>
        <row r="20">
          <cell r="A20" t="str">
            <v>CPCW</v>
          </cell>
          <cell r="B20">
            <v>11</v>
          </cell>
          <cell r="C20" t="str">
            <v>Aircraft impact with fire</v>
          </cell>
          <cell r="D20" t="str">
            <v>Small general aviation aircraft or helicopter crashes and a fire ensues</v>
          </cell>
          <cell r="E20">
            <v>2100</v>
          </cell>
          <cell r="F20" t="str">
            <v>E15</v>
          </cell>
          <cell r="G20">
            <v>1</v>
          </cell>
          <cell r="H20" t="str">
            <v>Gnd</v>
          </cell>
          <cell r="I20">
            <v>850</v>
          </cell>
          <cell r="J20" t="str">
            <v>BEU</v>
          </cell>
          <cell r="K20" t="str">
            <v>H</v>
          </cell>
          <cell r="L20" t="str">
            <v>H</v>
          </cell>
          <cell r="M20" t="str">
            <v>N</v>
          </cell>
          <cell r="N20" t="str">
            <v>N</v>
          </cell>
          <cell r="O20" t="str">
            <v>III</v>
          </cell>
          <cell r="P20" t="str">
            <v>III</v>
          </cell>
          <cell r="Q20" t="str">
            <v>IV</v>
          </cell>
          <cell r="R20" t="str">
            <v>IV</v>
          </cell>
          <cell r="S20" t="str">
            <v>E15</v>
          </cell>
          <cell r="T20">
            <v>1</v>
          </cell>
          <cell r="U20" t="str">
            <v>Gnd</v>
          </cell>
          <cell r="V20">
            <v>850</v>
          </cell>
          <cell r="W20" t="str">
            <v>BEU</v>
          </cell>
          <cell r="X20" t="str">
            <v>H</v>
          </cell>
          <cell r="Y20" t="str">
            <v>H</v>
          </cell>
          <cell r="Z20" t="str">
            <v>N</v>
          </cell>
          <cell r="AA20" t="str">
            <v>N</v>
          </cell>
          <cell r="AB20" t="str">
            <v>III</v>
          </cell>
          <cell r="AC20" t="str">
            <v>III</v>
          </cell>
          <cell r="AD20" t="str">
            <v>IV</v>
          </cell>
          <cell r="AE20" t="str">
            <v>IV</v>
          </cell>
          <cell r="AF20" t="str">
            <v xml:space="preserve">Shielding and nature of waste associated with many of the containers in the facility expected to mitigate the consequences of this event. Event assumes waste containers breach in a manner similar to external vehicle accident event. Event BEU per WVNS-CAL-388 MAR is entire inventory of radioactive material in WVDP packaged waste (exclusive of HLW) (Ref.WVNS-CAL-397, Table C-1, Lag Storage).  </v>
          </cell>
          <cell r="AG20" t="str">
            <v>•  None</v>
          </cell>
          <cell r="AH20" t="str">
            <v>•  None</v>
          </cell>
          <cell r="AI20" t="str">
            <v>•  None</v>
          </cell>
          <cell r="AJ20" t="str">
            <v>•  None</v>
          </cell>
          <cell r="AK20" t="str">
            <v>•   APPROVED CONTAINERS used for TRU waste storage
•   TSR-compliant packaging for high activity TRU waste</v>
          </cell>
          <cell r="AL20" t="str">
            <v>•  None</v>
          </cell>
          <cell r="AM20" t="str">
            <v>• SAC for APPROVED CONTAINER use</v>
          </cell>
          <cell r="AN20" t="str">
            <v>•  Radiological Protection Program
•  Emergency Response Program
•  Fire Protection Program
•  Performance Based Training Program
•  Conduct of Operations</v>
          </cell>
        </row>
        <row r="21">
          <cell r="A21" t="str">
            <v>CPCW</v>
          </cell>
          <cell r="B21">
            <v>12</v>
          </cell>
          <cell r="C21" t="str">
            <v>External fire</v>
          </cell>
          <cell r="D21" t="str">
            <v>A fire begins outside of the CPC-WSA and propagates to an area where waste is present. The external fire could be from a wildland fire, other facility, or another fire source.</v>
          </cell>
          <cell r="E21">
            <v>2100</v>
          </cell>
          <cell r="F21" t="str">
            <v>E19</v>
          </cell>
          <cell r="G21">
            <v>0.5</v>
          </cell>
          <cell r="H21" t="str">
            <v>Gnd</v>
          </cell>
          <cell r="I21">
            <v>850</v>
          </cell>
          <cell r="J21" t="str">
            <v>U</v>
          </cell>
          <cell r="K21" t="str">
            <v>H</v>
          </cell>
          <cell r="L21" t="str">
            <v>H</v>
          </cell>
          <cell r="M21" t="str">
            <v>N</v>
          </cell>
          <cell r="N21" t="str">
            <v>N</v>
          </cell>
          <cell r="O21" t="str">
            <v>I</v>
          </cell>
          <cell r="P21" t="str">
            <v>I</v>
          </cell>
          <cell r="Q21" t="str">
            <v>IV</v>
          </cell>
          <cell r="R21" t="str">
            <v>IV</v>
          </cell>
          <cell r="S21" t="str">
            <v>E19</v>
          </cell>
          <cell r="T21">
            <v>0.05</v>
          </cell>
          <cell r="U21" t="str">
            <v>Gnd</v>
          </cell>
          <cell r="V21">
            <v>850</v>
          </cell>
          <cell r="W21" t="str">
            <v>EU</v>
          </cell>
          <cell r="X21" t="str">
            <v>M</v>
          </cell>
          <cell r="Y21" t="str">
            <v>M</v>
          </cell>
          <cell r="Z21" t="str">
            <v>N</v>
          </cell>
          <cell r="AA21" t="str">
            <v>N</v>
          </cell>
          <cell r="AB21" t="str">
            <v>III</v>
          </cell>
          <cell r="AC21" t="str">
            <v>III</v>
          </cell>
          <cell r="AD21" t="str">
            <v>IV</v>
          </cell>
          <cell r="AE21" t="str">
            <v>IV</v>
          </cell>
          <cell r="AF21" t="str">
            <v>Unmitigated frequency very conservative since no exposure fire risks identified in WVNS-FHA-010, Rev. 2. Even under EU wildland fire conditions virtually no waste would be exposed to critical heat flux due to facility construction.  MAR is entire inventory of radioactive material in WVDP packaged waste (exclusive of HLW). 
(Ref.WVNS-CAL-397, Table C-1, Lag Storage).  DR assumes that 10% of array is exposed to critical heat flux.</v>
          </cell>
          <cell r="AG21" t="str">
            <v>•  None</v>
          </cell>
          <cell r="AH21" t="str">
            <v>•  None</v>
          </cell>
          <cell r="AI21" t="str">
            <v>• SAC for TRU waste container physical protection</v>
          </cell>
          <cell r="AJ21" t="str">
            <v>•  Fire Protection Program
•  Maintenance Program</v>
          </cell>
          <cell r="AK21" t="str">
            <v>•   APPROVED CONTAINERS used for TRU waste storage
•   TSR-compliant packaging for high activity TRU waste</v>
          </cell>
          <cell r="AL21" t="str">
            <v>•  Non-combustible facility sheathing/ exterior</v>
          </cell>
          <cell r="AM21" t="str">
            <v>• SAC for APPROVED CONTAINER use</v>
          </cell>
          <cell r="AN21" t="str">
            <v>•  Emergency Response Program
•  Fire Protection Program
•  Radiological Protection Program</v>
          </cell>
        </row>
        <row r="22">
          <cell r="A22" t="str">
            <v>CPCW</v>
          </cell>
          <cell r="B22">
            <v>13</v>
          </cell>
          <cell r="C22" t="str">
            <v>Tornado</v>
          </cell>
          <cell r="D22" t="str">
            <v>Direct effects of tornado winds, falling objects, or tornado-produced missiles causing impacts to the facility.</v>
          </cell>
          <cell r="E22">
            <v>2100</v>
          </cell>
          <cell r="F22" t="str">
            <v>E22</v>
          </cell>
          <cell r="G22">
            <v>1</v>
          </cell>
          <cell r="H22" t="str">
            <v>Gnd</v>
          </cell>
          <cell r="I22">
            <v>850</v>
          </cell>
          <cell r="J22" t="str">
            <v>U</v>
          </cell>
          <cell r="K22" t="str">
            <v>H</v>
          </cell>
          <cell r="L22" t="str">
            <v>M</v>
          </cell>
          <cell r="M22" t="str">
            <v>N</v>
          </cell>
          <cell r="N22" t="str">
            <v>N</v>
          </cell>
          <cell r="O22" t="str">
            <v>I</v>
          </cell>
          <cell r="P22" t="str">
            <v>II</v>
          </cell>
          <cell r="Q22" t="str">
            <v>IV</v>
          </cell>
          <cell r="R22" t="str">
            <v>IV</v>
          </cell>
          <cell r="S22" t="str">
            <v>E22</v>
          </cell>
          <cell r="T22">
            <v>0.18</v>
          </cell>
          <cell r="U22" t="str">
            <v>Gnd</v>
          </cell>
          <cell r="V22">
            <v>850</v>
          </cell>
          <cell r="W22" t="str">
            <v>EU</v>
          </cell>
          <cell r="X22" t="str">
            <v>M</v>
          </cell>
          <cell r="Y22" t="str">
            <v>M</v>
          </cell>
          <cell r="Z22" t="str">
            <v>N</v>
          </cell>
          <cell r="AA22" t="str">
            <v>N</v>
          </cell>
          <cell r="AB22" t="str">
            <v>III</v>
          </cell>
          <cell r="AC22" t="str">
            <v>III</v>
          </cell>
          <cell r="AD22" t="str">
            <v>IV</v>
          </cell>
          <cell r="AE22" t="str">
            <v>IV</v>
          </cell>
          <cell r="AF22" t="str">
            <v>Shielding and nature of waste associated with many of the containers in the facility expected to mitigate the consequences of this event. High wind conditions would disperse any released material in a manner significantly greater than 95% meteorological condition assumptions.  MAR is entire inventory of radioactive material in WVDP packaged waste (exclusive of HLW) (Ref.WVNS-CAL-397, Table C-1, Lag Storage).  Tornado borne missiles assumed to impact four TRU waste drums: max container and three at 99th percentile.</v>
          </cell>
          <cell r="AG22" t="str">
            <v>•  None</v>
          </cell>
          <cell r="AH22" t="str">
            <v>•  None</v>
          </cell>
          <cell r="AI22" t="str">
            <v>•  None</v>
          </cell>
          <cell r="AJ22" t="str">
            <v>•  None</v>
          </cell>
          <cell r="AK22" t="str">
            <v>•   TSR-compliant packaging for high activity TRU waste</v>
          </cell>
          <cell r="AL22" t="str">
            <v>•  None</v>
          </cell>
          <cell r="AM22" t="str">
            <v>•  None</v>
          </cell>
          <cell r="AN22" t="str">
            <v>•  Radiological Protection Program
•  Emergency Response Program
•  Performance Based Training Program
•  Conduct of Operations</v>
          </cell>
        </row>
        <row r="23">
          <cell r="A23" t="str">
            <v>CPCW</v>
          </cell>
          <cell r="B23">
            <v>14</v>
          </cell>
          <cell r="C23" t="str">
            <v>Seismic event</v>
          </cell>
          <cell r="D23" t="str">
            <v>Seismic event causes structural collapse and/or failure of storage array resulting in damage to stored containers.</v>
          </cell>
          <cell r="E23">
            <v>2100</v>
          </cell>
          <cell r="F23" t="str">
            <v>E24</v>
          </cell>
          <cell r="G23">
            <v>0.01</v>
          </cell>
          <cell r="H23" t="str">
            <v>Gnd</v>
          </cell>
          <cell r="I23">
            <v>850</v>
          </cell>
          <cell r="J23" t="str">
            <v>U</v>
          </cell>
          <cell r="K23" t="str">
            <v>L</v>
          </cell>
          <cell r="L23" t="str">
            <v>L</v>
          </cell>
          <cell r="M23" t="str">
            <v>N</v>
          </cell>
          <cell r="N23" t="str">
            <v>N</v>
          </cell>
          <cell r="O23" t="str">
            <v>III</v>
          </cell>
          <cell r="P23" t="str">
            <v>III</v>
          </cell>
          <cell r="Q23" t="str">
            <v>IV</v>
          </cell>
          <cell r="R23" t="str">
            <v>IV</v>
          </cell>
          <cell r="S23" t="str">
            <v>E24</v>
          </cell>
          <cell r="T23">
            <v>0.01</v>
          </cell>
          <cell r="U23" t="str">
            <v>Gnd</v>
          </cell>
          <cell r="V23">
            <v>850</v>
          </cell>
          <cell r="W23" t="str">
            <v>U</v>
          </cell>
          <cell r="X23" t="str">
            <v>L</v>
          </cell>
          <cell r="Y23" t="str">
            <v>L</v>
          </cell>
          <cell r="Z23" t="str">
            <v>N</v>
          </cell>
          <cell r="AA23" t="str">
            <v>N</v>
          </cell>
          <cell r="AB23" t="str">
            <v>III</v>
          </cell>
          <cell r="AC23" t="str">
            <v>III</v>
          </cell>
          <cell r="AD23" t="str">
            <v>IV</v>
          </cell>
          <cell r="AE23" t="str">
            <v>IV</v>
          </cell>
          <cell r="AF23" t="str">
            <v xml:space="preserve">Facility expected to remain intact following EBE. Toppling of storage array addressed under event "Collapse of Stacked Containers."  MAR is entire inventory of radioactive material in WVDP packaged waste (exclusive of HLW) (Ref.WVNS-CAL-397, Table C-1, Lag Storage).  </v>
          </cell>
          <cell r="AG23" t="str">
            <v>•  None</v>
          </cell>
          <cell r="AH23" t="str">
            <v>•  None</v>
          </cell>
          <cell r="AI23" t="str">
            <v>•  None</v>
          </cell>
          <cell r="AJ23" t="str">
            <v>•  None</v>
          </cell>
          <cell r="AK23" t="str">
            <v>•   APPROVED CONTAINERS used for TRU waste storage
•   TSR-compliant packaging for high activity TRU waste</v>
          </cell>
          <cell r="AL23" t="str">
            <v>•  None</v>
          </cell>
          <cell r="AM23" t="str">
            <v>•  None</v>
          </cell>
          <cell r="AN23" t="str">
            <v>•  Radiological Protection Program
•  Emergency Response Program
•  Performance Based Training Program
•  Conduct of Operations</v>
          </cell>
        </row>
        <row r="24">
          <cell r="A24" t="str">
            <v>CPCW</v>
          </cell>
          <cell r="B24">
            <v>15</v>
          </cell>
          <cell r="C24" t="str">
            <v>Loss of liquid contamination confinement</v>
          </cell>
          <cell r="D24" t="str">
            <v>Waste container containing residual liquids fails, resulting in loss of liquid contamination to the environment</v>
          </cell>
          <cell r="E24">
            <v>1</v>
          </cell>
          <cell r="F24" t="str">
            <v>AER</v>
          </cell>
          <cell r="G24">
            <v>1</v>
          </cell>
          <cell r="H24" t="str">
            <v>Gnd</v>
          </cell>
          <cell r="I24">
            <v>850</v>
          </cell>
          <cell r="J24" t="str">
            <v>U</v>
          </cell>
          <cell r="K24" t="str">
            <v>N</v>
          </cell>
          <cell r="L24" t="str">
            <v>N</v>
          </cell>
          <cell r="M24" t="str">
            <v>N</v>
          </cell>
          <cell r="N24" t="str">
            <v>N</v>
          </cell>
          <cell r="O24" t="str">
            <v>IV</v>
          </cell>
          <cell r="P24" t="str">
            <v>IV</v>
          </cell>
          <cell r="Q24" t="str">
            <v>IV</v>
          </cell>
          <cell r="R24" t="str">
            <v>IV</v>
          </cell>
          <cell r="S24" t="str">
            <v>AER</v>
          </cell>
          <cell r="T24">
            <v>1</v>
          </cell>
          <cell r="U24" t="str">
            <v>Gnd</v>
          </cell>
          <cell r="V24">
            <v>850</v>
          </cell>
          <cell r="W24" t="str">
            <v>U</v>
          </cell>
          <cell r="X24" t="str">
            <v>N</v>
          </cell>
          <cell r="Y24" t="str">
            <v>N</v>
          </cell>
          <cell r="Z24" t="str">
            <v>N</v>
          </cell>
          <cell r="AA24" t="str">
            <v>N</v>
          </cell>
          <cell r="AB24" t="str">
            <v>IV</v>
          </cell>
          <cell r="AC24" t="str">
            <v>IV</v>
          </cell>
          <cell r="AD24" t="str">
            <v>IV</v>
          </cell>
          <cell r="AE24" t="str">
            <v>IV</v>
          </cell>
          <cell r="AF24" t="str">
            <v xml:space="preserve">None.  </v>
          </cell>
          <cell r="AG24" t="str">
            <v>•  None</v>
          </cell>
          <cell r="AH24" t="str">
            <v>•  Cell liners/sumps and/or area berms</v>
          </cell>
          <cell r="AI24" t="str">
            <v>•  None</v>
          </cell>
          <cell r="AJ24" t="str">
            <v xml:space="preserve">•  Quality Assurance Program
•  Performance Based Training Program
•  Maintenance Program
•  Conduct of Operations
•  Waste Management Program </v>
          </cell>
          <cell r="AK24" t="str">
            <v>•  None</v>
          </cell>
          <cell r="AL24" t="str">
            <v>•  None</v>
          </cell>
          <cell r="AM24" t="str">
            <v>•  None</v>
          </cell>
          <cell r="AN24" t="str">
            <v>•  Radiological Protection Program
•  Performance Based Training Program
•  Conduct of Operations</v>
          </cell>
        </row>
        <row r="25">
          <cell r="A25" t="str">
            <v>CPCW</v>
          </cell>
          <cell r="B25">
            <v>16</v>
          </cell>
          <cell r="C25" t="str">
            <v>Flood</v>
          </cell>
          <cell r="D25" t="str">
            <v>A greater than 100-yr  rain event results in sheet flow that floods the storage area. Flooding may be exacerbated by plugged drainage channels or culverts.</v>
          </cell>
          <cell r="E25">
            <v>2100</v>
          </cell>
          <cell r="F25" t="str">
            <v>NA</v>
          </cell>
          <cell r="G25" t="str">
            <v>NA</v>
          </cell>
          <cell r="H25" t="str">
            <v>Gnd</v>
          </cell>
          <cell r="I25">
            <v>850</v>
          </cell>
          <cell r="J25" t="str">
            <v>U</v>
          </cell>
          <cell r="K25" t="str">
            <v>N</v>
          </cell>
          <cell r="L25" t="str">
            <v>N</v>
          </cell>
          <cell r="M25" t="str">
            <v>N</v>
          </cell>
          <cell r="N25" t="str">
            <v>N</v>
          </cell>
          <cell r="O25" t="str">
            <v>IV</v>
          </cell>
          <cell r="P25" t="str">
            <v>IV</v>
          </cell>
          <cell r="Q25" t="str">
            <v>IV</v>
          </cell>
          <cell r="R25" t="str">
            <v>IV</v>
          </cell>
          <cell r="S25" t="str">
            <v>NA</v>
          </cell>
          <cell r="T25" t="str">
            <v>NA</v>
          </cell>
          <cell r="U25" t="str">
            <v>Gnd</v>
          </cell>
          <cell r="V25">
            <v>850</v>
          </cell>
          <cell r="W25" t="str">
            <v>U</v>
          </cell>
          <cell r="X25" t="str">
            <v>N</v>
          </cell>
          <cell r="Y25" t="str">
            <v>N</v>
          </cell>
          <cell r="Z25" t="str">
            <v>N</v>
          </cell>
          <cell r="AA25" t="str">
            <v>N</v>
          </cell>
          <cell r="AB25" t="str">
            <v>IV</v>
          </cell>
          <cell r="AC25" t="str">
            <v>IV</v>
          </cell>
          <cell r="AD25" t="str">
            <v>IV</v>
          </cell>
          <cell r="AE25" t="str">
            <v>IV</v>
          </cell>
          <cell r="AF25" t="str">
            <v xml:space="preserve">Site topography places facility outside area vulnerable to flooding (ref. Figure 1.4-6).  MAR is entire inventory of radioactive material in WVDP packaged waste (exclusive of HLW) (Ref.WVNS-CAL-397, Table C-1, Lag Storage).  </v>
          </cell>
          <cell r="AG25" t="str">
            <v>•  None</v>
          </cell>
          <cell r="AH25" t="str">
            <v>•  Siting of storage array in area away from areas of anticipated flooding</v>
          </cell>
          <cell r="AI25" t="str">
            <v>•  None</v>
          </cell>
          <cell r="AJ25" t="str">
            <v>•  None</v>
          </cell>
          <cell r="AK25" t="str">
            <v>•  None</v>
          </cell>
          <cell r="AL25" t="str">
            <v>•  None</v>
          </cell>
          <cell r="AM25" t="str">
            <v>•  None</v>
          </cell>
          <cell r="AN25" t="str">
            <v>•  Radiological Protection Program
•  Performance Based Training Program
•  Conduct of Operations</v>
          </cell>
        </row>
        <row r="26">
          <cell r="A26" t="str">
            <v>HLWSS</v>
          </cell>
          <cell r="B26">
            <v>1</v>
          </cell>
          <cell r="C26" t="str">
            <v>Vehicle/equipment impacts waste/waste containers</v>
          </cell>
          <cell r="D26" t="str">
            <v>A transporter collides with a cask on the storage pad.</v>
          </cell>
          <cell r="E26">
            <v>2500</v>
          </cell>
          <cell r="F26" t="str">
            <v>SS</v>
          </cell>
          <cell r="G26">
            <v>0</v>
          </cell>
          <cell r="H26" t="str">
            <v>Gnd</v>
          </cell>
          <cell r="I26">
            <v>850</v>
          </cell>
          <cell r="J26" t="str">
            <v>A</v>
          </cell>
          <cell r="K26" t="str">
            <v>N</v>
          </cell>
          <cell r="L26" t="str">
            <v>N</v>
          </cell>
          <cell r="M26" t="str">
            <v>N</v>
          </cell>
          <cell r="N26" t="str">
            <v>N</v>
          </cell>
          <cell r="O26" t="str">
            <v>IV</v>
          </cell>
          <cell r="P26" t="str">
            <v>IV</v>
          </cell>
          <cell r="Q26" t="str">
            <v>IV</v>
          </cell>
          <cell r="R26" t="str">
            <v>IV</v>
          </cell>
          <cell r="S26" t="str">
            <v>SS</v>
          </cell>
          <cell r="T26">
            <v>0</v>
          </cell>
          <cell r="U26" t="str">
            <v>Gnd</v>
          </cell>
          <cell r="V26">
            <v>850</v>
          </cell>
          <cell r="W26" t="str">
            <v>A</v>
          </cell>
          <cell r="X26" t="str">
            <v>N</v>
          </cell>
          <cell r="Y26" t="str">
            <v>N</v>
          </cell>
          <cell r="Z26" t="str">
            <v>N</v>
          </cell>
          <cell r="AA26" t="str">
            <v>N</v>
          </cell>
          <cell r="AB26" t="str">
            <v>IV</v>
          </cell>
          <cell r="AC26" t="str">
            <v>IV</v>
          </cell>
          <cell r="AD26" t="str">
            <v>IV</v>
          </cell>
          <cell r="AE26" t="str">
            <v>IV</v>
          </cell>
          <cell r="AF26" t="str">
            <v xml:space="preserve">The maximum anticipated speed of the cask transporter enroute to the storage pad is approximately 2 mph.   MAR is cask containing 5 HLW canisters each containing an amount of activity equal to the maximum HLW canister (Ref. WVNS-CAL-396).  </v>
          </cell>
          <cell r="AG26" t="str">
            <v>•  None</v>
          </cell>
          <cell r="AH26" t="str">
            <v xml:space="preserve">•  Design of MPC-WVDP storage system capable of withstanding significant impact stresses </v>
          </cell>
          <cell r="AI26" t="str">
            <v>• SAC for TRU waste container physical protection
• SAC for TRU waste transportation</v>
          </cell>
          <cell r="AJ26" t="str">
            <v xml:space="preserve">•  Quality Assurance Program
•  Performance Based Training Program
•  Maintenance Program
•  Conduct of Operations
•  Waste Management Program </v>
          </cell>
          <cell r="AK26" t="str">
            <v>•  None</v>
          </cell>
          <cell r="AL26"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26" t="str">
            <v>•  None</v>
          </cell>
          <cell r="AN26" t="str">
            <v>•  Radiological Protection Program
•  Emergency Response Program
•  Performance Based Training Program
•  Conduct of Operations</v>
          </cell>
        </row>
        <row r="27">
          <cell r="A27" t="str">
            <v>HLWSS</v>
          </cell>
          <cell r="B27">
            <v>2</v>
          </cell>
          <cell r="C27" t="str">
            <v>Drop/impact/spill</v>
          </cell>
          <cell r="D27" t="str">
            <v>Loaded cask transporter collides with another vehicle.</v>
          </cell>
          <cell r="E27">
            <v>2500</v>
          </cell>
          <cell r="F27" t="str">
            <v>SS</v>
          </cell>
          <cell r="G27">
            <v>0</v>
          </cell>
          <cell r="H27" t="str">
            <v>Gnd</v>
          </cell>
          <cell r="I27">
            <v>850</v>
          </cell>
          <cell r="J27" t="str">
            <v>A</v>
          </cell>
          <cell r="K27" t="str">
            <v>N</v>
          </cell>
          <cell r="L27" t="str">
            <v>N</v>
          </cell>
          <cell r="M27" t="str">
            <v>N</v>
          </cell>
          <cell r="N27" t="str">
            <v>N</v>
          </cell>
          <cell r="O27" t="str">
            <v>IV</v>
          </cell>
          <cell r="P27" t="str">
            <v>IV</v>
          </cell>
          <cell r="Q27" t="str">
            <v>IV</v>
          </cell>
          <cell r="R27" t="str">
            <v>IV</v>
          </cell>
          <cell r="S27" t="str">
            <v>SS</v>
          </cell>
          <cell r="T27">
            <v>0</v>
          </cell>
          <cell r="U27" t="str">
            <v>Gnd</v>
          </cell>
          <cell r="V27">
            <v>850</v>
          </cell>
          <cell r="W27" t="str">
            <v>U</v>
          </cell>
          <cell r="X27" t="str">
            <v>N</v>
          </cell>
          <cell r="Y27" t="str">
            <v>N</v>
          </cell>
          <cell r="Z27" t="str">
            <v>N</v>
          </cell>
          <cell r="AA27" t="str">
            <v>N</v>
          </cell>
          <cell r="AB27" t="str">
            <v>IV</v>
          </cell>
          <cell r="AC27" t="str">
            <v>IV</v>
          </cell>
          <cell r="AD27" t="str">
            <v>IV</v>
          </cell>
          <cell r="AE27" t="str">
            <v>IV</v>
          </cell>
          <cell r="AF27" t="str">
            <v xml:space="preserve">Cask transporters are designed with conservative safety factors. (Transporters load tested to 125% of nominal capacity.) MAR is cask containing 5 HLW canisters each containing an amount of activity equal to the maximum HLW canister (Ref. WVNS-CAL-396).  </v>
          </cell>
          <cell r="AG27" t="str">
            <v>•  None</v>
          </cell>
          <cell r="AH27" t="str">
            <v>•  Cask lifting lugs and transporter lifting components designed with conservative safety factors
•  Transporter design that limits cask ground clearance to ≤ 6”</v>
          </cell>
          <cell r="AI27" t="str">
            <v>•  None</v>
          </cell>
          <cell r="AJ27" t="str">
            <v xml:space="preserve">•  Quality Assurance Program
•  Performance Based Training Program
•  Maintenance Program
•  Conduct of Operations
•  Waste Management Program </v>
          </cell>
          <cell r="AK27" t="str">
            <v>•  None</v>
          </cell>
          <cell r="AL27"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AM27" t="str">
            <v>•  None</v>
          </cell>
          <cell r="AN27" t="str">
            <v>•  Radiological Protection Program
•  Emergency Response Program
•  Performance Based Training Program
•  Conduct of Operations</v>
          </cell>
        </row>
        <row r="28">
          <cell r="A28" t="str">
            <v>HLWSS</v>
          </cell>
          <cell r="B28">
            <v>3</v>
          </cell>
          <cell r="C28" t="str">
            <v>Drop/impact/spill</v>
          </cell>
          <cell r="D28" t="str">
            <v>Failure of a handling component on the transporter or operator error associated with not fully engaging the lifting lugs results in 6” drop of a loaded storage cask</v>
          </cell>
          <cell r="E28">
            <v>2500</v>
          </cell>
          <cell r="F28" t="str">
            <v>SS</v>
          </cell>
          <cell r="G28">
            <v>0</v>
          </cell>
          <cell r="H28" t="str">
            <v>Gnd</v>
          </cell>
          <cell r="I28">
            <v>850</v>
          </cell>
          <cell r="J28" t="str">
            <v>A</v>
          </cell>
          <cell r="K28" t="str">
            <v>N</v>
          </cell>
          <cell r="L28" t="str">
            <v>N</v>
          </cell>
          <cell r="M28" t="str">
            <v>N</v>
          </cell>
          <cell r="N28" t="str">
            <v>N</v>
          </cell>
          <cell r="O28" t="str">
            <v>IV</v>
          </cell>
          <cell r="P28" t="str">
            <v>IV</v>
          </cell>
          <cell r="Q28" t="str">
            <v>IV</v>
          </cell>
          <cell r="R28" t="str">
            <v>IV</v>
          </cell>
          <cell r="S28" t="str">
            <v>SS</v>
          </cell>
          <cell r="T28">
            <v>0</v>
          </cell>
          <cell r="U28" t="str">
            <v>Gnd</v>
          </cell>
          <cell r="V28">
            <v>850</v>
          </cell>
          <cell r="W28" t="str">
            <v>U</v>
          </cell>
          <cell r="X28" t="str">
            <v>N</v>
          </cell>
          <cell r="Y28" t="str">
            <v>N</v>
          </cell>
          <cell r="Z28" t="str">
            <v>N</v>
          </cell>
          <cell r="AA28" t="str">
            <v>N</v>
          </cell>
          <cell r="AB28" t="str">
            <v>IV</v>
          </cell>
          <cell r="AC28" t="str">
            <v>IV</v>
          </cell>
          <cell r="AD28" t="str">
            <v>IV</v>
          </cell>
          <cell r="AE28" t="str">
            <v>IV</v>
          </cell>
          <cell r="AF28" t="str">
            <v xml:space="preserve">Cask transporters are designed with conservative safety factors. (Transporters load tested to 125% of nominal capacity.) MAR is cask containing 5 HLW canisters each containing an amount of activity equal to the maximum HLW canister (Ref. WVNS-CAL-396).  </v>
          </cell>
          <cell r="AG28" t="str">
            <v>•  None</v>
          </cell>
          <cell r="AH28" t="str">
            <v>•  Cask lifting lugs and transporter lifting components designed with conservative safety factors
•  Transporter design that limits cask ground clearance to ≤ 6”</v>
          </cell>
          <cell r="AI28" t="str">
            <v>•  None</v>
          </cell>
          <cell r="AJ28" t="str">
            <v xml:space="preserve">•  Quality Assurance Program
•  Performance Based Training Program
•  Maintenance Program
•  Conduct of Operations
•  Waste Management Program </v>
          </cell>
          <cell r="AK28" t="str">
            <v>•  None</v>
          </cell>
          <cell r="AL28"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AM28" t="str">
            <v>•  None</v>
          </cell>
          <cell r="AN28" t="str">
            <v>•  Radiological Protection Program
•  Emergency Response Program
•  Performance Based Training Program
•  Conduct of Operations</v>
          </cell>
        </row>
        <row r="29">
          <cell r="A29" t="str">
            <v>HLWSS</v>
          </cell>
          <cell r="B29">
            <v>4</v>
          </cell>
          <cell r="C29" t="str">
            <v>Storage cask tip-over due to transportation event</v>
          </cell>
          <cell r="D29" t="str">
            <v>Cask tips over following drop of cask during transport to storage pad or due to haul path failure during transit</v>
          </cell>
          <cell r="E29">
            <v>2500</v>
          </cell>
          <cell r="F29" t="str">
            <v>SS</v>
          </cell>
          <cell r="G29">
            <v>0</v>
          </cell>
          <cell r="H29" t="str">
            <v>Gnd</v>
          </cell>
          <cell r="I29">
            <v>850</v>
          </cell>
          <cell r="J29" t="str">
            <v>U</v>
          </cell>
          <cell r="K29" t="str">
            <v>N</v>
          </cell>
          <cell r="L29" t="str">
            <v>N</v>
          </cell>
          <cell r="M29" t="str">
            <v>N</v>
          </cell>
          <cell r="N29" t="str">
            <v>N</v>
          </cell>
          <cell r="O29" t="str">
            <v>IV</v>
          </cell>
          <cell r="P29" t="str">
            <v>IV</v>
          </cell>
          <cell r="Q29" t="str">
            <v>IV</v>
          </cell>
          <cell r="R29" t="str">
            <v>IV</v>
          </cell>
          <cell r="S29" t="str">
            <v>SS</v>
          </cell>
          <cell r="T29">
            <v>0</v>
          </cell>
          <cell r="U29" t="str">
            <v>Gnd</v>
          </cell>
          <cell r="V29">
            <v>850</v>
          </cell>
          <cell r="W29" t="str">
            <v>U</v>
          </cell>
          <cell r="X29" t="str">
            <v>N</v>
          </cell>
          <cell r="Y29" t="str">
            <v>N</v>
          </cell>
          <cell r="Z29" t="str">
            <v>N</v>
          </cell>
          <cell r="AA29" t="str">
            <v>N</v>
          </cell>
          <cell r="AB29" t="str">
            <v>IV</v>
          </cell>
          <cell r="AC29" t="str">
            <v>IV</v>
          </cell>
          <cell r="AD29" t="str">
            <v>IV</v>
          </cell>
          <cell r="AE29" t="str">
            <v>IV</v>
          </cell>
          <cell r="AF29" t="str">
            <v xml:space="preserve">Haul path to be inspected and verified to be adequate prior to transportation. MAR is cask containing 5 HLW canisters each containing an amount of activity equal to the maximum HLW canister (Ref. WVNS-CAL-396).  </v>
          </cell>
          <cell r="AG29" t="str">
            <v>•  None</v>
          </cell>
          <cell r="AH29" t="str">
            <v>•  Engineering design of haul path capable of supporting multiple transports in excess of cask load</v>
          </cell>
          <cell r="AI29" t="str">
            <v>•  None</v>
          </cell>
          <cell r="AJ29" t="str">
            <v>•  Quality Assurance Program
•  Performance Based Training Program
•  Maintenance Program
•  Conduct of Operations</v>
          </cell>
          <cell r="AK29" t="str">
            <v>•  None</v>
          </cell>
          <cell r="AL29" t="str">
            <v>•  Heavily reinforced 19.75" thick concrete VSC
•  4" thick steel VSC shielding
•  Weld-sealed 3/8" thick steel MPC
•  Weld-sealed steel HLW canister
•  Borosilicate waste matrix that inhibits waste release and retards biological uptake due to stable chemical form</v>
          </cell>
          <cell r="AM29" t="str">
            <v>•  None</v>
          </cell>
          <cell r="AN29" t="str">
            <v>•  Radiological Protection Program
•  Emergency Response Program
•  Performance Based Training Program
•  Conduct of Operations</v>
          </cell>
        </row>
        <row r="30">
          <cell r="A30" t="str">
            <v>HLWSS</v>
          </cell>
          <cell r="B30">
            <v>5</v>
          </cell>
          <cell r="C30" t="str">
            <v>Localized explosion external to container</v>
          </cell>
          <cell r="D30"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30">
            <v>2500</v>
          </cell>
          <cell r="F30" t="str">
            <v>SS</v>
          </cell>
          <cell r="G30">
            <v>0</v>
          </cell>
          <cell r="H30" t="str">
            <v>Gnd</v>
          </cell>
          <cell r="I30">
            <v>850</v>
          </cell>
          <cell r="J30" t="str">
            <v>A</v>
          </cell>
          <cell r="K30" t="str">
            <v>N</v>
          </cell>
          <cell r="L30" t="str">
            <v>N</v>
          </cell>
          <cell r="M30" t="str">
            <v>N</v>
          </cell>
          <cell r="N30" t="str">
            <v>N</v>
          </cell>
          <cell r="O30" t="str">
            <v>IV</v>
          </cell>
          <cell r="P30" t="str">
            <v>IV</v>
          </cell>
          <cell r="Q30" t="str">
            <v>IV</v>
          </cell>
          <cell r="R30" t="str">
            <v>IV</v>
          </cell>
          <cell r="S30" t="str">
            <v>SS</v>
          </cell>
          <cell r="T30">
            <v>0</v>
          </cell>
          <cell r="U30" t="str">
            <v>Gnd</v>
          </cell>
          <cell r="V30">
            <v>850</v>
          </cell>
          <cell r="W30" t="str">
            <v>U</v>
          </cell>
          <cell r="X30" t="str">
            <v>N</v>
          </cell>
          <cell r="Y30" t="str">
            <v>N</v>
          </cell>
          <cell r="Z30" t="str">
            <v>N</v>
          </cell>
          <cell r="AA30" t="str">
            <v>N</v>
          </cell>
          <cell r="AB30" t="str">
            <v>IV</v>
          </cell>
          <cell r="AC30" t="str">
            <v>IV</v>
          </cell>
          <cell r="AD30" t="str">
            <v>IV</v>
          </cell>
          <cell r="AE30" t="str">
            <v>IV</v>
          </cell>
          <cell r="AF30" t="str">
            <v xml:space="preserve"> MAR is cask containing 5 HLW canisters each containing an amount of activity equal to the maximum HLW canister (Ref. WVNS-CAL-396).  </v>
          </cell>
          <cell r="AG30" t="str">
            <v>•  None</v>
          </cell>
          <cell r="AH30" t="str">
            <v>•  None</v>
          </cell>
          <cell r="AI30" t="str">
            <v>•  None</v>
          </cell>
          <cell r="AJ30" t="str">
            <v xml:space="preserve">•  Quality Assurance Program
•  Fire Protection Program
•  Performance Based Training Program
•  Maintenance Program
•  Waste Management Program </v>
          </cell>
          <cell r="AK30" t="str">
            <v>•  None</v>
          </cell>
          <cell r="AL30"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0" t="str">
            <v>•  None</v>
          </cell>
          <cell r="AN30" t="str">
            <v>•  Radiological Protection Program
•  Emergency Response Program
•  Fire Protection Program
•  Performance Based Training Program
•  Conduct of Operations</v>
          </cell>
        </row>
        <row r="31">
          <cell r="A31" t="str">
            <v>HLWSS</v>
          </cell>
          <cell r="B31">
            <v>6</v>
          </cell>
          <cell r="C31" t="str">
            <v>Locomotive/ loaded rail car impacts storage casks</v>
          </cell>
          <cell r="D31" t="str">
            <v>A locomotive/ loaded rail car  containing demolition debris derails, colliding with casks on the storage pad.</v>
          </cell>
          <cell r="E31">
            <v>83000</v>
          </cell>
          <cell r="F31" t="str">
            <v>SS</v>
          </cell>
          <cell r="G31">
            <v>0</v>
          </cell>
          <cell r="H31" t="str">
            <v>Gnd</v>
          </cell>
          <cell r="I31">
            <v>850</v>
          </cell>
          <cell r="J31" t="str">
            <v>EU</v>
          </cell>
          <cell r="K31" t="str">
            <v>N</v>
          </cell>
          <cell r="L31" t="str">
            <v>N</v>
          </cell>
          <cell r="M31" t="str">
            <v>N</v>
          </cell>
          <cell r="N31" t="str">
            <v>N</v>
          </cell>
          <cell r="O31" t="str">
            <v>IV</v>
          </cell>
          <cell r="P31" t="str">
            <v>IV</v>
          </cell>
          <cell r="Q31" t="str">
            <v>IV</v>
          </cell>
          <cell r="R31" t="str">
            <v>IV</v>
          </cell>
          <cell r="S31" t="str">
            <v>SS</v>
          </cell>
          <cell r="T31">
            <v>0</v>
          </cell>
          <cell r="U31" t="str">
            <v>Gnd</v>
          </cell>
          <cell r="V31">
            <v>850</v>
          </cell>
          <cell r="W31" t="str">
            <v>BEU</v>
          </cell>
          <cell r="X31" t="str">
            <v>N</v>
          </cell>
          <cell r="Y31" t="str">
            <v>N</v>
          </cell>
          <cell r="Z31" t="str">
            <v>N</v>
          </cell>
          <cell r="AA31" t="str">
            <v>N</v>
          </cell>
          <cell r="AB31" t="str">
            <v>IV</v>
          </cell>
          <cell r="AC31" t="str">
            <v>IV</v>
          </cell>
          <cell r="AD31" t="str">
            <v>IV</v>
          </cell>
          <cell r="AE31" t="str">
            <v>IV</v>
          </cell>
          <cell r="AF31" t="str">
            <v xml:space="preserve">The rail line adjacent to the storage pad is a spur that is wholly on the WVDP premises, precluding other commercial traffic. MAR is entire inventory of radioactive material in HLWSS (Ref.WVNS-CAL-397, Table C-1, HLWSS).  </v>
          </cell>
          <cell r="AG31" t="str">
            <v>•  None</v>
          </cell>
          <cell r="AH31" t="str">
            <v>•  None</v>
          </cell>
          <cell r="AI31" t="str">
            <v>•  None</v>
          </cell>
          <cell r="AJ31" t="str">
            <v>•  Quality Assurance Program
•  Performance Based Training Program
•  Maintenance Program</v>
          </cell>
          <cell r="AK31" t="str">
            <v>•  None</v>
          </cell>
          <cell r="AL3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1" t="str">
            <v>•  None</v>
          </cell>
          <cell r="AN31" t="str">
            <v>•  Radiological Protection Program
•  Emergency Response Program
•  Performance Based Training Program
•  Conduct of Operations</v>
          </cell>
        </row>
        <row r="32">
          <cell r="A32" t="str">
            <v>HLWSS</v>
          </cell>
          <cell r="B32">
            <v>7</v>
          </cell>
          <cell r="C32" t="str">
            <v>External explosion</v>
          </cell>
          <cell r="D32" t="str">
            <v>An event external to the storage array results in an explosion impacting the exposed face of the stored cask.</v>
          </cell>
          <cell r="E32">
            <v>2500</v>
          </cell>
          <cell r="F32" t="str">
            <v>SS</v>
          </cell>
          <cell r="G32">
            <v>0</v>
          </cell>
          <cell r="H32" t="str">
            <v>Gnd</v>
          </cell>
          <cell r="I32">
            <v>850</v>
          </cell>
          <cell r="J32" t="str">
            <v>U</v>
          </cell>
          <cell r="K32" t="str">
            <v>N</v>
          </cell>
          <cell r="L32" t="str">
            <v>N</v>
          </cell>
          <cell r="M32" t="str">
            <v>N</v>
          </cell>
          <cell r="N32" t="str">
            <v>N</v>
          </cell>
          <cell r="O32" t="str">
            <v>IV</v>
          </cell>
          <cell r="P32" t="str">
            <v>IV</v>
          </cell>
          <cell r="Q32" t="str">
            <v>IV</v>
          </cell>
          <cell r="R32" t="str">
            <v>IV</v>
          </cell>
          <cell r="S32" t="str">
            <v>SS</v>
          </cell>
          <cell r="T32">
            <v>0</v>
          </cell>
          <cell r="U32" t="str">
            <v>Gnd</v>
          </cell>
          <cell r="V32">
            <v>850</v>
          </cell>
          <cell r="W32" t="str">
            <v>EU</v>
          </cell>
          <cell r="X32" t="str">
            <v>N</v>
          </cell>
          <cell r="Y32" t="str">
            <v>N</v>
          </cell>
          <cell r="Z32" t="str">
            <v>N</v>
          </cell>
          <cell r="AA32" t="str">
            <v>N</v>
          </cell>
          <cell r="AB32" t="str">
            <v>IV</v>
          </cell>
          <cell r="AC32" t="str">
            <v>IV</v>
          </cell>
          <cell r="AD32" t="str">
            <v>IV</v>
          </cell>
          <cell r="AE32" t="str">
            <v>IV</v>
          </cell>
          <cell r="AF32" t="str">
            <v xml:space="preserve">No explosive material handling is required in vicinity of storage pad area. The storage pad is a minimum of 500 feet from public highways. MAR is cask containing 5 HLW canisters each containing an amount of activity equal to the maximum HLW canister (Ref. WVNS-CAL-396).  </v>
          </cell>
          <cell r="AG32" t="str">
            <v>•  None</v>
          </cell>
          <cell r="AH32" t="str">
            <v>•  None</v>
          </cell>
          <cell r="AI32" t="str">
            <v>• SAC for TRU waste container physical protection</v>
          </cell>
          <cell r="AJ32" t="str">
            <v>•  Quality Assurance Program
•  Performance Based Training Program
•  Maintenance Program</v>
          </cell>
          <cell r="AK32" t="str">
            <v>•  None</v>
          </cell>
          <cell r="AL32"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2" t="str">
            <v>•  None</v>
          </cell>
          <cell r="AN32" t="str">
            <v>•  Radiological Protection Program
•  Emergency Response Program
•  Fire Protection Program
•  Performance Based Training Program
•  Conduct of Operations</v>
          </cell>
        </row>
        <row r="33">
          <cell r="A33" t="str">
            <v>HLWSS</v>
          </cell>
          <cell r="B33">
            <v>8</v>
          </cell>
          <cell r="C33" t="str">
            <v>Localized flammable liquid pool fire</v>
          </cell>
          <cell r="D33"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33">
            <v>83000</v>
          </cell>
          <cell r="F33" t="str">
            <v>E01</v>
          </cell>
          <cell r="G33">
            <v>1</v>
          </cell>
          <cell r="H33" t="str">
            <v>Gnd</v>
          </cell>
          <cell r="I33">
            <v>850</v>
          </cell>
          <cell r="J33" t="str">
            <v>EU</v>
          </cell>
          <cell r="K33" t="str">
            <v>H</v>
          </cell>
          <cell r="L33" t="str">
            <v>H</v>
          </cell>
          <cell r="M33" t="str">
            <v>N</v>
          </cell>
          <cell r="N33" t="str">
            <v>N</v>
          </cell>
          <cell r="O33" t="str">
            <v>II</v>
          </cell>
          <cell r="P33" t="str">
            <v>II</v>
          </cell>
          <cell r="Q33" t="str">
            <v>IV</v>
          </cell>
          <cell r="R33" t="str">
            <v>IV</v>
          </cell>
          <cell r="S33" t="str">
            <v>E01</v>
          </cell>
          <cell r="T33">
            <v>0</v>
          </cell>
          <cell r="U33" t="str">
            <v>Gnd</v>
          </cell>
          <cell r="V33">
            <v>850</v>
          </cell>
          <cell r="W33" t="str">
            <v>EU</v>
          </cell>
          <cell r="X33" t="str">
            <v>N</v>
          </cell>
          <cell r="Y33" t="str">
            <v>N</v>
          </cell>
          <cell r="Z33" t="str">
            <v>N</v>
          </cell>
          <cell r="AA33" t="str">
            <v>N</v>
          </cell>
          <cell r="AB33" t="str">
            <v>IV</v>
          </cell>
          <cell r="AC33" t="str">
            <v>IV</v>
          </cell>
          <cell r="AD33" t="str">
            <v>IV</v>
          </cell>
          <cell r="AE33" t="str">
            <v>IV</v>
          </cell>
          <cell r="AF33" t="str">
            <v xml:space="preserve"> MAR is entire inventory of radioactive material in HLWSS (Ref.WVNS-CAL-397, Table C-1, HLWSS).  </v>
          </cell>
          <cell r="AG33" t="str">
            <v>•  None</v>
          </cell>
          <cell r="AH33" t="str">
            <v>•  None</v>
          </cell>
          <cell r="AI33" t="str">
            <v>•  SAC for TRU waste drum fire protection
•  SAC for TRU waste container physical protection</v>
          </cell>
          <cell r="AJ33" t="str">
            <v xml:space="preserve">•  Quality Assurance Program
•  Fire Protection Program
•  Performance Based Training Program
•  Maintenance Program
•  Conduct of Operations
•  Waste Management Program </v>
          </cell>
          <cell r="AK33" t="str">
            <v>•  None</v>
          </cell>
          <cell r="AL33" t="str">
            <v>•  Heavily reinforced 19.75" thick concrete VSC
•  4" thick steel VSC shielding
•  Weld-sealed 3/8" thick steel MPC
•  Weld-sealed steel HLW canister
•  Borosilicate waste matrix that inhibits waste release and retards biological uptake due to stable chemical form</v>
          </cell>
          <cell r="AM33" t="str">
            <v>•  None</v>
          </cell>
          <cell r="AN33" t="str">
            <v>•  None</v>
          </cell>
        </row>
        <row r="34">
          <cell r="A34" t="str">
            <v>HLWSS</v>
          </cell>
          <cell r="B34">
            <v>9</v>
          </cell>
          <cell r="C34" t="str">
            <v>External fire</v>
          </cell>
          <cell r="D34" t="str">
            <v>A fire begins away from storage area and propagates to it. The external fire could be from a wildland fire, other facility, or another fire source.</v>
          </cell>
          <cell r="E34">
            <v>83000</v>
          </cell>
          <cell r="F34" t="str">
            <v>SS</v>
          </cell>
          <cell r="G34">
            <v>0</v>
          </cell>
          <cell r="H34" t="str">
            <v>Gnd</v>
          </cell>
          <cell r="I34">
            <v>850</v>
          </cell>
          <cell r="J34" t="str">
            <v>U</v>
          </cell>
          <cell r="K34" t="str">
            <v>N</v>
          </cell>
          <cell r="L34" t="str">
            <v>N</v>
          </cell>
          <cell r="M34" t="str">
            <v>N</v>
          </cell>
          <cell r="N34" t="str">
            <v>N</v>
          </cell>
          <cell r="O34" t="str">
            <v>IV</v>
          </cell>
          <cell r="P34" t="str">
            <v>IV</v>
          </cell>
          <cell r="Q34" t="str">
            <v>IV</v>
          </cell>
          <cell r="R34" t="str">
            <v>IV</v>
          </cell>
          <cell r="S34" t="str">
            <v>SS</v>
          </cell>
          <cell r="T34">
            <v>0</v>
          </cell>
          <cell r="U34" t="str">
            <v>Gnd</v>
          </cell>
          <cell r="V34">
            <v>850</v>
          </cell>
          <cell r="W34" t="str">
            <v>EU</v>
          </cell>
          <cell r="X34" t="str">
            <v>N</v>
          </cell>
          <cell r="Y34" t="str">
            <v>N</v>
          </cell>
          <cell r="Z34" t="str">
            <v>N</v>
          </cell>
          <cell r="AA34" t="str">
            <v>N</v>
          </cell>
          <cell r="AB34" t="str">
            <v>IV</v>
          </cell>
          <cell r="AC34" t="str">
            <v>IV</v>
          </cell>
          <cell r="AD34" t="str">
            <v>IV</v>
          </cell>
          <cell r="AE34" t="str">
            <v>IV</v>
          </cell>
          <cell r="AF34" t="str">
            <v xml:space="preserve">Cask construction sufficient to protect storage canisters under credible wildland fire event. Fire Protection Program recognized as mitigating probability of event.  MAR is entire inventory of radioactive material in HLWSS (Ref.WVNS-CAL-397, Table C-1, HLWSS).  </v>
          </cell>
          <cell r="AG34" t="str">
            <v>•  None</v>
          </cell>
          <cell r="AH34" t="str">
            <v>•  None</v>
          </cell>
          <cell r="AI34" t="str">
            <v>• SAC for TRU waste container physical protection</v>
          </cell>
          <cell r="AJ34" t="str">
            <v>•  Fire Protection Program
•  Maintenance Program</v>
          </cell>
          <cell r="AK34" t="str">
            <v>•  None</v>
          </cell>
          <cell r="AL34"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4" t="str">
            <v>•  None</v>
          </cell>
          <cell r="AN34" t="str">
            <v>•  Emergency Response Program
•  Fire Protection Program
•  Radiological Protection Program</v>
          </cell>
        </row>
        <row r="35">
          <cell r="A35" t="str">
            <v>HLWSS</v>
          </cell>
          <cell r="B35">
            <v>10</v>
          </cell>
          <cell r="C35" t="str">
            <v>Criticality</v>
          </cell>
          <cell r="D35" t="str">
            <v>Inadvertent criticality occurs due to multiple independent failures and/or highly improbable circumstances</v>
          </cell>
          <cell r="E35" t="str">
            <v>&gt;450 FGE
Pu-239</v>
          </cell>
          <cell r="F35" t="str">
            <v>NA</v>
          </cell>
          <cell r="G35" t="str">
            <v>NA</v>
          </cell>
          <cell r="H35" t="str">
            <v>Gnd</v>
          </cell>
          <cell r="I35">
            <v>850</v>
          </cell>
          <cell r="J35" t="str">
            <v>BEU</v>
          </cell>
          <cell r="K35" t="str">
            <v>N</v>
          </cell>
          <cell r="L35" t="str">
            <v>N</v>
          </cell>
          <cell r="M35" t="str">
            <v>N</v>
          </cell>
          <cell r="N35" t="str">
            <v>N</v>
          </cell>
          <cell r="O35" t="str">
            <v>IV</v>
          </cell>
          <cell r="P35" t="str">
            <v>IV</v>
          </cell>
          <cell r="Q35" t="str">
            <v>IV</v>
          </cell>
          <cell r="R35" t="str">
            <v>IV</v>
          </cell>
          <cell r="S35" t="str">
            <v>NA</v>
          </cell>
          <cell r="T35" t="str">
            <v>NA</v>
          </cell>
          <cell r="U35" t="str">
            <v>Gnd</v>
          </cell>
          <cell r="V35">
            <v>850</v>
          </cell>
          <cell r="W35" t="str">
            <v>BEU</v>
          </cell>
          <cell r="X35" t="str">
            <v>N</v>
          </cell>
          <cell r="Y35" t="str">
            <v>N</v>
          </cell>
          <cell r="Z35" t="str">
            <v>N</v>
          </cell>
          <cell r="AA35" t="str">
            <v>N</v>
          </cell>
          <cell r="AB35" t="str">
            <v>IV</v>
          </cell>
          <cell r="AC35" t="str">
            <v>IV</v>
          </cell>
          <cell r="AD35" t="str">
            <v>IV</v>
          </cell>
          <cell r="AE35" t="str">
            <v>IV</v>
          </cell>
          <cell r="AF35" t="str">
            <v xml:space="preserve">Low fissile material concentration, waste matrix form and composition, and presence of significant quantity of neutron absorbing material (iron, boron, U-238, Pu-240) limits waste reactivity and potential for re-organization into critical configuration.  </v>
          </cell>
          <cell r="AG35" t="str">
            <v>• PSRs for fissile material storage container specifications</v>
          </cell>
          <cell r="AH35" t="str">
            <v>•  Low concentration of fissile material in HLW
•  Very low effective enrichment of U-235 in waste uranium
•  Significant amount of neutron absorbers in waste</v>
          </cell>
          <cell r="AI35" t="str">
            <v>• PSR limits on container fissile mass
• PSR for fissile material storage containers</v>
          </cell>
          <cell r="AJ35" t="str">
            <v xml:space="preserve">•  Radiological Protection Program
•  Nuclear Criticality Safety Program
•  Quality Assurance Program
•  Performance Based Training Program
•  Conduct of Operations
•  Waste Management Program </v>
          </cell>
          <cell r="AK35" t="str">
            <v>•  None</v>
          </cell>
          <cell r="AL35" t="str">
            <v>•  None</v>
          </cell>
          <cell r="AM35" t="str">
            <v>•  None</v>
          </cell>
          <cell r="AN35" t="str">
            <v>•  Radiological Protection Program
•  Nuclear Criticality Safety Program
•  Emergency Response Program
•  Performance Based Training Program
•  Conduct of Operations</v>
          </cell>
        </row>
        <row r="36">
          <cell r="A36" t="str">
            <v>HLWSS</v>
          </cell>
          <cell r="B36">
            <v>11</v>
          </cell>
          <cell r="C36" t="str">
            <v>Corrosion</v>
          </cell>
          <cell r="D36" t="str">
            <v>Over a long period of time corrosion occurs to the metal seals of the cask resulting in corrosion of the overpack and canister bottoms with subsequent failure.</v>
          </cell>
          <cell r="E36">
            <v>2500</v>
          </cell>
          <cell r="F36" t="str">
            <v>SS</v>
          </cell>
          <cell r="G36">
            <v>0</v>
          </cell>
          <cell r="H36" t="str">
            <v>Gnd</v>
          </cell>
          <cell r="I36">
            <v>850</v>
          </cell>
          <cell r="J36" t="str">
            <v>U</v>
          </cell>
          <cell r="K36" t="str">
            <v>N</v>
          </cell>
          <cell r="L36" t="str">
            <v>N</v>
          </cell>
          <cell r="M36" t="str">
            <v>N</v>
          </cell>
          <cell r="N36" t="str">
            <v>N</v>
          </cell>
          <cell r="O36" t="str">
            <v>IV</v>
          </cell>
          <cell r="P36" t="str">
            <v>IV</v>
          </cell>
          <cell r="Q36" t="str">
            <v>IV</v>
          </cell>
          <cell r="R36" t="str">
            <v>IV</v>
          </cell>
          <cell r="S36" t="str">
            <v>SS</v>
          </cell>
          <cell r="T36">
            <v>0</v>
          </cell>
          <cell r="U36" t="str">
            <v>Gnd</v>
          </cell>
          <cell r="V36">
            <v>850</v>
          </cell>
          <cell r="W36" t="str">
            <v>U</v>
          </cell>
          <cell r="X36" t="str">
            <v>N</v>
          </cell>
          <cell r="Y36" t="str">
            <v>N</v>
          </cell>
          <cell r="Z36" t="str">
            <v>N</v>
          </cell>
          <cell r="AA36" t="str">
            <v>N</v>
          </cell>
          <cell r="AB36" t="str">
            <v>IV</v>
          </cell>
          <cell r="AC36" t="str">
            <v>IV</v>
          </cell>
          <cell r="AD36" t="str">
            <v>IV</v>
          </cell>
          <cell r="AE36" t="str">
            <v>IV</v>
          </cell>
          <cell r="AF36" t="str">
            <v xml:space="preserve">Carbon steel cask interior is coated to minimize corrosion. The overpack is stainless steel and rests on a stainless steel pad located on the bottom of the storage cask. The materials of construction and design limit the potential for corrosion of the canisters and canister overpack. MAR is cask containing 5 HLW canisters each containing an amount of activity equal to the maximum HLW canister (Ref. WVNS-CAL-396).  </v>
          </cell>
          <cell r="AG36" t="str">
            <v>•  None</v>
          </cell>
          <cell r="AH36" t="str">
            <v>•  MPC and canister basket assembly constructed of corrosion resistant material
•  Dual elastomer seals provided at the lid of the storage cask to prevent precipitation infiltration</v>
          </cell>
          <cell r="AI36" t="str">
            <v>•  None</v>
          </cell>
          <cell r="AJ36" t="str">
            <v xml:space="preserve">•  Quality Assurance Program
•  Performance Based Training Program
•  Maintenance Program
•  Conduct of Operations
•  Waste Management Program </v>
          </cell>
          <cell r="AK36" t="str">
            <v>•  None</v>
          </cell>
          <cell r="AL36" t="str">
            <v>•  Stainless steel canister basket and MPC construction
•  Sacrificial plate between components of dissimilar composition</v>
          </cell>
          <cell r="AM36" t="str">
            <v>•  None</v>
          </cell>
          <cell r="AN36" t="str">
            <v>•  None</v>
          </cell>
        </row>
        <row r="37">
          <cell r="A37" t="str">
            <v>HLWSS</v>
          </cell>
          <cell r="B37">
            <v>12</v>
          </cell>
          <cell r="C37" t="str">
            <v>Direct exposure to radiation</v>
          </cell>
          <cell r="D37" t="str">
            <v>During transport of cask workers are exposed to high levels of radiation over an extended period of time.</v>
          </cell>
          <cell r="E37" t="str">
            <v>Not applicable.</v>
          </cell>
          <cell r="F37" t="str">
            <v>NA</v>
          </cell>
          <cell r="G37" t="str">
            <v>NA</v>
          </cell>
          <cell r="H37" t="str">
            <v>Gnd</v>
          </cell>
          <cell r="I37">
            <v>850</v>
          </cell>
          <cell r="J37" t="str">
            <v>A</v>
          </cell>
          <cell r="K37" t="str">
            <v>M</v>
          </cell>
          <cell r="L37" t="str">
            <v>N</v>
          </cell>
          <cell r="M37" t="str">
            <v>N</v>
          </cell>
          <cell r="N37" t="str">
            <v>N</v>
          </cell>
          <cell r="O37" t="str">
            <v>I</v>
          </cell>
          <cell r="P37" t="str">
            <v>IV</v>
          </cell>
          <cell r="Q37" t="str">
            <v>IV</v>
          </cell>
          <cell r="R37" t="str">
            <v>IV</v>
          </cell>
          <cell r="S37" t="str">
            <v>NA</v>
          </cell>
          <cell r="T37" t="str">
            <v>NA</v>
          </cell>
          <cell r="U37" t="str">
            <v>Gnd</v>
          </cell>
          <cell r="V37">
            <v>850</v>
          </cell>
          <cell r="W37" t="str">
            <v>U</v>
          </cell>
          <cell r="X37" t="str">
            <v>L</v>
          </cell>
          <cell r="Y37" t="str">
            <v>N</v>
          </cell>
          <cell r="Z37" t="str">
            <v>N</v>
          </cell>
          <cell r="AA37" t="str">
            <v>N</v>
          </cell>
          <cell r="AB37" t="str">
            <v>III</v>
          </cell>
          <cell r="AC37" t="str">
            <v>IV</v>
          </cell>
          <cell r="AD37" t="str">
            <v>IV</v>
          </cell>
          <cell r="AE37" t="str">
            <v>IV</v>
          </cell>
          <cell r="AF37" t="str">
            <v xml:space="preserve">Reduced shielding on cask/MPC bottom is a known source of potentially elevated radiation levels during cask transport. Exposure risk will be mitigated by maintaining a low ground clearance (6” or less) during transportation.  </v>
          </cell>
          <cell r="AG37" t="str">
            <v>•  None</v>
          </cell>
          <cell r="AH37" t="str">
            <v>•  Heavily reinforced 19.75" thick concrete VSC
•  4" thick steel VSC shielding
•  Weld-sealed 3/8" thick steel MPC</v>
          </cell>
          <cell r="AI37" t="str">
            <v>•  None</v>
          </cell>
          <cell r="AJ37" t="str">
            <v xml:space="preserve">•  Radiological Protection Program
•  Quality Assurance Program
•  Performance Based Training Program
•  Conduct of Operations
•  Waste Management Program </v>
          </cell>
          <cell r="AK37" t="str">
            <v>•  None</v>
          </cell>
          <cell r="AL37" t="str">
            <v>•  None</v>
          </cell>
          <cell r="AM37" t="str">
            <v>•  None</v>
          </cell>
          <cell r="AN37" t="str">
            <v>•  Radiological Protection Program
•  Performance Based Training Program
•  Conduct of Operations</v>
          </cell>
        </row>
        <row r="38">
          <cell r="A38" t="str">
            <v>HLWSS</v>
          </cell>
          <cell r="B38">
            <v>13</v>
          </cell>
          <cell r="C38" t="str">
            <v>Flood</v>
          </cell>
          <cell r="D38" t="str">
            <v>A greater than 100-yr  rain event results in sheet flow that floods the storage area. Flooding may be exacerbated by plugged drainage channels or culverts.</v>
          </cell>
          <cell r="E38">
            <v>83000</v>
          </cell>
          <cell r="F38" t="str">
            <v>NA</v>
          </cell>
          <cell r="G38" t="str">
            <v>NA</v>
          </cell>
          <cell r="H38" t="str">
            <v>Gnd</v>
          </cell>
          <cell r="I38">
            <v>850</v>
          </cell>
          <cell r="J38" t="str">
            <v>U</v>
          </cell>
          <cell r="K38" t="str">
            <v>N</v>
          </cell>
          <cell r="L38" t="str">
            <v>N</v>
          </cell>
          <cell r="M38" t="str">
            <v>N</v>
          </cell>
          <cell r="N38" t="str">
            <v>N</v>
          </cell>
          <cell r="O38" t="str">
            <v>IV</v>
          </cell>
          <cell r="P38" t="str">
            <v>IV</v>
          </cell>
          <cell r="Q38" t="str">
            <v>IV</v>
          </cell>
          <cell r="R38" t="str">
            <v>IV</v>
          </cell>
          <cell r="S38" t="str">
            <v>NA</v>
          </cell>
          <cell r="T38" t="str">
            <v>NA</v>
          </cell>
          <cell r="U38" t="str">
            <v>Gnd</v>
          </cell>
          <cell r="V38">
            <v>850</v>
          </cell>
          <cell r="W38" t="str">
            <v>U</v>
          </cell>
          <cell r="X38" t="str">
            <v>N</v>
          </cell>
          <cell r="Y38" t="str">
            <v>N</v>
          </cell>
          <cell r="Z38" t="str">
            <v>N</v>
          </cell>
          <cell r="AA38" t="str">
            <v>N</v>
          </cell>
          <cell r="AB38" t="str">
            <v>IV</v>
          </cell>
          <cell r="AC38" t="str">
            <v>IV</v>
          </cell>
          <cell r="AD38" t="str">
            <v>IV</v>
          </cell>
          <cell r="AE38" t="str">
            <v>IV</v>
          </cell>
          <cell r="AF38" t="str">
            <v xml:space="preserve">Cask design provides isolation of stored waste from credible external water levels (ponding) due to flooding (i.e., no vent holes). MAR is entire inventory of radioactive material in HLWSS (Ref.WVNS-CAL-397, Table C-1, HLWSS).  </v>
          </cell>
          <cell r="AG38" t="str">
            <v>•  None</v>
          </cell>
          <cell r="AH38" t="str">
            <v>•  Siting of storage array in area away from areas of anticipated flooding</v>
          </cell>
          <cell r="AI38" t="str">
            <v>•  None</v>
          </cell>
          <cell r="AJ38" t="str">
            <v>•  None</v>
          </cell>
          <cell r="AK38" t="str">
            <v>•  None</v>
          </cell>
          <cell r="AL38" t="str">
            <v>•  Heavily reinforced 19.75" thick concrete VSC
•  Weld-sealed 3/8" thick steel MPC
•  Weld-sealed steel HLW canister
•  Borosilicate waste matrix that inhibits waste release and retards biological uptake due to stable chemical form</v>
          </cell>
          <cell r="AM38" t="str">
            <v>•  None</v>
          </cell>
          <cell r="AN38" t="str">
            <v>•  Radiological Protection Program
•  Performance Based Training Program
•  Conduct of Operations</v>
          </cell>
        </row>
        <row r="39">
          <cell r="A39" t="str">
            <v>HLWSS</v>
          </cell>
          <cell r="B39">
            <v>14</v>
          </cell>
          <cell r="C39" t="str">
            <v>Severe environmental conditions</v>
          </cell>
          <cell r="D39" t="str">
            <v>Severe weather patterns result in extended periods of extreme heat or cold.</v>
          </cell>
          <cell r="E39">
            <v>2500</v>
          </cell>
          <cell r="F39" t="str">
            <v>SS</v>
          </cell>
          <cell r="G39">
            <v>0</v>
          </cell>
          <cell r="H39" t="str">
            <v>Gnd</v>
          </cell>
          <cell r="I39">
            <v>850</v>
          </cell>
          <cell r="J39" t="str">
            <v>A</v>
          </cell>
          <cell r="K39" t="str">
            <v>N</v>
          </cell>
          <cell r="L39" t="str">
            <v>N</v>
          </cell>
          <cell r="M39" t="str">
            <v>N</v>
          </cell>
          <cell r="N39" t="str">
            <v>N</v>
          </cell>
          <cell r="O39" t="str">
            <v>IV</v>
          </cell>
          <cell r="P39" t="str">
            <v>IV</v>
          </cell>
          <cell r="Q39" t="str">
            <v>IV</v>
          </cell>
          <cell r="R39" t="str">
            <v>IV</v>
          </cell>
          <cell r="S39" t="str">
            <v>SS</v>
          </cell>
          <cell r="T39">
            <v>0</v>
          </cell>
          <cell r="U39" t="str">
            <v>Gnd</v>
          </cell>
          <cell r="V39">
            <v>850</v>
          </cell>
          <cell r="W39" t="str">
            <v>A</v>
          </cell>
          <cell r="X39" t="str">
            <v>N</v>
          </cell>
          <cell r="Y39" t="str">
            <v>N</v>
          </cell>
          <cell r="Z39" t="str">
            <v>N</v>
          </cell>
          <cell r="AA39" t="str">
            <v>N</v>
          </cell>
          <cell r="AB39" t="str">
            <v>IV</v>
          </cell>
          <cell r="AC39" t="str">
            <v>IV</v>
          </cell>
          <cell r="AD39" t="str">
            <v>IV</v>
          </cell>
          <cell r="AE39" t="str">
            <v>IV</v>
          </cell>
          <cell r="AF39" t="str">
            <v xml:space="preserve"> MAR is cask containing 5 HLW canisters each containing an amount of activity equal to the maximum HLW canister (Ref. WVNS-CAL-396).  </v>
          </cell>
          <cell r="AG39" t="str">
            <v>•  None</v>
          </cell>
          <cell r="AH39" t="str">
            <v>•  Storage system designed for a temperature range of -40 to 100 degrees Fahrenheit</v>
          </cell>
          <cell r="AI39" t="str">
            <v>•  None</v>
          </cell>
          <cell r="AJ39" t="str">
            <v>•  None</v>
          </cell>
          <cell r="AK39" t="str">
            <v>•  None</v>
          </cell>
          <cell r="AL39" t="str">
            <v>•  Weld-sealed 3/8" thick steel MPC
•  Weld-sealed steel HLW canister
•  Borosilicate waste matrix that inhibits waste release and retards biological uptake due to stable chemical form</v>
          </cell>
          <cell r="AM39" t="str">
            <v>•  None</v>
          </cell>
          <cell r="AN39" t="str">
            <v>•  None</v>
          </cell>
        </row>
        <row r="40">
          <cell r="A40" t="str">
            <v>HLWSS</v>
          </cell>
          <cell r="B40">
            <v>15</v>
          </cell>
          <cell r="C40" t="str">
            <v>High wind</v>
          </cell>
          <cell r="D40" t="str">
            <v>High straight winds produce airborne hazards that impact storage cask.</v>
          </cell>
          <cell r="E40">
            <v>83000</v>
          </cell>
          <cell r="F40" t="str">
            <v>SS</v>
          </cell>
          <cell r="G40">
            <v>0</v>
          </cell>
          <cell r="H40" t="str">
            <v>Gnd</v>
          </cell>
          <cell r="I40">
            <v>850</v>
          </cell>
          <cell r="J40" t="str">
            <v>A</v>
          </cell>
          <cell r="K40" t="str">
            <v>N</v>
          </cell>
          <cell r="L40" t="str">
            <v>N</v>
          </cell>
          <cell r="M40" t="str">
            <v>N</v>
          </cell>
          <cell r="N40" t="str">
            <v>N</v>
          </cell>
          <cell r="O40" t="str">
            <v>IV</v>
          </cell>
          <cell r="P40" t="str">
            <v>IV</v>
          </cell>
          <cell r="Q40" t="str">
            <v>IV</v>
          </cell>
          <cell r="R40" t="str">
            <v>IV</v>
          </cell>
          <cell r="S40" t="str">
            <v>SS</v>
          </cell>
          <cell r="T40">
            <v>0</v>
          </cell>
          <cell r="U40" t="str">
            <v>Gnd</v>
          </cell>
          <cell r="V40">
            <v>850</v>
          </cell>
          <cell r="W40" t="str">
            <v>A</v>
          </cell>
          <cell r="X40" t="str">
            <v>N</v>
          </cell>
          <cell r="Y40" t="str">
            <v>N</v>
          </cell>
          <cell r="Z40" t="str">
            <v>N</v>
          </cell>
          <cell r="AA40" t="str">
            <v>N</v>
          </cell>
          <cell r="AB40" t="str">
            <v>IV</v>
          </cell>
          <cell r="AC40" t="str">
            <v>IV</v>
          </cell>
          <cell r="AD40" t="str">
            <v>IV</v>
          </cell>
          <cell r="AE40" t="str">
            <v>IV</v>
          </cell>
          <cell r="AF40" t="str">
            <v xml:space="preserve">VSC determined to be stable against tip-over and sliding during high wind conditions (ref. NAC Calculation 630087-2010, Revision 0, MPC-WVDP VSC Structural Evaluation). MAR is entire inventory of radioactive material in HLWSS (Ref.WVNS-CAL-397, Table C-1, HLWSS).  </v>
          </cell>
          <cell r="AG40" t="str">
            <v>•  None</v>
          </cell>
          <cell r="AH40" t="str">
            <v>•  Cask construction details (reinforced concrete with 4-inch thick interior steel radial shield)
•  MPC design (welded steel confinement)</v>
          </cell>
          <cell r="AI40" t="str">
            <v>•  None</v>
          </cell>
          <cell r="AJ40" t="str">
            <v xml:space="preserve">•  Quality Assurance Program
•  Performance Based Training Program
•  Waste Management Program </v>
          </cell>
          <cell r="AK40" t="str">
            <v>•  None</v>
          </cell>
          <cell r="AL40"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0" t="str">
            <v>•  None</v>
          </cell>
          <cell r="AN40" t="str">
            <v>•  Radiological Protection Program
•  Emergency Response Program
•  Performance Based Training Program
•  Conduct of Operations</v>
          </cell>
        </row>
        <row r="41">
          <cell r="A41" t="str">
            <v>HLWSS</v>
          </cell>
          <cell r="B41">
            <v>16</v>
          </cell>
          <cell r="C41" t="str">
            <v>Seismic event</v>
          </cell>
          <cell r="D41" t="str">
            <v>Seismic accelerations impose loads on MPC/cask system (no tip over)</v>
          </cell>
          <cell r="E41">
            <v>83000</v>
          </cell>
          <cell r="F41" t="str">
            <v>SS</v>
          </cell>
          <cell r="G41">
            <v>0</v>
          </cell>
          <cell r="H41" t="str">
            <v>Gnd</v>
          </cell>
          <cell r="I41">
            <v>850</v>
          </cell>
          <cell r="J41" t="str">
            <v>U</v>
          </cell>
          <cell r="K41" t="str">
            <v>N</v>
          </cell>
          <cell r="L41" t="str">
            <v>N</v>
          </cell>
          <cell r="M41" t="str">
            <v>N</v>
          </cell>
          <cell r="N41" t="str">
            <v>N</v>
          </cell>
          <cell r="O41" t="str">
            <v>IV</v>
          </cell>
          <cell r="P41" t="str">
            <v>IV</v>
          </cell>
          <cell r="Q41" t="str">
            <v>IV</v>
          </cell>
          <cell r="R41" t="str">
            <v>IV</v>
          </cell>
          <cell r="S41" t="str">
            <v>SS</v>
          </cell>
          <cell r="T41">
            <v>0</v>
          </cell>
          <cell r="U41" t="str">
            <v>Gnd</v>
          </cell>
          <cell r="V41">
            <v>850</v>
          </cell>
          <cell r="W41" t="str">
            <v>U</v>
          </cell>
          <cell r="X41" t="str">
            <v>N</v>
          </cell>
          <cell r="Y41" t="str">
            <v>N</v>
          </cell>
          <cell r="Z41" t="str">
            <v>N</v>
          </cell>
          <cell r="AA41" t="str">
            <v>N</v>
          </cell>
          <cell r="AB41" t="str">
            <v>IV</v>
          </cell>
          <cell r="AC41" t="str">
            <v>IV</v>
          </cell>
          <cell r="AD41" t="str">
            <v>IV</v>
          </cell>
          <cell r="AE41" t="str">
            <v>IV</v>
          </cell>
          <cell r="AF41" t="str">
            <v xml:space="preserve"> MAR is entire inventory of radioactive material in HLWSS (Ref.WVNS-CAL-397, Table C-1, HLWSS).  </v>
          </cell>
          <cell r="AG41" t="str">
            <v>•  None</v>
          </cell>
          <cell r="AH41" t="str">
            <v>•  Cask construction details (reinforced concrete with 4-inch thick interior steel radial shield)
•  MPC design (welded steel confinement)
•  Seismically qualified storage pad
•  Low VSC center of gravity</v>
          </cell>
          <cell r="AI41" t="str">
            <v>•  None</v>
          </cell>
          <cell r="AJ41" t="str">
            <v>•  None</v>
          </cell>
          <cell r="AK41" t="str">
            <v>•  None</v>
          </cell>
          <cell r="AL4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1" t="str">
            <v>•  None</v>
          </cell>
          <cell r="AN41" t="str">
            <v>•  Radiological Protection Program
•  Emergency Response Program
•  Performance Based Training Program
•  Conduct of Operations</v>
          </cell>
        </row>
        <row r="42">
          <cell r="A42" t="str">
            <v>HLWSS</v>
          </cell>
          <cell r="B42">
            <v>17</v>
          </cell>
          <cell r="C42" t="str">
            <v>Seismic event (tip over)</v>
          </cell>
          <cell r="D42" t="str">
            <v>Seismic event causes tip over of storage cask.</v>
          </cell>
          <cell r="E42">
            <v>2500</v>
          </cell>
          <cell r="F42" t="str">
            <v>SS</v>
          </cell>
          <cell r="G42">
            <v>0</v>
          </cell>
          <cell r="H42" t="str">
            <v>Gnd</v>
          </cell>
          <cell r="I42">
            <v>850</v>
          </cell>
          <cell r="J42" t="str">
            <v>BEU</v>
          </cell>
          <cell r="K42" t="str">
            <v>N</v>
          </cell>
          <cell r="L42" t="str">
            <v>N</v>
          </cell>
          <cell r="M42" t="str">
            <v>N</v>
          </cell>
          <cell r="N42" t="str">
            <v>N</v>
          </cell>
          <cell r="O42" t="str">
            <v>IV</v>
          </cell>
          <cell r="P42" t="str">
            <v>IV</v>
          </cell>
          <cell r="Q42" t="str">
            <v>IV</v>
          </cell>
          <cell r="R42" t="str">
            <v>IV</v>
          </cell>
          <cell r="S42" t="str">
            <v>SS</v>
          </cell>
          <cell r="T42">
            <v>0</v>
          </cell>
          <cell r="U42" t="str">
            <v>Gnd</v>
          </cell>
          <cell r="V42">
            <v>850</v>
          </cell>
          <cell r="W42" t="str">
            <v>BEU</v>
          </cell>
          <cell r="X42" t="str">
            <v>N</v>
          </cell>
          <cell r="Y42" t="str">
            <v>N</v>
          </cell>
          <cell r="Z42" t="str">
            <v>N</v>
          </cell>
          <cell r="AA42" t="str">
            <v>N</v>
          </cell>
          <cell r="AB42" t="str">
            <v>IV</v>
          </cell>
          <cell r="AC42" t="str">
            <v>IV</v>
          </cell>
          <cell r="AD42" t="str">
            <v>IV</v>
          </cell>
          <cell r="AE42" t="str">
            <v>IV</v>
          </cell>
          <cell r="AF42" t="str">
            <v xml:space="preserve">VSC determined to be stable against tip-over under conditions (ref. NAC Calculation 630087-2010, Revision 0, MPC-WVDP VSC Structural Evaluation). MAR is cask containing 5 HLW canisters each containing an amount of activity equal to the maximum HLW canister (Ref. WVNS-CAL-396).  </v>
          </cell>
          <cell r="AG42" t="str">
            <v>•  None</v>
          </cell>
          <cell r="AH42" t="str">
            <v>•  None</v>
          </cell>
          <cell r="AI42" t="str">
            <v>•  None</v>
          </cell>
          <cell r="AJ42" t="str">
            <v>•  None</v>
          </cell>
          <cell r="AK42" t="str">
            <v>•  None</v>
          </cell>
          <cell r="AL42" t="str">
            <v>•  Heavily reinforced 19.75" thick concrete VSC
•  4" thick steel VSC shielding
•  Weld-sealed 3/8" thick steel MPC
•  Weld-sealed steel HLW canister
•  Borosilicate waste matrix that inhibits waste release and retards biological uptake due to stable chemical form</v>
          </cell>
          <cell r="AM42" t="str">
            <v>•  None</v>
          </cell>
          <cell r="AN42" t="str">
            <v>•  Radiological Protection Program
•  Emergency Response Program
•  Performance Based Training Program
•  Conduct of Operations</v>
          </cell>
        </row>
        <row r="43">
          <cell r="A43" t="str">
            <v>HLWSS</v>
          </cell>
          <cell r="B43">
            <v>18</v>
          </cell>
          <cell r="C43" t="str">
            <v>Tornado</v>
          </cell>
          <cell r="D43" t="str">
            <v>Large negative pressure created by tornado induces significant release of  contamination from storage cask</v>
          </cell>
          <cell r="E43">
            <v>83000</v>
          </cell>
          <cell r="F43" t="str">
            <v>SS</v>
          </cell>
          <cell r="G43">
            <v>0</v>
          </cell>
          <cell r="H43" t="str">
            <v>Gnd</v>
          </cell>
          <cell r="I43">
            <v>850</v>
          </cell>
          <cell r="J43" t="str">
            <v>U</v>
          </cell>
          <cell r="K43" t="str">
            <v>N</v>
          </cell>
          <cell r="L43" t="str">
            <v>N</v>
          </cell>
          <cell r="M43" t="str">
            <v>N</v>
          </cell>
          <cell r="N43" t="str">
            <v>N</v>
          </cell>
          <cell r="O43" t="str">
            <v>IV</v>
          </cell>
          <cell r="P43" t="str">
            <v>IV</v>
          </cell>
          <cell r="Q43" t="str">
            <v>IV</v>
          </cell>
          <cell r="R43" t="str">
            <v>IV</v>
          </cell>
          <cell r="S43" t="str">
            <v>SS</v>
          </cell>
          <cell r="T43">
            <v>0</v>
          </cell>
          <cell r="U43" t="str">
            <v>Gnd</v>
          </cell>
          <cell r="V43">
            <v>850</v>
          </cell>
          <cell r="W43" t="str">
            <v>BEU</v>
          </cell>
          <cell r="X43" t="str">
            <v>N</v>
          </cell>
          <cell r="Y43" t="str">
            <v>N</v>
          </cell>
          <cell r="Z43" t="str">
            <v>N</v>
          </cell>
          <cell r="AA43" t="str">
            <v>N</v>
          </cell>
          <cell r="AB43" t="str">
            <v>IV</v>
          </cell>
          <cell r="AC43" t="str">
            <v>IV</v>
          </cell>
          <cell r="AD43" t="str">
            <v>IV</v>
          </cell>
          <cell r="AE43" t="str">
            <v>IV</v>
          </cell>
          <cell r="AF43" t="str">
            <v xml:space="preserve">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 MAR is entire inventory of radioactive material in HLWSS (Ref.WVNS-CAL-397, Table C-1, HLWSS).  </v>
          </cell>
          <cell r="AG43" t="str">
            <v>•  None</v>
          </cell>
          <cell r="AH43"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cell r="AI43" t="str">
            <v>•  None</v>
          </cell>
          <cell r="AJ43" t="str">
            <v>•  None</v>
          </cell>
          <cell r="AK43" t="str">
            <v>•  None</v>
          </cell>
          <cell r="AL4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3" t="str">
            <v>•  None</v>
          </cell>
          <cell r="AN43" t="str">
            <v>•  Radiological Protection Program
•  Emergency Response Program
•  Performance Based Training Program
•  Conduct of Operations</v>
          </cell>
        </row>
        <row r="44">
          <cell r="A44" t="str">
            <v>HLWSS</v>
          </cell>
          <cell r="B44">
            <v>19</v>
          </cell>
          <cell r="C44" t="str">
            <v>Tornado</v>
          </cell>
          <cell r="D44" t="str">
            <v>Tornado borne missiles impact storage cask</v>
          </cell>
          <cell r="E44">
            <v>83000</v>
          </cell>
          <cell r="F44" t="str">
            <v>SS</v>
          </cell>
          <cell r="G44">
            <v>0</v>
          </cell>
          <cell r="H44" t="str">
            <v>Gnd</v>
          </cell>
          <cell r="I44">
            <v>850</v>
          </cell>
          <cell r="J44" t="str">
            <v>U</v>
          </cell>
          <cell r="K44" t="str">
            <v>N</v>
          </cell>
          <cell r="L44" t="str">
            <v>N</v>
          </cell>
          <cell r="M44" t="str">
            <v>N</v>
          </cell>
          <cell r="N44" t="str">
            <v>N</v>
          </cell>
          <cell r="O44" t="str">
            <v>IV</v>
          </cell>
          <cell r="P44" t="str">
            <v>IV</v>
          </cell>
          <cell r="Q44" t="str">
            <v>IV</v>
          </cell>
          <cell r="R44" t="str">
            <v>IV</v>
          </cell>
          <cell r="S44" t="str">
            <v>SS</v>
          </cell>
          <cell r="T44">
            <v>0</v>
          </cell>
          <cell r="U44" t="str">
            <v>Gnd</v>
          </cell>
          <cell r="V44">
            <v>850</v>
          </cell>
          <cell r="W44" t="str">
            <v>BEU</v>
          </cell>
          <cell r="X44" t="str">
            <v>N</v>
          </cell>
          <cell r="Y44" t="str">
            <v>N</v>
          </cell>
          <cell r="Z44" t="str">
            <v>N</v>
          </cell>
          <cell r="AA44" t="str">
            <v>N</v>
          </cell>
          <cell r="AB44" t="str">
            <v>IV</v>
          </cell>
          <cell r="AC44" t="str">
            <v>IV</v>
          </cell>
          <cell r="AD44" t="str">
            <v>IV</v>
          </cell>
          <cell r="AE44" t="str">
            <v>IV</v>
          </cell>
          <cell r="AF44" t="str">
            <v xml:space="preserve">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 MAR is entire inventory of radioactive material in HLWSS (Ref.WVNS-CAL-397, Table C-1, HLWSS).  </v>
          </cell>
          <cell r="AG44" t="str">
            <v>•  None</v>
          </cell>
          <cell r="AH44"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cell r="AI44" t="str">
            <v>•  None</v>
          </cell>
          <cell r="AJ44" t="str">
            <v>•  None</v>
          </cell>
          <cell r="AK44" t="str">
            <v>•  None</v>
          </cell>
          <cell r="AL44"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4" t="str">
            <v>•  None</v>
          </cell>
          <cell r="AN44" t="str">
            <v>•  Radiological Protection Program
•  Emergency Response Program
•  Performance Based Training Program
•  Conduct of Operations</v>
          </cell>
        </row>
        <row r="45">
          <cell r="A45" t="str">
            <v>HLWSS</v>
          </cell>
          <cell r="B45">
            <v>20</v>
          </cell>
          <cell r="C45" t="str">
            <v>Lightning</v>
          </cell>
          <cell r="D45" t="str">
            <v>Lightning strikes one of the casks</v>
          </cell>
          <cell r="E45">
            <v>2500</v>
          </cell>
          <cell r="F45" t="str">
            <v>SS</v>
          </cell>
          <cell r="G45">
            <v>0</v>
          </cell>
          <cell r="H45" t="str">
            <v>Gnd</v>
          </cell>
          <cell r="I45">
            <v>850</v>
          </cell>
          <cell r="J45" t="str">
            <v>U</v>
          </cell>
          <cell r="K45" t="str">
            <v>N</v>
          </cell>
          <cell r="L45" t="str">
            <v>N</v>
          </cell>
          <cell r="M45" t="str">
            <v>N</v>
          </cell>
          <cell r="N45" t="str">
            <v>N</v>
          </cell>
          <cell r="O45" t="str">
            <v>IV</v>
          </cell>
          <cell r="P45" t="str">
            <v>IV</v>
          </cell>
          <cell r="Q45" t="str">
            <v>IV</v>
          </cell>
          <cell r="R45" t="str">
            <v>IV</v>
          </cell>
          <cell r="S45" t="str">
            <v>SS</v>
          </cell>
          <cell r="T45">
            <v>0</v>
          </cell>
          <cell r="U45" t="str">
            <v>Gnd</v>
          </cell>
          <cell r="V45">
            <v>850</v>
          </cell>
          <cell r="W45" t="str">
            <v>U</v>
          </cell>
          <cell r="X45" t="str">
            <v>N</v>
          </cell>
          <cell r="Y45" t="str">
            <v>N</v>
          </cell>
          <cell r="Z45" t="str">
            <v>N</v>
          </cell>
          <cell r="AA45" t="str">
            <v>N</v>
          </cell>
          <cell r="AB45" t="str">
            <v>IV</v>
          </cell>
          <cell r="AC45" t="str">
            <v>IV</v>
          </cell>
          <cell r="AD45" t="str">
            <v>IV</v>
          </cell>
          <cell r="AE45" t="str">
            <v>IV</v>
          </cell>
          <cell r="AF45" t="str">
            <v xml:space="preserve">Waste protected by conductive shielding of cask interior.  MAR is cask containing 5 HLW canisters each containing an amount of activity equal to the maximum HLW canister (Ref. WVNS-CAL-396).  </v>
          </cell>
          <cell r="AG45" t="str">
            <v>•  None</v>
          </cell>
          <cell r="AH45" t="str">
            <v>•  VSCs located on storage pad are within 500 feet of 197-ft tall meteorological tower
•  Lighting/camera poles at each corner of storage pad</v>
          </cell>
          <cell r="AI45" t="str">
            <v>•  None</v>
          </cell>
          <cell r="AJ45" t="str">
            <v xml:space="preserve">•  Quality Assurance Program
•  Waste Management Program </v>
          </cell>
          <cell r="AK45" t="str">
            <v>•  None</v>
          </cell>
          <cell r="AL45" t="str">
            <v>•  Weld-sealed 3/8" thick steel MPC
•  Weld-sealed steel HLW canister</v>
          </cell>
          <cell r="AM45" t="str">
            <v>•  None</v>
          </cell>
          <cell r="AN45" t="str">
            <v>•  Radiological Protection Program
•  Emergency Response Program
•  Fire Protection Program
•  Performance Based Training Program
•  Conduct of Operations</v>
          </cell>
        </row>
        <row r="46">
          <cell r="A46" t="str">
            <v>HLWSS</v>
          </cell>
          <cell r="B46">
            <v>21</v>
          </cell>
          <cell r="C46" t="str">
            <v>Aircraft impact with fire</v>
          </cell>
          <cell r="D46" t="str">
            <v>Small general aviation aircraft or helicopter crashes and a fire ensues</v>
          </cell>
          <cell r="E46">
            <v>83000</v>
          </cell>
          <cell r="F46" t="str">
            <v>SS</v>
          </cell>
          <cell r="G46">
            <v>0</v>
          </cell>
          <cell r="H46" t="str">
            <v>Gnd</v>
          </cell>
          <cell r="I46">
            <v>850</v>
          </cell>
          <cell r="J46" t="str">
            <v>BEU</v>
          </cell>
          <cell r="K46" t="str">
            <v>N</v>
          </cell>
          <cell r="L46" t="str">
            <v>N</v>
          </cell>
          <cell r="M46" t="str">
            <v>N</v>
          </cell>
          <cell r="N46" t="str">
            <v>N</v>
          </cell>
          <cell r="O46" t="str">
            <v>IV</v>
          </cell>
          <cell r="P46" t="str">
            <v>IV</v>
          </cell>
          <cell r="Q46" t="str">
            <v>IV</v>
          </cell>
          <cell r="R46" t="str">
            <v>IV</v>
          </cell>
          <cell r="S46" t="str">
            <v>SS</v>
          </cell>
          <cell r="T46">
            <v>0</v>
          </cell>
          <cell r="U46" t="str">
            <v>Gnd</v>
          </cell>
          <cell r="V46">
            <v>850</v>
          </cell>
          <cell r="W46" t="str">
            <v>BEU</v>
          </cell>
          <cell r="X46" t="str">
            <v>N</v>
          </cell>
          <cell r="Y46" t="str">
            <v>N</v>
          </cell>
          <cell r="Z46" t="str">
            <v>N</v>
          </cell>
          <cell r="AA46" t="str">
            <v>N</v>
          </cell>
          <cell r="AB46" t="str">
            <v>IV</v>
          </cell>
          <cell r="AC46" t="str">
            <v>IV</v>
          </cell>
          <cell r="AD46" t="str">
            <v>IV</v>
          </cell>
          <cell r="AE46" t="str">
            <v>IV</v>
          </cell>
          <cell r="AF46" t="str">
            <v xml:space="preserve"> MAR is entire inventory of radioactive material in HLWSS (Ref.WVNS-CAL-397, Table C-1, HLWSS).  </v>
          </cell>
          <cell r="AG46" t="str">
            <v>•  None</v>
          </cell>
          <cell r="AH46" t="str">
            <v>•  None</v>
          </cell>
          <cell r="AI46" t="str">
            <v>•  None</v>
          </cell>
          <cell r="AJ46" t="str">
            <v>•  None</v>
          </cell>
          <cell r="AK46" t="str">
            <v>•  None</v>
          </cell>
          <cell r="AL46"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6" t="str">
            <v>• SAC for APPROVED CONTAINER use</v>
          </cell>
          <cell r="AN46" t="str">
            <v>•  Radiological Protection Program
•  Emergency Response Program
•  Fire Protection Program
•  Performance Based Training Program
•  Conduct of Operations</v>
          </cell>
        </row>
        <row r="47">
          <cell r="A47" t="str">
            <v>HLWSS</v>
          </cell>
          <cell r="B47">
            <v>22</v>
          </cell>
          <cell r="C47" t="str">
            <v>Loss of airborne contamination confinement</v>
          </cell>
          <cell r="D47" t="str">
            <v>Weld degradation and waste form embrittlement results in loss of container integrity and airborne contamination release</v>
          </cell>
          <cell r="E47">
            <v>2500</v>
          </cell>
          <cell r="F47" t="str">
            <v>SS</v>
          </cell>
          <cell r="G47">
            <v>0</v>
          </cell>
          <cell r="H47" t="str">
            <v>Gnd</v>
          </cell>
          <cell r="I47">
            <v>850</v>
          </cell>
          <cell r="J47" t="str">
            <v>EU</v>
          </cell>
          <cell r="K47" t="str">
            <v>N</v>
          </cell>
          <cell r="L47" t="str">
            <v>N</v>
          </cell>
          <cell r="M47" t="str">
            <v>N</v>
          </cell>
          <cell r="N47" t="str">
            <v>N</v>
          </cell>
          <cell r="O47" t="str">
            <v>IV</v>
          </cell>
          <cell r="P47" t="str">
            <v>IV</v>
          </cell>
          <cell r="Q47" t="str">
            <v>IV</v>
          </cell>
          <cell r="R47" t="str">
            <v>IV</v>
          </cell>
          <cell r="S47" t="str">
            <v>SS</v>
          </cell>
          <cell r="T47">
            <v>0</v>
          </cell>
          <cell r="U47" t="str">
            <v>Gnd</v>
          </cell>
          <cell r="V47">
            <v>850</v>
          </cell>
          <cell r="W47" t="str">
            <v>BEU</v>
          </cell>
          <cell r="X47" t="str">
            <v>N</v>
          </cell>
          <cell r="Y47" t="str">
            <v>N</v>
          </cell>
          <cell r="Z47" t="str">
            <v>N</v>
          </cell>
          <cell r="AA47" t="str">
            <v>N</v>
          </cell>
          <cell r="AB47" t="str">
            <v>IV</v>
          </cell>
          <cell r="AC47" t="str">
            <v>IV</v>
          </cell>
          <cell r="AD47" t="str">
            <v>IV</v>
          </cell>
          <cell r="AE47" t="str">
            <v>IV</v>
          </cell>
          <cell r="AF47" t="str">
            <v xml:space="preserve"> MAR is cask containing 5 HLW canisters each containing an amount of activity equal to the maximum HLW canister (Ref. WVNS-CAL-396).  </v>
          </cell>
          <cell r="AG47" t="str">
            <v>•  None</v>
          </cell>
          <cell r="AH47" t="str">
            <v>•  Welded seals on HLW canister and MPC
•  HEPA filter vents on waste drums
•  Gasketed seals on waste drums on VSC</v>
          </cell>
          <cell r="AI47" t="str">
            <v>•  None</v>
          </cell>
          <cell r="AJ47" t="str">
            <v>•  Quality Assurance Program
•  Fire Protection Program
•  Performance Based Training Program
•  Maintenance Program
•  Conduct of Operations</v>
          </cell>
          <cell r="AK47" t="str">
            <v>•  None</v>
          </cell>
          <cell r="AL47" t="str">
            <v>•  Weld-sealed MPC
•  Weld-sealed steel HLW canister
•  Borosilicate waste matrix</v>
          </cell>
          <cell r="AM47" t="str">
            <v>•  None</v>
          </cell>
          <cell r="AN47" t="str">
            <v>•  Radiological Protection Program
•  Performance Based Training Program
•  Conduct of Operations</v>
          </cell>
        </row>
        <row r="48">
          <cell r="A48" t="str">
            <v>HLWSS</v>
          </cell>
          <cell r="B48">
            <v>23</v>
          </cell>
          <cell r="C48" t="str">
            <v>External vehicle accident</v>
          </cell>
          <cell r="D48" t="str">
            <v>Impact of waste on storage pad by vehicle having a speed that can't be reasonably assumed to be &lt;~10 mph</v>
          </cell>
          <cell r="E48">
            <v>83000</v>
          </cell>
          <cell r="F48" t="str">
            <v>E16</v>
          </cell>
          <cell r="G48">
            <v>0.1</v>
          </cell>
          <cell r="H48" t="str">
            <v>Gnd</v>
          </cell>
          <cell r="I48">
            <v>850</v>
          </cell>
          <cell r="J48" t="str">
            <v>U</v>
          </cell>
          <cell r="K48" t="str">
            <v>H</v>
          </cell>
          <cell r="L48" t="str">
            <v>H</v>
          </cell>
          <cell r="M48" t="str">
            <v>N</v>
          </cell>
          <cell r="N48" t="str">
            <v>N</v>
          </cell>
          <cell r="O48" t="str">
            <v>I</v>
          </cell>
          <cell r="P48" t="str">
            <v>I</v>
          </cell>
          <cell r="Q48" t="str">
            <v>IV</v>
          </cell>
          <cell r="R48" t="str">
            <v>IV</v>
          </cell>
          <cell r="S48" t="str">
            <v>E16</v>
          </cell>
          <cell r="T48">
            <v>0</v>
          </cell>
          <cell r="U48" t="str">
            <v>Gnd</v>
          </cell>
          <cell r="V48">
            <v>850</v>
          </cell>
          <cell r="W48" t="str">
            <v>EU</v>
          </cell>
          <cell r="X48" t="str">
            <v>N</v>
          </cell>
          <cell r="Y48" t="str">
            <v>N</v>
          </cell>
          <cell r="Z48" t="str">
            <v>N</v>
          </cell>
          <cell r="AA48" t="str">
            <v>N</v>
          </cell>
          <cell r="AB48" t="str">
            <v>IV</v>
          </cell>
          <cell r="AC48" t="str">
            <v>IV</v>
          </cell>
          <cell r="AD48" t="str">
            <v>IV</v>
          </cell>
          <cell r="AE48" t="str">
            <v>IV</v>
          </cell>
          <cell r="AF48" t="str">
            <v xml:space="preserve">Impact by vehicle having a speed that can't be reasonably assumed to be &lt;~10 mph (e.g., plow truck, vendor/ subcontractor vehicle, etc.).  MAR is entire inventory of radioactive material in HLWSS (Ref.WVNS-CAL-397, Table C-1, HLWSS).  </v>
          </cell>
          <cell r="AG48" t="str">
            <v>•  None</v>
          </cell>
          <cell r="AH48" t="str">
            <v>•  Physical barriers such as Jersey barriers to protect from vehicle impacts</v>
          </cell>
          <cell r="AI48" t="str">
            <v>• SAC for TRU waste drum fire protection
• SAC for TRU waste container physical protection</v>
          </cell>
          <cell r="AJ48" t="str">
            <v xml:space="preserve">•  Quality Assurance Program
•  Performance Based Training Program
•  Waste Management Program </v>
          </cell>
          <cell r="AK48" t="str">
            <v>•  None</v>
          </cell>
          <cell r="AL48"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8" t="str">
            <v>•  None</v>
          </cell>
          <cell r="AN48" t="str">
            <v>•  Emergency Response Program
•  Radiological Protection Program</v>
          </cell>
        </row>
        <row r="49">
          <cell r="A49" t="str">
            <v>HLWSS</v>
          </cell>
          <cell r="B49">
            <v>24</v>
          </cell>
          <cell r="C49" t="str">
            <v>External vehicle accident with fire</v>
          </cell>
          <cell r="D49" t="str">
            <v>Impact of waste on storage pad by vehicle having a speed that can't be reasonably assumed to be &lt;~10 mph accompanied by fire</v>
          </cell>
          <cell r="E49">
            <v>83000</v>
          </cell>
          <cell r="F49" t="str">
            <v>E17</v>
          </cell>
          <cell r="G49">
            <v>1</v>
          </cell>
          <cell r="H49" t="str">
            <v>Gnd</v>
          </cell>
          <cell r="I49">
            <v>850</v>
          </cell>
          <cell r="J49" t="str">
            <v>EU</v>
          </cell>
          <cell r="K49" t="str">
            <v>H</v>
          </cell>
          <cell r="L49" t="str">
            <v>H</v>
          </cell>
          <cell r="M49" t="str">
            <v>N</v>
          </cell>
          <cell r="N49" t="str">
            <v>N</v>
          </cell>
          <cell r="O49" t="str">
            <v>II</v>
          </cell>
          <cell r="P49" t="str">
            <v>II</v>
          </cell>
          <cell r="Q49" t="str">
            <v>IV</v>
          </cell>
          <cell r="R49" t="str">
            <v>IV</v>
          </cell>
          <cell r="S49" t="str">
            <v>E17</v>
          </cell>
          <cell r="T49">
            <v>0</v>
          </cell>
          <cell r="U49" t="str">
            <v>Gnd</v>
          </cell>
          <cell r="V49">
            <v>850</v>
          </cell>
          <cell r="W49" t="str">
            <v>EU</v>
          </cell>
          <cell r="X49" t="str">
            <v>N</v>
          </cell>
          <cell r="Y49" t="str">
            <v>N</v>
          </cell>
          <cell r="Z49" t="str">
            <v>N</v>
          </cell>
          <cell r="AA49" t="str">
            <v>N</v>
          </cell>
          <cell r="AB49" t="str">
            <v>IV</v>
          </cell>
          <cell r="AC49" t="str">
            <v>IV</v>
          </cell>
          <cell r="AD49" t="str">
            <v>IV</v>
          </cell>
          <cell r="AE49" t="str">
            <v>IV</v>
          </cell>
          <cell r="AF49" t="str">
            <v xml:space="preserve">Impact by vehicle having a speed that can't be reasonably assumed to be &lt;~10 mph (e.g., plow truck, vendor/ subcontractor vehicle, etc.).  MAR is entire inventory of radioactive material in HLWSS (Ref.WVNS-CAL-397, Table C-1, HLWSS).  </v>
          </cell>
          <cell r="AG49" t="str">
            <v>•  None</v>
          </cell>
          <cell r="AH49" t="str">
            <v>•  Physical barriers such as Jersey barriers to protect from vehicle impacts</v>
          </cell>
          <cell r="AI49" t="str">
            <v>• SAC for TRU waste drum fire protection
• SAC for TRU waste container physical protection</v>
          </cell>
          <cell r="AJ49" t="str">
            <v xml:space="preserve">•  Quality Assurance Program
•  Performance Based Training Program
•  Waste Management Program </v>
          </cell>
          <cell r="AK49" t="str">
            <v>•  None</v>
          </cell>
          <cell r="AL4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9" t="str">
            <v>•  None</v>
          </cell>
          <cell r="AN49" t="str">
            <v>•  Radiological Protection Program
•  Emergency Response Program
•  Fire Protection Program
•  Performance Based Training Program
•  Conduct of Operations</v>
          </cell>
        </row>
        <row r="50">
          <cell r="A50" t="str">
            <v>LSA</v>
          </cell>
          <cell r="B50">
            <v>1</v>
          </cell>
          <cell r="C50" t="str">
            <v>Localized flammable liquid pool fire</v>
          </cell>
          <cell r="D50"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50">
            <v>2100</v>
          </cell>
          <cell r="F50" t="str">
            <v>E01</v>
          </cell>
          <cell r="G50">
            <v>1</v>
          </cell>
          <cell r="H50" t="str">
            <v>Gnd</v>
          </cell>
          <cell r="I50">
            <v>850</v>
          </cell>
          <cell r="J50" t="str">
            <v>U</v>
          </cell>
          <cell r="K50" t="str">
            <v>H</v>
          </cell>
          <cell r="L50" t="str">
            <v>H</v>
          </cell>
          <cell r="M50" t="str">
            <v>N</v>
          </cell>
          <cell r="N50" t="str">
            <v>N</v>
          </cell>
          <cell r="O50" t="str">
            <v>I</v>
          </cell>
          <cell r="P50" t="str">
            <v>I</v>
          </cell>
          <cell r="Q50" t="str">
            <v>IV</v>
          </cell>
          <cell r="R50" t="str">
            <v>IV</v>
          </cell>
          <cell r="S50" t="str">
            <v>E01</v>
          </cell>
          <cell r="T50">
            <v>4.7999999999999996E-3</v>
          </cell>
          <cell r="U50" t="str">
            <v>Gnd</v>
          </cell>
          <cell r="V50">
            <v>850</v>
          </cell>
          <cell r="W50" t="str">
            <v>EU</v>
          </cell>
          <cell r="X50" t="str">
            <v>L</v>
          </cell>
          <cell r="Y50" t="str">
            <v>L</v>
          </cell>
          <cell r="Z50" t="str">
            <v>N</v>
          </cell>
          <cell r="AA50" t="str">
            <v>N</v>
          </cell>
          <cell r="AB50" t="str">
            <v>IV</v>
          </cell>
          <cell r="AC50" t="str">
            <v>IV</v>
          </cell>
          <cell r="AD50" t="str">
            <v>IV</v>
          </cell>
          <cell r="AE50" t="str">
            <v>IV</v>
          </cell>
          <cell r="AF50" t="str">
            <v>APPROVED CONTAINERS credited with limiting the propagation of fire in a storage array.  MAR is entire inventory of radioactive material in WVDP packaged waste (exclusive of HLW) (Ref.WVNS-CAL-397, Table C-1).  DR reflects TSR to protect arrays of TRU waste containing greater than 10 PE-Ci from spills of flammable/ combustible liquids</v>
          </cell>
          <cell r="AG50" t="str">
            <v>•  None</v>
          </cell>
          <cell r="AH50" t="str">
            <v>•  None</v>
          </cell>
          <cell r="AI50" t="str">
            <v>•  SAC for TRU waste drum fire protection
•  SAC for TRU waste container physical protection</v>
          </cell>
          <cell r="AJ50" t="str">
            <v xml:space="preserve">•  Quality Assurance Program
•  Fire Protection Program
•  Performance Based Training Program
•  Maintenance Program
•  Conduct of Operations
•  Waste Management Program </v>
          </cell>
          <cell r="AK50" t="str">
            <v>•  APPROVED CONTAINERS used for TRU waste storage
•  TSR-compliant packaging for high activity TRU waste</v>
          </cell>
          <cell r="AL50" t="str">
            <v>•  Steel-deck pallets that limit direct flame impingement on TRU containers
•  Banding of drums on pallets</v>
          </cell>
          <cell r="AM50" t="str">
            <v>•  SAC for APPROVED CONTAINER use
•  SAC for facility inventory control</v>
          </cell>
          <cell r="AN50" t="str">
            <v>•  Radiological Protection Program
•  Emergency Response Program
•  Fire Protection Program
•  Performance Based Training Program
•  Conduct of Operations</v>
          </cell>
        </row>
        <row r="51">
          <cell r="A51" t="str">
            <v>LSA</v>
          </cell>
          <cell r="B51">
            <v>2</v>
          </cell>
          <cell r="C51" t="str">
            <v>Small combustible material fire</v>
          </cell>
          <cell r="D51" t="str">
            <v>Fire occurs in a facility area that impacts TRU waste. Includes accidents initiated due to pyrophoric reactions or reactions involving incompatible wastes.</v>
          </cell>
          <cell r="E51">
            <v>360</v>
          </cell>
          <cell r="F51" t="str">
            <v>E02</v>
          </cell>
          <cell r="G51">
            <v>1</v>
          </cell>
          <cell r="H51" t="str">
            <v>Gnd</v>
          </cell>
          <cell r="I51">
            <v>850</v>
          </cell>
          <cell r="J51" t="str">
            <v>A</v>
          </cell>
          <cell r="K51" t="str">
            <v>H</v>
          </cell>
          <cell r="L51" t="str">
            <v>H</v>
          </cell>
          <cell r="M51" t="str">
            <v>N</v>
          </cell>
          <cell r="N51" t="str">
            <v>N</v>
          </cell>
          <cell r="O51" t="str">
            <v>I</v>
          </cell>
          <cell r="P51" t="str">
            <v>I</v>
          </cell>
          <cell r="Q51" t="str">
            <v>IV</v>
          </cell>
          <cell r="R51" t="str">
            <v>IV</v>
          </cell>
          <cell r="S51" t="str">
            <v>E02</v>
          </cell>
          <cell r="T51">
            <v>2.8E-3</v>
          </cell>
          <cell r="U51" t="str">
            <v>Gnd</v>
          </cell>
          <cell r="V51">
            <v>850</v>
          </cell>
          <cell r="W51" t="str">
            <v>U</v>
          </cell>
          <cell r="X51" t="str">
            <v>L</v>
          </cell>
          <cell r="Y51" t="str">
            <v>L</v>
          </cell>
          <cell r="Z51" t="str">
            <v>N</v>
          </cell>
          <cell r="AA51" t="str">
            <v>N</v>
          </cell>
          <cell r="AB51" t="str">
            <v>III</v>
          </cell>
          <cell r="AC51" t="str">
            <v>III</v>
          </cell>
          <cell r="AD51" t="str">
            <v>IV</v>
          </cell>
          <cell r="AE51" t="str">
            <v>IV</v>
          </cell>
          <cell r="AF51" t="str">
            <v>Fire Protection (hot work controls), Radiation Protection, and Waste Management Programs credited with minimizing probability and consequences of fire event.  MAR assumes that waste is unconfined combustible.  MAR is activity in maximally loaded 2-drum Interim Storage Container (Ref. WVNS-CAL-397, Table A-2).  DR reflects TSR that limits the amount of TRU waste that may be outside of an APPROVED CONTAINER to 1.0 PE-Ci.</v>
          </cell>
          <cell r="AG51" t="str">
            <v>•  None</v>
          </cell>
          <cell r="AH51" t="str">
            <v>•  None</v>
          </cell>
          <cell r="AI51" t="str">
            <v>•  None</v>
          </cell>
          <cell r="AJ51" t="str">
            <v xml:space="preserve">•  Quality Assurance Program
•  Fire Protection Program
-   “Hot work” controls
-   Combustible material control program
•  Performance Based Training Program
•  Maintenance Program
•  Conduct of Operations
•  Waste Management Program </v>
          </cell>
          <cell r="AK51" t="str">
            <v>•  APPROVED CONTAINERS used for TRU waste storage
•  TSR-compliant packaging for high activity TRU waste</v>
          </cell>
          <cell r="AL51" t="str">
            <v>•  Automatic fixed FM-200 fire suppression system in CSPF</v>
          </cell>
          <cell r="AM51" t="str">
            <v>•  SAC for APPROVED CONTAINER use
•  SAC for facility inventory control</v>
          </cell>
          <cell r="AN51" t="str">
            <v>•  Radiological Protection Program
•  Emergency Response Program
•  Fire Protection Program
•  Performance Based Training Program
•  Conduct of Operations</v>
          </cell>
        </row>
        <row r="52">
          <cell r="A52" t="str">
            <v>LSA</v>
          </cell>
          <cell r="B52">
            <v>3</v>
          </cell>
          <cell r="C52" t="str">
            <v>Large fire</v>
          </cell>
          <cell r="D52" t="str">
            <v>Fire affecting a large portion of LSA-3 or LSA-4. Fire impacts more than a localized area containing TRU waste containers. Facility fire may be initiated by a liquid pool fire, but waste exposure is to burning combustible materials and not burning liquid.</v>
          </cell>
          <cell r="E52">
            <v>2100</v>
          </cell>
          <cell r="F52" t="str">
            <v>E04</v>
          </cell>
          <cell r="G52">
            <v>0.5</v>
          </cell>
          <cell r="H52" t="str">
            <v>Gnd</v>
          </cell>
          <cell r="I52">
            <v>850</v>
          </cell>
          <cell r="J52" t="str">
            <v>U</v>
          </cell>
          <cell r="K52" t="str">
            <v>H</v>
          </cell>
          <cell r="L52" t="str">
            <v>H</v>
          </cell>
          <cell r="M52" t="str">
            <v>N</v>
          </cell>
          <cell r="N52" t="str">
            <v>N</v>
          </cell>
          <cell r="O52" t="str">
            <v>I</v>
          </cell>
          <cell r="P52" t="str">
            <v>I</v>
          </cell>
          <cell r="Q52" t="str">
            <v>IV</v>
          </cell>
          <cell r="R52" t="str">
            <v>IV</v>
          </cell>
          <cell r="S52" t="str">
            <v>E04</v>
          </cell>
          <cell r="T52">
            <v>3.3500000000000002E-2</v>
          </cell>
          <cell r="U52" t="str">
            <v>Gnd</v>
          </cell>
          <cell r="V52">
            <v>850</v>
          </cell>
          <cell r="W52" t="str">
            <v>EU</v>
          </cell>
          <cell r="X52" t="str">
            <v>M</v>
          </cell>
          <cell r="Y52" t="str">
            <v>M</v>
          </cell>
          <cell r="Z52" t="str">
            <v>N</v>
          </cell>
          <cell r="AA52" t="str">
            <v>N</v>
          </cell>
          <cell r="AB52" t="str">
            <v>III</v>
          </cell>
          <cell r="AC52" t="str">
            <v>III</v>
          </cell>
          <cell r="AD52" t="str">
            <v>IV</v>
          </cell>
          <cell r="AE52" t="str">
            <v>IV</v>
          </cell>
          <cell r="AF52" t="str">
            <v>Combustibles in area are minimized through site combustible material control requirements. APPROVED CONTAINERS credited with limiting the propagation of fire in a storage array.  MAR is entire inventory of radioactive material in WVDP packaged waste (exclusive of HLW) (Ref.WVNS-CAL-397, Table C-1).  DR assumes impacted material to be all drummed CH TRU waste (i.e., waste not in shielded overpacks) per Exhibit 1 of WVNS-CAL-397. MAR very conservative since release fraction applies only to drums exposed to critical heat flux.</v>
          </cell>
          <cell r="AG52" t="str">
            <v>•  None</v>
          </cell>
          <cell r="AH52" t="str">
            <v>•  None</v>
          </cell>
          <cell r="AI52" t="str">
            <v>•  None</v>
          </cell>
          <cell r="AJ52" t="str">
            <v xml:space="preserve">•  Quality Assurance Program
•  Fire Protection Program
-   “Hot work” controls
-   Combustible material control program
•  Performance Based Training Program
•  Maintenance Program
•  Waste Management Program </v>
          </cell>
          <cell r="AK52" t="str">
            <v>•   APPROVED CONTAINERS used for TRU waste storage
•   TSR-compliant packaging for high activity TRU waste</v>
          </cell>
          <cell r="AL52" t="str">
            <v>•  Automatic fixed FM-200 fire suppression system in CSPF
•  Wet pipe sprinkler system in Shipping Depot</v>
          </cell>
          <cell r="AM52" t="str">
            <v>•  SAC for APPROVED CONTAINER use
•  SAC for facility inventory control</v>
          </cell>
          <cell r="AN52" t="str">
            <v>•  Radiological Protection Program
•  Emergency Response Program
•  Fire Protection Program
•  Performance Based Training Program
•  Conduct of Operations</v>
          </cell>
        </row>
        <row r="53">
          <cell r="A53" t="str">
            <v>LSA</v>
          </cell>
          <cell r="B53">
            <v>4</v>
          </cell>
          <cell r="C53" t="str">
            <v>Localized explosion external to container</v>
          </cell>
          <cell r="D53"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53">
            <v>360</v>
          </cell>
          <cell r="F53" t="str">
            <v>E05</v>
          </cell>
          <cell r="G53">
            <v>1</v>
          </cell>
          <cell r="H53" t="str">
            <v>Gnd</v>
          </cell>
          <cell r="I53">
            <v>850</v>
          </cell>
          <cell r="J53" t="str">
            <v>A</v>
          </cell>
          <cell r="K53" t="str">
            <v>H</v>
          </cell>
          <cell r="L53" t="str">
            <v>M</v>
          </cell>
          <cell r="M53" t="str">
            <v>N</v>
          </cell>
          <cell r="N53" t="str">
            <v>N</v>
          </cell>
          <cell r="O53" t="str">
            <v>I</v>
          </cell>
          <cell r="P53" t="str">
            <v>I</v>
          </cell>
          <cell r="Q53" t="str">
            <v>IV</v>
          </cell>
          <cell r="R53" t="str">
            <v>IV</v>
          </cell>
          <cell r="S53" t="str">
            <v>E05</v>
          </cell>
          <cell r="T53">
            <v>2.8000000000000001E-2</v>
          </cell>
          <cell r="U53" t="str">
            <v>Gnd</v>
          </cell>
          <cell r="V53">
            <v>850</v>
          </cell>
          <cell r="W53" t="str">
            <v>U</v>
          </cell>
          <cell r="X53" t="str">
            <v>L</v>
          </cell>
          <cell r="Y53" t="str">
            <v>L</v>
          </cell>
          <cell r="Z53" t="str">
            <v>N</v>
          </cell>
          <cell r="AA53" t="str">
            <v>N</v>
          </cell>
          <cell r="AB53" t="str">
            <v>III</v>
          </cell>
          <cell r="AC53" t="str">
            <v>III</v>
          </cell>
          <cell r="AD53" t="str">
            <v>IV</v>
          </cell>
          <cell r="AE53" t="str">
            <v>IV</v>
          </cell>
          <cell r="AF53"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53" t="str">
            <v>•  None</v>
          </cell>
          <cell r="AH53" t="str">
            <v>•  Flammable material storage lockers
•  Compressed gas storage racks</v>
          </cell>
          <cell r="AI53" t="str">
            <v>•  None</v>
          </cell>
          <cell r="AJ53" t="str">
            <v xml:space="preserve">•  Quality Assurance Program
•  Fire Protection Program
•  Performance Based Training Program
•  Maintenance Program
•  Waste Management Program </v>
          </cell>
          <cell r="AK53" t="str">
            <v>•   APPROVED CONTAINERS used for TRU waste storage
•   TSR-compliant packaging for high activity TRU waste</v>
          </cell>
          <cell r="AL53" t="str">
            <v>•  None</v>
          </cell>
          <cell r="AM53" t="str">
            <v>•  SAC for APPROVED CONTAINER use
•  SAC for facility inventory control</v>
          </cell>
          <cell r="AN53" t="str">
            <v>•  Radiological Protection Program
•  Emergency Response Program
•  Fire Protection Program
•  Performance Based Training Program
•  Conduct of Operations</v>
          </cell>
        </row>
        <row r="54">
          <cell r="A54" t="str">
            <v>LSA</v>
          </cell>
          <cell r="B54">
            <v>5</v>
          </cell>
          <cell r="C54" t="str">
            <v>Waste container deflagration</v>
          </cell>
          <cell r="D54" t="str">
            <v>Hydrogen or other flammable/explosive gases inside a container is ignited.</v>
          </cell>
          <cell r="E54">
            <v>360</v>
          </cell>
          <cell r="F54" t="str">
            <v>E06</v>
          </cell>
          <cell r="G54">
            <v>1</v>
          </cell>
          <cell r="H54" t="str">
            <v>Gnd</v>
          </cell>
          <cell r="I54">
            <v>850</v>
          </cell>
          <cell r="J54" t="str">
            <v>U</v>
          </cell>
          <cell r="K54" t="str">
            <v>H</v>
          </cell>
          <cell r="L54" t="str">
            <v>M</v>
          </cell>
          <cell r="M54" t="str">
            <v>N</v>
          </cell>
          <cell r="N54" t="str">
            <v>N</v>
          </cell>
          <cell r="O54" t="str">
            <v>I</v>
          </cell>
          <cell r="P54" t="str">
            <v>II</v>
          </cell>
          <cell r="Q54" t="str">
            <v>IV</v>
          </cell>
          <cell r="R54" t="str">
            <v>IV</v>
          </cell>
          <cell r="S54" t="str">
            <v>E06</v>
          </cell>
          <cell r="T54">
            <v>0.25</v>
          </cell>
          <cell r="U54" t="str">
            <v>Gnd</v>
          </cell>
          <cell r="V54">
            <v>850</v>
          </cell>
          <cell r="W54" t="str">
            <v>EU</v>
          </cell>
          <cell r="X54" t="str">
            <v>M</v>
          </cell>
          <cell r="Y54" t="str">
            <v>M</v>
          </cell>
          <cell r="Z54" t="str">
            <v>N</v>
          </cell>
          <cell r="AA54" t="str">
            <v>N</v>
          </cell>
          <cell r="AB54" t="str">
            <v>III</v>
          </cell>
          <cell r="AC54" t="str">
            <v>III</v>
          </cell>
          <cell r="AD54" t="str">
            <v>IV</v>
          </cell>
          <cell r="AE54" t="str">
            <v>IV</v>
          </cell>
          <cell r="AF54"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54" t="str">
            <v>•  None</v>
          </cell>
          <cell r="AH54" t="str">
            <v>•  HEPA filter vents on waste containers
•  Non-sparking tools for containers suspected of containing high concentrations of flammable gas</v>
          </cell>
          <cell r="AI54" t="str">
            <v>•  None</v>
          </cell>
          <cell r="AJ54" t="str">
            <v xml:space="preserve">•  Quality Assurance Program
•  Fire Protection Program
•  Performance Based Training Program
•  Maintenance Program
•  Waste Management Program </v>
          </cell>
          <cell r="AK54" t="str">
            <v>•   TSR-compliant packaging for high activity TRU waste</v>
          </cell>
          <cell r="AL54" t="str">
            <v>•  None</v>
          </cell>
          <cell r="AM54" t="str">
            <v>•  SAC for APPROVED CONTAINER use
•  SAC for facility inventory control</v>
          </cell>
          <cell r="AN54" t="str">
            <v>•  Radiological Protection Program
•  Emergency Response Program
•  Fire Protection Program
•  Performance Based Training Program
•  Conduct of Operations</v>
          </cell>
        </row>
        <row r="55">
          <cell r="A55" t="str">
            <v>LSA</v>
          </cell>
          <cell r="B55">
            <v>6</v>
          </cell>
          <cell r="C55" t="str">
            <v>Vehicle/equipment impacts waste/waste containers</v>
          </cell>
          <cell r="D55"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55">
            <v>360</v>
          </cell>
          <cell r="F55" t="str">
            <v>E09</v>
          </cell>
          <cell r="G55">
            <v>0.01</v>
          </cell>
          <cell r="H55" t="str">
            <v>Gnd</v>
          </cell>
          <cell r="I55">
            <v>850</v>
          </cell>
          <cell r="J55" t="str">
            <v>A</v>
          </cell>
          <cell r="K55" t="str">
            <v>N</v>
          </cell>
          <cell r="L55" t="str">
            <v>L</v>
          </cell>
          <cell r="M55" t="str">
            <v>N</v>
          </cell>
          <cell r="N55" t="str">
            <v>N</v>
          </cell>
          <cell r="O55" t="str">
            <v>IV</v>
          </cell>
          <cell r="P55" t="str">
            <v>III</v>
          </cell>
          <cell r="Q55" t="str">
            <v>IV</v>
          </cell>
          <cell r="R55" t="str">
            <v>IV</v>
          </cell>
          <cell r="S55" t="str">
            <v>E09</v>
          </cell>
          <cell r="T55">
            <v>0.01</v>
          </cell>
          <cell r="U55" t="str">
            <v>Gnd</v>
          </cell>
          <cell r="V55">
            <v>850</v>
          </cell>
          <cell r="W55" t="str">
            <v>A</v>
          </cell>
          <cell r="X55" t="str">
            <v>N</v>
          </cell>
          <cell r="Y55" t="str">
            <v>L</v>
          </cell>
          <cell r="Z55" t="str">
            <v>N</v>
          </cell>
          <cell r="AA55" t="str">
            <v>N</v>
          </cell>
          <cell r="AB55" t="str">
            <v>IV</v>
          </cell>
          <cell r="AC55" t="str">
            <v>III</v>
          </cell>
          <cell r="AD55" t="str">
            <v>IV</v>
          </cell>
          <cell r="AE55" t="str">
            <v>IV</v>
          </cell>
          <cell r="AF55" t="str">
            <v xml:space="preserve"> MAR is activity in maximally loaded 2-drum Interim Storage Container (Ref. WVNS-CAL-397, Table A-2).  </v>
          </cell>
          <cell r="AG55" t="str">
            <v>•  None</v>
          </cell>
          <cell r="AH55" t="str">
            <v>•  Physical barriers such as Jersey barriers or facility structure that protects waste containers from vehicle impacts</v>
          </cell>
          <cell r="AI55" t="str">
            <v>• SAC for TRU waste container physical protection
• SAC for TRU waste transportation</v>
          </cell>
          <cell r="AJ55" t="str">
            <v xml:space="preserve">•  Quality Assurance Program
•  Performance Based Training Program
•  Maintenance Program
•  Conduct of Operations
•  Waste Management Program </v>
          </cell>
          <cell r="AK55" t="str">
            <v>•   TSR-compliant packaging for high activity TRU waste</v>
          </cell>
          <cell r="AL55" t="str">
            <v>•  None</v>
          </cell>
          <cell r="AM55" t="str">
            <v>•  None</v>
          </cell>
          <cell r="AN55" t="str">
            <v>•  Radiological Protection Program
•  Emergency Response Program
•  Performance Based Training Program
•  Conduct of Operations</v>
          </cell>
        </row>
        <row r="56">
          <cell r="A56" t="str">
            <v>LSA</v>
          </cell>
          <cell r="B56">
            <v>7</v>
          </cell>
          <cell r="C56" t="str">
            <v>Drop/impact/spill</v>
          </cell>
          <cell r="D56" t="str">
            <v>This event is due to mishandling of containers; or to drops/impacts caused by equipment failure; or leaks caused by corrosion, construction defect, or improper closure.</v>
          </cell>
          <cell r="E56">
            <v>360</v>
          </cell>
          <cell r="F56" t="str">
            <v>E10</v>
          </cell>
          <cell r="G56">
            <v>0.1</v>
          </cell>
          <cell r="H56" t="str">
            <v>Gnd</v>
          </cell>
          <cell r="I56">
            <v>850</v>
          </cell>
          <cell r="J56" t="str">
            <v>A</v>
          </cell>
          <cell r="K56" t="str">
            <v>L</v>
          </cell>
          <cell r="L56" t="str">
            <v>L</v>
          </cell>
          <cell r="M56" t="str">
            <v>N</v>
          </cell>
          <cell r="N56" t="str">
            <v>N</v>
          </cell>
          <cell r="O56" t="str">
            <v>III</v>
          </cell>
          <cell r="P56" t="str">
            <v>III</v>
          </cell>
          <cell r="Q56" t="str">
            <v>IV</v>
          </cell>
          <cell r="R56" t="str">
            <v>IV</v>
          </cell>
          <cell r="S56" t="str">
            <v>E10</v>
          </cell>
          <cell r="T56">
            <v>0.1</v>
          </cell>
          <cell r="U56" t="str">
            <v>Gnd</v>
          </cell>
          <cell r="V56">
            <v>850</v>
          </cell>
          <cell r="W56" t="str">
            <v>U</v>
          </cell>
          <cell r="X56" t="str">
            <v>L</v>
          </cell>
          <cell r="Y56" t="str">
            <v>L</v>
          </cell>
          <cell r="Z56" t="str">
            <v>N</v>
          </cell>
          <cell r="AA56" t="str">
            <v>N</v>
          </cell>
          <cell r="AB56" t="str">
            <v>III</v>
          </cell>
          <cell r="AC56" t="str">
            <v>III</v>
          </cell>
          <cell r="AD56" t="str">
            <v>IV</v>
          </cell>
          <cell r="AE56" t="str">
            <v>IV</v>
          </cell>
          <cell r="AF56" t="str">
            <v xml:space="preserve">Event is a low energy breach of container confinement (e.g. tine puncture or container drop).  MAR is activity in maximally loaded 2-drum Interim Storage Container (Ref. WVNS-CAL-397, Table A-2).  </v>
          </cell>
          <cell r="AG56" t="str">
            <v>•  None</v>
          </cell>
          <cell r="AH56" t="str">
            <v>•  None</v>
          </cell>
          <cell r="AI56" t="str">
            <v>•  None</v>
          </cell>
          <cell r="AJ56" t="str">
            <v xml:space="preserve">•  Quality Assurance Program
•  Performance Based Training Program
•  Maintenance Program
•  Conduct of Operations
•  Waste Management Program </v>
          </cell>
          <cell r="AK56" t="str">
            <v>•   TSR-compliant packaging for high activity TRU waste</v>
          </cell>
          <cell r="AL56" t="str">
            <v>•  None</v>
          </cell>
          <cell r="AM56" t="str">
            <v>•  None</v>
          </cell>
          <cell r="AN56" t="str">
            <v>•  Radiological Protection Program
•  Emergency Response Program
•  Performance Based Training Program
•  Conduct of Operations</v>
          </cell>
        </row>
        <row r="57">
          <cell r="A57" t="str">
            <v>LSA</v>
          </cell>
          <cell r="B57">
            <v>8</v>
          </cell>
          <cell r="C57" t="str">
            <v>Collapse of stacked containers</v>
          </cell>
          <cell r="D57" t="str">
            <v>Collapse of a stacked array of containers due to corrosion, defective construction, or damage of containers, or due to improper stacking (e.g., exceeding limits, unstable array).</v>
          </cell>
          <cell r="E57">
            <v>1050</v>
          </cell>
          <cell r="F57" t="str">
            <v>E11</v>
          </cell>
          <cell r="G57">
            <v>0.1</v>
          </cell>
          <cell r="H57" t="str">
            <v>Gnd</v>
          </cell>
          <cell r="I57">
            <v>850</v>
          </cell>
          <cell r="J57" t="str">
            <v>A</v>
          </cell>
          <cell r="K57" t="str">
            <v>L</v>
          </cell>
          <cell r="L57" t="str">
            <v>L</v>
          </cell>
          <cell r="M57" t="str">
            <v>N</v>
          </cell>
          <cell r="N57" t="str">
            <v>N</v>
          </cell>
          <cell r="O57" t="str">
            <v>III</v>
          </cell>
          <cell r="P57" t="str">
            <v>III</v>
          </cell>
          <cell r="Q57" t="str">
            <v>IV</v>
          </cell>
          <cell r="R57" t="str">
            <v>IV</v>
          </cell>
          <cell r="S57" t="str">
            <v>E11</v>
          </cell>
          <cell r="T57">
            <v>0.1</v>
          </cell>
          <cell r="U57" t="str">
            <v>Gnd</v>
          </cell>
          <cell r="V57">
            <v>850</v>
          </cell>
          <cell r="W57" t="str">
            <v>U</v>
          </cell>
          <cell r="X57" t="str">
            <v>L</v>
          </cell>
          <cell r="Y57" t="str">
            <v>L</v>
          </cell>
          <cell r="Z57" t="str">
            <v>N</v>
          </cell>
          <cell r="AA57" t="str">
            <v>N</v>
          </cell>
          <cell r="AB57" t="str">
            <v>III</v>
          </cell>
          <cell r="AC57" t="str">
            <v>III</v>
          </cell>
          <cell r="AD57" t="str">
            <v>IV</v>
          </cell>
          <cell r="AE57" t="str">
            <v>IV</v>
          </cell>
          <cell r="AF57" t="str">
            <v xml:space="preserve">Event applies only to containers above 2nd tier of a storage array since Type 17C containers designed to withstand 4' drop.  MAR assumed to be half of activity in storage (i.e., activity in containers on 3rd and 4th tier of storage array (Ref. WVNS-CAL-397, Appendix A) </v>
          </cell>
          <cell r="AG57" t="str">
            <v>•  None</v>
          </cell>
          <cell r="AH57" t="str">
            <v>•  None</v>
          </cell>
          <cell r="AI57" t="str">
            <v>•  None</v>
          </cell>
          <cell r="AJ57" t="str">
            <v xml:space="preserve">•  Quality Assurance Program
•  Performance Based Training Program
•  Maintenance Program
•  Waste Management Program </v>
          </cell>
          <cell r="AK57" t="str">
            <v>•   APPROVED CONTAINERS used for TRU waste storage
•   TSR-compliant packaging for high activity TRU waste</v>
          </cell>
          <cell r="AL57" t="str">
            <v>•  Steel pallets used for TRU waste storage arrays
•  Banding of drums on pallets</v>
          </cell>
          <cell r="AM57" t="str">
            <v>•  None</v>
          </cell>
          <cell r="AN57" t="str">
            <v>•  Radiological Protection Program
•  Emergency Response Program
•  Performance Based Training Program
•  Conduct of Operations</v>
          </cell>
        </row>
        <row r="58">
          <cell r="A58" t="str">
            <v>LSA</v>
          </cell>
          <cell r="B58">
            <v>9</v>
          </cell>
          <cell r="C58" t="str">
            <v>Waste container over-pressurization</v>
          </cell>
          <cell r="D58" t="str">
            <v>Container failure occurs due to pressure buildup, possibly due to radiolysis of water or other hydrogenous material, thermal expansion of material/gases inside the container, or chemical reactions inside the container.</v>
          </cell>
          <cell r="E58">
            <v>360</v>
          </cell>
          <cell r="F58" t="str">
            <v>E12</v>
          </cell>
          <cell r="G58">
            <v>1</v>
          </cell>
          <cell r="H58" t="str">
            <v>Gnd</v>
          </cell>
          <cell r="I58">
            <v>850</v>
          </cell>
          <cell r="J58" t="str">
            <v>A</v>
          </cell>
          <cell r="K58" t="str">
            <v>M</v>
          </cell>
          <cell r="L58" t="str">
            <v>M</v>
          </cell>
          <cell r="M58" t="str">
            <v>N</v>
          </cell>
          <cell r="N58" t="str">
            <v>N</v>
          </cell>
          <cell r="O58" t="str">
            <v>I</v>
          </cell>
          <cell r="P58" t="str">
            <v>I</v>
          </cell>
          <cell r="Q58" t="str">
            <v>IV</v>
          </cell>
          <cell r="R58" t="str">
            <v>IV</v>
          </cell>
          <cell r="S58" t="str">
            <v>E12</v>
          </cell>
          <cell r="T58">
            <v>0.1</v>
          </cell>
          <cell r="U58" t="str">
            <v>Gnd</v>
          </cell>
          <cell r="V58">
            <v>850</v>
          </cell>
          <cell r="W58" t="str">
            <v>A</v>
          </cell>
          <cell r="X58" t="str">
            <v>L</v>
          </cell>
          <cell r="Y58" t="str">
            <v>L</v>
          </cell>
          <cell r="Z58" t="str">
            <v>N</v>
          </cell>
          <cell r="AA58" t="str">
            <v>N</v>
          </cell>
          <cell r="AB58" t="str">
            <v>III</v>
          </cell>
          <cell r="AC58" t="str">
            <v>III</v>
          </cell>
          <cell r="AD58" t="str">
            <v>IV</v>
          </cell>
          <cell r="AE58" t="str">
            <v>IV</v>
          </cell>
          <cell r="AF58"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58" t="str">
            <v>•  None</v>
          </cell>
          <cell r="AH58" t="str">
            <v>•  HEPA filter vents on waste containers</v>
          </cell>
          <cell r="AI58" t="str">
            <v>•  None</v>
          </cell>
          <cell r="AJ58" t="str">
            <v xml:space="preserve">•  Quality Assurance Program
•  Performance Based Training Program
•  Waste Management Program </v>
          </cell>
          <cell r="AK58" t="str">
            <v>•  None</v>
          </cell>
          <cell r="AL58" t="str">
            <v>•  Lid restraining devices for bulging drums</v>
          </cell>
          <cell r="AM58" t="str">
            <v>•  None</v>
          </cell>
          <cell r="AN58" t="str">
            <v>•  Radiological Protection Program
•  Emergency Response Program
•  Performance Based Training Program
•  Conduct of Operations</v>
          </cell>
        </row>
        <row r="59">
          <cell r="A59" t="str">
            <v>LSA</v>
          </cell>
          <cell r="B59">
            <v>10</v>
          </cell>
          <cell r="C59" t="str">
            <v>Direct exposure to radiation</v>
          </cell>
          <cell r="D59" t="str">
            <v>Exposure to ionizing radiation from the waste, possibly due to loss of proper shielding within a container or instrument miscalibration</v>
          </cell>
          <cell r="E59" t="str">
            <v>Not applicable.</v>
          </cell>
          <cell r="F59" t="str">
            <v>NA</v>
          </cell>
          <cell r="G59" t="str">
            <v>NA</v>
          </cell>
          <cell r="H59" t="str">
            <v>Gnd</v>
          </cell>
          <cell r="I59">
            <v>850</v>
          </cell>
          <cell r="J59" t="str">
            <v>A</v>
          </cell>
          <cell r="K59" t="str">
            <v>M</v>
          </cell>
          <cell r="L59" t="str">
            <v>N</v>
          </cell>
          <cell r="M59" t="str">
            <v>N</v>
          </cell>
          <cell r="N59" t="str">
            <v>N</v>
          </cell>
          <cell r="O59" t="str">
            <v>I</v>
          </cell>
          <cell r="P59" t="str">
            <v>IV</v>
          </cell>
          <cell r="Q59" t="str">
            <v>IV</v>
          </cell>
          <cell r="R59" t="str">
            <v>IV</v>
          </cell>
          <cell r="S59" t="str">
            <v>NA</v>
          </cell>
          <cell r="T59" t="str">
            <v>NA</v>
          </cell>
          <cell r="U59" t="str">
            <v>Gnd</v>
          </cell>
          <cell r="V59">
            <v>850</v>
          </cell>
          <cell r="W59" t="str">
            <v>U</v>
          </cell>
          <cell r="X59" t="str">
            <v>L</v>
          </cell>
          <cell r="Y59" t="str">
            <v>N</v>
          </cell>
          <cell r="Z59" t="str">
            <v>N</v>
          </cell>
          <cell r="AA59" t="str">
            <v>N</v>
          </cell>
          <cell r="AB59" t="str">
            <v>III</v>
          </cell>
          <cell r="AC59" t="str">
            <v>IV</v>
          </cell>
          <cell r="AD59" t="str">
            <v>IV</v>
          </cell>
          <cell r="AE59" t="str">
            <v>IV</v>
          </cell>
          <cell r="AF59" t="str">
            <v xml:space="preserve">None.  </v>
          </cell>
          <cell r="AG59" t="str">
            <v>•  None</v>
          </cell>
          <cell r="AH59" t="str">
            <v>•  Engineered radiation shielding on high dose rate waste containers</v>
          </cell>
          <cell r="AI59" t="str">
            <v>•  None</v>
          </cell>
          <cell r="AJ59" t="str">
            <v xml:space="preserve">•  Radiological Protection Program
•  Quality Assurance Program
•  Performance Based Training Program
•  Conduct of Operations
•  Waste Management Program </v>
          </cell>
          <cell r="AK59" t="str">
            <v>•  None</v>
          </cell>
          <cell r="AL59" t="str">
            <v>•  None</v>
          </cell>
          <cell r="AM59" t="str">
            <v>•  None</v>
          </cell>
          <cell r="AN59" t="str">
            <v>•  Radiological Protection Program
•  Performance Based Training Program
•  Conduct of Operations</v>
          </cell>
        </row>
        <row r="60">
          <cell r="A60" t="str">
            <v>LSA</v>
          </cell>
          <cell r="B60">
            <v>11</v>
          </cell>
          <cell r="C60" t="str">
            <v>Criticality</v>
          </cell>
          <cell r="D60" t="str">
            <v>Inadvertent criticality occurs due to multiple independent failures and/or highly improbable circumstances</v>
          </cell>
          <cell r="E60" t="str">
            <v>&gt;450 FGE
Pu-239</v>
          </cell>
          <cell r="F60" t="str">
            <v>NA</v>
          </cell>
          <cell r="G60" t="str">
            <v>NA</v>
          </cell>
          <cell r="H60" t="str">
            <v>Gnd</v>
          </cell>
          <cell r="I60">
            <v>850</v>
          </cell>
          <cell r="J60" t="str">
            <v>BEU</v>
          </cell>
          <cell r="K60" t="str">
            <v>H</v>
          </cell>
          <cell r="L60" t="str">
            <v>N</v>
          </cell>
          <cell r="M60" t="str">
            <v>N</v>
          </cell>
          <cell r="N60" t="str">
            <v>N</v>
          </cell>
          <cell r="O60" t="str">
            <v>III</v>
          </cell>
          <cell r="P60" t="str">
            <v>IV</v>
          </cell>
          <cell r="Q60" t="str">
            <v>IV</v>
          </cell>
          <cell r="R60" t="str">
            <v>IV</v>
          </cell>
          <cell r="S60" t="str">
            <v>NA</v>
          </cell>
          <cell r="T60" t="str">
            <v>NA</v>
          </cell>
          <cell r="U60" t="str">
            <v>Gnd</v>
          </cell>
          <cell r="V60">
            <v>850</v>
          </cell>
          <cell r="W60" t="str">
            <v>BEU</v>
          </cell>
          <cell r="X60" t="str">
            <v>H</v>
          </cell>
          <cell r="Y60" t="str">
            <v>N</v>
          </cell>
          <cell r="Z60" t="str">
            <v>N</v>
          </cell>
          <cell r="AA60" t="str">
            <v>N</v>
          </cell>
          <cell r="AB60" t="str">
            <v>III</v>
          </cell>
          <cell r="AC60" t="str">
            <v>IV</v>
          </cell>
          <cell r="AD60" t="str">
            <v>IV</v>
          </cell>
          <cell r="AE60" t="str">
            <v>IV</v>
          </cell>
          <cell r="AF60" t="str">
            <v xml:space="preserve">Nuclear criticality safety administrative controls ensure that only safe quantities of fissile material are placed in waste packages.   </v>
          </cell>
          <cell r="AG60" t="str">
            <v>• PSRs for fissile material storage container specifications</v>
          </cell>
          <cell r="AH60" t="str">
            <v>•  None</v>
          </cell>
          <cell r="AI60" t="str">
            <v>• PSR limits on container fissile mass
• PSR for fissile material storage containers</v>
          </cell>
          <cell r="AJ60" t="str">
            <v xml:space="preserve">•  Radiological Protection Program
•  Nuclear Criticality Safety Program
•  Quality Assurance Program
•  Performance Based Training Program
•  Conduct of Operations
•  Waste Management Program </v>
          </cell>
          <cell r="AK60" t="str">
            <v>•  None</v>
          </cell>
          <cell r="AL60" t="str">
            <v>•  None</v>
          </cell>
          <cell r="AM60" t="str">
            <v>•  None</v>
          </cell>
          <cell r="AN60" t="str">
            <v>•  Radiological Protection Program
•  Nuclear Criticality Safety Program
•  Emergency Response Program
•  Performance Based Training Program
•  Conduct of Operations</v>
          </cell>
        </row>
        <row r="61">
          <cell r="A61" t="str">
            <v>LSA</v>
          </cell>
          <cell r="B61">
            <v>12</v>
          </cell>
          <cell r="C61" t="str">
            <v>Aircraft impact with fire</v>
          </cell>
          <cell r="D61" t="str">
            <v>Small general aviation aircraft or helicopter crashes and a fire ensues</v>
          </cell>
          <cell r="E61">
            <v>2100</v>
          </cell>
          <cell r="F61" t="str">
            <v>E15</v>
          </cell>
          <cell r="G61">
            <v>1</v>
          </cell>
          <cell r="H61" t="str">
            <v>Gnd</v>
          </cell>
          <cell r="I61">
            <v>850</v>
          </cell>
          <cell r="J61" t="str">
            <v>BEU</v>
          </cell>
          <cell r="K61" t="str">
            <v>H</v>
          </cell>
          <cell r="L61" t="str">
            <v>H</v>
          </cell>
          <cell r="M61" t="str">
            <v>N</v>
          </cell>
          <cell r="N61" t="str">
            <v>N</v>
          </cell>
          <cell r="O61" t="str">
            <v>III</v>
          </cell>
          <cell r="P61" t="str">
            <v>III</v>
          </cell>
          <cell r="Q61" t="str">
            <v>IV</v>
          </cell>
          <cell r="R61" t="str">
            <v>IV</v>
          </cell>
          <cell r="S61" t="str">
            <v>E15</v>
          </cell>
          <cell r="T61">
            <v>1</v>
          </cell>
          <cell r="U61" t="str">
            <v>Gnd</v>
          </cell>
          <cell r="V61">
            <v>850</v>
          </cell>
          <cell r="W61" t="str">
            <v>BEU</v>
          </cell>
          <cell r="X61" t="str">
            <v>H</v>
          </cell>
          <cell r="Y61" t="str">
            <v>H</v>
          </cell>
          <cell r="Z61" t="str">
            <v>N</v>
          </cell>
          <cell r="AA61" t="str">
            <v>N</v>
          </cell>
          <cell r="AB61" t="str">
            <v>III</v>
          </cell>
          <cell r="AC61" t="str">
            <v>III</v>
          </cell>
          <cell r="AD61" t="str">
            <v>IV</v>
          </cell>
          <cell r="AE61" t="str">
            <v>IV</v>
          </cell>
          <cell r="AF61" t="str">
            <v xml:space="preserve">Event assumes waste containers breach in a manner similar to external vehicle accident event. Event BEU per WVNS-CAL-388. MAR is entire inventory of radioactive material in WVDP packaged waste (exclusive of HLW) (Ref.WVNS-CAL-397, Table C-1).  </v>
          </cell>
          <cell r="AG61" t="str">
            <v>•  None</v>
          </cell>
          <cell r="AH61" t="str">
            <v>•  None</v>
          </cell>
          <cell r="AI61" t="str">
            <v>•  None</v>
          </cell>
          <cell r="AJ61" t="str">
            <v>•  None</v>
          </cell>
          <cell r="AK61" t="str">
            <v>•   APPROVED CONTAINERS used for TRU waste storage
•   TSR-compliant packaging for high activity TRU waste</v>
          </cell>
          <cell r="AL61" t="str">
            <v>•  None</v>
          </cell>
          <cell r="AM61" t="str">
            <v>• SAC for APPROVED CONTAINER use</v>
          </cell>
          <cell r="AN61" t="str">
            <v>•  Radiological Protection Program
•  Emergency Response Program
•  Fire Protection Program
•  Performance Based Training Program
•  Conduct of Operations</v>
          </cell>
        </row>
        <row r="62">
          <cell r="A62" t="str">
            <v>LSA</v>
          </cell>
          <cell r="B62">
            <v>13</v>
          </cell>
          <cell r="C62" t="str">
            <v>External explosion</v>
          </cell>
          <cell r="D62" t="str">
            <v>Explosion involving failure of equipment not directly related to facility operations (e.g. natural gas line rupture) with possible missiles generated</v>
          </cell>
          <cell r="E62">
            <v>360</v>
          </cell>
          <cell r="F62" t="str">
            <v>E18</v>
          </cell>
          <cell r="G62">
            <v>1</v>
          </cell>
          <cell r="H62" t="str">
            <v>Gnd</v>
          </cell>
          <cell r="I62">
            <v>850</v>
          </cell>
          <cell r="J62" t="str">
            <v>U</v>
          </cell>
          <cell r="K62" t="str">
            <v>M</v>
          </cell>
          <cell r="L62" t="str">
            <v>M</v>
          </cell>
          <cell r="M62" t="str">
            <v>N</v>
          </cell>
          <cell r="N62" t="str">
            <v>N</v>
          </cell>
          <cell r="O62" t="str">
            <v>II</v>
          </cell>
          <cell r="P62" t="str">
            <v>II</v>
          </cell>
          <cell r="Q62" t="str">
            <v>IV</v>
          </cell>
          <cell r="R62" t="str">
            <v>IV</v>
          </cell>
          <cell r="S62" t="str">
            <v>E18</v>
          </cell>
          <cell r="T62">
            <v>1</v>
          </cell>
          <cell r="U62" t="str">
            <v>Gnd</v>
          </cell>
          <cell r="V62">
            <v>850</v>
          </cell>
          <cell r="W62" t="str">
            <v>EU</v>
          </cell>
          <cell r="X62" t="str">
            <v>M</v>
          </cell>
          <cell r="Y62" t="str">
            <v>M</v>
          </cell>
          <cell r="Z62" t="str">
            <v>N</v>
          </cell>
          <cell r="AA62" t="str">
            <v>N</v>
          </cell>
          <cell r="AB62" t="str">
            <v>III</v>
          </cell>
          <cell r="AC62" t="str">
            <v>III</v>
          </cell>
          <cell r="AD62" t="str">
            <v>IV</v>
          </cell>
          <cell r="AE62" t="str">
            <v>IV</v>
          </cell>
          <cell r="AF62" t="str">
            <v xml:space="preserve">Explosion assumed to be due to detonation of accumulated flammable gas associated with facility natural gas heaters.  MAR is activity in maximally loaded 2-drum Interim Storage Container (Ref. WVNS-CAL-397, Table A-2).  </v>
          </cell>
          <cell r="AG62" t="str">
            <v>•  None</v>
          </cell>
          <cell r="AH62" t="str">
            <v>•  None</v>
          </cell>
          <cell r="AI62" t="str">
            <v>• SAC for TRU waste container physical protection</v>
          </cell>
          <cell r="AJ62" t="str">
            <v>•  Quality Assurance Program
•  Performance Based Training Program
•  Maintenance Program</v>
          </cell>
          <cell r="AK62" t="str">
            <v>•   APPROVED CONTAINERS used for TRU waste storage
•   TSR-compliant packaging for high activity TRU waste</v>
          </cell>
          <cell r="AL62" t="str">
            <v>•  None</v>
          </cell>
          <cell r="AM62" t="str">
            <v>• SAC for APPROVED CONTAINER use</v>
          </cell>
          <cell r="AN62" t="str">
            <v>•  Radiological Protection Program
•  Emergency Response Program
•  Fire Protection Program
•  Performance Based Training Program
•  Conduct of Operations</v>
          </cell>
        </row>
        <row r="63">
          <cell r="A63" t="str">
            <v>LSA</v>
          </cell>
          <cell r="B63">
            <v>14</v>
          </cell>
          <cell r="C63" t="str">
            <v>External fire</v>
          </cell>
          <cell r="D63" t="str">
            <v>A fire begins outside of a facility and propagates to a facility/area where TRU waste is present. The external fire could be from a wildland fire, other facility, or another fire source.</v>
          </cell>
          <cell r="E63">
            <v>2100</v>
          </cell>
          <cell r="F63" t="str">
            <v>E19</v>
          </cell>
          <cell r="G63">
            <v>0.5</v>
          </cell>
          <cell r="H63" t="str">
            <v>Gnd</v>
          </cell>
          <cell r="I63">
            <v>850</v>
          </cell>
          <cell r="J63" t="str">
            <v>U</v>
          </cell>
          <cell r="K63" t="str">
            <v>H</v>
          </cell>
          <cell r="L63" t="str">
            <v>H</v>
          </cell>
          <cell r="M63" t="str">
            <v>N</v>
          </cell>
          <cell r="N63" t="str">
            <v>N</v>
          </cell>
          <cell r="O63" t="str">
            <v>I</v>
          </cell>
          <cell r="P63" t="str">
            <v>I</v>
          </cell>
          <cell r="Q63" t="str">
            <v>IV</v>
          </cell>
          <cell r="R63" t="str">
            <v>IV</v>
          </cell>
          <cell r="S63" t="str">
            <v>E19</v>
          </cell>
          <cell r="T63">
            <v>0.05</v>
          </cell>
          <cell r="U63" t="str">
            <v>Gnd</v>
          </cell>
          <cell r="V63">
            <v>850</v>
          </cell>
          <cell r="W63" t="str">
            <v>EU</v>
          </cell>
          <cell r="X63" t="str">
            <v>M</v>
          </cell>
          <cell r="Y63" t="str">
            <v>M</v>
          </cell>
          <cell r="Z63" t="str">
            <v>N</v>
          </cell>
          <cell r="AA63" t="str">
            <v>N</v>
          </cell>
          <cell r="AB63" t="str">
            <v>III</v>
          </cell>
          <cell r="AC63" t="str">
            <v>III</v>
          </cell>
          <cell r="AD63" t="str">
            <v>IV</v>
          </cell>
          <cell r="AE63" t="str">
            <v>IV</v>
          </cell>
          <cell r="AF63" t="str">
            <v>Unmitigated frequency very conservative since no exposure fire risks identified in WVNS-FHA-015. Even under EU wildland fire conditions virtually no waste would be exposed to critical heat flux due to facility construction.  MAR is entire inventory of radioactive material in WVDP packaged waste (exclusive of HLW) (Ref.WVNS-CAL-397, Table C-1).  DR assumes that 10% of array is exposed to critical heat flux.</v>
          </cell>
          <cell r="AG63" t="str">
            <v>•  None</v>
          </cell>
          <cell r="AH63" t="str">
            <v>•  None</v>
          </cell>
          <cell r="AI63" t="str">
            <v>• SAC for TRU waste container physical protection</v>
          </cell>
          <cell r="AJ63" t="str">
            <v>•  Fire Protection Program
•  Maintenance Program</v>
          </cell>
          <cell r="AK63" t="str">
            <v>•   APPROVED CONTAINERS used for TRU waste storage
•   TSR-compliant packaging for high activity TRU waste</v>
          </cell>
          <cell r="AL63" t="str">
            <v>•  Non-combustible facility sheathing/ exterior</v>
          </cell>
          <cell r="AM63" t="str">
            <v>• SAC for APPROVED CONTAINER use</v>
          </cell>
          <cell r="AN63" t="str">
            <v>•  Emergency Response Program
•  Fire Protection Program
•  Radiological Protection Program</v>
          </cell>
        </row>
        <row r="64">
          <cell r="A64" t="str">
            <v>LSA</v>
          </cell>
          <cell r="B64">
            <v>15</v>
          </cell>
          <cell r="C64" t="str">
            <v>Tornado</v>
          </cell>
          <cell r="D64" t="str">
            <v>Direct effects of tornado winds, falling objects, or tornado-produced missiles causing impacts to the facility. Event includes loss of contamination confinement resulting from abnormal facility differential pressures (backflow).</v>
          </cell>
          <cell r="E64">
            <v>2100</v>
          </cell>
          <cell r="F64" t="str">
            <v>E22</v>
          </cell>
          <cell r="G64">
            <v>1</v>
          </cell>
          <cell r="H64" t="str">
            <v>Gnd</v>
          </cell>
          <cell r="I64">
            <v>850</v>
          </cell>
          <cell r="J64" t="str">
            <v>U</v>
          </cell>
          <cell r="K64" t="str">
            <v>H</v>
          </cell>
          <cell r="L64" t="str">
            <v>M</v>
          </cell>
          <cell r="M64" t="str">
            <v>N</v>
          </cell>
          <cell r="N64" t="str">
            <v>N</v>
          </cell>
          <cell r="O64" t="str">
            <v>I</v>
          </cell>
          <cell r="P64" t="str">
            <v>II</v>
          </cell>
          <cell r="Q64" t="str">
            <v>IV</v>
          </cell>
          <cell r="R64" t="str">
            <v>IV</v>
          </cell>
          <cell r="S64" t="str">
            <v>E22</v>
          </cell>
          <cell r="T64">
            <v>0.18</v>
          </cell>
          <cell r="U64" t="str">
            <v>Gnd</v>
          </cell>
          <cell r="V64">
            <v>850</v>
          </cell>
          <cell r="W64" t="str">
            <v>EU</v>
          </cell>
          <cell r="X64" t="str">
            <v>M</v>
          </cell>
          <cell r="Y64" t="str">
            <v>M</v>
          </cell>
          <cell r="Z64" t="str">
            <v>N</v>
          </cell>
          <cell r="AA64" t="str">
            <v>N</v>
          </cell>
          <cell r="AB64" t="str">
            <v>III</v>
          </cell>
          <cell r="AC64" t="str">
            <v>III</v>
          </cell>
          <cell r="AD64" t="str">
            <v>IV</v>
          </cell>
          <cell r="AE64" t="str">
            <v>IV</v>
          </cell>
          <cell r="AF64" t="str">
            <v>High wind conditions would disperse any released material in a manner significantly greater than 95% meteorological condition assumptions.  MAR is entire inventory of radioactive material in WVDP packaged waste (exclusive of HLW) (Ref.WVNS-CAL-397, Table C-1).  Tornado borne missiles assumed to impact four TRU waste drums: max container and three at 99th percentile.</v>
          </cell>
          <cell r="AG64" t="str">
            <v>•  None</v>
          </cell>
          <cell r="AH64" t="str">
            <v>•  None</v>
          </cell>
          <cell r="AI64" t="str">
            <v>•  None</v>
          </cell>
          <cell r="AJ64" t="str">
            <v>•  None</v>
          </cell>
          <cell r="AK64" t="str">
            <v>•   TSR-compliant packaging for high activity TRU waste</v>
          </cell>
          <cell r="AL64" t="str">
            <v>•  None</v>
          </cell>
          <cell r="AM64" t="str">
            <v>•  None</v>
          </cell>
          <cell r="AN64" t="str">
            <v>•  Radiological Protection Program
•  Emergency Response Program
•  Performance Based Training Program
•  Conduct of Operations</v>
          </cell>
        </row>
        <row r="65">
          <cell r="A65" t="str">
            <v>LSA</v>
          </cell>
          <cell r="B65">
            <v>16</v>
          </cell>
          <cell r="C65" t="str">
            <v>Seismic event</v>
          </cell>
          <cell r="D65" t="str">
            <v>Seismic event causes structural collapse and/or failure of storage array resulting in damage to stored containers.</v>
          </cell>
          <cell r="E65">
            <v>2100</v>
          </cell>
          <cell r="F65" t="str">
            <v>E24</v>
          </cell>
          <cell r="G65">
            <v>0.01</v>
          </cell>
          <cell r="H65" t="str">
            <v>Gnd</v>
          </cell>
          <cell r="I65">
            <v>850</v>
          </cell>
          <cell r="J65" t="str">
            <v>U</v>
          </cell>
          <cell r="K65" t="str">
            <v>L</v>
          </cell>
          <cell r="L65" t="str">
            <v>L</v>
          </cell>
          <cell r="M65" t="str">
            <v>N</v>
          </cell>
          <cell r="N65" t="str">
            <v>N</v>
          </cell>
          <cell r="O65" t="str">
            <v>III</v>
          </cell>
          <cell r="P65" t="str">
            <v>III</v>
          </cell>
          <cell r="Q65" t="str">
            <v>IV</v>
          </cell>
          <cell r="R65" t="str">
            <v>IV</v>
          </cell>
          <cell r="S65" t="str">
            <v>E24</v>
          </cell>
          <cell r="T65">
            <v>0.01</v>
          </cell>
          <cell r="U65" t="str">
            <v>Gnd</v>
          </cell>
          <cell r="V65">
            <v>850</v>
          </cell>
          <cell r="W65" t="str">
            <v>U</v>
          </cell>
          <cell r="X65" t="str">
            <v>L</v>
          </cell>
          <cell r="Y65" t="str">
            <v>L</v>
          </cell>
          <cell r="Z65" t="str">
            <v>N</v>
          </cell>
          <cell r="AA65" t="str">
            <v>N</v>
          </cell>
          <cell r="AB65" t="str">
            <v>III</v>
          </cell>
          <cell r="AC65" t="str">
            <v>III</v>
          </cell>
          <cell r="AD65" t="str">
            <v>IV</v>
          </cell>
          <cell r="AE65" t="str">
            <v>IV</v>
          </cell>
          <cell r="AF65" t="str">
            <v xml:space="preserve">Facility expected to remain intact following EBE. Toppling of storage array addressed under event "Collapse of Stacked Containers."  MAR is entire inventory of radioactive material in WVDP packaged waste (exclusive of HLW) (Ref.WVNS-CAL-397, Table C-1).  </v>
          </cell>
          <cell r="AG65" t="str">
            <v>•  None</v>
          </cell>
          <cell r="AH65" t="str">
            <v>•  None</v>
          </cell>
          <cell r="AI65" t="str">
            <v>•  None</v>
          </cell>
          <cell r="AJ65" t="str">
            <v>•  None</v>
          </cell>
          <cell r="AK65" t="str">
            <v>•   APPROVED CONTAINERS used for TRU waste storage
•   TSR-compliant packaging for high activity TRU waste</v>
          </cell>
          <cell r="AL65" t="str">
            <v>•  None</v>
          </cell>
          <cell r="AM65" t="str">
            <v>•  None</v>
          </cell>
          <cell r="AN65" t="str">
            <v>•  Radiological Protection Program
•  Emergency Response Program
•  Performance Based Training Program
•  Conduct of Operations</v>
          </cell>
        </row>
        <row r="66">
          <cell r="A66" t="str">
            <v>LSA</v>
          </cell>
          <cell r="B66">
            <v>17</v>
          </cell>
          <cell r="C66" t="str">
            <v>HEPA filter failure</v>
          </cell>
          <cell r="D66" t="str">
            <v>Excess moisture or particulate on filters or area pressure excursion causes high filter differential pressure, resulting in filter failure</v>
          </cell>
          <cell r="E66">
            <v>1</v>
          </cell>
          <cell r="F66" t="str">
            <v>HB</v>
          </cell>
          <cell r="G66">
            <v>1</v>
          </cell>
          <cell r="H66" t="str">
            <v>Gnd</v>
          </cell>
          <cell r="I66">
            <v>850</v>
          </cell>
          <cell r="J66" t="str">
            <v>A</v>
          </cell>
          <cell r="K66" t="str">
            <v>L</v>
          </cell>
          <cell r="L66" t="str">
            <v>L</v>
          </cell>
          <cell r="M66" t="str">
            <v>N</v>
          </cell>
          <cell r="N66" t="str">
            <v>N</v>
          </cell>
          <cell r="O66" t="str">
            <v>III</v>
          </cell>
          <cell r="P66" t="str">
            <v>III</v>
          </cell>
          <cell r="Q66" t="str">
            <v>IV</v>
          </cell>
          <cell r="R66" t="str">
            <v>IV</v>
          </cell>
          <cell r="S66" t="str">
            <v>HB</v>
          </cell>
          <cell r="T66">
            <v>1</v>
          </cell>
          <cell r="U66" t="str">
            <v>Gnd</v>
          </cell>
          <cell r="V66">
            <v>850</v>
          </cell>
          <cell r="W66" t="str">
            <v>U</v>
          </cell>
          <cell r="X66" t="str">
            <v>L</v>
          </cell>
          <cell r="Y66" t="str">
            <v>L</v>
          </cell>
          <cell r="Z66" t="str">
            <v>N</v>
          </cell>
          <cell r="AA66" t="str">
            <v>N</v>
          </cell>
          <cell r="AB66" t="str">
            <v>III</v>
          </cell>
          <cell r="AC66" t="str">
            <v>III</v>
          </cell>
          <cell r="AD66" t="str">
            <v>IV</v>
          </cell>
          <cell r="AE66" t="str">
            <v>IV</v>
          </cell>
          <cell r="AF66" t="str">
            <v xml:space="preserve"> 10% of MPPB ventilation system MAR bounding for facility HEPA filters based on system environmental emission data </v>
          </cell>
          <cell r="AG66" t="str">
            <v>•  None</v>
          </cell>
          <cell r="AH66" t="str">
            <v>•  None</v>
          </cell>
          <cell r="AI66" t="str">
            <v>•  None</v>
          </cell>
          <cell r="AJ66" t="str">
            <v>•  Quality Assurance Program
•  Fire Protection Program
•  Performance Based Training Program
•  Maintenance Program
•  Conduct of Operations</v>
          </cell>
          <cell r="AK66" t="str">
            <v>•  None</v>
          </cell>
          <cell r="AL66" t="str">
            <v>•  None</v>
          </cell>
          <cell r="AM66" t="str">
            <v>•  None</v>
          </cell>
          <cell r="AN66" t="str">
            <v>•  Radiological Protection Program
•  Emergency Response Program
•  Performance Based Training Program
•  Conduct of Operations</v>
          </cell>
        </row>
        <row r="67">
          <cell r="A67" t="str">
            <v>LSA</v>
          </cell>
          <cell r="B67">
            <v>18</v>
          </cell>
          <cell r="C67" t="str">
            <v>HEPA filter fire</v>
          </cell>
          <cell r="D67" t="str">
            <v>Area fire propagates to HEPA filter bank</v>
          </cell>
          <cell r="E67">
            <v>1</v>
          </cell>
          <cell r="F67" t="str">
            <v>HF</v>
          </cell>
          <cell r="G67">
            <v>1</v>
          </cell>
          <cell r="H67" t="str">
            <v>Gnd</v>
          </cell>
          <cell r="I67">
            <v>850</v>
          </cell>
          <cell r="J67" t="str">
            <v>A</v>
          </cell>
          <cell r="K67" t="str">
            <v>N</v>
          </cell>
          <cell r="L67" t="str">
            <v>N</v>
          </cell>
          <cell r="M67" t="str">
            <v>N</v>
          </cell>
          <cell r="N67" t="str">
            <v>N</v>
          </cell>
          <cell r="O67" t="str">
            <v>IV</v>
          </cell>
          <cell r="P67" t="str">
            <v>IV</v>
          </cell>
          <cell r="Q67" t="str">
            <v>IV</v>
          </cell>
          <cell r="R67" t="str">
            <v>IV</v>
          </cell>
          <cell r="S67" t="str">
            <v>HF</v>
          </cell>
          <cell r="T67">
            <v>1</v>
          </cell>
          <cell r="U67" t="str">
            <v>Gnd</v>
          </cell>
          <cell r="V67">
            <v>850</v>
          </cell>
          <cell r="W67" t="str">
            <v>U</v>
          </cell>
          <cell r="X67" t="str">
            <v>N</v>
          </cell>
          <cell r="Y67" t="str">
            <v>N</v>
          </cell>
          <cell r="Z67" t="str">
            <v>N</v>
          </cell>
          <cell r="AA67" t="str">
            <v>N</v>
          </cell>
          <cell r="AB67" t="str">
            <v>IV</v>
          </cell>
          <cell r="AC67" t="str">
            <v>IV</v>
          </cell>
          <cell r="AD67" t="str">
            <v>IV</v>
          </cell>
          <cell r="AE67" t="str">
            <v>IV</v>
          </cell>
          <cell r="AF67" t="str">
            <v xml:space="preserve"> 10% of MPPB ventilation system MAR bounding for facility HEPA filters based on system environmental emission data </v>
          </cell>
          <cell r="AG67" t="str">
            <v>•  None</v>
          </cell>
          <cell r="AH67" t="str">
            <v>•  CSPF fire suppression system</v>
          </cell>
          <cell r="AI67" t="str">
            <v>•  None</v>
          </cell>
          <cell r="AJ67" t="str">
            <v>•  Quality Assurance Program
•  Fire Protection Program
•  Performance Based Training Program
•  Maintenance Program
•  Conduct of Operations</v>
          </cell>
          <cell r="AK67" t="str">
            <v>•  None</v>
          </cell>
          <cell r="AL67" t="str">
            <v>•  None</v>
          </cell>
          <cell r="AM67" t="str">
            <v>•  None</v>
          </cell>
          <cell r="AN67" t="str">
            <v>•  Radiological Protection Program
•  Emergency Response Program
•  Fire Protection Program
•  Performance Based Training Program
•  Conduct of Operations</v>
          </cell>
        </row>
        <row r="68">
          <cell r="A68" t="str">
            <v>LSA</v>
          </cell>
          <cell r="B68">
            <v>19</v>
          </cell>
          <cell r="C68" t="str">
            <v>Loss of airborne contamination confinement</v>
          </cell>
          <cell r="D68" t="str">
            <v>Loss of CSPF/WPA exhaust blowers operability; loss of adequate area negative; or other upset condition resulting in loss of airborne contamination confinement.</v>
          </cell>
          <cell r="E68">
            <v>360</v>
          </cell>
          <cell r="F68" t="str">
            <v>AER</v>
          </cell>
          <cell r="G68">
            <v>1</v>
          </cell>
          <cell r="H68" t="str">
            <v>Gnd</v>
          </cell>
          <cell r="I68">
            <v>850</v>
          </cell>
          <cell r="J68" t="str">
            <v>A</v>
          </cell>
          <cell r="K68" t="str">
            <v>L</v>
          </cell>
          <cell r="L68" t="str">
            <v>L</v>
          </cell>
          <cell r="M68" t="str">
            <v>N</v>
          </cell>
          <cell r="N68" t="str">
            <v>N</v>
          </cell>
          <cell r="O68" t="str">
            <v>III</v>
          </cell>
          <cell r="P68" t="str">
            <v>III</v>
          </cell>
          <cell r="Q68" t="str">
            <v>IV</v>
          </cell>
          <cell r="R68" t="str">
            <v>IV</v>
          </cell>
          <cell r="S68" t="str">
            <v>AER</v>
          </cell>
          <cell r="T68">
            <v>1</v>
          </cell>
          <cell r="U68" t="str">
            <v>Gnd</v>
          </cell>
          <cell r="V68">
            <v>850</v>
          </cell>
          <cell r="W68" t="str">
            <v>A</v>
          </cell>
          <cell r="X68" t="str">
            <v>L</v>
          </cell>
          <cell r="Y68" t="str">
            <v>L</v>
          </cell>
          <cell r="Z68" t="str">
            <v>N</v>
          </cell>
          <cell r="AA68" t="str">
            <v>N</v>
          </cell>
          <cell r="AB68" t="str">
            <v>III</v>
          </cell>
          <cell r="AC68" t="str">
            <v>III</v>
          </cell>
          <cell r="AD68" t="str">
            <v>IV</v>
          </cell>
          <cell r="AE68" t="str">
            <v>IV</v>
          </cell>
          <cell r="AF68" t="str">
            <v xml:space="preserve">Contamination assumed to migrate from confinement boundary penetrations through aerodynamic entrainment and resuspension under static facility conditions. MAR is activity in maximally loaded 2-drum Interim Storage Container (Ref. WVNS-CAL-397, Table A-2).  </v>
          </cell>
          <cell r="AG68" t="str">
            <v>•  None</v>
          </cell>
          <cell r="AH68" t="str">
            <v>•  None</v>
          </cell>
          <cell r="AI68" t="str">
            <v>•  None</v>
          </cell>
          <cell r="AJ68" t="str">
            <v>•  Quality Assurance Program
•  Fire Protection Program
•  Performance Based Training Program
•  Maintenance Program
•  Conduct of Operations</v>
          </cell>
          <cell r="AK68" t="str">
            <v>•  None</v>
          </cell>
          <cell r="AL68" t="str">
            <v>•  None</v>
          </cell>
          <cell r="AM68" t="str">
            <v>•  None</v>
          </cell>
          <cell r="AN68" t="str">
            <v>•  None</v>
          </cell>
        </row>
        <row r="69">
          <cell r="A69" t="str">
            <v>LSA</v>
          </cell>
          <cell r="B69">
            <v>20</v>
          </cell>
          <cell r="C69" t="str">
            <v>Loss of liquid contamination confinement</v>
          </cell>
          <cell r="D69" t="str">
            <v>Waste container containing residual liquids fails, resulting in loss of liquid contamination to the environment</v>
          </cell>
          <cell r="E69">
            <v>1</v>
          </cell>
          <cell r="F69" t="str">
            <v>FFS</v>
          </cell>
          <cell r="G69">
            <v>0.5</v>
          </cell>
          <cell r="H69" t="str">
            <v>Gnd</v>
          </cell>
          <cell r="I69">
            <v>850</v>
          </cell>
          <cell r="J69" t="str">
            <v>A</v>
          </cell>
          <cell r="K69" t="str">
            <v>N</v>
          </cell>
          <cell r="L69" t="str">
            <v>N</v>
          </cell>
          <cell r="M69" t="str">
            <v>N</v>
          </cell>
          <cell r="N69" t="str">
            <v>N</v>
          </cell>
          <cell r="O69" t="str">
            <v>IV</v>
          </cell>
          <cell r="P69" t="str">
            <v>IV</v>
          </cell>
          <cell r="Q69" t="str">
            <v>IV</v>
          </cell>
          <cell r="R69" t="str">
            <v>IV</v>
          </cell>
          <cell r="S69" t="str">
            <v>FFS</v>
          </cell>
          <cell r="T69">
            <v>0.5</v>
          </cell>
          <cell r="U69" t="str">
            <v>Gnd</v>
          </cell>
          <cell r="V69">
            <v>850</v>
          </cell>
          <cell r="W69" t="str">
            <v>A</v>
          </cell>
          <cell r="X69" t="str">
            <v>N</v>
          </cell>
          <cell r="Y69" t="str">
            <v>N</v>
          </cell>
          <cell r="Z69" t="str">
            <v>N</v>
          </cell>
          <cell r="AA69" t="str">
            <v>N</v>
          </cell>
          <cell r="AB69" t="str">
            <v>IV</v>
          </cell>
          <cell r="AC69" t="str">
            <v>IV</v>
          </cell>
          <cell r="AD69" t="str">
            <v>IV</v>
          </cell>
          <cell r="AE69" t="str">
            <v>IV</v>
          </cell>
          <cell r="AF69" t="str">
            <v xml:space="preserve">None.  </v>
          </cell>
          <cell r="AG69" t="str">
            <v>•  None</v>
          </cell>
          <cell r="AH69" t="str">
            <v>•  Cell liners/sumps and/or area berms</v>
          </cell>
          <cell r="AI69" t="str">
            <v>•  None</v>
          </cell>
          <cell r="AJ69" t="str">
            <v xml:space="preserve">•  Quality Assurance Program
•  Performance Based Training Program
•  Maintenance Program
•  Conduct of Operations
•  Waste Management Program </v>
          </cell>
          <cell r="AK69" t="str">
            <v>•  None</v>
          </cell>
          <cell r="AL69" t="str">
            <v>•  Building berms</v>
          </cell>
          <cell r="AM69" t="str">
            <v>•  None</v>
          </cell>
          <cell r="AN69" t="str">
            <v>•  Radiological Protection Program
•  Performance Based Training Program
•  Conduct of Operations</v>
          </cell>
        </row>
        <row r="70">
          <cell r="A70" t="str">
            <v>LSA</v>
          </cell>
          <cell r="B70">
            <v>21</v>
          </cell>
          <cell r="C70" t="str">
            <v>Flood</v>
          </cell>
          <cell r="D70" t="str">
            <v>A greater than 100-yr  rain event results in sheet flow that floods the storage area. Flooding may be exacerbated by plugged drainage channels or culverts.</v>
          </cell>
          <cell r="E70">
            <v>2100</v>
          </cell>
          <cell r="F70" t="str">
            <v>NA</v>
          </cell>
          <cell r="G70" t="str">
            <v>NA</v>
          </cell>
          <cell r="H70" t="str">
            <v>Gnd</v>
          </cell>
          <cell r="I70">
            <v>850</v>
          </cell>
          <cell r="J70" t="str">
            <v>U</v>
          </cell>
          <cell r="K70" t="str">
            <v>N</v>
          </cell>
          <cell r="L70" t="str">
            <v>N</v>
          </cell>
          <cell r="M70" t="str">
            <v>N</v>
          </cell>
          <cell r="N70" t="str">
            <v>N</v>
          </cell>
          <cell r="O70" t="str">
            <v>IV</v>
          </cell>
          <cell r="P70" t="str">
            <v>IV</v>
          </cell>
          <cell r="Q70" t="str">
            <v>IV</v>
          </cell>
          <cell r="R70" t="str">
            <v>IV</v>
          </cell>
          <cell r="S70" t="str">
            <v>NA</v>
          </cell>
          <cell r="T70" t="str">
            <v>NA</v>
          </cell>
          <cell r="U70" t="str">
            <v>Gnd</v>
          </cell>
          <cell r="V70">
            <v>850</v>
          </cell>
          <cell r="W70" t="str">
            <v>U</v>
          </cell>
          <cell r="X70" t="str">
            <v>N</v>
          </cell>
          <cell r="Y70" t="str">
            <v>N</v>
          </cell>
          <cell r="Z70" t="str">
            <v>N</v>
          </cell>
          <cell r="AA70" t="str">
            <v>N</v>
          </cell>
          <cell r="AB70" t="str">
            <v>IV</v>
          </cell>
          <cell r="AC70" t="str">
            <v>IV</v>
          </cell>
          <cell r="AD70" t="str">
            <v>IV</v>
          </cell>
          <cell r="AE70" t="str">
            <v>IV</v>
          </cell>
          <cell r="AF70" t="str">
            <v xml:space="preserve">Site topography places facility outside area vulnerable to flooding (ref. Figure 1.4-6).  MAR is entire inventory of radioactive material in WVDP packaged waste (exclusive of HLW) (Ref.WVNS-CAL-397, Table C-1).  </v>
          </cell>
          <cell r="AG70" t="str">
            <v>•  None</v>
          </cell>
          <cell r="AH70" t="str">
            <v>•  Siting of storage array in area away from areas of anticipated flooding</v>
          </cell>
          <cell r="AI70" t="str">
            <v>•  None</v>
          </cell>
          <cell r="AJ70" t="str">
            <v>•  None</v>
          </cell>
          <cell r="AK70" t="str">
            <v>•  None</v>
          </cell>
          <cell r="AL70" t="str">
            <v>•  None</v>
          </cell>
          <cell r="AM70" t="str">
            <v>•  None</v>
          </cell>
          <cell r="AN70" t="str">
            <v>•  Radiological Protection Program
•  Performance Based Training Program
•  Conduct of Operations</v>
          </cell>
        </row>
        <row r="71">
          <cell r="A71" t="str">
            <v>MP</v>
          </cell>
          <cell r="B71">
            <v>1</v>
          </cell>
          <cell r="C71" t="str">
            <v>Small combustible material fire</v>
          </cell>
          <cell r="D71" t="str">
            <v>Fire occurs in a contaminated facility area. Includes accidents initiated due to pyrophoric reactions or reactions involving incompatible materials.</v>
          </cell>
          <cell r="E71">
            <v>360</v>
          </cell>
          <cell r="F71" t="str">
            <v>E02</v>
          </cell>
          <cell r="G71">
            <v>1</v>
          </cell>
          <cell r="H71" t="str">
            <v>60m</v>
          </cell>
          <cell r="I71">
            <v>1050</v>
          </cell>
          <cell r="J71" t="str">
            <v>A</v>
          </cell>
          <cell r="K71" t="str">
            <v>N</v>
          </cell>
          <cell r="L71" t="str">
            <v>M</v>
          </cell>
          <cell r="M71" t="str">
            <v>N</v>
          </cell>
          <cell r="N71" t="str">
            <v>N</v>
          </cell>
          <cell r="O71" t="str">
            <v>IV</v>
          </cell>
          <cell r="P71" t="str">
            <v>I</v>
          </cell>
          <cell r="Q71" t="str">
            <v>IV</v>
          </cell>
          <cell r="R71" t="str">
            <v>IV</v>
          </cell>
          <cell r="S71" t="str">
            <v>CWF</v>
          </cell>
          <cell r="T71">
            <v>1</v>
          </cell>
          <cell r="U71" t="str">
            <v>60m</v>
          </cell>
          <cell r="V71">
            <v>1050</v>
          </cell>
          <cell r="W71" t="str">
            <v>U</v>
          </cell>
          <cell r="X71" t="str">
            <v>N</v>
          </cell>
          <cell r="Y71" t="str">
            <v>L</v>
          </cell>
          <cell r="Z71" t="str">
            <v>N</v>
          </cell>
          <cell r="AA71" t="str">
            <v>N</v>
          </cell>
          <cell r="AB71" t="str">
            <v>IV</v>
          </cell>
          <cell r="AC71" t="str">
            <v>III</v>
          </cell>
          <cell r="AD71" t="str">
            <v>IV</v>
          </cell>
          <cell r="AE71" t="str">
            <v>IV</v>
          </cell>
          <cell r="AF71"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71" t="str">
            <v>•  None</v>
          </cell>
          <cell r="AH71" t="str">
            <v>•  None</v>
          </cell>
          <cell r="AI71" t="str">
            <v>•  None</v>
          </cell>
          <cell r="AJ71" t="str">
            <v xml:space="preserve">•  Quality Assurance Program
•  Fire Protection Program
-   “Hot work” controls
-   Combustible material control program
•  Performance Based Training Program
•  Maintenance Program
•  Conduct of Operations
•  Waste Management Program </v>
          </cell>
          <cell r="AK71" t="str">
            <v>•  None</v>
          </cell>
          <cell r="AL71" t="str">
            <v>•  Fire rated cell walls and shield doors</v>
          </cell>
          <cell r="AM71" t="str">
            <v>•  None</v>
          </cell>
          <cell r="AN71" t="str">
            <v>•  Radiological Protection Program
•  Emergency Response Program
•  Fire Protection Program
•  Performance Based Training Program
•  Conduct of Operations</v>
          </cell>
        </row>
        <row r="72">
          <cell r="A72" t="str">
            <v>MP</v>
          </cell>
          <cell r="B72">
            <v>2</v>
          </cell>
          <cell r="C72" t="str">
            <v>Large fire</v>
          </cell>
          <cell r="D72" t="str">
            <v>Large cell fire. Expected to be bounded by combustion of shield window mineral oil following window failure. Fire may initiate due to ignition of combustible or pyrophoric material in cell.</v>
          </cell>
          <cell r="E72">
            <v>2300</v>
          </cell>
          <cell r="F72" t="str">
            <v>E04</v>
          </cell>
          <cell r="G72">
            <v>0.5</v>
          </cell>
          <cell r="H72" t="str">
            <v>60m</v>
          </cell>
          <cell r="I72">
            <v>1050</v>
          </cell>
          <cell r="J72" t="str">
            <v>U</v>
          </cell>
          <cell r="K72" t="str">
            <v>N</v>
          </cell>
          <cell r="L72" t="str">
            <v>L</v>
          </cell>
          <cell r="M72" t="str">
            <v>N</v>
          </cell>
          <cell r="N72" t="str">
            <v>N</v>
          </cell>
          <cell r="O72" t="str">
            <v>IV</v>
          </cell>
          <cell r="P72" t="str">
            <v>III</v>
          </cell>
          <cell r="Q72" t="str">
            <v>IV</v>
          </cell>
          <cell r="R72" t="str">
            <v>IV</v>
          </cell>
          <cell r="S72" t="str">
            <v>E04</v>
          </cell>
          <cell r="T72">
            <v>0.5</v>
          </cell>
          <cell r="U72" t="str">
            <v>60m</v>
          </cell>
          <cell r="V72">
            <v>1050</v>
          </cell>
          <cell r="W72" t="str">
            <v>EU</v>
          </cell>
          <cell r="X72" t="str">
            <v>N</v>
          </cell>
          <cell r="Y72" t="str">
            <v>L</v>
          </cell>
          <cell r="Z72" t="str">
            <v>N</v>
          </cell>
          <cell r="AA72" t="str">
            <v>N</v>
          </cell>
          <cell r="AB72" t="str">
            <v>IV</v>
          </cell>
          <cell r="AC72" t="str">
            <v>IV</v>
          </cell>
          <cell r="AD72" t="str">
            <v>IV</v>
          </cell>
          <cell r="AE72" t="str">
            <v>IV</v>
          </cell>
          <cell r="AF72" t="str">
            <v xml:space="preserve">Releases are assumed to be through facility stack, even under loss of active ventilation, via stack chimney effect.  MAR is entire inventory of radioactive material in the MPPB  (exclusive of HLW) (Ref. WVNS-CAL-397, Table C-1).  </v>
          </cell>
          <cell r="AG72" t="str">
            <v>•  None</v>
          </cell>
          <cell r="AH72" t="str">
            <v>•  None</v>
          </cell>
          <cell r="AI72" t="str">
            <v>•  None</v>
          </cell>
          <cell r="AJ72" t="str">
            <v xml:space="preserve">•  Quality Assurance Program
•  Fire Protection Program
-   “Hot work” controls
-   Combustible material control program
•  Performance Based Training Program
•  Maintenance Program
•  Waste Management Program </v>
          </cell>
          <cell r="AK72" t="str">
            <v>•  None</v>
          </cell>
          <cell r="AL72" t="str">
            <v>•  Fire rated cell walls and shield doors</v>
          </cell>
          <cell r="AM72" t="str">
            <v>•  None</v>
          </cell>
          <cell r="AN72" t="str">
            <v>•  Radiological Protection Program
•  Emergency Response Program
•  Fire Protection Program
•  Performance Based Training Program
•  Conduct of Operations</v>
          </cell>
        </row>
        <row r="73">
          <cell r="A73" t="str">
            <v>MP</v>
          </cell>
          <cell r="B73">
            <v>3</v>
          </cell>
          <cell r="C73" t="str">
            <v>Waste container deflagration</v>
          </cell>
          <cell r="D73" t="str">
            <v>Hydrogen or other flammable/explosive gases inside a container is ignited.</v>
          </cell>
          <cell r="E73">
            <v>360</v>
          </cell>
          <cell r="F73" t="str">
            <v>E06</v>
          </cell>
          <cell r="G73">
            <v>1</v>
          </cell>
          <cell r="H73" t="str">
            <v>60m</v>
          </cell>
          <cell r="I73">
            <v>1050</v>
          </cell>
          <cell r="J73" t="str">
            <v>U</v>
          </cell>
          <cell r="K73" t="str">
            <v>N</v>
          </cell>
          <cell r="L73" t="str">
            <v>L</v>
          </cell>
          <cell r="M73" t="str">
            <v>N</v>
          </cell>
          <cell r="N73" t="str">
            <v>N</v>
          </cell>
          <cell r="O73" t="str">
            <v>IV</v>
          </cell>
          <cell r="P73" t="str">
            <v>III</v>
          </cell>
          <cell r="Q73" t="str">
            <v>IV</v>
          </cell>
          <cell r="R73" t="str">
            <v>IV</v>
          </cell>
          <cell r="S73" t="str">
            <v>E06</v>
          </cell>
          <cell r="T73">
            <v>1</v>
          </cell>
          <cell r="U73" t="str">
            <v>60m</v>
          </cell>
          <cell r="V73">
            <v>1050</v>
          </cell>
          <cell r="W73" t="str">
            <v>EU</v>
          </cell>
          <cell r="X73" t="str">
            <v>N</v>
          </cell>
          <cell r="Y73" t="str">
            <v>L</v>
          </cell>
          <cell r="Z73" t="str">
            <v>N</v>
          </cell>
          <cell r="AA73" t="str">
            <v>N</v>
          </cell>
          <cell r="AB73" t="str">
            <v>IV</v>
          </cell>
          <cell r="AC73" t="str">
            <v>IV</v>
          </cell>
          <cell r="AD73" t="str">
            <v>IV</v>
          </cell>
          <cell r="AE73" t="str">
            <v>IV</v>
          </cell>
          <cell r="AF73" t="str">
            <v xml:space="preserve">Waste form and waste package vent filters contribute to low probability of this event. Event is assumed to occur within shielded process cell.  MAR is activity in maximally loaded 2-drum Interim Storage Container (Ref. WVNS-CAL-397, Table A-2).  </v>
          </cell>
          <cell r="AG73" t="str">
            <v>•  None</v>
          </cell>
          <cell r="AH73" t="str">
            <v>•  HEPA filter vents on waste containers
•  Non-sparking tools for containers suspected of containing high concentrations of flammable gas</v>
          </cell>
          <cell r="AI73" t="str">
            <v>•  None</v>
          </cell>
          <cell r="AJ73" t="str">
            <v xml:space="preserve">•  Quality Assurance Program
•  Fire Protection Program
•  Performance Based Training Program
•  Maintenance Program
•  Waste Management Program </v>
          </cell>
          <cell r="AK73" t="str">
            <v>•  None</v>
          </cell>
          <cell r="AL73" t="str">
            <v>•  Confinement capability of cell structure
•  Fire rated cell walls and shield doors</v>
          </cell>
          <cell r="AM73" t="str">
            <v>•  None</v>
          </cell>
          <cell r="AN73" t="str">
            <v>•  Radiological Protection Program
•  Emergency Response Program
•  Fire Protection Program
•  Performance Based Training Program
•  Conduct of Operations</v>
          </cell>
        </row>
        <row r="74">
          <cell r="A74" t="str">
            <v>MP</v>
          </cell>
          <cell r="B74">
            <v>4</v>
          </cell>
          <cell r="C74" t="str">
            <v>Localized explosion within facility</v>
          </cell>
          <cell r="D74" t="str">
            <v>Localized explosion within facility.</v>
          </cell>
          <cell r="E74">
            <v>360</v>
          </cell>
          <cell r="F74" t="str">
            <v>ES</v>
          </cell>
          <cell r="G74">
            <v>1</v>
          </cell>
          <cell r="H74" t="str">
            <v>60m</v>
          </cell>
          <cell r="I74">
            <v>1050</v>
          </cell>
          <cell r="J74" t="str">
            <v>U</v>
          </cell>
          <cell r="K74" t="str">
            <v>N</v>
          </cell>
          <cell r="L74" t="str">
            <v>L</v>
          </cell>
          <cell r="M74" t="str">
            <v>N</v>
          </cell>
          <cell r="N74" t="str">
            <v>N</v>
          </cell>
          <cell r="O74" t="str">
            <v>IV</v>
          </cell>
          <cell r="P74" t="str">
            <v>III</v>
          </cell>
          <cell r="Q74" t="str">
            <v>IV</v>
          </cell>
          <cell r="R74" t="str">
            <v>IV</v>
          </cell>
          <cell r="S74" t="str">
            <v>ES</v>
          </cell>
          <cell r="T74">
            <v>1</v>
          </cell>
          <cell r="U74" t="str">
            <v>60m</v>
          </cell>
          <cell r="V74">
            <v>1050</v>
          </cell>
          <cell r="W74" t="str">
            <v>U</v>
          </cell>
          <cell r="X74" t="str">
            <v>N</v>
          </cell>
          <cell r="Y74" t="str">
            <v>L</v>
          </cell>
          <cell r="Z74" t="str">
            <v>N</v>
          </cell>
          <cell r="AA74" t="str">
            <v>N</v>
          </cell>
          <cell r="AB74" t="str">
            <v>IV</v>
          </cell>
          <cell r="AC74" t="str">
            <v>III</v>
          </cell>
          <cell r="AD74" t="str">
            <v>IV</v>
          </cell>
          <cell r="AE74" t="str">
            <v>IV</v>
          </cell>
          <cell r="AF74" t="str">
            <v xml:space="preserve">Event is assumed to be due to ignition of flammable gas associated with D&amp;D activities (e.g., cutting gases, pressurized decontamination gases, etc.).  MAR is activity in maximally loaded 2-drum Interim Storage Container (Ref. WVNS-CAL-397, Table A-2).  </v>
          </cell>
          <cell r="AG74" t="str">
            <v>•  None</v>
          </cell>
          <cell r="AH74" t="str">
            <v>•  None</v>
          </cell>
          <cell r="AI74" t="str">
            <v>•  None</v>
          </cell>
          <cell r="AJ74" t="str">
            <v>•  Quality Assurance Program
•  Fire Protection Program
•  Performance Based Training Program
•  Maintenance Program
•  Conduct of Operations</v>
          </cell>
          <cell r="AK74" t="str">
            <v>•  None</v>
          </cell>
          <cell r="AL74" t="str">
            <v>•  Reinforced concrete shield walls</v>
          </cell>
          <cell r="AM74" t="str">
            <v>•  None</v>
          </cell>
          <cell r="AN74" t="str">
            <v>•  Radiological Protection Program
•  Emergency Response Program
•  Fire Protection Program
•  Performance Based Training Program
•  Conduct of Operations</v>
          </cell>
        </row>
        <row r="75">
          <cell r="A75" t="str">
            <v>MP</v>
          </cell>
          <cell r="B75">
            <v>5</v>
          </cell>
          <cell r="C75" t="str">
            <v>Drop/impact/spill</v>
          </cell>
          <cell r="D75" t="str">
            <v>This event is due to mishandling of containers or to drops/impacts caused by equipment failure or leaks caused by corrosion, construction defect, or improper closure. Analysis includes impacts affecting vitrified waste canisters.</v>
          </cell>
          <cell r="E75">
            <v>360</v>
          </cell>
          <cell r="F75" t="str">
            <v>E10</v>
          </cell>
          <cell r="G75">
            <v>0.1</v>
          </cell>
          <cell r="H75" t="str">
            <v>60m</v>
          </cell>
          <cell r="I75">
            <v>1050</v>
          </cell>
          <cell r="J75" t="str">
            <v>A</v>
          </cell>
          <cell r="K75" t="str">
            <v>N</v>
          </cell>
          <cell r="L75" t="str">
            <v>N</v>
          </cell>
          <cell r="M75" t="str">
            <v>N</v>
          </cell>
          <cell r="N75" t="str">
            <v>N</v>
          </cell>
          <cell r="O75" t="str">
            <v>IV</v>
          </cell>
          <cell r="P75" t="str">
            <v>IV</v>
          </cell>
          <cell r="Q75" t="str">
            <v>IV</v>
          </cell>
          <cell r="R75" t="str">
            <v>IV</v>
          </cell>
          <cell r="S75" t="str">
            <v>E10</v>
          </cell>
          <cell r="T75">
            <v>0.1</v>
          </cell>
          <cell r="U75" t="str">
            <v>60m</v>
          </cell>
          <cell r="V75">
            <v>1050</v>
          </cell>
          <cell r="W75" t="str">
            <v>U</v>
          </cell>
          <cell r="X75" t="str">
            <v>N</v>
          </cell>
          <cell r="Y75" t="str">
            <v>N</v>
          </cell>
          <cell r="Z75" t="str">
            <v>N</v>
          </cell>
          <cell r="AA75" t="str">
            <v>N</v>
          </cell>
          <cell r="AB75" t="str">
            <v>IV</v>
          </cell>
          <cell r="AC75" t="str">
            <v>IV</v>
          </cell>
          <cell r="AD75" t="str">
            <v>IV</v>
          </cell>
          <cell r="AE75" t="str">
            <v>IV</v>
          </cell>
          <cell r="AF75" t="str">
            <v xml:space="preserve">Assumed to be bounded by one high activity TRU waste container in HLWIS dropped on another high activity TRU waste container.  No releases from HLW canister expected for this event.  MAR is activity in maximally loaded 2-drum Interim Storage Container (Ref. WVNS-CAL-397, Table A-2).  </v>
          </cell>
          <cell r="AG75" t="str">
            <v>•  None</v>
          </cell>
          <cell r="AH75" t="str">
            <v>•  None</v>
          </cell>
          <cell r="AI75" t="str">
            <v>•  None</v>
          </cell>
          <cell r="AJ75" t="str">
            <v xml:space="preserve">•  Quality Assurance Program
•  Performance Based Training Program
•  Maintenance Program
•  Conduct of Operations
•  Waste Management Program </v>
          </cell>
          <cell r="AK75" t="str">
            <v>•  None</v>
          </cell>
          <cell r="AL75" t="str">
            <v>•  Confinement capability of cell structure</v>
          </cell>
          <cell r="AM75" t="str">
            <v>•  None</v>
          </cell>
          <cell r="AN75" t="str">
            <v>•  Radiological Protection Program
•  Emergency Response Program
•  Performance Based Training Program
•  Conduct of Operations</v>
          </cell>
        </row>
        <row r="76">
          <cell r="A76" t="str">
            <v>MP</v>
          </cell>
          <cell r="B76">
            <v>6</v>
          </cell>
          <cell r="C76" t="str">
            <v>Waste container over-pressurization</v>
          </cell>
          <cell r="D76" t="str">
            <v>Container failure occurs due to pressure buildup, possibly due to radiolysis of water or other hydrogenous material, thermal expansion of material/gases inside the container, or chemical reactions inside the container.</v>
          </cell>
          <cell r="E76">
            <v>360</v>
          </cell>
          <cell r="F76" t="str">
            <v>E12</v>
          </cell>
          <cell r="G76">
            <v>1</v>
          </cell>
          <cell r="H76" t="str">
            <v>60m</v>
          </cell>
          <cell r="I76">
            <v>1050</v>
          </cell>
          <cell r="J76" t="str">
            <v>A</v>
          </cell>
          <cell r="K76" t="str">
            <v>N</v>
          </cell>
          <cell r="L76" t="str">
            <v>L</v>
          </cell>
          <cell r="M76" t="str">
            <v>N</v>
          </cell>
          <cell r="N76" t="str">
            <v>N</v>
          </cell>
          <cell r="O76" t="str">
            <v>IV</v>
          </cell>
          <cell r="P76" t="str">
            <v>III</v>
          </cell>
          <cell r="Q76" t="str">
            <v>IV</v>
          </cell>
          <cell r="R76" t="str">
            <v>IV</v>
          </cell>
          <cell r="S76" t="str">
            <v>E12</v>
          </cell>
          <cell r="T76">
            <v>1</v>
          </cell>
          <cell r="U76" t="str">
            <v>60m</v>
          </cell>
          <cell r="V76">
            <v>1050</v>
          </cell>
          <cell r="W76" t="str">
            <v>A</v>
          </cell>
          <cell r="X76" t="str">
            <v>N</v>
          </cell>
          <cell r="Y76" t="str">
            <v>L</v>
          </cell>
          <cell r="Z76" t="str">
            <v>N</v>
          </cell>
          <cell r="AA76" t="str">
            <v>N</v>
          </cell>
          <cell r="AB76" t="str">
            <v>IV</v>
          </cell>
          <cell r="AC76" t="str">
            <v>III</v>
          </cell>
          <cell r="AD76" t="str">
            <v>IV</v>
          </cell>
          <cell r="AE76" t="str">
            <v>IV</v>
          </cell>
          <cell r="AF76"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76" t="str">
            <v>•  None</v>
          </cell>
          <cell r="AH76" t="str">
            <v>•  HEPA filter vents on waste containers</v>
          </cell>
          <cell r="AI76" t="str">
            <v>•  None</v>
          </cell>
          <cell r="AJ76" t="str">
            <v xml:space="preserve">•  Quality Assurance Program
•  Performance Based Training Program
•  Waste Management Program </v>
          </cell>
          <cell r="AK76" t="str">
            <v>•  None</v>
          </cell>
          <cell r="AL76" t="str">
            <v>•  None</v>
          </cell>
          <cell r="AM76" t="str">
            <v>•  None</v>
          </cell>
          <cell r="AN76" t="str">
            <v>•  Radiological Protection Program
•  Emergency Response Program
•  Performance Based Training Program
•  Conduct of Operations</v>
          </cell>
        </row>
        <row r="77">
          <cell r="A77" t="str">
            <v>MP</v>
          </cell>
          <cell r="B77">
            <v>7</v>
          </cell>
          <cell r="C77" t="str">
            <v>Direct exposure to radiation</v>
          </cell>
          <cell r="D77" t="str">
            <v>Exposure to ionizing radiation from the waste, possibly due to loss of proper shielding within a container or instrument miscalibration</v>
          </cell>
          <cell r="E77" t="str">
            <v>Not applicable.</v>
          </cell>
          <cell r="F77" t="str">
            <v>NA</v>
          </cell>
          <cell r="G77" t="str">
            <v>NA</v>
          </cell>
          <cell r="H77" t="str">
            <v>60m</v>
          </cell>
          <cell r="I77">
            <v>1050</v>
          </cell>
          <cell r="J77" t="str">
            <v>A</v>
          </cell>
          <cell r="K77" t="str">
            <v>M</v>
          </cell>
          <cell r="L77" t="str">
            <v>N</v>
          </cell>
          <cell r="M77" t="str">
            <v>N</v>
          </cell>
          <cell r="N77" t="str">
            <v>N</v>
          </cell>
          <cell r="O77" t="str">
            <v>I</v>
          </cell>
          <cell r="P77" t="str">
            <v>IV</v>
          </cell>
          <cell r="Q77" t="str">
            <v>IV</v>
          </cell>
          <cell r="R77" t="str">
            <v>IV</v>
          </cell>
          <cell r="S77" t="str">
            <v>NA</v>
          </cell>
          <cell r="T77" t="str">
            <v>NA</v>
          </cell>
          <cell r="U77" t="str">
            <v>60m</v>
          </cell>
          <cell r="V77">
            <v>1050</v>
          </cell>
          <cell r="W77" t="str">
            <v>U</v>
          </cell>
          <cell r="X77" t="str">
            <v>L</v>
          </cell>
          <cell r="Y77" t="str">
            <v>N</v>
          </cell>
          <cell r="Z77" t="str">
            <v>N</v>
          </cell>
          <cell r="AA77" t="str">
            <v>N</v>
          </cell>
          <cell r="AB77" t="str">
            <v>III</v>
          </cell>
          <cell r="AC77" t="str">
            <v>IV</v>
          </cell>
          <cell r="AD77" t="str">
            <v>IV</v>
          </cell>
          <cell r="AE77" t="str">
            <v>IV</v>
          </cell>
          <cell r="AF77" t="str">
            <v xml:space="preserve">None.  </v>
          </cell>
          <cell r="AG77" t="str">
            <v>•  None</v>
          </cell>
          <cell r="AH77" t="str">
            <v>•  Engineered radiation shielding on high dose rate waste containers</v>
          </cell>
          <cell r="AI77" t="str">
            <v>•  None</v>
          </cell>
          <cell r="AJ77" t="str">
            <v xml:space="preserve">•  Radiological Protection Program
•  Quality Assurance Program
•  Performance Based Training Program
•  Conduct of Operations
•  Waste Management Program </v>
          </cell>
          <cell r="AK77" t="str">
            <v>•  None</v>
          </cell>
          <cell r="AL77" t="str">
            <v>•  None</v>
          </cell>
          <cell r="AM77" t="str">
            <v>•  None</v>
          </cell>
          <cell r="AN77" t="str">
            <v>•  Radiological Protection Program
•  Performance Based Training Program
•  Conduct of Operations</v>
          </cell>
        </row>
        <row r="78">
          <cell r="A78" t="str">
            <v>MP</v>
          </cell>
          <cell r="B78">
            <v>8</v>
          </cell>
          <cell r="C78" t="str">
            <v>Criticality</v>
          </cell>
          <cell r="D78" t="str">
            <v>Inadvertent criticality occurs due to multiple independent failures and/or highly improbable circumstances</v>
          </cell>
          <cell r="E78" t="str">
            <v>&gt;450 FGE
Pu-239</v>
          </cell>
          <cell r="F78" t="str">
            <v>NA</v>
          </cell>
          <cell r="G78" t="str">
            <v>NA</v>
          </cell>
          <cell r="H78" t="str">
            <v>60m</v>
          </cell>
          <cell r="I78">
            <v>1050</v>
          </cell>
          <cell r="J78" t="str">
            <v>BEU</v>
          </cell>
          <cell r="K78" t="str">
            <v>L</v>
          </cell>
          <cell r="L78" t="str">
            <v>N</v>
          </cell>
          <cell r="M78" t="str">
            <v>N</v>
          </cell>
          <cell r="N78" t="str">
            <v>N</v>
          </cell>
          <cell r="O78" t="str">
            <v>IV</v>
          </cell>
          <cell r="P78" t="str">
            <v>IV</v>
          </cell>
          <cell r="Q78" t="str">
            <v>IV</v>
          </cell>
          <cell r="R78" t="str">
            <v>IV</v>
          </cell>
          <cell r="S78" t="str">
            <v>NA</v>
          </cell>
          <cell r="T78" t="str">
            <v>NA</v>
          </cell>
          <cell r="U78" t="str">
            <v>60m</v>
          </cell>
          <cell r="V78">
            <v>1050</v>
          </cell>
          <cell r="W78" t="str">
            <v>BEU</v>
          </cell>
          <cell r="X78" t="str">
            <v>L</v>
          </cell>
          <cell r="Y78" t="str">
            <v>N</v>
          </cell>
          <cell r="Z78" t="str">
            <v>N</v>
          </cell>
          <cell r="AA78" t="str">
            <v>N</v>
          </cell>
          <cell r="AB78" t="str">
            <v>IV</v>
          </cell>
          <cell r="AC78" t="str">
            <v>IV</v>
          </cell>
          <cell r="AD78" t="str">
            <v>IV</v>
          </cell>
          <cell r="AE78" t="str">
            <v>IV</v>
          </cell>
          <cell r="AF78" t="str">
            <v xml:space="preserve">Nuclear criticality safety administrative controls ensure criticality safety for all D&amp;D operations and waste packaging activities involving greater than a significant quantity of fissile material.   </v>
          </cell>
          <cell r="AG78" t="str">
            <v>• PSRs for fissile material storage container specifications</v>
          </cell>
          <cell r="AH78" t="str">
            <v>•  None</v>
          </cell>
          <cell r="AI78" t="str">
            <v>• PSR limits on container fissile mass
• PSR for fissile material storage containers</v>
          </cell>
          <cell r="AJ78" t="str">
            <v xml:space="preserve">•  Radiological Protection Program
•  Nuclear Criticality Safety Program
•  Quality Assurance Program
•  Performance Based Training Program
•  Conduct of Operations
•  Waste Management Program </v>
          </cell>
          <cell r="AK78" t="str">
            <v>•  None</v>
          </cell>
          <cell r="AL78" t="str">
            <v>•  None</v>
          </cell>
          <cell r="AM78" t="str">
            <v>•  None</v>
          </cell>
          <cell r="AN78" t="str">
            <v>•  Radiological Protection Program
•  Nuclear Criticality Safety Program
•  Emergency Response Program
•  Performance Based Training Program
•  Conduct of Operations</v>
          </cell>
        </row>
        <row r="79">
          <cell r="A79" t="str">
            <v>MP</v>
          </cell>
          <cell r="B79">
            <v>9</v>
          </cell>
          <cell r="C79" t="str">
            <v>Aircraft impact with fire</v>
          </cell>
          <cell r="D79" t="str">
            <v>Small general aviation aircraft or helicopter crashes and a fire ensues</v>
          </cell>
          <cell r="E79">
            <v>10</v>
          </cell>
          <cell r="F79" t="str">
            <v>HF</v>
          </cell>
          <cell r="G79">
            <v>1</v>
          </cell>
          <cell r="H79" t="str">
            <v>60m</v>
          </cell>
          <cell r="I79">
            <v>1050</v>
          </cell>
          <cell r="J79" t="str">
            <v>BEU</v>
          </cell>
          <cell r="K79" t="str">
            <v>N</v>
          </cell>
          <cell r="L79" t="str">
            <v>N</v>
          </cell>
          <cell r="M79" t="str">
            <v>N</v>
          </cell>
          <cell r="N79" t="str">
            <v>N</v>
          </cell>
          <cell r="O79" t="str">
            <v>IV</v>
          </cell>
          <cell r="P79" t="str">
            <v>IV</v>
          </cell>
          <cell r="Q79" t="str">
            <v>IV</v>
          </cell>
          <cell r="R79" t="str">
            <v>IV</v>
          </cell>
          <cell r="S79" t="str">
            <v>HF</v>
          </cell>
          <cell r="T79">
            <v>1</v>
          </cell>
          <cell r="U79" t="str">
            <v>60m</v>
          </cell>
          <cell r="V79">
            <v>1050</v>
          </cell>
          <cell r="W79" t="str">
            <v>BEU</v>
          </cell>
          <cell r="X79" t="str">
            <v>N</v>
          </cell>
          <cell r="Y79" t="str">
            <v>N</v>
          </cell>
          <cell r="Z79" t="str">
            <v>N</v>
          </cell>
          <cell r="AA79" t="str">
            <v>N</v>
          </cell>
          <cell r="AB79" t="str">
            <v>IV</v>
          </cell>
          <cell r="AC79" t="str">
            <v>IV</v>
          </cell>
          <cell r="AD79" t="str">
            <v>IV</v>
          </cell>
          <cell r="AE79" t="str">
            <v>IV</v>
          </cell>
          <cell r="AF79" t="str">
            <v xml:space="preserve">Event not expected to impact radioactive materials within heavily shielded cells. Only activity in ventilation system would be expected to be affected. Event BEU per WVNS-CAL-388. Only facility ventilation system vulnerable to event. MAR is inventory of radioactive material in bounding MPPB ventilation system 
(Ref. WVNS-CAL-397, Table A-1, "VEC") </v>
          </cell>
          <cell r="AG79" t="str">
            <v>•  None</v>
          </cell>
          <cell r="AH79" t="str">
            <v>•  None</v>
          </cell>
          <cell r="AI79" t="str">
            <v>•  None</v>
          </cell>
          <cell r="AJ79" t="str">
            <v>•  None</v>
          </cell>
          <cell r="AK79" t="str">
            <v>•  None</v>
          </cell>
          <cell r="AL79" t="str">
            <v>•  None</v>
          </cell>
          <cell r="AM79" t="str">
            <v>• SAC for APPROVED CONTAINER use</v>
          </cell>
          <cell r="AN79" t="str">
            <v>•  Radiological Protection Program
•  Emergency Response Program
•  Fire Protection Program
•  Performance Based Training Program
•  Conduct of Operations</v>
          </cell>
        </row>
        <row r="80">
          <cell r="A80" t="str">
            <v>MP</v>
          </cell>
          <cell r="B80">
            <v>10</v>
          </cell>
          <cell r="C80" t="str">
            <v>External explosion</v>
          </cell>
          <cell r="D80" t="str">
            <v>Explosion involving failure of equipment not directly related to facility operations (e.g. natural gas line rupture) with possible missiles generated.</v>
          </cell>
          <cell r="E80">
            <v>2300</v>
          </cell>
          <cell r="F80" t="str">
            <v>E18</v>
          </cell>
          <cell r="G80">
            <v>1</v>
          </cell>
          <cell r="H80" t="str">
            <v>60m</v>
          </cell>
          <cell r="I80">
            <v>1050</v>
          </cell>
          <cell r="J80" t="str">
            <v>U</v>
          </cell>
          <cell r="K80" t="str">
            <v>N</v>
          </cell>
          <cell r="L80" t="str">
            <v>L</v>
          </cell>
          <cell r="M80" t="str">
            <v>N</v>
          </cell>
          <cell r="N80" t="str">
            <v>N</v>
          </cell>
          <cell r="O80" t="str">
            <v>IV</v>
          </cell>
          <cell r="P80" t="str">
            <v>III</v>
          </cell>
          <cell r="Q80" t="str">
            <v>IV</v>
          </cell>
          <cell r="R80" t="str">
            <v>IV</v>
          </cell>
          <cell r="S80" t="str">
            <v>E18</v>
          </cell>
          <cell r="T80">
            <v>1</v>
          </cell>
          <cell r="U80" t="str">
            <v>60m</v>
          </cell>
          <cell r="V80">
            <v>1050</v>
          </cell>
          <cell r="W80" t="str">
            <v>U</v>
          </cell>
          <cell r="X80" t="str">
            <v>N</v>
          </cell>
          <cell r="Y80" t="str">
            <v>L</v>
          </cell>
          <cell r="Z80" t="str">
            <v>N</v>
          </cell>
          <cell r="AA80" t="str">
            <v>N</v>
          </cell>
          <cell r="AB80" t="str">
            <v>IV</v>
          </cell>
          <cell r="AC80" t="str">
            <v>III</v>
          </cell>
          <cell r="AD80" t="str">
            <v>IV</v>
          </cell>
          <cell r="AE80" t="str">
            <v>IV</v>
          </cell>
          <cell r="AF80" t="str">
            <v xml:space="preserve">Explosion assumed to be due to detonation of accumulated flammable gas associated with utility room or related operations.  MAR is entire inventory of radioactive material in the MPPB  (exclusive of HLW) (Ref. WVNS-CAL-397, Table C-1).  </v>
          </cell>
          <cell r="AG80" t="str">
            <v>•  None</v>
          </cell>
          <cell r="AH80" t="str">
            <v>•  None</v>
          </cell>
          <cell r="AI80" t="str">
            <v>•  None</v>
          </cell>
          <cell r="AJ80" t="str">
            <v>•  Quality Assurance Program
•  Performance Based Training Program
•  Maintenance Program</v>
          </cell>
          <cell r="AK80" t="str">
            <v>•  None</v>
          </cell>
          <cell r="AL80" t="str">
            <v>•  None</v>
          </cell>
          <cell r="AM80" t="str">
            <v>•  None</v>
          </cell>
          <cell r="AN80" t="str">
            <v>•  Radiological Protection Program
•  Emergency Response Program
•  Fire Protection Program
•  Performance Based Training Program
•  Conduct of Operations</v>
          </cell>
        </row>
        <row r="81">
          <cell r="A81" t="str">
            <v>MP</v>
          </cell>
          <cell r="B81">
            <v>11</v>
          </cell>
          <cell r="C81" t="str">
            <v>Tornado</v>
          </cell>
          <cell r="D81" t="str">
            <v>Direct effects of tornado winds, falling objects, or tornado-produced missiles causing impacts to the facility. Event includes loss of contamination confinement resulting from abnormal facility differential pressures (backflow).</v>
          </cell>
          <cell r="E81">
            <v>2300</v>
          </cell>
          <cell r="F81" t="str">
            <v>IS</v>
          </cell>
          <cell r="G81">
            <v>1</v>
          </cell>
          <cell r="H81" t="str">
            <v>60m</v>
          </cell>
          <cell r="I81">
            <v>1050</v>
          </cell>
          <cell r="J81" t="str">
            <v>U</v>
          </cell>
          <cell r="K81" t="str">
            <v>N</v>
          </cell>
          <cell r="L81" t="str">
            <v>L</v>
          </cell>
          <cell r="M81" t="str">
            <v>N</v>
          </cell>
          <cell r="N81" t="str">
            <v>N</v>
          </cell>
          <cell r="O81" t="str">
            <v>IV</v>
          </cell>
          <cell r="P81" t="str">
            <v>III</v>
          </cell>
          <cell r="Q81" t="str">
            <v>IV</v>
          </cell>
          <cell r="R81" t="str">
            <v>IV</v>
          </cell>
          <cell r="S81" t="str">
            <v>IS</v>
          </cell>
          <cell r="T81">
            <v>1</v>
          </cell>
          <cell r="U81" t="str">
            <v>60m</v>
          </cell>
          <cell r="V81">
            <v>1050</v>
          </cell>
          <cell r="W81" t="str">
            <v>U</v>
          </cell>
          <cell r="X81" t="str">
            <v>N</v>
          </cell>
          <cell r="Y81" t="str">
            <v>L</v>
          </cell>
          <cell r="Z81" t="str">
            <v>N</v>
          </cell>
          <cell r="AA81" t="str">
            <v>N</v>
          </cell>
          <cell r="AB81" t="str">
            <v>IV</v>
          </cell>
          <cell r="AC81" t="str">
            <v>III</v>
          </cell>
          <cell r="AD81" t="str">
            <v>IV</v>
          </cell>
          <cell r="AE81" t="str">
            <v>IV</v>
          </cell>
          <cell r="AF81" t="str">
            <v xml:space="preserve">Source term for event expected to be limited to airborne contamination affected by large negative pressure associated with direct strike by a tornado. Facility confinement not expected to be affected by missiles of EBE.  MAR is entire inventory of radioactive material in the MPPB  (exclusive of HLW) (Ref. WVNS-CAL-397, Table C-1).  </v>
          </cell>
          <cell r="AG81" t="str">
            <v>•  None</v>
          </cell>
          <cell r="AH81" t="str">
            <v>•  None</v>
          </cell>
          <cell r="AI81" t="str">
            <v>•  None</v>
          </cell>
          <cell r="AJ81" t="str">
            <v>•  None</v>
          </cell>
          <cell r="AK81" t="str">
            <v>•  None</v>
          </cell>
          <cell r="AL81" t="str">
            <v>•  Facility design capable of maintaining confinement integrity following design basis events</v>
          </cell>
          <cell r="AM81" t="str">
            <v>•  None</v>
          </cell>
          <cell r="AN81" t="str">
            <v>•  Radiological Protection Program
•  Emergency Response Program
•  Performance Based Training Program
•  Conduct of Operations</v>
          </cell>
        </row>
        <row r="82">
          <cell r="A82" t="str">
            <v>MP</v>
          </cell>
          <cell r="B82">
            <v>12</v>
          </cell>
          <cell r="C82" t="str">
            <v>Seismic event</v>
          </cell>
          <cell r="D82" t="str">
            <v>Seismic event causes failure of equipment or structure which impacts facility contamination and/or seismic event disturbs loose surface contamination. Confinement boundaries are expected to remain intact.</v>
          </cell>
          <cell r="E82">
            <v>2300</v>
          </cell>
          <cell r="F82" t="str">
            <v>EQ</v>
          </cell>
          <cell r="G82">
            <v>0.1</v>
          </cell>
          <cell r="H82" t="str">
            <v>60m</v>
          </cell>
          <cell r="I82">
            <v>1050</v>
          </cell>
          <cell r="J82" t="str">
            <v>U</v>
          </cell>
          <cell r="K82" t="str">
            <v>N</v>
          </cell>
          <cell r="L82" t="str">
            <v>L</v>
          </cell>
          <cell r="M82" t="str">
            <v>N</v>
          </cell>
          <cell r="N82" t="str">
            <v>N</v>
          </cell>
          <cell r="O82" t="str">
            <v>IV</v>
          </cell>
          <cell r="P82" t="str">
            <v>III</v>
          </cell>
          <cell r="Q82" t="str">
            <v>IV</v>
          </cell>
          <cell r="R82" t="str">
            <v>IV</v>
          </cell>
          <cell r="S82" t="str">
            <v>EQ</v>
          </cell>
          <cell r="T82">
            <v>0.1</v>
          </cell>
          <cell r="U82" t="str">
            <v>60m</v>
          </cell>
          <cell r="V82">
            <v>1050</v>
          </cell>
          <cell r="W82" t="str">
            <v>U</v>
          </cell>
          <cell r="X82" t="str">
            <v>N</v>
          </cell>
          <cell r="Y82" t="str">
            <v>L</v>
          </cell>
          <cell r="Z82" t="str">
            <v>N</v>
          </cell>
          <cell r="AA82" t="str">
            <v>N</v>
          </cell>
          <cell r="AB82" t="str">
            <v>IV</v>
          </cell>
          <cell r="AC82" t="str">
            <v>III</v>
          </cell>
          <cell r="AD82" t="str">
            <v>IV</v>
          </cell>
          <cell r="AE82" t="str">
            <v>IV</v>
          </cell>
          <cell r="AF82" t="str">
            <v xml:space="preserve">Facility confinement boundaries expected to remain intact following EBE.  MAR is entire inventory of radioactive material in the MPPB  (exclusive of HLW) (Ref. WVNS-CAL-397, Table C-1).  </v>
          </cell>
          <cell r="AG82" t="str">
            <v>•  None</v>
          </cell>
          <cell r="AH82" t="str">
            <v>•  None</v>
          </cell>
          <cell r="AI82" t="str">
            <v>•  None</v>
          </cell>
          <cell r="AJ82" t="str">
            <v>•  None</v>
          </cell>
          <cell r="AK82" t="str">
            <v>•  None</v>
          </cell>
          <cell r="AL82" t="str">
            <v>•  Facility design capable of maintaining confinement integrity following design basis events</v>
          </cell>
          <cell r="AM82" t="str">
            <v>•  None</v>
          </cell>
          <cell r="AN82" t="str">
            <v>•  Radiological Protection Program
•  Emergency Response Program
•  Performance Based Training Program
•  Conduct of Operations</v>
          </cell>
        </row>
        <row r="83">
          <cell r="A83" t="str">
            <v>MP</v>
          </cell>
          <cell r="B83">
            <v>13</v>
          </cell>
          <cell r="C83" t="str">
            <v>HEPA filter fire</v>
          </cell>
          <cell r="D83" t="str">
            <v>In-cell fire propagates to HEPA filter bank</v>
          </cell>
          <cell r="E83">
            <v>10</v>
          </cell>
          <cell r="F83" t="str">
            <v>HF</v>
          </cell>
          <cell r="G83">
            <v>1</v>
          </cell>
          <cell r="H83" t="str">
            <v>60m</v>
          </cell>
          <cell r="I83">
            <v>1050</v>
          </cell>
          <cell r="J83" t="str">
            <v>A</v>
          </cell>
          <cell r="K83" t="str">
            <v>N</v>
          </cell>
          <cell r="L83" t="str">
            <v>N</v>
          </cell>
          <cell r="M83" t="str">
            <v>N</v>
          </cell>
          <cell r="N83" t="str">
            <v>N</v>
          </cell>
          <cell r="O83" t="str">
            <v>IV</v>
          </cell>
          <cell r="P83" t="str">
            <v>IV</v>
          </cell>
          <cell r="Q83" t="str">
            <v>IV</v>
          </cell>
          <cell r="R83" t="str">
            <v>IV</v>
          </cell>
          <cell r="S83" t="str">
            <v>HF</v>
          </cell>
          <cell r="T83">
            <v>1</v>
          </cell>
          <cell r="U83" t="str">
            <v>60m</v>
          </cell>
          <cell r="V83">
            <v>1050</v>
          </cell>
          <cell r="W83" t="str">
            <v>U</v>
          </cell>
          <cell r="X83" t="str">
            <v>N</v>
          </cell>
          <cell r="Y83" t="str">
            <v>N</v>
          </cell>
          <cell r="Z83" t="str">
            <v>N</v>
          </cell>
          <cell r="AA83" t="str">
            <v>N</v>
          </cell>
          <cell r="AB83" t="str">
            <v>IV</v>
          </cell>
          <cell r="AC83" t="str">
            <v>IV</v>
          </cell>
          <cell r="AD83" t="str">
            <v>IV</v>
          </cell>
          <cell r="AE83" t="str">
            <v>IV</v>
          </cell>
          <cell r="AF83" t="str">
            <v xml:space="preserve"> MAR is inventory of radioactive material in bounding MPPB ventilation system (Ref. WVNS-CAL-397, Table A-1, "VEC"). </v>
          </cell>
          <cell r="AG83" t="str">
            <v>•  None</v>
          </cell>
          <cell r="AH83" t="str">
            <v>•  None</v>
          </cell>
          <cell r="AI83" t="str">
            <v>•  None</v>
          </cell>
          <cell r="AJ83" t="str">
            <v>•  Quality Assurance Program
•  Fire Protection Program
•  Performance Based Training Program
•  Maintenance Program
•  Conduct of Operations</v>
          </cell>
          <cell r="AK83" t="str">
            <v>•  None</v>
          </cell>
          <cell r="AL83" t="str">
            <v>•  Redundant ventilation system filter trains and blowers</v>
          </cell>
          <cell r="AM83" t="str">
            <v>•  None</v>
          </cell>
          <cell r="AN83" t="str">
            <v>•  Radiological Protection Program
•  Emergency Response Program
•  Fire Protection Program
•  Performance Based Training Program
•  Conduct of Operations</v>
          </cell>
        </row>
        <row r="84">
          <cell r="A84" t="str">
            <v>MP</v>
          </cell>
          <cell r="B84">
            <v>14</v>
          </cell>
          <cell r="C84" t="str">
            <v>HEPA filter failure</v>
          </cell>
          <cell r="D84" t="str">
            <v>Excess moisture or particulate on filters or area pressure excursion causes high filter differential pressure, resulting in filter failure</v>
          </cell>
          <cell r="E84">
            <v>10</v>
          </cell>
          <cell r="F84" t="str">
            <v>HB</v>
          </cell>
          <cell r="G84">
            <v>1</v>
          </cell>
          <cell r="H84" t="str">
            <v>60m</v>
          </cell>
          <cell r="I84">
            <v>1050</v>
          </cell>
          <cell r="J84" t="str">
            <v>A</v>
          </cell>
          <cell r="K84" t="str">
            <v>N</v>
          </cell>
          <cell r="L84" t="str">
            <v>L</v>
          </cell>
          <cell r="M84" t="str">
            <v>N</v>
          </cell>
          <cell r="N84" t="str">
            <v>N</v>
          </cell>
          <cell r="O84" t="str">
            <v>IV</v>
          </cell>
          <cell r="P84" t="str">
            <v>III</v>
          </cell>
          <cell r="Q84" t="str">
            <v>IV</v>
          </cell>
          <cell r="R84" t="str">
            <v>IV</v>
          </cell>
          <cell r="S84" t="str">
            <v>HB</v>
          </cell>
          <cell r="T84">
            <v>1</v>
          </cell>
          <cell r="U84" t="str">
            <v>60m</v>
          </cell>
          <cell r="V84">
            <v>1050</v>
          </cell>
          <cell r="W84" t="str">
            <v>U</v>
          </cell>
          <cell r="X84" t="str">
            <v>N</v>
          </cell>
          <cell r="Y84" t="str">
            <v>L</v>
          </cell>
          <cell r="Z84" t="str">
            <v>N</v>
          </cell>
          <cell r="AA84" t="str">
            <v>N</v>
          </cell>
          <cell r="AB84" t="str">
            <v>IV</v>
          </cell>
          <cell r="AC84" t="str">
            <v>III</v>
          </cell>
          <cell r="AD84" t="str">
            <v>IV</v>
          </cell>
          <cell r="AE84" t="str">
            <v>IV</v>
          </cell>
          <cell r="AF84" t="str">
            <v xml:space="preserve"> MAR is inventory of radioactive material in bounding MPPB ventilation system (Ref. WVNS-CAL-397, Table A-1, "VEC"). </v>
          </cell>
          <cell r="AG84" t="str">
            <v>•  None</v>
          </cell>
          <cell r="AH84" t="str">
            <v>•  Instrumentation and controls to switch trains on high differential pressure
•  Instrumentation and controls to provide backup ventilation blower capability</v>
          </cell>
          <cell r="AI84" t="str">
            <v>•  None</v>
          </cell>
          <cell r="AJ84" t="str">
            <v>•  Quality Assurance Program
•  Fire Protection Program
•  Performance Based Training Program
•  Maintenance Program
•  Conduct of Operations</v>
          </cell>
          <cell r="AK84" t="str">
            <v>•  None</v>
          </cell>
          <cell r="AL84" t="str">
            <v>•  Redundant ventilation system filter trains and blowers</v>
          </cell>
          <cell r="AM84" t="str">
            <v>•  None</v>
          </cell>
          <cell r="AN84" t="str">
            <v>•  Radiological Protection Program
•  Emergency Response Program
•  Performance Based Training Program
•  Conduct of Operations</v>
          </cell>
        </row>
        <row r="85">
          <cell r="A85" t="str">
            <v>MP</v>
          </cell>
          <cell r="B85">
            <v>15</v>
          </cell>
          <cell r="C85" t="str">
            <v>Loss of airborne contamination confinement</v>
          </cell>
          <cell r="D85" t="str">
            <v>Loss of power/redundancy resulting in loss of exhaust blower operability or other upset condition resulting in loss of airborne contamination confinement.</v>
          </cell>
          <cell r="E85">
            <v>2300</v>
          </cell>
          <cell r="F85" t="str">
            <v>AER</v>
          </cell>
          <cell r="G85">
            <v>1</v>
          </cell>
          <cell r="H85" t="str">
            <v>60m</v>
          </cell>
          <cell r="I85">
            <v>1050</v>
          </cell>
          <cell r="J85" t="str">
            <v>A</v>
          </cell>
          <cell r="K85" t="str">
            <v>N</v>
          </cell>
          <cell r="L85" t="str">
            <v>L</v>
          </cell>
          <cell r="M85" t="str">
            <v>N</v>
          </cell>
          <cell r="N85" t="str">
            <v>N</v>
          </cell>
          <cell r="O85" t="str">
            <v>IV</v>
          </cell>
          <cell r="P85" t="str">
            <v>III</v>
          </cell>
          <cell r="Q85" t="str">
            <v>IV</v>
          </cell>
          <cell r="R85" t="str">
            <v>IV</v>
          </cell>
          <cell r="S85" t="str">
            <v>AER</v>
          </cell>
          <cell r="T85">
            <v>1</v>
          </cell>
          <cell r="U85" t="str">
            <v>60m</v>
          </cell>
          <cell r="V85">
            <v>1050</v>
          </cell>
          <cell r="W85" t="str">
            <v>A</v>
          </cell>
          <cell r="X85" t="str">
            <v>N</v>
          </cell>
          <cell r="Y85" t="str">
            <v>L</v>
          </cell>
          <cell r="Z85" t="str">
            <v>N</v>
          </cell>
          <cell r="AA85" t="str">
            <v>N</v>
          </cell>
          <cell r="AB85" t="str">
            <v>IV</v>
          </cell>
          <cell r="AC85" t="str">
            <v>III</v>
          </cell>
          <cell r="AD85" t="str">
            <v>IV</v>
          </cell>
          <cell r="AE85" t="str">
            <v>IV</v>
          </cell>
          <cell r="AF85" t="str">
            <v xml:space="preserve">Contamination assumed to migrate from confinement boundary penetrations through aerodynamic entrainment and resuspension under static facility conditions. MAR is entire inventory of radioactive material in the MPPB  (exclusive of HLW) (Ref. WVNS-CAL-397, Table C-1).  </v>
          </cell>
          <cell r="AG85" t="str">
            <v>•  None</v>
          </cell>
          <cell r="AH85" t="str">
            <v>•  Facility ventilation exhaust stack which continues to provide nominal facility negative via chimney effect</v>
          </cell>
          <cell r="AI85" t="str">
            <v>•  None</v>
          </cell>
          <cell r="AJ85" t="str">
            <v>•  Quality Assurance Program
•  Fire Protection Program
•  Performance Based Training Program
•  Maintenance Program
•  Conduct of Operations</v>
          </cell>
          <cell r="AK85" t="str">
            <v>•  None</v>
          </cell>
          <cell r="AL85" t="str">
            <v>•  Confinement capability of facility envelope
•  Nominal facility negative maintained on facility even under loss of active ventilation through stack "chimney effect"</v>
          </cell>
          <cell r="AM85" t="str">
            <v>•  None</v>
          </cell>
          <cell r="AN85" t="str">
            <v>•  Radiological Protection Program
•  Performance Based Training Program
•  Conduct of Operations</v>
          </cell>
        </row>
        <row r="86">
          <cell r="A86" t="str">
            <v>MP</v>
          </cell>
          <cell r="B86">
            <v>16</v>
          </cell>
          <cell r="C86" t="str">
            <v>Stack failure</v>
          </cell>
          <cell r="D86" t="str">
            <v>Stack fails due to seismic event, impact of guy wires during equipment handling, or impact by aircraft, or similar event.</v>
          </cell>
          <cell r="E86">
            <v>10</v>
          </cell>
          <cell r="F86" t="str">
            <v>IS</v>
          </cell>
          <cell r="G86">
            <v>1</v>
          </cell>
          <cell r="H86" t="str">
            <v>60m</v>
          </cell>
          <cell r="I86">
            <v>1050</v>
          </cell>
          <cell r="J86" t="str">
            <v>U</v>
          </cell>
          <cell r="K86" t="str">
            <v>N</v>
          </cell>
          <cell r="L86" t="str">
            <v>N</v>
          </cell>
          <cell r="M86" t="str">
            <v>N</v>
          </cell>
          <cell r="N86" t="str">
            <v>N</v>
          </cell>
          <cell r="O86" t="str">
            <v>IV</v>
          </cell>
          <cell r="P86" t="str">
            <v>IV</v>
          </cell>
          <cell r="Q86" t="str">
            <v>IV</v>
          </cell>
          <cell r="R86" t="str">
            <v>IV</v>
          </cell>
          <cell r="S86" t="str">
            <v>IS</v>
          </cell>
          <cell r="T86">
            <v>1</v>
          </cell>
          <cell r="U86" t="str">
            <v>60m</v>
          </cell>
          <cell r="V86">
            <v>1050</v>
          </cell>
          <cell r="W86" t="str">
            <v>U</v>
          </cell>
          <cell r="X86" t="str">
            <v>N</v>
          </cell>
          <cell r="Y86" t="str">
            <v>N</v>
          </cell>
          <cell r="Z86" t="str">
            <v>N</v>
          </cell>
          <cell r="AA86" t="str">
            <v>N</v>
          </cell>
          <cell r="AB86" t="str">
            <v>IV</v>
          </cell>
          <cell r="AC86" t="str">
            <v>IV</v>
          </cell>
          <cell r="AD86" t="str">
            <v>IV</v>
          </cell>
          <cell r="AE86" t="str">
            <v>IV</v>
          </cell>
          <cell r="AF86" t="str">
            <v xml:space="preserve"> MAR is activity in MPPB Stack 
(Ref. WVNS-CAL-397, Table A-1) </v>
          </cell>
          <cell r="AG86" t="str">
            <v>•  None</v>
          </cell>
          <cell r="AH86" t="str">
            <v>•  Stack design capable of maintaining structural integrity following design basis events</v>
          </cell>
          <cell r="AI86" t="str">
            <v>•  None</v>
          </cell>
          <cell r="AJ86" t="str">
            <v>•  None</v>
          </cell>
          <cell r="AK86" t="str">
            <v>•  None</v>
          </cell>
          <cell r="AL86" t="str">
            <v>•  None</v>
          </cell>
          <cell r="AM86" t="str">
            <v>•  None</v>
          </cell>
          <cell r="AN86" t="str">
            <v>•  Radiological Protection Program
•  Emergency Response Program
•  Performance Based Training Program
•  Conduct of Operations</v>
          </cell>
        </row>
        <row r="87">
          <cell r="A87" t="str">
            <v>MP</v>
          </cell>
          <cell r="B87">
            <v>17</v>
          </cell>
          <cell r="C87" t="str">
            <v>Loss of liquid contamination confinement</v>
          </cell>
          <cell r="D87" t="str">
            <v>Vessel/line failure; sump overflow; roof leak; or other loss of contaminated liquid to an operating area or to the environment</v>
          </cell>
          <cell r="E87">
            <v>1</v>
          </cell>
          <cell r="F87" t="str">
            <v>FFS</v>
          </cell>
          <cell r="G87">
            <v>0.5</v>
          </cell>
          <cell r="H87" t="str">
            <v>60m</v>
          </cell>
          <cell r="I87">
            <v>1050</v>
          </cell>
          <cell r="J87" t="str">
            <v>A</v>
          </cell>
          <cell r="K87" t="str">
            <v>N</v>
          </cell>
          <cell r="L87" t="str">
            <v>N</v>
          </cell>
          <cell r="M87" t="str">
            <v>N</v>
          </cell>
          <cell r="N87" t="str">
            <v>N</v>
          </cell>
          <cell r="O87" t="str">
            <v>IV</v>
          </cell>
          <cell r="P87" t="str">
            <v>IV</v>
          </cell>
          <cell r="Q87" t="str">
            <v>IV</v>
          </cell>
          <cell r="R87" t="str">
            <v>IV</v>
          </cell>
          <cell r="S87" t="str">
            <v>FFS</v>
          </cell>
          <cell r="T87">
            <v>0.5</v>
          </cell>
          <cell r="U87" t="str">
            <v>60m</v>
          </cell>
          <cell r="V87">
            <v>1050</v>
          </cell>
          <cell r="W87" t="str">
            <v>A</v>
          </cell>
          <cell r="X87" t="str">
            <v>N</v>
          </cell>
          <cell r="Y87" t="str">
            <v>N</v>
          </cell>
          <cell r="Z87" t="str">
            <v>N</v>
          </cell>
          <cell r="AA87" t="str">
            <v>N</v>
          </cell>
          <cell r="AB87" t="str">
            <v>IV</v>
          </cell>
          <cell r="AC87" t="str">
            <v>IV</v>
          </cell>
          <cell r="AD87" t="str">
            <v>IV</v>
          </cell>
          <cell r="AE87" t="str">
            <v>IV</v>
          </cell>
          <cell r="AF87" t="str">
            <v xml:space="preserve">None.  </v>
          </cell>
          <cell r="AG87" t="str">
            <v>•  None</v>
          </cell>
          <cell r="AH87" t="str">
            <v>•  Cell liners/sumps and/or area berms</v>
          </cell>
          <cell r="AI87" t="str">
            <v>•  None</v>
          </cell>
          <cell r="AJ87" t="str">
            <v xml:space="preserve">•  Quality Assurance Program
•  Performance Based Training Program
•  Maintenance Program
•  Conduct of Operations
•  Waste Management Program </v>
          </cell>
          <cell r="AK87" t="str">
            <v>•  None</v>
          </cell>
          <cell r="AL87" t="str">
            <v>•  Cell sumps/liners</v>
          </cell>
          <cell r="AM87" t="str">
            <v>•  None</v>
          </cell>
          <cell r="AN87" t="str">
            <v>•  Radiological Protection Program
•  Performance Based Training Program
•  Conduct of Operations</v>
          </cell>
        </row>
        <row r="88">
          <cell r="A88" t="str">
            <v>MP</v>
          </cell>
          <cell r="B88">
            <v>18</v>
          </cell>
          <cell r="C88" t="str">
            <v>Flood</v>
          </cell>
          <cell r="D88" t="str">
            <v>A greater than 100-yr  rain event results in sheet flow that floods the storage area. Flooding may be exacerbated by plugged drainage channels or culverts.</v>
          </cell>
          <cell r="E88">
            <v>2300</v>
          </cell>
          <cell r="F88" t="str">
            <v>NA</v>
          </cell>
          <cell r="G88" t="str">
            <v>NA</v>
          </cell>
          <cell r="H88" t="str">
            <v>60m</v>
          </cell>
          <cell r="I88">
            <v>1050</v>
          </cell>
          <cell r="J88" t="str">
            <v>U</v>
          </cell>
          <cell r="K88" t="str">
            <v>N</v>
          </cell>
          <cell r="L88" t="str">
            <v>N</v>
          </cell>
          <cell r="M88" t="str">
            <v>N</v>
          </cell>
          <cell r="N88" t="str">
            <v>N</v>
          </cell>
          <cell r="O88" t="str">
            <v>IV</v>
          </cell>
          <cell r="P88" t="str">
            <v>IV</v>
          </cell>
          <cell r="Q88" t="str">
            <v>IV</v>
          </cell>
          <cell r="R88" t="str">
            <v>IV</v>
          </cell>
          <cell r="S88" t="str">
            <v>NA</v>
          </cell>
          <cell r="T88" t="str">
            <v>NA</v>
          </cell>
          <cell r="U88" t="str">
            <v>60m</v>
          </cell>
          <cell r="V88">
            <v>1050</v>
          </cell>
          <cell r="W88" t="str">
            <v>U</v>
          </cell>
          <cell r="X88" t="str">
            <v>N</v>
          </cell>
          <cell r="Y88" t="str">
            <v>N</v>
          </cell>
          <cell r="Z88" t="str">
            <v>N</v>
          </cell>
          <cell r="AA88" t="str">
            <v>N</v>
          </cell>
          <cell r="AB88" t="str">
            <v>IV</v>
          </cell>
          <cell r="AC88" t="str">
            <v>IV</v>
          </cell>
          <cell r="AD88" t="str">
            <v>IV</v>
          </cell>
          <cell r="AE88" t="str">
            <v>IV</v>
          </cell>
          <cell r="AF88" t="str">
            <v xml:space="preserve">Site topography places facility outside area vulnerable to flooding (ref. Figure 1.4-6).  MAR is entire inventory of radioactive material in the MPPB  (exclusive of HLW) (Ref. WVNS-CAL-397, Table C-1).  </v>
          </cell>
          <cell r="AG88" t="str">
            <v>•  None</v>
          </cell>
          <cell r="AH88" t="str">
            <v>•  Siting of storage array in area away from areas of anticipated flooding</v>
          </cell>
          <cell r="AI88" t="str">
            <v>•  None</v>
          </cell>
          <cell r="AJ88" t="str">
            <v>•  None</v>
          </cell>
          <cell r="AK88" t="str">
            <v>•  None</v>
          </cell>
          <cell r="AL88" t="str">
            <v>•  None</v>
          </cell>
          <cell r="AM88" t="str">
            <v>•  None</v>
          </cell>
          <cell r="AN88" t="str">
            <v>•  Radiological Protection Program
•  Performance Based Training Program
•  Conduct of Operations</v>
          </cell>
        </row>
        <row r="89">
          <cell r="A89" t="str">
            <v>MPA</v>
          </cell>
          <cell r="B89">
            <v>1</v>
          </cell>
          <cell r="C89" t="str">
            <v>Localized flammable liquid pool fire</v>
          </cell>
          <cell r="D89" t="str">
            <v>Fuel or other flammable fluid pool fire resulting from leaking equipment.  An unspecified ignition source ignites the fuel and a fire ensues that is of sufficient duration and intensity to lead to a release of radioactive material from containerized waste.</v>
          </cell>
          <cell r="E89">
            <v>360</v>
          </cell>
          <cell r="F89" t="str">
            <v>E01</v>
          </cell>
          <cell r="G89">
            <v>1</v>
          </cell>
          <cell r="H89" t="str">
            <v>Gnd</v>
          </cell>
          <cell r="I89">
            <v>850</v>
          </cell>
          <cell r="J89" t="str">
            <v>EU</v>
          </cell>
          <cell r="K89" t="str">
            <v>H</v>
          </cell>
          <cell r="L89" t="str">
            <v>H</v>
          </cell>
          <cell r="M89" t="str">
            <v>N</v>
          </cell>
          <cell r="N89" t="str">
            <v>N</v>
          </cell>
          <cell r="O89" t="str">
            <v>II</v>
          </cell>
          <cell r="P89" t="str">
            <v>II</v>
          </cell>
          <cell r="Q89" t="str">
            <v>IV</v>
          </cell>
          <cell r="R89" t="str">
            <v>IV</v>
          </cell>
          <cell r="S89" t="str">
            <v>E01</v>
          </cell>
          <cell r="T89">
            <v>2.8000000000000001E-2</v>
          </cell>
          <cell r="U89" t="str">
            <v>Gnd</v>
          </cell>
          <cell r="V89">
            <v>850</v>
          </cell>
          <cell r="W89" t="str">
            <v>EU</v>
          </cell>
          <cell r="X89" t="str">
            <v>L</v>
          </cell>
          <cell r="Y89" t="str">
            <v>L</v>
          </cell>
          <cell r="Z89" t="str">
            <v>N</v>
          </cell>
          <cell r="AA89" t="str">
            <v>N</v>
          </cell>
          <cell r="AB89" t="str">
            <v>IV</v>
          </cell>
          <cell r="AC89" t="str">
            <v>IV</v>
          </cell>
          <cell r="AD89" t="str">
            <v>IV</v>
          </cell>
          <cell r="AE89" t="str">
            <v>IV</v>
          </cell>
          <cell r="AF89" t="str">
            <v>Potentially affected areas are FRS or Vit LI/LO.  MAR is activity in maximally loaded 2-drum Interim Storage Container (Ref. WVNS-CAL-397, Table A-2).  DR reflects TSR to protect arrays of TRU waste containing greater than 10 PE-Ci from spills of flammable/ combustible liquids</v>
          </cell>
          <cell r="AG89" t="str">
            <v>•  None</v>
          </cell>
          <cell r="AH89" t="str">
            <v>•  None</v>
          </cell>
          <cell r="AI89" t="str">
            <v>•  SAC for TRU waste drum fire protection
•  SAC for TRU waste container physical protection</v>
          </cell>
          <cell r="AJ89" t="str">
            <v xml:space="preserve">•  Quality Assurance Program
•  Fire Protection Program
•  Performance Based Training Program
•  Maintenance Program
•  Conduct of Operations
•  Waste Management Program </v>
          </cell>
          <cell r="AK89" t="str">
            <v>•  APPROVED CONTAINERS used for TRU waste storage
•  TSR-compliant packaging for high activity TRU waste</v>
          </cell>
          <cell r="AL89" t="str">
            <v>•  Steel-deck pallets that limit direct flame impingement on TRU containers</v>
          </cell>
          <cell r="AM89" t="str">
            <v>•  SAC for APPROVED CONTAINER use
•  SAC for facility inventory control</v>
          </cell>
          <cell r="AN89" t="str">
            <v>•  Radiological Protection Program
•  Emergency Response Program
•  Fire Protection Program
•  Performance Based Training Program
•  Conduct of Operations</v>
          </cell>
        </row>
        <row r="90">
          <cell r="A90" t="str">
            <v>MPA</v>
          </cell>
          <cell r="B90">
            <v>2</v>
          </cell>
          <cell r="C90" t="str">
            <v>Small combustible material fire</v>
          </cell>
          <cell r="D90" t="str">
            <v>Fire occurs in a facility area that impacts TRU waste. Includes accidents initiated due to pyrophoric reactions or reactions involving incompatible wastes.</v>
          </cell>
          <cell r="E90">
            <v>360</v>
          </cell>
          <cell r="F90" t="str">
            <v>E02</v>
          </cell>
          <cell r="G90">
            <v>1</v>
          </cell>
          <cell r="H90" t="str">
            <v>Gnd</v>
          </cell>
          <cell r="I90">
            <v>850</v>
          </cell>
          <cell r="J90" t="str">
            <v>A</v>
          </cell>
          <cell r="K90" t="str">
            <v>H</v>
          </cell>
          <cell r="L90" t="str">
            <v>H</v>
          </cell>
          <cell r="M90" t="str">
            <v>N</v>
          </cell>
          <cell r="N90" t="str">
            <v>N</v>
          </cell>
          <cell r="O90" t="str">
            <v>I</v>
          </cell>
          <cell r="P90" t="str">
            <v>I</v>
          </cell>
          <cell r="Q90" t="str">
            <v>IV</v>
          </cell>
          <cell r="R90" t="str">
            <v>IV</v>
          </cell>
          <cell r="S90" t="str">
            <v>E02</v>
          </cell>
          <cell r="T90">
            <v>2.8E-3</v>
          </cell>
          <cell r="U90" t="str">
            <v>Gnd</v>
          </cell>
          <cell r="V90">
            <v>850</v>
          </cell>
          <cell r="W90" t="str">
            <v>U</v>
          </cell>
          <cell r="X90" t="str">
            <v>L</v>
          </cell>
          <cell r="Y90" t="str">
            <v>L</v>
          </cell>
          <cell r="Z90" t="str">
            <v>N</v>
          </cell>
          <cell r="AA90" t="str">
            <v>N</v>
          </cell>
          <cell r="AB90" t="str">
            <v>III</v>
          </cell>
          <cell r="AC90" t="str">
            <v>III</v>
          </cell>
          <cell r="AD90" t="str">
            <v>IV</v>
          </cell>
          <cell r="AE90" t="str">
            <v>IV</v>
          </cell>
          <cell r="AF90" t="str">
            <v>MAR limit imposed on exposed waste operations. Fire Protection (hot work controls), Radiation Protection, and Waste Management Programs credited with minimizing probability and consequences of fire event.  MAR assumes that waste is unconfined combustible. MAR is activity in maximally loaded 2-drum Interim Storage Container (Ref. WVNS-CAL-397, Table A-2).  DR reflects TSR that limits the amount of TRU waste that may be outside of an APPROVED CONTAINER to 1.0 PE-Ci.</v>
          </cell>
          <cell r="AG90" t="str">
            <v>•  None</v>
          </cell>
          <cell r="AH90" t="str">
            <v>•  None</v>
          </cell>
          <cell r="AI90" t="str">
            <v>•  None</v>
          </cell>
          <cell r="AJ90" t="str">
            <v xml:space="preserve">•  Quality Assurance Program
•  Fire Protection Program
-   “Hot work” controls
-   Combustible material control program
•  Performance Based Training Program
•  Maintenance Program
•  Conduct of Operations
•  Waste Management Program </v>
          </cell>
          <cell r="AK90" t="str">
            <v>•  APPROVED CONTAINERS used for TRU waste storage
•  TSR-compliant packaging for high activity TRU waste</v>
          </cell>
          <cell r="AL90" t="str">
            <v>•  Wet pipe sprinkler system in Load In Facility</v>
          </cell>
          <cell r="AM90" t="str">
            <v>•  SAC for APPROVED CONTAINER use
•  SAC for facility inventory control</v>
          </cell>
          <cell r="AN90" t="str">
            <v>•  Radiological Protection Program
•  Emergency Response Program
•  Fire Protection Program
•  Performance Based Training Program
•  Conduct of Operations</v>
          </cell>
        </row>
        <row r="91">
          <cell r="A91" t="str">
            <v>MPA</v>
          </cell>
          <cell r="B91">
            <v>3</v>
          </cell>
          <cell r="C91" t="str">
            <v>Localized explosion external to container</v>
          </cell>
          <cell r="D9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91">
            <v>360</v>
          </cell>
          <cell r="F91" t="str">
            <v>E05</v>
          </cell>
          <cell r="G91">
            <v>1</v>
          </cell>
          <cell r="H91" t="str">
            <v>Gnd</v>
          </cell>
          <cell r="I91">
            <v>850</v>
          </cell>
          <cell r="J91" t="str">
            <v>A</v>
          </cell>
          <cell r="K91" t="str">
            <v>H</v>
          </cell>
          <cell r="L91" t="str">
            <v>M</v>
          </cell>
          <cell r="M91" t="str">
            <v>N</v>
          </cell>
          <cell r="N91" t="str">
            <v>N</v>
          </cell>
          <cell r="O91" t="str">
            <v>I</v>
          </cell>
          <cell r="P91" t="str">
            <v>I</v>
          </cell>
          <cell r="Q91" t="str">
            <v>IV</v>
          </cell>
          <cell r="R91" t="str">
            <v>IV</v>
          </cell>
          <cell r="S91" t="str">
            <v>E05</v>
          </cell>
          <cell r="T91">
            <v>2.8000000000000001E-2</v>
          </cell>
          <cell r="U91" t="str">
            <v>Gnd</v>
          </cell>
          <cell r="V91">
            <v>850</v>
          </cell>
          <cell r="W91" t="str">
            <v>U</v>
          </cell>
          <cell r="X91" t="str">
            <v>L</v>
          </cell>
          <cell r="Y91" t="str">
            <v>L</v>
          </cell>
          <cell r="Z91" t="str">
            <v>N</v>
          </cell>
          <cell r="AA91" t="str">
            <v>N</v>
          </cell>
          <cell r="AB91" t="str">
            <v>III</v>
          </cell>
          <cell r="AC91" t="str">
            <v>III</v>
          </cell>
          <cell r="AD91" t="str">
            <v>IV</v>
          </cell>
          <cell r="AE91" t="str">
            <v>IV</v>
          </cell>
          <cell r="AF91" t="str">
            <v>APPROVED CONTAINERS recognized as mitigating consequences. MAR is activity in maximally loaded 2-drum Interim Storage Container (Ref. WVNS-CAL-397, Table A-2).  DR credits SAC that requires TRU waste containing &gt;10 PE-Ci be in containers capable of meeting SAC physical protection functional requirements.</v>
          </cell>
          <cell r="AG91" t="str">
            <v>•  None</v>
          </cell>
          <cell r="AH91" t="str">
            <v>•  None</v>
          </cell>
          <cell r="AI91" t="str">
            <v>•  None</v>
          </cell>
          <cell r="AJ91" t="str">
            <v xml:space="preserve">•  Quality Assurance Program
•  Fire Protection Program
•  Performance Based Training Program
•  Maintenance Program
•  Waste Management Program </v>
          </cell>
          <cell r="AK91" t="str">
            <v>•   APPROVED CONTAINERS used for TRU waste storage
•   TSR-compliant packaging for high activity TRU waste</v>
          </cell>
          <cell r="AL91" t="str">
            <v>•  None</v>
          </cell>
          <cell r="AM91" t="str">
            <v>•  SAC for APPROVED CONTAINER use
•  SAC for facility inventory control</v>
          </cell>
          <cell r="AN91" t="str">
            <v>•  Radiological Protection Program
•  Emergency Response Program
•  Fire Protection Program
•  Performance Based Training Program
•  Conduct of Operations</v>
          </cell>
        </row>
        <row r="92">
          <cell r="A92" t="str">
            <v>MPA</v>
          </cell>
          <cell r="B92">
            <v>4</v>
          </cell>
          <cell r="C92" t="str">
            <v>Waste container deflagration</v>
          </cell>
          <cell r="D92" t="str">
            <v>Hydrogen or other flammable/explosive gases inside a container is ignited.</v>
          </cell>
          <cell r="E92">
            <v>360</v>
          </cell>
          <cell r="F92" t="str">
            <v>E06</v>
          </cell>
          <cell r="G92">
            <v>1</v>
          </cell>
          <cell r="H92" t="str">
            <v>Gnd</v>
          </cell>
          <cell r="I92">
            <v>850</v>
          </cell>
          <cell r="J92" t="str">
            <v>U</v>
          </cell>
          <cell r="K92" t="str">
            <v>H</v>
          </cell>
          <cell r="L92" t="str">
            <v>M</v>
          </cell>
          <cell r="M92" t="str">
            <v>N</v>
          </cell>
          <cell r="N92" t="str">
            <v>N</v>
          </cell>
          <cell r="O92" t="str">
            <v>I</v>
          </cell>
          <cell r="P92" t="str">
            <v>II</v>
          </cell>
          <cell r="Q92" t="str">
            <v>IV</v>
          </cell>
          <cell r="R92" t="str">
            <v>IV</v>
          </cell>
          <cell r="S92" t="str">
            <v>E06</v>
          </cell>
          <cell r="T92">
            <v>0.25</v>
          </cell>
          <cell r="U92" t="str">
            <v>Gnd</v>
          </cell>
          <cell r="V92">
            <v>850</v>
          </cell>
          <cell r="W92" t="str">
            <v>EU</v>
          </cell>
          <cell r="X92" t="str">
            <v>M</v>
          </cell>
          <cell r="Y92" t="str">
            <v>M</v>
          </cell>
          <cell r="Z92" t="str">
            <v>N</v>
          </cell>
          <cell r="AA92" t="str">
            <v>N</v>
          </cell>
          <cell r="AB92" t="str">
            <v>III</v>
          </cell>
          <cell r="AC92" t="str">
            <v>III</v>
          </cell>
          <cell r="AD92" t="str">
            <v>IV</v>
          </cell>
          <cell r="AE92" t="str">
            <v>IV</v>
          </cell>
          <cell r="AF92"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92" t="str">
            <v>•  None</v>
          </cell>
          <cell r="AH92" t="str">
            <v>•  HEPA filter vents on waste containers
•  Non-sparking tools for containers suspected of containing high concentrations of flammable gas</v>
          </cell>
          <cell r="AI92" t="str">
            <v>•  None</v>
          </cell>
          <cell r="AJ92" t="str">
            <v xml:space="preserve">•  Quality Assurance Program
•  Fire Protection Program
•  Performance Based Training Program
•  Maintenance Program
•  Waste Management Program </v>
          </cell>
          <cell r="AK92" t="str">
            <v>•   TSR-compliant packaging for high activity TRU waste</v>
          </cell>
          <cell r="AL92" t="str">
            <v>•  None</v>
          </cell>
          <cell r="AM92" t="str">
            <v>•  SAC for APPROVED CONTAINER use
•  SAC for facility inventory control</v>
          </cell>
          <cell r="AN92" t="str">
            <v>•  Radiological Protection Program
•  Emergency Response Program
•  Fire Protection Program
•  Performance Based Training Program
•  Conduct of Operations</v>
          </cell>
        </row>
        <row r="93">
          <cell r="A93" t="str">
            <v>MPA</v>
          </cell>
          <cell r="B93">
            <v>5</v>
          </cell>
          <cell r="C93" t="str">
            <v>Vehicle/equipment impacts waste/waste containers</v>
          </cell>
          <cell r="D93"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93">
            <v>360</v>
          </cell>
          <cell r="F93" t="str">
            <v>E09</v>
          </cell>
          <cell r="G93">
            <v>0.01</v>
          </cell>
          <cell r="H93" t="str">
            <v>Gnd</v>
          </cell>
          <cell r="I93">
            <v>850</v>
          </cell>
          <cell r="J93" t="str">
            <v>A</v>
          </cell>
          <cell r="K93" t="str">
            <v>N</v>
          </cell>
          <cell r="L93" t="str">
            <v>L</v>
          </cell>
          <cell r="M93" t="str">
            <v>N</v>
          </cell>
          <cell r="N93" t="str">
            <v>N</v>
          </cell>
          <cell r="O93" t="str">
            <v>IV</v>
          </cell>
          <cell r="P93" t="str">
            <v>III</v>
          </cell>
          <cell r="Q93" t="str">
            <v>IV</v>
          </cell>
          <cell r="R93" t="str">
            <v>IV</v>
          </cell>
          <cell r="S93" t="str">
            <v>E09</v>
          </cell>
          <cell r="T93">
            <v>0.01</v>
          </cell>
          <cell r="U93" t="str">
            <v>Gnd</v>
          </cell>
          <cell r="V93">
            <v>850</v>
          </cell>
          <cell r="W93" t="str">
            <v>A</v>
          </cell>
          <cell r="X93" t="str">
            <v>N</v>
          </cell>
          <cell r="Y93" t="str">
            <v>L</v>
          </cell>
          <cell r="Z93" t="str">
            <v>N</v>
          </cell>
          <cell r="AA93" t="str">
            <v>N</v>
          </cell>
          <cell r="AB93" t="str">
            <v>IV</v>
          </cell>
          <cell r="AC93" t="str">
            <v>III</v>
          </cell>
          <cell r="AD93" t="str">
            <v>IV</v>
          </cell>
          <cell r="AE93" t="str">
            <v>IV</v>
          </cell>
          <cell r="AF93" t="str">
            <v xml:space="preserve">Containers assumed to be impacted by handling equipment travelling &lt;10 mph.  MAR is activity in maximally loaded 2-drum Interim Storage Container (Ref. WVNS-CAL-397, Table A-2).  </v>
          </cell>
          <cell r="AG93" t="str">
            <v>•  None</v>
          </cell>
          <cell r="AH93" t="str">
            <v>•  Physical barriers such as Jersey barriers or facility structure that protects waste containers from vehicle impacts</v>
          </cell>
          <cell r="AI93" t="str">
            <v>•  None</v>
          </cell>
          <cell r="AJ93" t="str">
            <v xml:space="preserve">•  Quality Assurance Program
•  Performance Based Training Program
•  Maintenance Program
•  Conduct of Operations
•  Waste Management Program </v>
          </cell>
          <cell r="AK93" t="str">
            <v>•   TSR-compliant packaging for high activity TRU waste</v>
          </cell>
          <cell r="AL93" t="str">
            <v>•  None</v>
          </cell>
          <cell r="AM93" t="str">
            <v>•  None</v>
          </cell>
          <cell r="AN93" t="str">
            <v>•  Radiological Protection Program
•  Emergency Response Program
•  Performance Based Training Program
•  Conduct of Operations</v>
          </cell>
        </row>
        <row r="94">
          <cell r="A94" t="str">
            <v>MPA</v>
          </cell>
          <cell r="B94">
            <v>6</v>
          </cell>
          <cell r="C94" t="str">
            <v>Drop/impact/spill</v>
          </cell>
          <cell r="D94" t="str">
            <v>This event is due to mishandling of containers; or to drops/impacts caused by equipment failure; or leaks caused by corrosion, construction defect, or improper closure.</v>
          </cell>
          <cell r="E94">
            <v>360</v>
          </cell>
          <cell r="F94" t="str">
            <v>E10</v>
          </cell>
          <cell r="G94">
            <v>0.1</v>
          </cell>
          <cell r="H94" t="str">
            <v>Gnd</v>
          </cell>
          <cell r="I94">
            <v>850</v>
          </cell>
          <cell r="J94" t="str">
            <v>A</v>
          </cell>
          <cell r="K94" t="str">
            <v>L</v>
          </cell>
          <cell r="L94" t="str">
            <v>L</v>
          </cell>
          <cell r="M94" t="str">
            <v>N</v>
          </cell>
          <cell r="N94" t="str">
            <v>N</v>
          </cell>
          <cell r="O94" t="str">
            <v>III</v>
          </cell>
          <cell r="P94" t="str">
            <v>III</v>
          </cell>
          <cell r="Q94" t="str">
            <v>IV</v>
          </cell>
          <cell r="R94" t="str">
            <v>IV</v>
          </cell>
          <cell r="S94" t="str">
            <v>E10</v>
          </cell>
          <cell r="T94">
            <v>0.1</v>
          </cell>
          <cell r="U94" t="str">
            <v>Gnd</v>
          </cell>
          <cell r="V94">
            <v>850</v>
          </cell>
          <cell r="W94" t="str">
            <v>U</v>
          </cell>
          <cell r="X94" t="str">
            <v>L</v>
          </cell>
          <cell r="Y94" t="str">
            <v>L</v>
          </cell>
          <cell r="Z94" t="str">
            <v>N</v>
          </cell>
          <cell r="AA94" t="str">
            <v>N</v>
          </cell>
          <cell r="AB94" t="str">
            <v>III</v>
          </cell>
          <cell r="AC94" t="str">
            <v>III</v>
          </cell>
          <cell r="AD94" t="str">
            <v>IV</v>
          </cell>
          <cell r="AE94" t="str">
            <v>IV</v>
          </cell>
          <cell r="AF94" t="str">
            <v xml:space="preserve">Event is a low energy breach of container confinement (e.g. tine puncture or container drop).  MAR is activity in maximally loaded 2-drum Interim Storage Container (Ref. WVNS-CAL-397, Table A-2).  </v>
          </cell>
          <cell r="AG94" t="str">
            <v>•  None</v>
          </cell>
          <cell r="AH94" t="str">
            <v>•  None</v>
          </cell>
          <cell r="AI94" t="str">
            <v>•  None</v>
          </cell>
          <cell r="AJ94" t="str">
            <v xml:space="preserve">•  Quality Assurance Program
•  Performance Based Training Program
•  Maintenance Program
•  Conduct of Operations
•  Waste Management Program </v>
          </cell>
          <cell r="AK94" t="str">
            <v>•   TSR-compliant packaging for high activity TRU waste</v>
          </cell>
          <cell r="AL94" t="str">
            <v>•  None</v>
          </cell>
          <cell r="AM94" t="str">
            <v>•  None</v>
          </cell>
          <cell r="AN94" t="str">
            <v>•  Radiological Protection Program
•  Emergency Response Program
•  Performance Based Training Program
•  Conduct of Operations</v>
          </cell>
        </row>
        <row r="95">
          <cell r="A95" t="str">
            <v>MPA</v>
          </cell>
          <cell r="B95">
            <v>7</v>
          </cell>
          <cell r="C95" t="str">
            <v>Waste container over-pressurization</v>
          </cell>
          <cell r="D95" t="str">
            <v>Container failure occurs due to pressure buildup, possibly due to radiolysis of water or other hydrogenous material, thermal expansion of material/gases inside the container, or chemical reactions inside the container.</v>
          </cell>
          <cell r="E95">
            <v>360</v>
          </cell>
          <cell r="F95" t="str">
            <v>E12</v>
          </cell>
          <cell r="G95">
            <v>1</v>
          </cell>
          <cell r="H95" t="str">
            <v>Gnd</v>
          </cell>
          <cell r="I95">
            <v>850</v>
          </cell>
          <cell r="J95" t="str">
            <v>A</v>
          </cell>
          <cell r="K95" t="str">
            <v>M</v>
          </cell>
          <cell r="L95" t="str">
            <v>M</v>
          </cell>
          <cell r="M95" t="str">
            <v>N</v>
          </cell>
          <cell r="N95" t="str">
            <v>N</v>
          </cell>
          <cell r="O95" t="str">
            <v>I</v>
          </cell>
          <cell r="P95" t="str">
            <v>I</v>
          </cell>
          <cell r="Q95" t="str">
            <v>IV</v>
          </cell>
          <cell r="R95" t="str">
            <v>IV</v>
          </cell>
          <cell r="S95" t="str">
            <v>E12</v>
          </cell>
          <cell r="T95">
            <v>0.1</v>
          </cell>
          <cell r="U95" t="str">
            <v>Gnd</v>
          </cell>
          <cell r="V95">
            <v>850</v>
          </cell>
          <cell r="W95" t="str">
            <v>A</v>
          </cell>
          <cell r="X95" t="str">
            <v>L</v>
          </cell>
          <cell r="Y95" t="str">
            <v>L</v>
          </cell>
          <cell r="Z95" t="str">
            <v>N</v>
          </cell>
          <cell r="AA95" t="str">
            <v>N</v>
          </cell>
          <cell r="AB95" t="str">
            <v>III</v>
          </cell>
          <cell r="AC95" t="str">
            <v>III</v>
          </cell>
          <cell r="AD95" t="str">
            <v>IV</v>
          </cell>
          <cell r="AE95" t="str">
            <v>IV</v>
          </cell>
          <cell r="AF95"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95" t="str">
            <v>•  None</v>
          </cell>
          <cell r="AH95" t="str">
            <v>•  HEPA filter vents on waste containers</v>
          </cell>
          <cell r="AI95" t="str">
            <v>•  None</v>
          </cell>
          <cell r="AJ95" t="str">
            <v xml:space="preserve">•  Quality Assurance Program
•  Performance Based Training Program
•  Waste Management Program </v>
          </cell>
          <cell r="AK95" t="str">
            <v>•  None</v>
          </cell>
          <cell r="AL95" t="str">
            <v>•  Lid restraining devices for bulging drums</v>
          </cell>
          <cell r="AM95" t="str">
            <v>•  None</v>
          </cell>
          <cell r="AN95" t="str">
            <v>•  Radiological Protection Program
•  Emergency Response Program
•  Performance Based Training Program
•  Conduct of Operations</v>
          </cell>
        </row>
        <row r="96">
          <cell r="A96" t="str">
            <v>MPA</v>
          </cell>
          <cell r="B96">
            <v>8</v>
          </cell>
          <cell r="C96" t="str">
            <v>Direct exposure to radiation</v>
          </cell>
          <cell r="D96" t="str">
            <v>Exposure to ionizing radiation from the waste, possibly due to loss of proper shielding within a container or instrument miscalibration</v>
          </cell>
          <cell r="E96" t="str">
            <v>Not applicable.</v>
          </cell>
          <cell r="F96" t="str">
            <v>NA</v>
          </cell>
          <cell r="G96" t="str">
            <v>NA</v>
          </cell>
          <cell r="H96" t="str">
            <v>Gnd</v>
          </cell>
          <cell r="I96">
            <v>850</v>
          </cell>
          <cell r="J96" t="str">
            <v>A</v>
          </cell>
          <cell r="K96" t="str">
            <v>M</v>
          </cell>
          <cell r="L96" t="str">
            <v>N</v>
          </cell>
          <cell r="M96" t="str">
            <v>N</v>
          </cell>
          <cell r="N96" t="str">
            <v>N</v>
          </cell>
          <cell r="O96" t="str">
            <v>I</v>
          </cell>
          <cell r="P96" t="str">
            <v>IV</v>
          </cell>
          <cell r="Q96" t="str">
            <v>IV</v>
          </cell>
          <cell r="R96" t="str">
            <v>IV</v>
          </cell>
          <cell r="S96" t="str">
            <v>NA</v>
          </cell>
          <cell r="T96" t="str">
            <v>NA</v>
          </cell>
          <cell r="U96" t="str">
            <v>Gnd</v>
          </cell>
          <cell r="V96">
            <v>850</v>
          </cell>
          <cell r="W96" t="str">
            <v>U</v>
          </cell>
          <cell r="X96" t="str">
            <v>L</v>
          </cell>
          <cell r="Y96" t="str">
            <v>N</v>
          </cell>
          <cell r="Z96" t="str">
            <v>N</v>
          </cell>
          <cell r="AA96" t="str">
            <v>N</v>
          </cell>
          <cell r="AB96" t="str">
            <v>III</v>
          </cell>
          <cell r="AC96" t="str">
            <v>IV</v>
          </cell>
          <cell r="AD96" t="str">
            <v>IV</v>
          </cell>
          <cell r="AE96" t="str">
            <v>IV</v>
          </cell>
          <cell r="AF96" t="str">
            <v xml:space="preserve">None.  </v>
          </cell>
          <cell r="AG96" t="str">
            <v>•  None</v>
          </cell>
          <cell r="AH96" t="str">
            <v>•  Engineered radiation shielding on high dose rate waste containers</v>
          </cell>
          <cell r="AI96" t="str">
            <v>•  None</v>
          </cell>
          <cell r="AJ96" t="str">
            <v xml:space="preserve">•  Radiological Protection Program
•  Quality Assurance Program
•  Performance Based Training Program
•  Conduct of Operations
•  Waste Management Program </v>
          </cell>
          <cell r="AK96" t="str">
            <v>•  None</v>
          </cell>
          <cell r="AL96" t="str">
            <v>•  None</v>
          </cell>
          <cell r="AM96" t="str">
            <v>•  None</v>
          </cell>
          <cell r="AN96" t="str">
            <v>•  Radiological Protection Program
•  Performance Based Training Program
•  Conduct of Operations</v>
          </cell>
        </row>
        <row r="97">
          <cell r="A97" t="str">
            <v>MPA</v>
          </cell>
          <cell r="B97">
            <v>9</v>
          </cell>
          <cell r="C97" t="str">
            <v>Criticality</v>
          </cell>
          <cell r="D97" t="str">
            <v>Inadvertent criticality occurs due to multiple independent failures and/or highly improbable circumstances</v>
          </cell>
          <cell r="E97" t="str">
            <v>&gt;450 FGE
Pu-239</v>
          </cell>
          <cell r="F97" t="str">
            <v>NA</v>
          </cell>
          <cell r="G97" t="str">
            <v>NA</v>
          </cell>
          <cell r="H97" t="str">
            <v>Gnd</v>
          </cell>
          <cell r="I97">
            <v>850</v>
          </cell>
          <cell r="J97" t="str">
            <v>BEU</v>
          </cell>
          <cell r="K97" t="str">
            <v>H</v>
          </cell>
          <cell r="L97" t="str">
            <v>N</v>
          </cell>
          <cell r="M97" t="str">
            <v>N</v>
          </cell>
          <cell r="N97" t="str">
            <v>N</v>
          </cell>
          <cell r="O97" t="str">
            <v>III</v>
          </cell>
          <cell r="P97" t="str">
            <v>IV</v>
          </cell>
          <cell r="Q97" t="str">
            <v>IV</v>
          </cell>
          <cell r="R97" t="str">
            <v>IV</v>
          </cell>
          <cell r="S97" t="str">
            <v>NA</v>
          </cell>
          <cell r="T97" t="str">
            <v>NA</v>
          </cell>
          <cell r="U97" t="str">
            <v>Gnd</v>
          </cell>
          <cell r="V97">
            <v>850</v>
          </cell>
          <cell r="W97" t="str">
            <v>BEU</v>
          </cell>
          <cell r="X97" t="str">
            <v>H</v>
          </cell>
          <cell r="Y97" t="str">
            <v>N</v>
          </cell>
          <cell r="Z97" t="str">
            <v>N</v>
          </cell>
          <cell r="AA97" t="str">
            <v>N</v>
          </cell>
          <cell r="AB97" t="str">
            <v>III</v>
          </cell>
          <cell r="AC97" t="str">
            <v>IV</v>
          </cell>
          <cell r="AD97" t="str">
            <v>IV</v>
          </cell>
          <cell r="AE97" t="str">
            <v>IV</v>
          </cell>
          <cell r="AF97" t="str">
            <v xml:space="preserve">Nuclear criticality safety administrative controls ensure that only safe quantities of fissile material are placed in waste packages.   </v>
          </cell>
          <cell r="AG97" t="str">
            <v>• PSRs for fissile material storage container specifications</v>
          </cell>
          <cell r="AH97" t="str">
            <v>•  None</v>
          </cell>
          <cell r="AI97" t="str">
            <v>• PSR limits on container fissile mass
• PSR for fissile material storage containers</v>
          </cell>
          <cell r="AJ97" t="str">
            <v xml:space="preserve">•  Radiological Protection Program
•  Nuclear Criticality Safety Program
•  Quality Assurance Program
•  Performance Based Training Program
•  Conduct of Operations
•  Waste Management Program </v>
          </cell>
          <cell r="AK97" t="str">
            <v>•  None</v>
          </cell>
          <cell r="AL97" t="str">
            <v>•  None</v>
          </cell>
          <cell r="AM97" t="str">
            <v>•  None</v>
          </cell>
          <cell r="AN97" t="str">
            <v>•  Radiological Protection Program
•  Nuclear Criticality Safety Program
•  Emergency Response Program
•  Performance Based Training Program
•  Conduct of Operations</v>
          </cell>
        </row>
        <row r="98">
          <cell r="A98" t="str">
            <v>MPA</v>
          </cell>
          <cell r="B98">
            <v>10</v>
          </cell>
          <cell r="C98" t="str">
            <v>Aircraft impact with fire</v>
          </cell>
          <cell r="D98" t="str">
            <v>Small general aviation aircraft or helicopter crashes and a fire ensues</v>
          </cell>
          <cell r="E98">
            <v>360</v>
          </cell>
          <cell r="F98" t="str">
            <v>E15</v>
          </cell>
          <cell r="G98">
            <v>1</v>
          </cell>
          <cell r="H98" t="str">
            <v>Gnd</v>
          </cell>
          <cell r="I98">
            <v>850</v>
          </cell>
          <cell r="J98" t="str">
            <v>BEU</v>
          </cell>
          <cell r="K98" t="str">
            <v>H</v>
          </cell>
          <cell r="L98" t="str">
            <v>H</v>
          </cell>
          <cell r="M98" t="str">
            <v>N</v>
          </cell>
          <cell r="N98" t="str">
            <v>N</v>
          </cell>
          <cell r="O98" t="str">
            <v>III</v>
          </cell>
          <cell r="P98" t="str">
            <v>III</v>
          </cell>
          <cell r="Q98" t="str">
            <v>IV</v>
          </cell>
          <cell r="R98" t="str">
            <v>IV</v>
          </cell>
          <cell r="S98" t="str">
            <v>E15</v>
          </cell>
          <cell r="T98">
            <v>1</v>
          </cell>
          <cell r="U98" t="str">
            <v>Gnd</v>
          </cell>
          <cell r="V98">
            <v>850</v>
          </cell>
          <cell r="W98" t="str">
            <v>BEU</v>
          </cell>
          <cell r="X98" t="str">
            <v>H</v>
          </cell>
          <cell r="Y98" t="str">
            <v>H</v>
          </cell>
          <cell r="Z98" t="str">
            <v>N</v>
          </cell>
          <cell r="AA98" t="str">
            <v>N</v>
          </cell>
          <cell r="AB98" t="str">
            <v>III</v>
          </cell>
          <cell r="AC98" t="str">
            <v>III</v>
          </cell>
          <cell r="AD98" t="str">
            <v>IV</v>
          </cell>
          <cell r="AE98" t="str">
            <v>IV</v>
          </cell>
          <cell r="AF98" t="str">
            <v xml:space="preserve">Event assumes waste containers breach in a manner similar to external vehicle accident event. Event BEU per WVNS-CAL-388. MAR is activity in maximally loaded 2-drum Interim Storage Container (Ref. WVNS-CAL-397, Table A-2).  </v>
          </cell>
          <cell r="AG98" t="str">
            <v>•  None</v>
          </cell>
          <cell r="AH98" t="str">
            <v>•  None</v>
          </cell>
          <cell r="AI98" t="str">
            <v>•  None</v>
          </cell>
          <cell r="AJ98" t="str">
            <v>•  None</v>
          </cell>
          <cell r="AK98" t="str">
            <v>•   APPROVED CONTAINERS used for TRU waste storage
•   TSR-compliant packaging for high activity TRU waste</v>
          </cell>
          <cell r="AL98" t="str">
            <v>•  None</v>
          </cell>
          <cell r="AM98" t="str">
            <v>• SAC for APPROVED CONTAINER use</v>
          </cell>
          <cell r="AN98" t="str">
            <v>•  Radiological Protection Program
•  Emergency Response Program
•  Fire Protection Program
•  Performance Based Training Program
•  Conduct of Operations</v>
          </cell>
        </row>
        <row r="99">
          <cell r="A99" t="str">
            <v>MPA</v>
          </cell>
          <cell r="B99">
            <v>11</v>
          </cell>
          <cell r="C99" t="str">
            <v>Tornado</v>
          </cell>
          <cell r="D99" t="str">
            <v>Direct effects of tornado winds, falling objects, or tornado-produced missiles causing impacts to the facility. Event includes loss of contamination confinement resulting from abnormal facility differential pressures (backflow).</v>
          </cell>
          <cell r="E99">
            <v>360</v>
          </cell>
          <cell r="F99" t="str">
            <v>E22</v>
          </cell>
          <cell r="G99">
            <v>1</v>
          </cell>
          <cell r="H99" t="str">
            <v>Gnd</v>
          </cell>
          <cell r="I99">
            <v>850</v>
          </cell>
          <cell r="J99" t="str">
            <v>U</v>
          </cell>
          <cell r="K99" t="str">
            <v>M</v>
          </cell>
          <cell r="L99" t="str">
            <v>M</v>
          </cell>
          <cell r="M99" t="str">
            <v>N</v>
          </cell>
          <cell r="N99" t="str">
            <v>N</v>
          </cell>
          <cell r="O99" t="str">
            <v>II</v>
          </cell>
          <cell r="P99" t="str">
            <v>II</v>
          </cell>
          <cell r="Q99" t="str">
            <v>IV</v>
          </cell>
          <cell r="R99" t="str">
            <v>IV</v>
          </cell>
          <cell r="S99" t="str">
            <v>E22</v>
          </cell>
          <cell r="T99">
            <v>1</v>
          </cell>
          <cell r="U99" t="str">
            <v>Gnd</v>
          </cell>
          <cell r="V99">
            <v>850</v>
          </cell>
          <cell r="W99" t="str">
            <v>EU</v>
          </cell>
          <cell r="X99" t="str">
            <v>M</v>
          </cell>
          <cell r="Y99" t="str">
            <v>M</v>
          </cell>
          <cell r="Z99" t="str">
            <v>N</v>
          </cell>
          <cell r="AA99" t="str">
            <v>N</v>
          </cell>
          <cell r="AB99" t="str">
            <v>III</v>
          </cell>
          <cell r="AC99" t="str">
            <v>III</v>
          </cell>
          <cell r="AD99" t="str">
            <v>IV</v>
          </cell>
          <cell r="AE99" t="str">
            <v>IV</v>
          </cell>
          <cell r="AF99" t="str">
            <v xml:space="preserve"> MAR is activity in maximally loaded 2-drum Interim Storage Container (Ref. WVNS-CAL-397, Table A-2).  </v>
          </cell>
          <cell r="AG99" t="str">
            <v>•  None</v>
          </cell>
          <cell r="AH99" t="str">
            <v>•  None</v>
          </cell>
          <cell r="AI99" t="str">
            <v>•  None</v>
          </cell>
          <cell r="AJ99" t="str">
            <v>•  None</v>
          </cell>
          <cell r="AK99" t="str">
            <v>•  None</v>
          </cell>
          <cell r="AL99" t="str">
            <v>•  Facility design capable of maintaining confinement integrity following design basis events</v>
          </cell>
          <cell r="AM99" t="str">
            <v>•  None</v>
          </cell>
          <cell r="AN99" t="str">
            <v>•  Radiological Protection Program
•  Emergency Response Program
•  Performance Based Training Program
•  Conduct of Operations</v>
          </cell>
        </row>
        <row r="100">
          <cell r="A100" t="str">
            <v>MPA</v>
          </cell>
          <cell r="B100">
            <v>12</v>
          </cell>
          <cell r="C100" t="str">
            <v>Seismic event</v>
          </cell>
          <cell r="D100" t="str">
            <v>Seismic event causes failure of equipment or structure which impacts facility contamination and/or seismic event disturbs loose surface contamination. Confinement boundaries are expected to remain intact.</v>
          </cell>
          <cell r="E100">
            <v>360</v>
          </cell>
          <cell r="F100" t="str">
            <v>E24</v>
          </cell>
          <cell r="G100">
            <v>0.01</v>
          </cell>
          <cell r="H100" t="str">
            <v>Gnd</v>
          </cell>
          <cell r="I100">
            <v>850</v>
          </cell>
          <cell r="J100" t="str">
            <v>U</v>
          </cell>
          <cell r="K100" t="str">
            <v>N</v>
          </cell>
          <cell r="L100" t="str">
            <v>L</v>
          </cell>
          <cell r="M100" t="str">
            <v>N</v>
          </cell>
          <cell r="N100" t="str">
            <v>N</v>
          </cell>
          <cell r="O100" t="str">
            <v>IV</v>
          </cell>
          <cell r="P100" t="str">
            <v>III</v>
          </cell>
          <cell r="Q100" t="str">
            <v>IV</v>
          </cell>
          <cell r="R100" t="str">
            <v>IV</v>
          </cell>
          <cell r="S100" t="str">
            <v>E24</v>
          </cell>
          <cell r="T100">
            <v>0.01</v>
          </cell>
          <cell r="U100" t="str">
            <v>Gnd</v>
          </cell>
          <cell r="V100">
            <v>850</v>
          </cell>
          <cell r="W100" t="str">
            <v>U</v>
          </cell>
          <cell r="X100" t="str">
            <v>N</v>
          </cell>
          <cell r="Y100" t="str">
            <v>L</v>
          </cell>
          <cell r="Z100" t="str">
            <v>N</v>
          </cell>
          <cell r="AA100" t="str">
            <v>N</v>
          </cell>
          <cell r="AB100" t="str">
            <v>IV</v>
          </cell>
          <cell r="AC100" t="str">
            <v>III</v>
          </cell>
          <cell r="AD100" t="str">
            <v>IV</v>
          </cell>
          <cell r="AE100" t="str">
            <v>IV</v>
          </cell>
          <cell r="AF100" t="str">
            <v xml:space="preserve">Facility confinement boundaries expected to remain intact following EBE.  MAR is activity in maximally loaded 2-drum Interim Storage Container (Ref. WVNS-CAL-397, Table A-2).  </v>
          </cell>
          <cell r="AG100" t="str">
            <v>•  None</v>
          </cell>
          <cell r="AH100" t="str">
            <v>•  None</v>
          </cell>
          <cell r="AI100" t="str">
            <v>•  None</v>
          </cell>
          <cell r="AJ100" t="str">
            <v>•  None</v>
          </cell>
          <cell r="AK100" t="str">
            <v>•  None</v>
          </cell>
          <cell r="AL100" t="str">
            <v>•  Facility design capable of maintaining confinement integrity following design basis events</v>
          </cell>
          <cell r="AM100" t="str">
            <v>•  None</v>
          </cell>
          <cell r="AN100" t="str">
            <v>•  Radiological Protection Program
•  Emergency Response Program
•  Performance Based Training Program
•  Conduct of Operations</v>
          </cell>
        </row>
        <row r="101">
          <cell r="A101" t="str">
            <v>MPA</v>
          </cell>
          <cell r="B101">
            <v>13</v>
          </cell>
          <cell r="C101" t="str">
            <v>Loss of airborne contamination confinement</v>
          </cell>
          <cell r="D101" t="str">
            <v>Loss of power resulting in loss of exhaust blower operability or other upset condition resulting in loss of airborne contamination confinement.</v>
          </cell>
          <cell r="E101">
            <v>360</v>
          </cell>
          <cell r="F101" t="str">
            <v>AER</v>
          </cell>
          <cell r="G101">
            <v>1</v>
          </cell>
          <cell r="H101" t="str">
            <v>Gnd</v>
          </cell>
          <cell r="I101">
            <v>850</v>
          </cell>
          <cell r="J101" t="str">
            <v>A</v>
          </cell>
          <cell r="K101" t="str">
            <v>L</v>
          </cell>
          <cell r="L101" t="str">
            <v>L</v>
          </cell>
          <cell r="M101" t="str">
            <v>N</v>
          </cell>
          <cell r="N101" t="str">
            <v>N</v>
          </cell>
          <cell r="O101" t="str">
            <v>III</v>
          </cell>
          <cell r="P101" t="str">
            <v>III</v>
          </cell>
          <cell r="Q101" t="str">
            <v>IV</v>
          </cell>
          <cell r="R101" t="str">
            <v>IV</v>
          </cell>
          <cell r="S101" t="str">
            <v>AER</v>
          </cell>
          <cell r="T101">
            <v>1</v>
          </cell>
          <cell r="U101" t="str">
            <v>Gnd</v>
          </cell>
          <cell r="V101">
            <v>850</v>
          </cell>
          <cell r="W101" t="str">
            <v>A</v>
          </cell>
          <cell r="X101" t="str">
            <v>L</v>
          </cell>
          <cell r="Y101" t="str">
            <v>L</v>
          </cell>
          <cell r="Z101" t="str">
            <v>N</v>
          </cell>
          <cell r="AA101" t="str">
            <v>N</v>
          </cell>
          <cell r="AB101" t="str">
            <v>III</v>
          </cell>
          <cell r="AC101" t="str">
            <v>III</v>
          </cell>
          <cell r="AD101" t="str">
            <v>IV</v>
          </cell>
          <cell r="AE101" t="str">
            <v>IV</v>
          </cell>
          <cell r="AF101" t="str">
            <v xml:space="preserve">Contamination assumed to migrate from confinement boundary penetrations through aerodynamic entrainment and resuspension under static facility conditions. MAR is activity in maximally loaded 2-drum Interim Storage Container (Ref. WVNS-CAL-397, Table A-2).  </v>
          </cell>
          <cell r="AG101" t="str">
            <v>•  None</v>
          </cell>
          <cell r="AH101" t="str">
            <v>•  None</v>
          </cell>
          <cell r="AI101" t="str">
            <v>•  None</v>
          </cell>
          <cell r="AJ101" t="str">
            <v>•  Quality Assurance Program
•  Fire Protection Program
•  Performance Based Training Program
•  Maintenance Program
•  Conduct of Operations</v>
          </cell>
          <cell r="AK101" t="str">
            <v>•  None</v>
          </cell>
          <cell r="AL101" t="str">
            <v>•  None</v>
          </cell>
          <cell r="AM101" t="str">
            <v>•  None</v>
          </cell>
          <cell r="AN101" t="str">
            <v>•  None</v>
          </cell>
        </row>
        <row r="102">
          <cell r="A102" t="str">
            <v>MPA</v>
          </cell>
          <cell r="B102">
            <v>14</v>
          </cell>
          <cell r="C102" t="str">
            <v>Loss of liquid contamination confinement</v>
          </cell>
          <cell r="D102" t="str">
            <v>Waste container containing residual liquids fails, resulting in loss of liquid contamination to the environment</v>
          </cell>
          <cell r="E102">
            <v>1</v>
          </cell>
          <cell r="F102" t="str">
            <v>FFS</v>
          </cell>
          <cell r="G102">
            <v>0.5</v>
          </cell>
          <cell r="H102" t="str">
            <v>Gnd</v>
          </cell>
          <cell r="I102">
            <v>850</v>
          </cell>
          <cell r="J102" t="str">
            <v>A</v>
          </cell>
          <cell r="K102" t="str">
            <v>N</v>
          </cell>
          <cell r="L102" t="str">
            <v>N</v>
          </cell>
          <cell r="M102" t="str">
            <v>N</v>
          </cell>
          <cell r="N102" t="str">
            <v>N</v>
          </cell>
          <cell r="O102" t="str">
            <v>IV</v>
          </cell>
          <cell r="P102" t="str">
            <v>IV</v>
          </cell>
          <cell r="Q102" t="str">
            <v>IV</v>
          </cell>
          <cell r="R102" t="str">
            <v>IV</v>
          </cell>
          <cell r="S102" t="str">
            <v>FFS</v>
          </cell>
          <cell r="T102">
            <v>0.5</v>
          </cell>
          <cell r="U102" t="str">
            <v>Gnd</v>
          </cell>
          <cell r="V102">
            <v>850</v>
          </cell>
          <cell r="W102" t="str">
            <v>A</v>
          </cell>
          <cell r="X102" t="str">
            <v>N</v>
          </cell>
          <cell r="Y102" t="str">
            <v>N</v>
          </cell>
          <cell r="Z102" t="str">
            <v>N</v>
          </cell>
          <cell r="AA102" t="str">
            <v>N</v>
          </cell>
          <cell r="AB102" t="str">
            <v>IV</v>
          </cell>
          <cell r="AC102" t="str">
            <v>IV</v>
          </cell>
          <cell r="AD102" t="str">
            <v>IV</v>
          </cell>
          <cell r="AE102" t="str">
            <v>IV</v>
          </cell>
          <cell r="AF102" t="str">
            <v xml:space="preserve">None.  </v>
          </cell>
          <cell r="AG102" t="str">
            <v>•  None</v>
          </cell>
          <cell r="AH102" t="str">
            <v>•  Cell liners/sumps and/or area berms</v>
          </cell>
          <cell r="AI102" t="str">
            <v>•  None</v>
          </cell>
          <cell r="AJ102" t="str">
            <v xml:space="preserve">•  Quality Assurance Program
•  Performance Based Training Program
•  Maintenance Program
•  Conduct of Operations
•  Waste Management Program </v>
          </cell>
          <cell r="AK102" t="str">
            <v>•  None</v>
          </cell>
          <cell r="AL102" t="str">
            <v>•  None</v>
          </cell>
          <cell r="AM102" t="str">
            <v>•  None</v>
          </cell>
          <cell r="AN102" t="str">
            <v>•  Radiological Protection Program
•  Performance Based Training Program
•  Conduct of Operations</v>
          </cell>
        </row>
        <row r="103">
          <cell r="A103" t="str">
            <v>MPA</v>
          </cell>
          <cell r="B103">
            <v>15</v>
          </cell>
          <cell r="C103" t="str">
            <v>HEPA filter failure</v>
          </cell>
          <cell r="D103" t="str">
            <v>Excess moisture or particulate on filters or area pressure excursion causes high filter differential pressure, resulting in filter failure</v>
          </cell>
          <cell r="E103">
            <v>1</v>
          </cell>
          <cell r="F103" t="str">
            <v>HB</v>
          </cell>
          <cell r="G103">
            <v>1</v>
          </cell>
          <cell r="H103" t="str">
            <v>Gnd</v>
          </cell>
          <cell r="I103">
            <v>850</v>
          </cell>
          <cell r="J103" t="str">
            <v>A</v>
          </cell>
          <cell r="K103" t="str">
            <v>L</v>
          </cell>
          <cell r="L103" t="str">
            <v>L</v>
          </cell>
          <cell r="M103" t="str">
            <v>N</v>
          </cell>
          <cell r="N103" t="str">
            <v>N</v>
          </cell>
          <cell r="O103" t="str">
            <v>III</v>
          </cell>
          <cell r="P103" t="str">
            <v>III</v>
          </cell>
          <cell r="Q103" t="str">
            <v>IV</v>
          </cell>
          <cell r="R103" t="str">
            <v>IV</v>
          </cell>
          <cell r="S103" t="str">
            <v>HB</v>
          </cell>
          <cell r="T103">
            <v>1</v>
          </cell>
          <cell r="U103" t="str">
            <v>Gnd</v>
          </cell>
          <cell r="V103">
            <v>850</v>
          </cell>
          <cell r="W103" t="str">
            <v>U</v>
          </cell>
          <cell r="X103" t="str">
            <v>L</v>
          </cell>
          <cell r="Y103" t="str">
            <v>L</v>
          </cell>
          <cell r="Z103" t="str">
            <v>N</v>
          </cell>
          <cell r="AA103" t="str">
            <v>N</v>
          </cell>
          <cell r="AB103" t="str">
            <v>III</v>
          </cell>
          <cell r="AC103" t="str">
            <v>III</v>
          </cell>
          <cell r="AD103" t="str">
            <v>IV</v>
          </cell>
          <cell r="AE103" t="str">
            <v>IV</v>
          </cell>
          <cell r="AF103" t="str">
            <v xml:space="preserve"> 10% of MPPB ventilation system MAR bounding for facility HEPA filters based on system environmental emission data </v>
          </cell>
          <cell r="AG103" t="str">
            <v>•  None</v>
          </cell>
          <cell r="AH103" t="str">
            <v>•  None</v>
          </cell>
          <cell r="AI103" t="str">
            <v>•  None</v>
          </cell>
          <cell r="AJ103" t="str">
            <v>•  Quality Assurance Program
•  Fire Protection Program
•  Performance Based Training Program
•  Maintenance Program
•  Conduct of Operations</v>
          </cell>
          <cell r="AK103" t="str">
            <v>•  None</v>
          </cell>
          <cell r="AL103" t="str">
            <v>•  None</v>
          </cell>
          <cell r="AM103" t="str">
            <v>•  None</v>
          </cell>
          <cell r="AN103" t="str">
            <v>•  Radiological Protection Program
•  Emergency Response Program
•  Performance Based Training Program
•  Conduct of Operations</v>
          </cell>
        </row>
        <row r="104">
          <cell r="A104" t="str">
            <v>MPA</v>
          </cell>
          <cell r="B104">
            <v>16</v>
          </cell>
          <cell r="C104" t="str">
            <v>HEPA filter fire</v>
          </cell>
          <cell r="D104" t="str">
            <v>Area fire propagates to HEPA filter bank</v>
          </cell>
          <cell r="E104">
            <v>1</v>
          </cell>
          <cell r="F104" t="str">
            <v>HF</v>
          </cell>
          <cell r="G104">
            <v>1</v>
          </cell>
          <cell r="H104" t="str">
            <v>Gnd</v>
          </cell>
          <cell r="I104">
            <v>850</v>
          </cell>
          <cell r="J104" t="str">
            <v>A</v>
          </cell>
          <cell r="K104" t="str">
            <v>N</v>
          </cell>
          <cell r="L104" t="str">
            <v>N</v>
          </cell>
          <cell r="M104" t="str">
            <v>N</v>
          </cell>
          <cell r="N104" t="str">
            <v>N</v>
          </cell>
          <cell r="O104" t="str">
            <v>IV</v>
          </cell>
          <cell r="P104" t="str">
            <v>IV</v>
          </cell>
          <cell r="Q104" t="str">
            <v>IV</v>
          </cell>
          <cell r="R104" t="str">
            <v>IV</v>
          </cell>
          <cell r="S104" t="str">
            <v>HF</v>
          </cell>
          <cell r="T104">
            <v>1</v>
          </cell>
          <cell r="U104" t="str">
            <v>Gnd</v>
          </cell>
          <cell r="V104">
            <v>850</v>
          </cell>
          <cell r="W104" t="str">
            <v>U</v>
          </cell>
          <cell r="X104" t="str">
            <v>N</v>
          </cell>
          <cell r="Y104" t="str">
            <v>N</v>
          </cell>
          <cell r="Z104" t="str">
            <v>N</v>
          </cell>
          <cell r="AA104" t="str">
            <v>N</v>
          </cell>
          <cell r="AB104" t="str">
            <v>IV</v>
          </cell>
          <cell r="AC104" t="str">
            <v>IV</v>
          </cell>
          <cell r="AD104" t="str">
            <v>IV</v>
          </cell>
          <cell r="AE104" t="str">
            <v>IV</v>
          </cell>
          <cell r="AF104" t="str">
            <v xml:space="preserve"> 10% of MPPB ventilation system MAR bounding for facility HEPA filters based on system environmental emission data </v>
          </cell>
          <cell r="AG104" t="str">
            <v>•  None</v>
          </cell>
          <cell r="AH104" t="str">
            <v>•  None</v>
          </cell>
          <cell r="AI104" t="str">
            <v>•  None</v>
          </cell>
          <cell r="AJ104" t="str">
            <v>•  Quality Assurance Program
•  Fire Protection Program
•  Performance Based Training Program
•  Maintenance Program
•  Conduct of Operations</v>
          </cell>
          <cell r="AK104" t="str">
            <v>•  None</v>
          </cell>
          <cell r="AL104" t="str">
            <v>•  None</v>
          </cell>
          <cell r="AM104" t="str">
            <v>•  None</v>
          </cell>
          <cell r="AN104" t="str">
            <v>•  Radiological Protection Program
•  Emergency Response Program
•  Fire Protection Program
•  Performance Based Training Program
•  Conduct of Operations</v>
          </cell>
        </row>
        <row r="105">
          <cell r="A105" t="str">
            <v>MPA</v>
          </cell>
          <cell r="B105">
            <v>17</v>
          </cell>
          <cell r="C105" t="str">
            <v>Flood</v>
          </cell>
          <cell r="D105" t="str">
            <v>A greater than 100-yr  rain event results in sheet flow that floods the storage area. Flooding may be exacerbated by plugged drainage channels or culverts.</v>
          </cell>
          <cell r="E105">
            <v>360</v>
          </cell>
          <cell r="F105" t="str">
            <v>NA</v>
          </cell>
          <cell r="G105" t="str">
            <v>NA</v>
          </cell>
          <cell r="H105" t="str">
            <v>Gnd</v>
          </cell>
          <cell r="I105">
            <v>850</v>
          </cell>
          <cell r="J105" t="str">
            <v>U</v>
          </cell>
          <cell r="K105" t="str">
            <v>N</v>
          </cell>
          <cell r="L105" t="str">
            <v>N</v>
          </cell>
          <cell r="M105" t="str">
            <v>N</v>
          </cell>
          <cell r="N105" t="str">
            <v>N</v>
          </cell>
          <cell r="O105" t="str">
            <v>IV</v>
          </cell>
          <cell r="P105" t="str">
            <v>IV</v>
          </cell>
          <cell r="Q105" t="str">
            <v>IV</v>
          </cell>
          <cell r="R105" t="str">
            <v>IV</v>
          </cell>
          <cell r="S105" t="str">
            <v>NA</v>
          </cell>
          <cell r="T105" t="str">
            <v>NA</v>
          </cell>
          <cell r="U105" t="str">
            <v>Gnd</v>
          </cell>
          <cell r="V105">
            <v>850</v>
          </cell>
          <cell r="W105" t="str">
            <v>U</v>
          </cell>
          <cell r="X105" t="str">
            <v>N</v>
          </cell>
          <cell r="Y105" t="str">
            <v>N</v>
          </cell>
          <cell r="Z105" t="str">
            <v>N</v>
          </cell>
          <cell r="AA105" t="str">
            <v>N</v>
          </cell>
          <cell r="AB105" t="str">
            <v>IV</v>
          </cell>
          <cell r="AC105" t="str">
            <v>IV</v>
          </cell>
          <cell r="AD105" t="str">
            <v>IV</v>
          </cell>
          <cell r="AE105" t="str">
            <v>IV</v>
          </cell>
          <cell r="AF105" t="str">
            <v xml:space="preserve">Site topography places facility outside area vulnerable to flooding (ref. Figure 1.4-6).  MAR is activity in maximally loaded 2-drum Interim Storage Container (Ref. WVNS-CAL-397, Table A-2).  </v>
          </cell>
          <cell r="AG105" t="str">
            <v>•  None</v>
          </cell>
          <cell r="AH105" t="str">
            <v>•  Siting of storage array in area away from areas of anticipated flooding</v>
          </cell>
          <cell r="AI105" t="str">
            <v>•  None</v>
          </cell>
          <cell r="AJ105" t="str">
            <v>•  None</v>
          </cell>
          <cell r="AK105" t="str">
            <v>•  None</v>
          </cell>
          <cell r="AL105" t="str">
            <v>•  None</v>
          </cell>
          <cell r="AM105" t="str">
            <v>•  None</v>
          </cell>
          <cell r="AN105" t="str">
            <v>•  Radiological Protection Program
•  Performance Based Training Program
•  Conduct of Operations</v>
          </cell>
        </row>
        <row r="106">
          <cell r="A106" t="str">
            <v>OUT</v>
          </cell>
          <cell r="B106">
            <v>1</v>
          </cell>
          <cell r="C106" t="str">
            <v>Localized flammable liquid pool fire</v>
          </cell>
          <cell r="D106"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06">
            <v>2100</v>
          </cell>
          <cell r="F106" t="str">
            <v>E01</v>
          </cell>
          <cell r="G106">
            <v>1</v>
          </cell>
          <cell r="H106" t="str">
            <v>Gnd</v>
          </cell>
          <cell r="I106">
            <v>850</v>
          </cell>
          <cell r="J106" t="str">
            <v>U</v>
          </cell>
          <cell r="K106" t="str">
            <v>H</v>
          </cell>
          <cell r="L106" t="str">
            <v>H</v>
          </cell>
          <cell r="M106" t="str">
            <v>N</v>
          </cell>
          <cell r="N106" t="str">
            <v>N</v>
          </cell>
          <cell r="O106" t="str">
            <v>I</v>
          </cell>
          <cell r="P106" t="str">
            <v>I</v>
          </cell>
          <cell r="Q106" t="str">
            <v>IV</v>
          </cell>
          <cell r="R106" t="str">
            <v>IV</v>
          </cell>
          <cell r="S106" t="str">
            <v>E01</v>
          </cell>
          <cell r="T106">
            <v>4.7999999999999996E-3</v>
          </cell>
          <cell r="U106" t="str">
            <v>Gnd</v>
          </cell>
          <cell r="V106">
            <v>850</v>
          </cell>
          <cell r="W106" t="str">
            <v>EU</v>
          </cell>
          <cell r="X106" t="str">
            <v>L</v>
          </cell>
          <cell r="Y106" t="str">
            <v>L</v>
          </cell>
          <cell r="Z106" t="str">
            <v>N</v>
          </cell>
          <cell r="AA106" t="str">
            <v>N</v>
          </cell>
          <cell r="AB106" t="str">
            <v>IV</v>
          </cell>
          <cell r="AC106" t="str">
            <v>IV</v>
          </cell>
          <cell r="AD106" t="str">
            <v>IV</v>
          </cell>
          <cell r="AE106" t="str">
            <v>IV</v>
          </cell>
          <cell r="AF106" t="str">
            <v>Topography and soil conditions in outdoor hardstand areas limit the spatial extent of any fuel spill in the area. MAR is entire inventory of radioactive material in WVDP packaged waste (exclusive of HLW) (Ref.WVNS-CAL-397, Table C-1, Lag Storage).  DR reflects TSR to protect arrays of TRU waste containing greater than 10 PE-Ci from spills of flammable/ combustible liquids</v>
          </cell>
          <cell r="AG106" t="str">
            <v>•  None</v>
          </cell>
          <cell r="AH106" t="str">
            <v>•  None</v>
          </cell>
          <cell r="AI106" t="str">
            <v>• SAC for TRU waste drum fire protection
• SAC for TRU waste container physical protection
• SAC for TRU WASTE AREAS</v>
          </cell>
          <cell r="AJ106" t="str">
            <v xml:space="preserve">•  Quality Assurance Program
•  Fire Protection Program
•  Performance Based Training Program
•  Maintenance Program
•  Conduct of Operations
•  Waste Management Program </v>
          </cell>
          <cell r="AK106" t="str">
            <v>•  APPROVED CONTAINERS used for TRU waste storage
•  TSR-compliant packaging for high activity TRU waste</v>
          </cell>
          <cell r="AL106" t="str">
            <v>•  Steel-deck pallets that limit direct flame impingement on TRU containers
•  Banding of drums on pallets</v>
          </cell>
          <cell r="AM106" t="str">
            <v>•  SAC for APPROVED CONTAINER use
•  SAC for facility inventory control
• SAC for TRU WASTE AREAS</v>
          </cell>
          <cell r="AN106" t="str">
            <v>•  Radiological Protection Program
•  Emergency Response Program
•  Fire Protection Program
•  Performance Based Training Program
•  Conduct of Operations</v>
          </cell>
        </row>
        <row r="107">
          <cell r="A107" t="str">
            <v>OUT</v>
          </cell>
          <cell r="B107">
            <v>2</v>
          </cell>
          <cell r="C107" t="str">
            <v>Small combustible material fire</v>
          </cell>
          <cell r="D107" t="str">
            <v>Fire occurs in a facility area that impacts TRU waste. Includes accidents initiated due to pyrophoric reactions or reactions involving incompatible wastes.</v>
          </cell>
          <cell r="E107">
            <v>360</v>
          </cell>
          <cell r="F107" t="str">
            <v>E02</v>
          </cell>
          <cell r="G107">
            <v>1</v>
          </cell>
          <cell r="H107" t="str">
            <v>Gnd</v>
          </cell>
          <cell r="I107">
            <v>850</v>
          </cell>
          <cell r="J107" t="str">
            <v>U</v>
          </cell>
          <cell r="K107" t="str">
            <v>H</v>
          </cell>
          <cell r="L107" t="str">
            <v>H</v>
          </cell>
          <cell r="M107" t="str">
            <v>N</v>
          </cell>
          <cell r="N107" t="str">
            <v>N</v>
          </cell>
          <cell r="O107" t="str">
            <v>I</v>
          </cell>
          <cell r="P107" t="str">
            <v>I</v>
          </cell>
          <cell r="Q107" t="str">
            <v>IV</v>
          </cell>
          <cell r="R107" t="str">
            <v>IV</v>
          </cell>
          <cell r="S107" t="str">
            <v>E02</v>
          </cell>
          <cell r="T107">
            <v>2.8E-3</v>
          </cell>
          <cell r="U107" t="str">
            <v>Gnd</v>
          </cell>
          <cell r="V107">
            <v>850</v>
          </cell>
          <cell r="W107" t="str">
            <v>U</v>
          </cell>
          <cell r="X107" t="str">
            <v>L</v>
          </cell>
          <cell r="Y107" t="str">
            <v>L</v>
          </cell>
          <cell r="Z107" t="str">
            <v>N</v>
          </cell>
          <cell r="AA107" t="str">
            <v>N</v>
          </cell>
          <cell r="AB107" t="str">
            <v>III</v>
          </cell>
          <cell r="AC107" t="str">
            <v>III</v>
          </cell>
          <cell r="AD107" t="str">
            <v>IV</v>
          </cell>
          <cell r="AE107" t="str">
            <v>IV</v>
          </cell>
          <cell r="AF107" t="str">
            <v>Amount of combustible material in radiologically-controlled areas controlled by WVDP Fire Protection Program. Credit taken for storage of waste in APPROVED CONTAINERS in assuming mitigated event progresses as contained waste fire.  MAR is activity in maximally loaded 2-drum Interim Storage Container (Ref. WVNS-CAL-397, Table A-2).  DR reflects TSR that limits the amount of TRU waste that may be outside of an APPROVED CONTAINER to 1.0 PE-Ci.</v>
          </cell>
          <cell r="AG107" t="str">
            <v>•  None</v>
          </cell>
          <cell r="AH107" t="str">
            <v>•  None</v>
          </cell>
          <cell r="AI107" t="str">
            <v>•  None</v>
          </cell>
          <cell r="AJ107" t="str">
            <v xml:space="preserve">•  Quality Assurance Program
•  Fire Protection Program
-   “Hot work” controls
-   Combustible material control program
•  Performance Based Training Program
•  Maintenance Program
•  Conduct of Operations
•  Waste Management Program </v>
          </cell>
          <cell r="AK107" t="str">
            <v>•  APPROVED CONTAINERS used for TRU waste storage
•  TSR-compliant packaging for high activity TRU waste</v>
          </cell>
          <cell r="AL107" t="str">
            <v>•  None</v>
          </cell>
          <cell r="AM107" t="str">
            <v>•  SAC for APPROVED CONTAINER use
•  SAC for facility inventory control
• SAC for TRU WASTE AREAS</v>
          </cell>
          <cell r="AN107" t="str">
            <v>•  Radiological Protection Program
•  Emergency Response Program
•  Fire Protection Program
•  Performance Based Training Program
•  Conduct of Operations</v>
          </cell>
        </row>
        <row r="108">
          <cell r="A108" t="str">
            <v>OUT</v>
          </cell>
          <cell r="B108">
            <v>3</v>
          </cell>
          <cell r="C108" t="str">
            <v>Localized explosion external to container</v>
          </cell>
          <cell r="D108"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08">
            <v>360</v>
          </cell>
          <cell r="F108" t="str">
            <v>E05</v>
          </cell>
          <cell r="G108">
            <v>1</v>
          </cell>
          <cell r="H108" t="str">
            <v>Gnd</v>
          </cell>
          <cell r="I108">
            <v>850</v>
          </cell>
          <cell r="J108" t="str">
            <v>A</v>
          </cell>
          <cell r="K108" t="str">
            <v>H</v>
          </cell>
          <cell r="L108" t="str">
            <v>M</v>
          </cell>
          <cell r="M108" t="str">
            <v>N</v>
          </cell>
          <cell r="N108" t="str">
            <v>N</v>
          </cell>
          <cell r="O108" t="str">
            <v>I</v>
          </cell>
          <cell r="P108" t="str">
            <v>I</v>
          </cell>
          <cell r="Q108" t="str">
            <v>IV</v>
          </cell>
          <cell r="R108" t="str">
            <v>IV</v>
          </cell>
          <cell r="S108" t="str">
            <v>E05</v>
          </cell>
          <cell r="T108">
            <v>2.8000000000000001E-2</v>
          </cell>
          <cell r="U108" t="str">
            <v>Gnd</v>
          </cell>
          <cell r="V108">
            <v>850</v>
          </cell>
          <cell r="W108" t="str">
            <v>U</v>
          </cell>
          <cell r="X108" t="str">
            <v>L</v>
          </cell>
          <cell r="Y108" t="str">
            <v>L</v>
          </cell>
          <cell r="Z108" t="str">
            <v>N</v>
          </cell>
          <cell r="AA108" t="str">
            <v>N</v>
          </cell>
          <cell r="AB108" t="str">
            <v>III</v>
          </cell>
          <cell r="AC108" t="str">
            <v>III</v>
          </cell>
          <cell r="AD108" t="str">
            <v>IV</v>
          </cell>
          <cell r="AE108" t="str">
            <v>IV</v>
          </cell>
          <cell r="AF108"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08" t="str">
            <v>•  None</v>
          </cell>
          <cell r="AH108" t="str">
            <v>•  None</v>
          </cell>
          <cell r="AI108" t="str">
            <v>•  None</v>
          </cell>
          <cell r="AJ108" t="str">
            <v xml:space="preserve">•  Quality Assurance Program
•  Fire Protection Program
•  Performance Based Training Program
•  Maintenance Program
•  Waste Management Program </v>
          </cell>
          <cell r="AK108" t="str">
            <v>•   APPROVED CONTAINERS used for TRU waste storage
•   TSR-compliant packaging for high activity TRU waste</v>
          </cell>
          <cell r="AL108" t="str">
            <v>•  None</v>
          </cell>
          <cell r="AM108" t="str">
            <v>•  SAC for APPROVED CONTAINER use
•  SAC for facility inventory control</v>
          </cell>
          <cell r="AN108" t="str">
            <v>•  Radiological Protection Program
•  Emergency Response Program
•  Fire Protection Program
•  Performance Based Training Program
•  Conduct of Operations</v>
          </cell>
        </row>
        <row r="109">
          <cell r="A109" t="str">
            <v>OUT</v>
          </cell>
          <cell r="B109">
            <v>4</v>
          </cell>
          <cell r="C109" t="str">
            <v>Waste container deflagration</v>
          </cell>
          <cell r="D109" t="str">
            <v>Hydrogen or other flammable/explosive gases inside a container is ignited.</v>
          </cell>
          <cell r="E109">
            <v>360</v>
          </cell>
          <cell r="F109" t="str">
            <v>E06</v>
          </cell>
          <cell r="G109">
            <v>1</v>
          </cell>
          <cell r="H109" t="str">
            <v>Gnd</v>
          </cell>
          <cell r="I109">
            <v>850</v>
          </cell>
          <cell r="J109" t="str">
            <v>U</v>
          </cell>
          <cell r="K109" t="str">
            <v>H</v>
          </cell>
          <cell r="L109" t="str">
            <v>M</v>
          </cell>
          <cell r="M109" t="str">
            <v>N</v>
          </cell>
          <cell r="N109" t="str">
            <v>N</v>
          </cell>
          <cell r="O109" t="str">
            <v>I</v>
          </cell>
          <cell r="P109" t="str">
            <v>II</v>
          </cell>
          <cell r="Q109" t="str">
            <v>IV</v>
          </cell>
          <cell r="R109" t="str">
            <v>IV</v>
          </cell>
          <cell r="S109" t="str">
            <v>E06</v>
          </cell>
          <cell r="T109">
            <v>0.25</v>
          </cell>
          <cell r="U109" t="str">
            <v>Gnd</v>
          </cell>
          <cell r="V109">
            <v>850</v>
          </cell>
          <cell r="W109" t="str">
            <v>EU</v>
          </cell>
          <cell r="X109" t="str">
            <v>M</v>
          </cell>
          <cell r="Y109" t="str">
            <v>M</v>
          </cell>
          <cell r="Z109" t="str">
            <v>N</v>
          </cell>
          <cell r="AA109" t="str">
            <v>N</v>
          </cell>
          <cell r="AB109" t="str">
            <v>III</v>
          </cell>
          <cell r="AC109" t="str">
            <v>III</v>
          </cell>
          <cell r="AD109" t="str">
            <v>IV</v>
          </cell>
          <cell r="AE109" t="str">
            <v>IV</v>
          </cell>
          <cell r="AF109"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09" t="str">
            <v>•  None</v>
          </cell>
          <cell r="AH109" t="str">
            <v>•  HEPA filter vents on waste containers</v>
          </cell>
          <cell r="AI109" t="str">
            <v>•  None</v>
          </cell>
          <cell r="AJ109" t="str">
            <v xml:space="preserve">•  Quality Assurance Program
•  Fire Protection Program
•  Performance Based Training Program
•  Maintenance Program
•  Waste Management Program </v>
          </cell>
          <cell r="AK109" t="str">
            <v>•   TSR-compliant packaging for high activity TRU waste</v>
          </cell>
          <cell r="AL109" t="str">
            <v>•  None</v>
          </cell>
          <cell r="AM109" t="str">
            <v>•  SAC for APPROVED CONTAINER use
•  SAC for facility inventory control</v>
          </cell>
          <cell r="AN109" t="str">
            <v>•  Radiological Protection Program
•  Emergency Response Program
•  Fire Protection Program
•  Performance Based Training Program
•  Conduct of Operations</v>
          </cell>
        </row>
        <row r="110">
          <cell r="A110" t="str">
            <v>OUT</v>
          </cell>
          <cell r="B110">
            <v>5</v>
          </cell>
          <cell r="C110" t="str">
            <v>Vehicle/equipment impacts waste/waste containers</v>
          </cell>
          <cell r="D110"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10">
            <v>360</v>
          </cell>
          <cell r="F110" t="str">
            <v>E09</v>
          </cell>
          <cell r="G110">
            <v>0.01</v>
          </cell>
          <cell r="H110" t="str">
            <v>Gnd</v>
          </cell>
          <cell r="I110">
            <v>850</v>
          </cell>
          <cell r="J110" t="str">
            <v>A</v>
          </cell>
          <cell r="K110" t="str">
            <v>N</v>
          </cell>
          <cell r="L110" t="str">
            <v>L</v>
          </cell>
          <cell r="M110" t="str">
            <v>N</v>
          </cell>
          <cell r="N110" t="str">
            <v>N</v>
          </cell>
          <cell r="O110" t="str">
            <v>IV</v>
          </cell>
          <cell r="P110" t="str">
            <v>III</v>
          </cell>
          <cell r="Q110" t="str">
            <v>IV</v>
          </cell>
          <cell r="R110" t="str">
            <v>IV</v>
          </cell>
          <cell r="S110" t="str">
            <v>E09</v>
          </cell>
          <cell r="T110">
            <v>0.01</v>
          </cell>
          <cell r="U110" t="str">
            <v>Gnd</v>
          </cell>
          <cell r="V110">
            <v>850</v>
          </cell>
          <cell r="W110" t="str">
            <v>A</v>
          </cell>
          <cell r="X110" t="str">
            <v>N</v>
          </cell>
          <cell r="Y110" t="str">
            <v>L</v>
          </cell>
          <cell r="Z110" t="str">
            <v>N</v>
          </cell>
          <cell r="AA110" t="str">
            <v>N</v>
          </cell>
          <cell r="AB110" t="str">
            <v>IV</v>
          </cell>
          <cell r="AC110" t="str">
            <v>III</v>
          </cell>
          <cell r="AD110" t="str">
            <v>IV</v>
          </cell>
          <cell r="AE110" t="str">
            <v>IV</v>
          </cell>
          <cell r="AF110" t="str">
            <v xml:space="preserve">Containers assumed to be impacted by handling equipment travelling &lt;10 mph.  MAR is activity in maximally loaded 2-drum Interim Storage Container (Ref. WVNS-CAL-397, Table A-2).  </v>
          </cell>
          <cell r="AG110" t="str">
            <v>•  None</v>
          </cell>
          <cell r="AH110" t="str">
            <v>•  Physical barriers such as Jersey barriers or facility structure that protects waste containers from vehicle impacts</v>
          </cell>
          <cell r="AI110" t="str">
            <v>• SAC for TRU waste container physical protection
• SAC for TRU WASTE AREAS</v>
          </cell>
          <cell r="AJ110" t="str">
            <v xml:space="preserve">•  Quality Assurance Program
•  Performance Based Training Program
•  Maintenance Program
•  Conduct of Operations
•  Waste Management Program </v>
          </cell>
          <cell r="AK110" t="str">
            <v>•   TSR-compliant packaging for high activity TRU waste</v>
          </cell>
          <cell r="AL110" t="str">
            <v>•  None</v>
          </cell>
          <cell r="AM110" t="str">
            <v>• SAC for TRU WASTE AREAS</v>
          </cell>
          <cell r="AN110" t="str">
            <v>•  Radiological Protection Program
•  Emergency Response Program
•  Performance Based Training Program
•  Conduct of Operations</v>
          </cell>
        </row>
        <row r="111">
          <cell r="A111" t="str">
            <v>OUT</v>
          </cell>
          <cell r="B111">
            <v>6</v>
          </cell>
          <cell r="C111" t="str">
            <v>Drop/impact/spill</v>
          </cell>
          <cell r="D111" t="str">
            <v>This event is due to mishandling of containers; or to drops/impacts caused by equipment failure; or leaks caused by corrosion, construction defect, or improper closure.</v>
          </cell>
          <cell r="E111">
            <v>360</v>
          </cell>
          <cell r="F111" t="str">
            <v>E10</v>
          </cell>
          <cell r="G111">
            <v>0.1</v>
          </cell>
          <cell r="H111" t="str">
            <v>Gnd</v>
          </cell>
          <cell r="I111">
            <v>850</v>
          </cell>
          <cell r="J111" t="str">
            <v>A</v>
          </cell>
          <cell r="K111" t="str">
            <v>L</v>
          </cell>
          <cell r="L111" t="str">
            <v>L</v>
          </cell>
          <cell r="M111" t="str">
            <v>N</v>
          </cell>
          <cell r="N111" t="str">
            <v>N</v>
          </cell>
          <cell r="O111" t="str">
            <v>III</v>
          </cell>
          <cell r="P111" t="str">
            <v>III</v>
          </cell>
          <cell r="Q111" t="str">
            <v>IV</v>
          </cell>
          <cell r="R111" t="str">
            <v>IV</v>
          </cell>
          <cell r="S111" t="str">
            <v>E10</v>
          </cell>
          <cell r="T111">
            <v>0.1</v>
          </cell>
          <cell r="U111" t="str">
            <v>Gnd</v>
          </cell>
          <cell r="V111">
            <v>850</v>
          </cell>
          <cell r="W111" t="str">
            <v>U</v>
          </cell>
          <cell r="X111" t="str">
            <v>L</v>
          </cell>
          <cell r="Y111" t="str">
            <v>L</v>
          </cell>
          <cell r="Z111" t="str">
            <v>N</v>
          </cell>
          <cell r="AA111" t="str">
            <v>N</v>
          </cell>
          <cell r="AB111" t="str">
            <v>III</v>
          </cell>
          <cell r="AC111" t="str">
            <v>III</v>
          </cell>
          <cell r="AD111" t="str">
            <v>IV</v>
          </cell>
          <cell r="AE111" t="str">
            <v>IV</v>
          </cell>
          <cell r="AF111" t="str">
            <v xml:space="preserve">Event is a low energy breach of container confinement (e.g. tine puncture or container drop).  MAR is activity in maximally loaded 2-drum Interim Storage Container (Ref. WVNS-CAL-397, Table A-2).  </v>
          </cell>
          <cell r="AG111" t="str">
            <v>•  None</v>
          </cell>
          <cell r="AH111" t="str">
            <v>•  None</v>
          </cell>
          <cell r="AI111" t="str">
            <v>•  None</v>
          </cell>
          <cell r="AJ111" t="str">
            <v xml:space="preserve">•  Quality Assurance Program
•  Performance Based Training Program
•  Maintenance Program
•  Conduct of Operations
•  Waste Management Program </v>
          </cell>
          <cell r="AK111" t="str">
            <v>•   TSR-compliant packaging for high activity TRU waste</v>
          </cell>
          <cell r="AL111" t="str">
            <v>•  None</v>
          </cell>
          <cell r="AM111" t="str">
            <v>• SAC for TRU WASTE AREAS</v>
          </cell>
          <cell r="AN111" t="str">
            <v>•  Radiological Protection Program
•  Emergency Response Program
•  Performance Based Training Program
•  Conduct of Operations</v>
          </cell>
        </row>
        <row r="112">
          <cell r="A112" t="str">
            <v>OUT</v>
          </cell>
          <cell r="B112">
            <v>7</v>
          </cell>
          <cell r="C112" t="str">
            <v>Collapse of stacked containers</v>
          </cell>
          <cell r="D112" t="str">
            <v>Collapse of a stacked array of containers due to corrosion, defective construction, or damage of containers, or due to improper stacking (e.g., exceeding limits, unstable array).</v>
          </cell>
          <cell r="E112">
            <v>1050</v>
          </cell>
          <cell r="F112" t="str">
            <v>E11</v>
          </cell>
          <cell r="G112">
            <v>0.1</v>
          </cell>
          <cell r="H112" t="str">
            <v>Gnd</v>
          </cell>
          <cell r="I112">
            <v>850</v>
          </cell>
          <cell r="J112" t="str">
            <v>A</v>
          </cell>
          <cell r="K112" t="str">
            <v>L</v>
          </cell>
          <cell r="L112" t="str">
            <v>L</v>
          </cell>
          <cell r="M112" t="str">
            <v>N</v>
          </cell>
          <cell r="N112" t="str">
            <v>N</v>
          </cell>
          <cell r="O112" t="str">
            <v>III</v>
          </cell>
          <cell r="P112" t="str">
            <v>III</v>
          </cell>
          <cell r="Q112" t="str">
            <v>IV</v>
          </cell>
          <cell r="R112" t="str">
            <v>IV</v>
          </cell>
          <cell r="S112" t="str">
            <v>E11</v>
          </cell>
          <cell r="T112">
            <v>0.1</v>
          </cell>
          <cell r="U112" t="str">
            <v>Gnd</v>
          </cell>
          <cell r="V112">
            <v>850</v>
          </cell>
          <cell r="W112" t="str">
            <v>U</v>
          </cell>
          <cell r="X112" t="str">
            <v>L</v>
          </cell>
          <cell r="Y112" t="str">
            <v>L</v>
          </cell>
          <cell r="Z112" t="str">
            <v>N</v>
          </cell>
          <cell r="AA112" t="str">
            <v>N</v>
          </cell>
          <cell r="AB112" t="str">
            <v>III</v>
          </cell>
          <cell r="AC112" t="str">
            <v>III</v>
          </cell>
          <cell r="AD112" t="str">
            <v>IV</v>
          </cell>
          <cell r="AE112" t="str">
            <v>IV</v>
          </cell>
          <cell r="AF112" t="str">
            <v xml:space="preserve"> MAR assumed to be half of activity in storage (i.e., activity in containers on 3rd and 4th tier of storage array (Ref. WVNS-CAL-397, Appendix A) </v>
          </cell>
          <cell r="AG112" t="str">
            <v>•  None</v>
          </cell>
          <cell r="AH112" t="str">
            <v>•  None</v>
          </cell>
          <cell r="AI112" t="str">
            <v>•  None</v>
          </cell>
          <cell r="AJ112" t="str">
            <v xml:space="preserve">•  Quality Assurance Program
•  Performance Based Training Program
•  Maintenance Program
•  Waste Management Program </v>
          </cell>
          <cell r="AK112" t="str">
            <v>•   APPROVED CONTAINERS used for TRU waste storage
•   TSR-compliant packaging for high activity TRU waste</v>
          </cell>
          <cell r="AL112" t="str">
            <v>•  Steel pallets used for TRU waste storage arrays
•  Banding of drums on pallets</v>
          </cell>
          <cell r="AM112" t="str">
            <v>•  None</v>
          </cell>
          <cell r="AN112" t="str">
            <v>•  Radiological Protection Program
•  Emergency Response Program
•  Performance Based Training Program
•  Conduct of Operations</v>
          </cell>
        </row>
        <row r="113">
          <cell r="A113" t="str">
            <v>OUT</v>
          </cell>
          <cell r="B113">
            <v>8</v>
          </cell>
          <cell r="C113" t="str">
            <v>Waste container over-pressurization</v>
          </cell>
          <cell r="D113" t="str">
            <v>Container failure occurs due to pressure buildup, possibly due to radiolysis of water or other hydrogenous material, thermal expansion of material/gases inside the container, or chemical reactions inside the container.</v>
          </cell>
          <cell r="E113">
            <v>360</v>
          </cell>
          <cell r="F113" t="str">
            <v>E12</v>
          </cell>
          <cell r="G113">
            <v>1</v>
          </cell>
          <cell r="H113" t="str">
            <v>Gnd</v>
          </cell>
          <cell r="I113">
            <v>850</v>
          </cell>
          <cell r="J113" t="str">
            <v>A</v>
          </cell>
          <cell r="K113" t="str">
            <v>M</v>
          </cell>
          <cell r="L113" t="str">
            <v>M</v>
          </cell>
          <cell r="M113" t="str">
            <v>N</v>
          </cell>
          <cell r="N113" t="str">
            <v>N</v>
          </cell>
          <cell r="O113" t="str">
            <v>I</v>
          </cell>
          <cell r="P113" t="str">
            <v>I</v>
          </cell>
          <cell r="Q113" t="str">
            <v>IV</v>
          </cell>
          <cell r="R113" t="str">
            <v>IV</v>
          </cell>
          <cell r="S113" t="str">
            <v>E12</v>
          </cell>
          <cell r="T113">
            <v>0.1</v>
          </cell>
          <cell r="U113" t="str">
            <v>Gnd</v>
          </cell>
          <cell r="V113">
            <v>850</v>
          </cell>
          <cell r="W113" t="str">
            <v>A</v>
          </cell>
          <cell r="X113" t="str">
            <v>L</v>
          </cell>
          <cell r="Y113" t="str">
            <v>L</v>
          </cell>
          <cell r="Z113" t="str">
            <v>N</v>
          </cell>
          <cell r="AA113" t="str">
            <v>N</v>
          </cell>
          <cell r="AB113" t="str">
            <v>III</v>
          </cell>
          <cell r="AC113" t="str">
            <v>III</v>
          </cell>
          <cell r="AD113" t="str">
            <v>IV</v>
          </cell>
          <cell r="AE113" t="str">
            <v>IV</v>
          </cell>
          <cell r="AF113"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13" t="str">
            <v>•  None</v>
          </cell>
          <cell r="AH113" t="str">
            <v>•  HEPA filter vents on waste containers</v>
          </cell>
          <cell r="AI113" t="str">
            <v>•  None</v>
          </cell>
          <cell r="AJ113" t="str">
            <v xml:space="preserve">•  Quality Assurance Program
•  Performance Based Training Program
•  Waste Management Program </v>
          </cell>
          <cell r="AK113" t="str">
            <v>•  None</v>
          </cell>
          <cell r="AL113" t="str">
            <v>•  Lid restraining devices for bulging drums</v>
          </cell>
          <cell r="AM113" t="str">
            <v>• SAC for TRU WASTE AREAS</v>
          </cell>
          <cell r="AN113" t="str">
            <v>•  Radiological Protection Program
•  Emergency Response Program
•  Performance Based Training Program
•  Conduct of Operations</v>
          </cell>
        </row>
        <row r="114">
          <cell r="A114" t="str">
            <v>OUT</v>
          </cell>
          <cell r="B114">
            <v>9</v>
          </cell>
          <cell r="C114" t="str">
            <v>Direct exposure to radiation</v>
          </cell>
          <cell r="D114" t="str">
            <v>Exposure to ionizing radiation from the waste, possibly due to loss of proper shielding within a container or instrument miscalibration</v>
          </cell>
          <cell r="E114" t="str">
            <v>Not applicable.</v>
          </cell>
          <cell r="F114" t="str">
            <v>NA</v>
          </cell>
          <cell r="G114" t="str">
            <v>NA</v>
          </cell>
          <cell r="H114" t="str">
            <v>Gnd</v>
          </cell>
          <cell r="I114">
            <v>850</v>
          </cell>
          <cell r="J114" t="str">
            <v>A</v>
          </cell>
          <cell r="K114" t="str">
            <v>M</v>
          </cell>
          <cell r="L114" t="str">
            <v>N</v>
          </cell>
          <cell r="M114" t="str">
            <v>N</v>
          </cell>
          <cell r="N114" t="str">
            <v>N</v>
          </cell>
          <cell r="O114" t="str">
            <v>I</v>
          </cell>
          <cell r="P114" t="str">
            <v>IV</v>
          </cell>
          <cell r="Q114" t="str">
            <v>IV</v>
          </cell>
          <cell r="R114" t="str">
            <v>IV</v>
          </cell>
          <cell r="S114" t="str">
            <v>NA</v>
          </cell>
          <cell r="T114" t="str">
            <v>NA</v>
          </cell>
          <cell r="U114" t="str">
            <v>Gnd</v>
          </cell>
          <cell r="V114">
            <v>850</v>
          </cell>
          <cell r="W114" t="str">
            <v>U</v>
          </cell>
          <cell r="X114" t="str">
            <v>L</v>
          </cell>
          <cell r="Y114" t="str">
            <v>N</v>
          </cell>
          <cell r="Z114" t="str">
            <v>N</v>
          </cell>
          <cell r="AA114" t="str">
            <v>N</v>
          </cell>
          <cell r="AB114" t="str">
            <v>III</v>
          </cell>
          <cell r="AC114" t="str">
            <v>IV</v>
          </cell>
          <cell r="AD114" t="str">
            <v>IV</v>
          </cell>
          <cell r="AE114" t="str">
            <v>IV</v>
          </cell>
          <cell r="AF114" t="str">
            <v xml:space="preserve">None.  </v>
          </cell>
          <cell r="AG114" t="str">
            <v>•  None</v>
          </cell>
          <cell r="AH114" t="str">
            <v>•  Engineered radiation shielding on high dose rate waste containers</v>
          </cell>
          <cell r="AI114" t="str">
            <v>•  None</v>
          </cell>
          <cell r="AJ114" t="str">
            <v xml:space="preserve">•  Radiological Protection Program
•  Quality Assurance Program
•  Performance Based Training Program
•  Conduct of Operations
•  Waste Management Program </v>
          </cell>
          <cell r="AK114" t="str">
            <v>•  None</v>
          </cell>
          <cell r="AL114" t="str">
            <v>•  None</v>
          </cell>
          <cell r="AM114" t="str">
            <v>•  None</v>
          </cell>
          <cell r="AN114" t="str">
            <v>•  Radiological Protection Program
•  Performance Based Training Program
•  Conduct of Operations</v>
          </cell>
        </row>
        <row r="115">
          <cell r="A115" t="str">
            <v>OUT</v>
          </cell>
          <cell r="B115">
            <v>10</v>
          </cell>
          <cell r="C115" t="str">
            <v>Criticality</v>
          </cell>
          <cell r="D115" t="str">
            <v>Inadvertent criticality occurs due to multiple independent failures and/or highly improbable circumstances</v>
          </cell>
          <cell r="E115" t="str">
            <v>&gt;450 FGE
Pu-239</v>
          </cell>
          <cell r="F115" t="str">
            <v>NA</v>
          </cell>
          <cell r="G115" t="str">
            <v>NA</v>
          </cell>
          <cell r="H115" t="str">
            <v>Gnd</v>
          </cell>
          <cell r="I115">
            <v>850</v>
          </cell>
          <cell r="J115" t="str">
            <v>BEU</v>
          </cell>
          <cell r="K115" t="str">
            <v>H</v>
          </cell>
          <cell r="L115" t="str">
            <v>N</v>
          </cell>
          <cell r="M115" t="str">
            <v>N</v>
          </cell>
          <cell r="N115" t="str">
            <v>N</v>
          </cell>
          <cell r="O115" t="str">
            <v>III</v>
          </cell>
          <cell r="P115" t="str">
            <v>IV</v>
          </cell>
          <cell r="Q115" t="str">
            <v>IV</v>
          </cell>
          <cell r="R115" t="str">
            <v>IV</v>
          </cell>
          <cell r="S115" t="str">
            <v>NA</v>
          </cell>
          <cell r="T115" t="str">
            <v>NA</v>
          </cell>
          <cell r="U115" t="str">
            <v>Gnd</v>
          </cell>
          <cell r="V115">
            <v>850</v>
          </cell>
          <cell r="W115" t="str">
            <v>BEU</v>
          </cell>
          <cell r="X115" t="str">
            <v>H</v>
          </cell>
          <cell r="Y115" t="str">
            <v>N</v>
          </cell>
          <cell r="Z115" t="str">
            <v>N</v>
          </cell>
          <cell r="AA115" t="str">
            <v>N</v>
          </cell>
          <cell r="AB115" t="str">
            <v>III</v>
          </cell>
          <cell r="AC115" t="str">
            <v>IV</v>
          </cell>
          <cell r="AD115" t="str">
            <v>IV</v>
          </cell>
          <cell r="AE115" t="str">
            <v>IV</v>
          </cell>
          <cell r="AF115" t="str">
            <v xml:space="preserve">Nuclear criticality safety administrative controls ensure that only safe quantities of fissile material are placed in waste packages.   </v>
          </cell>
          <cell r="AG115" t="str">
            <v>• PSRs for fissile material storage container specifications</v>
          </cell>
          <cell r="AH115" t="str">
            <v>•  None</v>
          </cell>
          <cell r="AI115" t="str">
            <v>• PSR limits on container fissile mass
• PSR for fissile material storage containers</v>
          </cell>
          <cell r="AJ115" t="str">
            <v xml:space="preserve">•  Radiological Protection Program
•  Nuclear Criticality Safety Program
•  Quality Assurance Program
•  Performance Based Training Program
•  Conduct of Operations
•  Waste Management Program </v>
          </cell>
          <cell r="AK115" t="str">
            <v>•  None</v>
          </cell>
          <cell r="AL115" t="str">
            <v>•  None</v>
          </cell>
          <cell r="AM115" t="str">
            <v>•  None</v>
          </cell>
          <cell r="AN115" t="str">
            <v>•  Radiological Protection Program
•  Nuclear Criticality Safety Program
•  Emergency Response Program
•  Performance Based Training Program
•  Conduct of Operations</v>
          </cell>
        </row>
        <row r="116">
          <cell r="A116" t="str">
            <v>OUT</v>
          </cell>
          <cell r="B116">
            <v>11</v>
          </cell>
          <cell r="C116" t="str">
            <v>Aircraft impact with fire</v>
          </cell>
          <cell r="D116" t="str">
            <v>Small general aviation aircraft or helicopter crashes and a fire ensues</v>
          </cell>
          <cell r="E116">
            <v>2100</v>
          </cell>
          <cell r="F116" t="str">
            <v>E15</v>
          </cell>
          <cell r="G116">
            <v>1</v>
          </cell>
          <cell r="H116" t="str">
            <v>Gnd</v>
          </cell>
          <cell r="I116">
            <v>850</v>
          </cell>
          <cell r="J116" t="str">
            <v>BEU</v>
          </cell>
          <cell r="K116" t="str">
            <v>H</v>
          </cell>
          <cell r="L116" t="str">
            <v>H</v>
          </cell>
          <cell r="M116" t="str">
            <v>N</v>
          </cell>
          <cell r="N116" t="str">
            <v>N</v>
          </cell>
          <cell r="O116" t="str">
            <v>III</v>
          </cell>
          <cell r="P116" t="str">
            <v>III</v>
          </cell>
          <cell r="Q116" t="str">
            <v>IV</v>
          </cell>
          <cell r="R116" t="str">
            <v>IV</v>
          </cell>
          <cell r="S116" t="str">
            <v>E15</v>
          </cell>
          <cell r="T116">
            <v>1</v>
          </cell>
          <cell r="U116" t="str">
            <v>Gnd</v>
          </cell>
          <cell r="V116">
            <v>850</v>
          </cell>
          <cell r="W116" t="str">
            <v>BEU</v>
          </cell>
          <cell r="X116" t="str">
            <v>H</v>
          </cell>
          <cell r="Y116" t="str">
            <v>H</v>
          </cell>
          <cell r="Z116" t="str">
            <v>N</v>
          </cell>
          <cell r="AA116" t="str">
            <v>N</v>
          </cell>
          <cell r="AB116" t="str">
            <v>III</v>
          </cell>
          <cell r="AC116" t="str">
            <v>III</v>
          </cell>
          <cell r="AD116" t="str">
            <v>IV</v>
          </cell>
          <cell r="AE116" t="str">
            <v>IV</v>
          </cell>
          <cell r="AF116" t="str">
            <v xml:space="preserve">Event assumes waste containers breach in a manner similar to external vehicle accident event. Event BEU per WVNS-CAL-388. MAR is entire inventory of radioactive material in WVDP packaged waste (exclusive of HLW) (Ref.WVNS-CAL-397, Table C-1, Lag Storage).  </v>
          </cell>
          <cell r="AG116" t="str">
            <v>•  None</v>
          </cell>
          <cell r="AH116" t="str">
            <v>•  None</v>
          </cell>
          <cell r="AI116" t="str">
            <v>•  None</v>
          </cell>
          <cell r="AJ116" t="str">
            <v>•  None</v>
          </cell>
          <cell r="AK116" t="str">
            <v>•   APPROVED CONTAINERS used for TRU waste storage
•   TSR-compliant packaging for high activity TRU waste</v>
          </cell>
          <cell r="AL116" t="str">
            <v>•  None</v>
          </cell>
          <cell r="AM116" t="str">
            <v>• SAC for APPROVED CONTAINER use
• SAC for TRU WASTE AREAS</v>
          </cell>
          <cell r="AN116" t="str">
            <v>•  Radiological Protection Program
•  Emergency Response Program
•  Fire Protection Program
•  Performance Based Training Program
•  Conduct of Operations</v>
          </cell>
        </row>
        <row r="117">
          <cell r="A117" t="str">
            <v>OUT</v>
          </cell>
          <cell r="B117">
            <v>12</v>
          </cell>
          <cell r="C117" t="str">
            <v>External vehicle accident</v>
          </cell>
          <cell r="D117" t="str">
            <v>Impact of waste on hardstand by vehicle having a speed that can't be reasonably assumed to be &lt;~10 mph</v>
          </cell>
          <cell r="E117">
            <v>2100</v>
          </cell>
          <cell r="F117" t="str">
            <v>E16</v>
          </cell>
          <cell r="G117">
            <v>0.1</v>
          </cell>
          <cell r="H117" t="str">
            <v>Gnd</v>
          </cell>
          <cell r="I117">
            <v>850</v>
          </cell>
          <cell r="J117" t="str">
            <v>A</v>
          </cell>
          <cell r="K117" t="str">
            <v>H</v>
          </cell>
          <cell r="L117" t="str">
            <v>H</v>
          </cell>
          <cell r="M117" t="str">
            <v>N</v>
          </cell>
          <cell r="N117" t="str">
            <v>N</v>
          </cell>
          <cell r="O117" t="str">
            <v>I</v>
          </cell>
          <cell r="P117" t="str">
            <v>I</v>
          </cell>
          <cell r="Q117" t="str">
            <v>IV</v>
          </cell>
          <cell r="R117" t="str">
            <v>IV</v>
          </cell>
          <cell r="S117" t="str">
            <v>E16</v>
          </cell>
          <cell r="T117">
            <v>0.1</v>
          </cell>
          <cell r="U117" t="str">
            <v>Gnd</v>
          </cell>
          <cell r="V117">
            <v>850</v>
          </cell>
          <cell r="W117" t="str">
            <v>BEU</v>
          </cell>
          <cell r="X117" t="str">
            <v>H</v>
          </cell>
          <cell r="Y117" t="str">
            <v>H</v>
          </cell>
          <cell r="Z117" t="str">
            <v>N</v>
          </cell>
          <cell r="AA117" t="str">
            <v>N</v>
          </cell>
          <cell r="AB117" t="str">
            <v>III</v>
          </cell>
          <cell r="AC117" t="str">
            <v>III</v>
          </cell>
          <cell r="AD117" t="str">
            <v>IV</v>
          </cell>
          <cell r="AE117" t="str">
            <v>IV</v>
          </cell>
          <cell r="AF117" t="str">
            <v xml:space="preserve">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 MAR is entire inventory of radioactive material in WVDP packaged waste (exclusive of HLW) (Ref.WVNS-CAL-397, Table C-1, Lag Storage).  </v>
          </cell>
          <cell r="AG117" t="str">
            <v>•  None</v>
          </cell>
          <cell r="AH117" t="str">
            <v>•  Physical barriers such as Jersey barriers to protect from vehicle impacts</v>
          </cell>
          <cell r="AI117" t="str">
            <v>• SAC for TRU waste drum fire protection
• SAC for TRU waste container physical protection</v>
          </cell>
          <cell r="AJ117" t="str">
            <v xml:space="preserve">•  Quality Assurance Program
•  Performance Based Training Program
•  Waste Management Program </v>
          </cell>
          <cell r="AK117" t="str">
            <v>•   TSR-compliant packaging for high activity TRU waste</v>
          </cell>
          <cell r="AL117" t="str">
            <v>•  None</v>
          </cell>
          <cell r="AM117" t="str">
            <v>• SAC for TRU WASTE AREAS</v>
          </cell>
          <cell r="AN117" t="str">
            <v>•  Emergency Response Program
•  Radiological Protection Program</v>
          </cell>
        </row>
        <row r="118">
          <cell r="A118" t="str">
            <v>OUT</v>
          </cell>
          <cell r="B118">
            <v>13</v>
          </cell>
          <cell r="C118" t="str">
            <v>External vehicle accident with fire</v>
          </cell>
          <cell r="D118" t="str">
            <v>Impact of waste on hardstand by vehicle having a speed that can't be reasonably assumed to be &lt;~10 mph accompanied by fire</v>
          </cell>
          <cell r="E118">
            <v>2100</v>
          </cell>
          <cell r="F118" t="str">
            <v>E17</v>
          </cell>
          <cell r="G118">
            <v>1</v>
          </cell>
          <cell r="H118" t="str">
            <v>Gnd</v>
          </cell>
          <cell r="I118">
            <v>850</v>
          </cell>
          <cell r="J118" t="str">
            <v>U</v>
          </cell>
          <cell r="K118" t="str">
            <v>H</v>
          </cell>
          <cell r="L118" t="str">
            <v>H</v>
          </cell>
          <cell r="M118" t="str">
            <v>N</v>
          </cell>
          <cell r="N118" t="str">
            <v>N</v>
          </cell>
          <cell r="O118" t="str">
            <v>I</v>
          </cell>
          <cell r="P118" t="str">
            <v>I</v>
          </cell>
          <cell r="Q118" t="str">
            <v>IV</v>
          </cell>
          <cell r="R118" t="str">
            <v>IV</v>
          </cell>
          <cell r="S118" t="str">
            <v>E17</v>
          </cell>
          <cell r="T118">
            <v>1</v>
          </cell>
          <cell r="U118" t="str">
            <v>Gnd</v>
          </cell>
          <cell r="V118">
            <v>850</v>
          </cell>
          <cell r="W118" t="str">
            <v>BEU</v>
          </cell>
          <cell r="X118" t="str">
            <v>H</v>
          </cell>
          <cell r="Y118" t="str">
            <v>H</v>
          </cell>
          <cell r="Z118" t="str">
            <v>N</v>
          </cell>
          <cell r="AA118" t="str">
            <v>N</v>
          </cell>
          <cell r="AB118" t="str">
            <v>III</v>
          </cell>
          <cell r="AC118" t="str">
            <v>III</v>
          </cell>
          <cell r="AD118" t="str">
            <v>IV</v>
          </cell>
          <cell r="AE118" t="str">
            <v>IV</v>
          </cell>
          <cell r="AF118" t="str">
            <v xml:space="preserve">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 MAR is entire inventory of radioactive material in WVDP packaged waste (exclusive of HLW) (Ref.WVNS-CAL-397, Table C-1, Lag Storage).  </v>
          </cell>
          <cell r="AG118" t="str">
            <v>•  None</v>
          </cell>
          <cell r="AH118" t="str">
            <v>•  Physical barriers such as Jersey barriers to protect from vehicle impacts</v>
          </cell>
          <cell r="AI118" t="str">
            <v>• SAC for TRU waste drum fire protection
• SAC for TRU waste container physical protection</v>
          </cell>
          <cell r="AJ118" t="str">
            <v xml:space="preserve">•  Quality Assurance Program
•  Performance Based Training Program
•  Waste Management Program </v>
          </cell>
          <cell r="AK118" t="str">
            <v>•   APPROVED CONTAINERS used for TRU waste storage
•   TSR-compliant packaging for high activity TRU waste</v>
          </cell>
          <cell r="AL118" t="str">
            <v>•  None</v>
          </cell>
          <cell r="AM118" t="str">
            <v>• SAC for APPROVED CONTAINER use</v>
          </cell>
          <cell r="AN118" t="str">
            <v>•  Radiological Protection Program
•  Emergency Response Program
•  Fire Protection Program
•  Performance Based Training Program
•  Conduct of Operations</v>
          </cell>
        </row>
        <row r="119">
          <cell r="A119" t="str">
            <v>OUT</v>
          </cell>
          <cell r="B119">
            <v>14</v>
          </cell>
          <cell r="C119" t="str">
            <v>External explosion</v>
          </cell>
          <cell r="D119" t="str">
            <v>Explosion involving failure of equipment not directly related to facility operations (e.g. natural gas line rupture) with possible missiles generated</v>
          </cell>
          <cell r="E119">
            <v>360</v>
          </cell>
          <cell r="F119" t="str">
            <v>E18</v>
          </cell>
          <cell r="G119">
            <v>1</v>
          </cell>
          <cell r="H119" t="str">
            <v>Gnd</v>
          </cell>
          <cell r="I119">
            <v>850</v>
          </cell>
          <cell r="J119" t="str">
            <v>U</v>
          </cell>
          <cell r="K119" t="str">
            <v>M</v>
          </cell>
          <cell r="L119" t="str">
            <v>M</v>
          </cell>
          <cell r="M119" t="str">
            <v>N</v>
          </cell>
          <cell r="N119" t="str">
            <v>N</v>
          </cell>
          <cell r="O119" t="str">
            <v>II</v>
          </cell>
          <cell r="P119" t="str">
            <v>II</v>
          </cell>
          <cell r="Q119" t="str">
            <v>IV</v>
          </cell>
          <cell r="R119" t="str">
            <v>IV</v>
          </cell>
          <cell r="S119" t="str">
            <v>E18</v>
          </cell>
          <cell r="T119">
            <v>1</v>
          </cell>
          <cell r="U119" t="str">
            <v>Gnd</v>
          </cell>
          <cell r="V119">
            <v>850</v>
          </cell>
          <cell r="W119" t="str">
            <v>EU</v>
          </cell>
          <cell r="X119" t="str">
            <v>M</v>
          </cell>
          <cell r="Y119" t="str">
            <v>M</v>
          </cell>
          <cell r="Z119" t="str">
            <v>N</v>
          </cell>
          <cell r="AA119" t="str">
            <v>N</v>
          </cell>
          <cell r="AB119" t="str">
            <v>III</v>
          </cell>
          <cell r="AC119" t="str">
            <v>III</v>
          </cell>
          <cell r="AD119" t="str">
            <v>IV</v>
          </cell>
          <cell r="AE119" t="str">
            <v>IV</v>
          </cell>
          <cell r="AF119" t="str">
            <v xml:space="preserve">Event assumed to be due to explosion of passing (onsite) vehicle payload (e.g., bottled gas, flammable liquids, etc.).  MAR is activity in maximally loaded 2-drum Interim Storage Container (Ref. WVNS-CAL-397, Table A-2).  </v>
          </cell>
          <cell r="AG119" t="str">
            <v>•  None</v>
          </cell>
          <cell r="AH119" t="str">
            <v>•  None</v>
          </cell>
          <cell r="AI119" t="str">
            <v>• SAC for TRU waste container physical protection</v>
          </cell>
          <cell r="AJ119" t="str">
            <v>•  Quality Assurance Program
•  Performance Based Training Program
•  Maintenance Program</v>
          </cell>
          <cell r="AK119" t="str">
            <v>•   APPROVED CONTAINERS used for TRU waste storage
•   TSR-compliant packaging for high activity TRU waste</v>
          </cell>
          <cell r="AL119" t="str">
            <v>•  None</v>
          </cell>
          <cell r="AM119" t="str">
            <v>• SAC for APPROVED CONTAINER use</v>
          </cell>
          <cell r="AN119" t="str">
            <v>•  Radiological Protection Program
•  Emergency Response Program
•  Fire Protection Program
•  Performance Based Training Program
•  Conduct of Operations</v>
          </cell>
        </row>
        <row r="120">
          <cell r="A120" t="str">
            <v>OUT</v>
          </cell>
          <cell r="B120">
            <v>15</v>
          </cell>
          <cell r="C120" t="str">
            <v>External fire</v>
          </cell>
          <cell r="D120" t="str">
            <v>A fire begins away from an outdoor waste staging or storage area and propagates to a staging or storage area. The external fire could be from a wildland fire, other facility, or another fire source.</v>
          </cell>
          <cell r="E120">
            <v>2100</v>
          </cell>
          <cell r="F120" t="str">
            <v>E19</v>
          </cell>
          <cell r="G120">
            <v>0.5</v>
          </cell>
          <cell r="H120" t="str">
            <v>Gnd</v>
          </cell>
          <cell r="I120">
            <v>850</v>
          </cell>
          <cell r="J120" t="str">
            <v>U</v>
          </cell>
          <cell r="K120" t="str">
            <v>H</v>
          </cell>
          <cell r="L120" t="str">
            <v>H</v>
          </cell>
          <cell r="M120" t="str">
            <v>N</v>
          </cell>
          <cell r="N120" t="str">
            <v>N</v>
          </cell>
          <cell r="O120" t="str">
            <v>I</v>
          </cell>
          <cell r="P120" t="str">
            <v>I</v>
          </cell>
          <cell r="Q120" t="str">
            <v>IV</v>
          </cell>
          <cell r="R120" t="str">
            <v>IV</v>
          </cell>
          <cell r="S120" t="str">
            <v>E19</v>
          </cell>
          <cell r="T120">
            <v>0.05</v>
          </cell>
          <cell r="U120" t="str">
            <v>Gnd</v>
          </cell>
          <cell r="V120">
            <v>850</v>
          </cell>
          <cell r="W120" t="str">
            <v>EU</v>
          </cell>
          <cell r="X120" t="str">
            <v>M</v>
          </cell>
          <cell r="Y120" t="str">
            <v>M</v>
          </cell>
          <cell r="Z120" t="str">
            <v>N</v>
          </cell>
          <cell r="AA120" t="str">
            <v>N</v>
          </cell>
          <cell r="AB120" t="str">
            <v>III</v>
          </cell>
          <cell r="AC120" t="str">
            <v>III</v>
          </cell>
          <cell r="AD120" t="str">
            <v>IV</v>
          </cell>
          <cell r="AE120" t="str">
            <v>IV</v>
          </cell>
          <cell r="AF120" t="str">
            <v>Use of APPROVED CONTAINERS recognized as mitigating consequences of event. Fire Protection Program recognized as mitigating probability of event.  MAR is entire inventory of radioactive material in WVDP packaged waste (exclusive of HLW) (Ref.WVNS-CAL-397, Table C-1, Lag Storage).  DR assumes that 10% of array is exposed to critical heat flux.</v>
          </cell>
          <cell r="AG120" t="str">
            <v>•  None</v>
          </cell>
          <cell r="AH120" t="str">
            <v>•  None</v>
          </cell>
          <cell r="AI120" t="str">
            <v>• SAC for TRU waste container physical protection</v>
          </cell>
          <cell r="AJ120" t="str">
            <v>•  Fire Protection Program
•  Maintenance Program</v>
          </cell>
          <cell r="AK120" t="str">
            <v>•   APPROVED CONTAINERS used for TRU waste storage
•   TSR-compliant packaging for high activity TRU waste</v>
          </cell>
          <cell r="AL120" t="str">
            <v>•  Non-combustible facility sheathing/ exterior</v>
          </cell>
          <cell r="AM120" t="str">
            <v>• SAC for APPROVED CONTAINER use</v>
          </cell>
          <cell r="AN120" t="str">
            <v>•  Emergency Response Program
•  Fire Protection Program
•  Radiological Protection Program</v>
          </cell>
        </row>
        <row r="121">
          <cell r="A121" t="str">
            <v>OUT</v>
          </cell>
          <cell r="B121">
            <v>16</v>
          </cell>
          <cell r="C121" t="str">
            <v>Lightning</v>
          </cell>
          <cell r="D121" t="str">
            <v>Lightning strikes a storage container</v>
          </cell>
          <cell r="E121">
            <v>360</v>
          </cell>
          <cell r="F121" t="str">
            <v>E20</v>
          </cell>
          <cell r="G121">
            <v>1</v>
          </cell>
          <cell r="H121" t="str">
            <v>Gnd</v>
          </cell>
          <cell r="I121">
            <v>850</v>
          </cell>
          <cell r="J121" t="str">
            <v>U</v>
          </cell>
          <cell r="K121" t="str">
            <v>M</v>
          </cell>
          <cell r="L121" t="str">
            <v>M</v>
          </cell>
          <cell r="M121" t="str">
            <v>N</v>
          </cell>
          <cell r="N121" t="str">
            <v>N</v>
          </cell>
          <cell r="O121" t="str">
            <v>II</v>
          </cell>
          <cell r="P121" t="str">
            <v>II</v>
          </cell>
          <cell r="Q121" t="str">
            <v>IV</v>
          </cell>
          <cell r="R121" t="str">
            <v>IV</v>
          </cell>
          <cell r="S121" t="str">
            <v>E20</v>
          </cell>
          <cell r="T121">
            <v>2.8000000000000001E-2</v>
          </cell>
          <cell r="U121" t="str">
            <v>Gnd</v>
          </cell>
          <cell r="V121">
            <v>850</v>
          </cell>
          <cell r="W121" t="str">
            <v>U</v>
          </cell>
          <cell r="X121" t="str">
            <v>L</v>
          </cell>
          <cell r="Y121" t="str">
            <v>L</v>
          </cell>
          <cell r="Z121" t="str">
            <v>N</v>
          </cell>
          <cell r="AA121" t="str">
            <v>N</v>
          </cell>
          <cell r="AB121" t="str">
            <v>III</v>
          </cell>
          <cell r="AC121" t="str">
            <v>III</v>
          </cell>
          <cell r="AD121" t="str">
            <v>IV</v>
          </cell>
          <cell r="AE121" t="str">
            <v>IV</v>
          </cell>
          <cell r="AF121" t="str">
            <v>Rapid heating of waste container could induce seal/lid failure with ejected waste.  MAR is activity in maximally loaded 2-drum Interim Storage Container (Ref. WVNS-CAL-397, Table A-2).  DR credits SAC that requires TRU waste containing &gt;10 PE-Ci be in containers capable of meeting SAC physical protection functional requirements.</v>
          </cell>
          <cell r="AG121" t="str">
            <v>•  None</v>
          </cell>
          <cell r="AH121" t="str">
            <v>•  None</v>
          </cell>
          <cell r="AI121" t="str">
            <v>•  None</v>
          </cell>
          <cell r="AJ121" t="str">
            <v xml:space="preserve">•  Quality Assurance Program
•  Waste Management Program </v>
          </cell>
          <cell r="AK121" t="str">
            <v>•  None</v>
          </cell>
          <cell r="AL121" t="str">
            <v>•  None</v>
          </cell>
          <cell r="AM121" t="str">
            <v>•  None</v>
          </cell>
          <cell r="AN121" t="str">
            <v>•  Radiological Protection Program
•  Emergency Response Program
•  Fire Protection Program
•  Performance Based Training Program
•  Conduct of Operations</v>
          </cell>
        </row>
        <row r="122">
          <cell r="A122" t="str">
            <v>OUT</v>
          </cell>
          <cell r="B122">
            <v>17</v>
          </cell>
          <cell r="C122" t="str">
            <v>High wind</v>
          </cell>
          <cell r="D122" t="str">
            <v>High winds cause impacts to outdoor waste containers via falling objects or flipping of waste containers. The falling objects may be cranes or parts from a nearby facility structure.</v>
          </cell>
          <cell r="E122">
            <v>2100</v>
          </cell>
          <cell r="F122" t="str">
            <v>E21</v>
          </cell>
          <cell r="G122">
            <v>0.01</v>
          </cell>
          <cell r="H122" t="str">
            <v>Gnd</v>
          </cell>
          <cell r="I122">
            <v>850</v>
          </cell>
          <cell r="J122" t="str">
            <v>A</v>
          </cell>
          <cell r="K122" t="str">
            <v>L</v>
          </cell>
          <cell r="L122" t="str">
            <v>L</v>
          </cell>
          <cell r="M122" t="str">
            <v>N</v>
          </cell>
          <cell r="N122" t="str">
            <v>N</v>
          </cell>
          <cell r="O122" t="str">
            <v>III</v>
          </cell>
          <cell r="P122" t="str">
            <v>III</v>
          </cell>
          <cell r="Q122" t="str">
            <v>IV</v>
          </cell>
          <cell r="R122" t="str">
            <v>IV</v>
          </cell>
          <cell r="S122" t="str">
            <v>E21</v>
          </cell>
          <cell r="T122">
            <v>0.01</v>
          </cell>
          <cell r="U122" t="str">
            <v>Gnd</v>
          </cell>
          <cell r="V122">
            <v>850</v>
          </cell>
          <cell r="W122" t="str">
            <v>U</v>
          </cell>
          <cell r="X122" t="str">
            <v>L</v>
          </cell>
          <cell r="Y122" t="str">
            <v>L</v>
          </cell>
          <cell r="Z122" t="str">
            <v>N</v>
          </cell>
          <cell r="AA122" t="str">
            <v>N</v>
          </cell>
          <cell r="AB122" t="str">
            <v>III</v>
          </cell>
          <cell r="AC122" t="str">
            <v>III</v>
          </cell>
          <cell r="AD122" t="str">
            <v>IV</v>
          </cell>
          <cell r="AE122" t="str">
            <v>IV</v>
          </cell>
          <cell r="AF122" t="str">
            <v xml:space="preserve">Stored waste containers potentially affected by blown objects. High wind conditions would disperse any release material in a manner significantly greater than 95% meteorological condition assumptions.  MAR is entire inventory of radioactive material in WVDP packaged waste (exclusive of HLW) (Ref.WVNS-CAL-397, Table C-1, Lag Storage).  </v>
          </cell>
          <cell r="AG122" t="str">
            <v>•  None</v>
          </cell>
          <cell r="AH122" t="str">
            <v>•  None</v>
          </cell>
          <cell r="AI122" t="str">
            <v>•  None</v>
          </cell>
          <cell r="AJ122" t="str">
            <v xml:space="preserve">•  Quality Assurance Program
•  Performance Based Training Program
•  Waste Management Program </v>
          </cell>
          <cell r="AK122" t="str">
            <v>•   TSR-compliant packaging for high activity TRU waste</v>
          </cell>
          <cell r="AL122" t="str">
            <v>•  None</v>
          </cell>
          <cell r="AM122" t="str">
            <v>•  None</v>
          </cell>
          <cell r="AN122" t="str">
            <v>•  Radiological Protection Program
•  Emergency Response Program
•  Performance Based Training Program
•  Conduct of Operations</v>
          </cell>
        </row>
        <row r="123">
          <cell r="A123" t="str">
            <v>OUT</v>
          </cell>
          <cell r="B123">
            <v>18</v>
          </cell>
          <cell r="C123" t="str">
            <v>Tornado</v>
          </cell>
          <cell r="D123" t="str">
            <v>Direct effects of tornado winds, falling objects, or tornado-produced missiles causing impacts to the facility.</v>
          </cell>
          <cell r="E123">
            <v>2100</v>
          </cell>
          <cell r="F123" t="str">
            <v>E22</v>
          </cell>
          <cell r="G123">
            <v>1</v>
          </cell>
          <cell r="H123" t="str">
            <v>Gnd</v>
          </cell>
          <cell r="I123">
            <v>850</v>
          </cell>
          <cell r="J123" t="str">
            <v>U</v>
          </cell>
          <cell r="K123" t="str">
            <v>H</v>
          </cell>
          <cell r="L123" t="str">
            <v>M</v>
          </cell>
          <cell r="M123" t="str">
            <v>N</v>
          </cell>
          <cell r="N123" t="str">
            <v>N</v>
          </cell>
          <cell r="O123" t="str">
            <v>I</v>
          </cell>
          <cell r="P123" t="str">
            <v>II</v>
          </cell>
          <cell r="Q123" t="str">
            <v>IV</v>
          </cell>
          <cell r="R123" t="str">
            <v>IV</v>
          </cell>
          <cell r="S123" t="str">
            <v>E22</v>
          </cell>
          <cell r="T123">
            <v>0.18</v>
          </cell>
          <cell r="U123" t="str">
            <v>Gnd</v>
          </cell>
          <cell r="V123">
            <v>850</v>
          </cell>
          <cell r="W123" t="str">
            <v>EU</v>
          </cell>
          <cell r="X123" t="str">
            <v>M</v>
          </cell>
          <cell r="Y123" t="str">
            <v>M</v>
          </cell>
          <cell r="Z123" t="str">
            <v>N</v>
          </cell>
          <cell r="AA123" t="str">
            <v>N</v>
          </cell>
          <cell r="AB123" t="str">
            <v>III</v>
          </cell>
          <cell r="AC123" t="str">
            <v>III</v>
          </cell>
          <cell r="AD123" t="str">
            <v>IV</v>
          </cell>
          <cell r="AE123" t="str">
            <v>IV</v>
          </cell>
          <cell r="AF123" t="str">
            <v>High wind conditions would disperse any released material in a manner significantly greater than 95% meteorological condition assumptions.  MAR is entire inventory of radioactive material in WVDP packaged waste (exclusive of HLW) (Ref.WVNS-CAL-397, Table C-1, Lag Storage).  Tornado borne missiles assumed to impact four TRU waste drums: max container and three at 99th percentile.</v>
          </cell>
          <cell r="AG123" t="str">
            <v>•  None</v>
          </cell>
          <cell r="AH123" t="str">
            <v>•  None</v>
          </cell>
          <cell r="AI123" t="str">
            <v>•  None</v>
          </cell>
          <cell r="AJ123" t="str">
            <v>•  None</v>
          </cell>
          <cell r="AK123" t="str">
            <v>•   TSR-compliant packaging for high activity TRU waste</v>
          </cell>
          <cell r="AL123" t="str">
            <v>•  None</v>
          </cell>
          <cell r="AM123" t="str">
            <v>•  None</v>
          </cell>
          <cell r="AN123" t="str">
            <v>•  Radiological Protection Program
•  Emergency Response Program
•  Performance Based Training Program
•  Conduct of Operations</v>
          </cell>
        </row>
        <row r="124">
          <cell r="A124" t="str">
            <v>OUT</v>
          </cell>
          <cell r="B124">
            <v>19</v>
          </cell>
          <cell r="C124" t="str">
            <v>Snow and/or ice buildup</v>
          </cell>
          <cell r="D124" t="str">
            <v>Snow and/or ice buildup causes failure of stored waste container</v>
          </cell>
          <cell r="E124">
            <v>2100</v>
          </cell>
          <cell r="F124" t="str">
            <v>E23</v>
          </cell>
          <cell r="G124">
            <v>1E-3</v>
          </cell>
          <cell r="H124" t="str">
            <v>Gnd</v>
          </cell>
          <cell r="I124">
            <v>850</v>
          </cell>
          <cell r="J124" t="str">
            <v>U</v>
          </cell>
          <cell r="K124" t="str">
            <v>N</v>
          </cell>
          <cell r="L124" t="str">
            <v>L</v>
          </cell>
          <cell r="M124" t="str">
            <v>N</v>
          </cell>
          <cell r="N124" t="str">
            <v>N</v>
          </cell>
          <cell r="O124" t="str">
            <v>IV</v>
          </cell>
          <cell r="P124" t="str">
            <v>III</v>
          </cell>
          <cell r="Q124" t="str">
            <v>IV</v>
          </cell>
          <cell r="R124" t="str">
            <v>IV</v>
          </cell>
          <cell r="S124" t="str">
            <v>E23</v>
          </cell>
          <cell r="T124">
            <v>1E-3</v>
          </cell>
          <cell r="U124" t="str">
            <v>Gnd</v>
          </cell>
          <cell r="V124">
            <v>850</v>
          </cell>
          <cell r="W124" t="str">
            <v>U</v>
          </cell>
          <cell r="X124" t="str">
            <v>N</v>
          </cell>
          <cell r="Y124" t="str">
            <v>L</v>
          </cell>
          <cell r="Z124" t="str">
            <v>N</v>
          </cell>
          <cell r="AA124" t="str">
            <v>N</v>
          </cell>
          <cell r="AB124" t="str">
            <v>IV</v>
          </cell>
          <cell r="AC124" t="str">
            <v>III</v>
          </cell>
          <cell r="AD124" t="str">
            <v>IV</v>
          </cell>
          <cell r="AE124" t="str">
            <v>IV</v>
          </cell>
          <cell r="AF124" t="str">
            <v xml:space="preserve">Construction of waste storage containers more than adequate to support anticipated snow/ice loadings.  MAR is entire inventory of radioactive material in WVDP packaged waste (exclusive of HLW) (Ref.WVNS-CAL-397, Table C-1, Lag Storage).  </v>
          </cell>
          <cell r="AG124" t="str">
            <v>•  None</v>
          </cell>
          <cell r="AH124" t="str">
            <v>•  None</v>
          </cell>
          <cell r="AI124" t="str">
            <v>•  None</v>
          </cell>
          <cell r="AJ124" t="str">
            <v xml:space="preserve">•  Quality Assurance Program
•  Performance Based Training Program
•  Waste Management Program </v>
          </cell>
          <cell r="AK124" t="str">
            <v>•  None</v>
          </cell>
          <cell r="AL124" t="str">
            <v>•  None</v>
          </cell>
          <cell r="AM124" t="str">
            <v>•  None</v>
          </cell>
          <cell r="AN124" t="str">
            <v>•  Radiological Protection Program
•  Performance Based Training Program
•  Conduct of Operations</v>
          </cell>
        </row>
        <row r="125">
          <cell r="A125" t="str">
            <v>OUT</v>
          </cell>
          <cell r="B125">
            <v>20</v>
          </cell>
          <cell r="C125" t="str">
            <v>Seismic event</v>
          </cell>
          <cell r="D125" t="str">
            <v>Seismic event causes toppling of outdoor waste containers.</v>
          </cell>
          <cell r="E125">
            <v>2100</v>
          </cell>
          <cell r="F125" t="str">
            <v>E24</v>
          </cell>
          <cell r="G125">
            <v>0.01</v>
          </cell>
          <cell r="H125" t="str">
            <v>Gnd</v>
          </cell>
          <cell r="I125">
            <v>850</v>
          </cell>
          <cell r="J125" t="str">
            <v>U</v>
          </cell>
          <cell r="K125" t="str">
            <v>L</v>
          </cell>
          <cell r="L125" t="str">
            <v>L</v>
          </cell>
          <cell r="M125" t="str">
            <v>N</v>
          </cell>
          <cell r="N125" t="str">
            <v>N</v>
          </cell>
          <cell r="O125" t="str">
            <v>III</v>
          </cell>
          <cell r="P125" t="str">
            <v>III</v>
          </cell>
          <cell r="Q125" t="str">
            <v>IV</v>
          </cell>
          <cell r="R125" t="str">
            <v>IV</v>
          </cell>
          <cell r="S125" t="str">
            <v>E24</v>
          </cell>
          <cell r="T125">
            <v>0.01</v>
          </cell>
          <cell r="U125" t="str">
            <v>Gnd</v>
          </cell>
          <cell r="V125">
            <v>850</v>
          </cell>
          <cell r="W125" t="str">
            <v>U</v>
          </cell>
          <cell r="X125" t="str">
            <v>L</v>
          </cell>
          <cell r="Y125" t="str">
            <v>L</v>
          </cell>
          <cell r="Z125" t="str">
            <v>N</v>
          </cell>
          <cell r="AA125" t="str">
            <v>N</v>
          </cell>
          <cell r="AB125" t="str">
            <v>III</v>
          </cell>
          <cell r="AC125" t="str">
            <v>III</v>
          </cell>
          <cell r="AD125" t="str">
            <v>IV</v>
          </cell>
          <cell r="AE125" t="str">
            <v>IV</v>
          </cell>
          <cell r="AF125" t="str">
            <v xml:space="preserve"> MAR is entire inventory of radioactive material in WVDP packaged waste (exclusive of HLW) (Ref.WVNS-CAL-397, Table C-1, Lag Storage).  </v>
          </cell>
          <cell r="AG125" t="str">
            <v>•  None</v>
          </cell>
          <cell r="AH125" t="str">
            <v>•  None</v>
          </cell>
          <cell r="AI125" t="str">
            <v>•  None</v>
          </cell>
          <cell r="AJ125" t="str">
            <v>•  None</v>
          </cell>
          <cell r="AK125" t="str">
            <v>•   APPROVED CONTAINERS used for TRU waste storage
•   TSR-compliant packaging for high activity TRU waste</v>
          </cell>
          <cell r="AL125" t="str">
            <v>•  None</v>
          </cell>
          <cell r="AM125" t="str">
            <v>•  None</v>
          </cell>
          <cell r="AN125" t="str">
            <v>•  Radiological Protection Program
•  Emergency Response Program
•  Performance Based Training Program
•  Conduct of Operations</v>
          </cell>
        </row>
        <row r="126">
          <cell r="A126" t="str">
            <v>OUT</v>
          </cell>
          <cell r="B126">
            <v>21</v>
          </cell>
          <cell r="C126" t="str">
            <v>Loss of liquid contamination confinement</v>
          </cell>
          <cell r="D126" t="str">
            <v>Waste container containing residual liquids fails, resulting in loss of liquid contamination to the environment</v>
          </cell>
          <cell r="E126">
            <v>1</v>
          </cell>
          <cell r="F126" t="str">
            <v>FFS</v>
          </cell>
          <cell r="G126">
            <v>0.5</v>
          </cell>
          <cell r="H126" t="str">
            <v>Gnd</v>
          </cell>
          <cell r="I126">
            <v>850</v>
          </cell>
          <cell r="J126" t="str">
            <v>A</v>
          </cell>
          <cell r="K126" t="str">
            <v>N</v>
          </cell>
          <cell r="L126" t="str">
            <v>N</v>
          </cell>
          <cell r="M126" t="str">
            <v>N</v>
          </cell>
          <cell r="N126" t="str">
            <v>N</v>
          </cell>
          <cell r="O126" t="str">
            <v>IV</v>
          </cell>
          <cell r="P126" t="str">
            <v>IV</v>
          </cell>
          <cell r="Q126" t="str">
            <v>IV</v>
          </cell>
          <cell r="R126" t="str">
            <v>IV</v>
          </cell>
          <cell r="S126" t="str">
            <v>FFS</v>
          </cell>
          <cell r="T126">
            <v>0.5</v>
          </cell>
          <cell r="U126" t="str">
            <v>Gnd</v>
          </cell>
          <cell r="V126">
            <v>850</v>
          </cell>
          <cell r="W126" t="str">
            <v>A</v>
          </cell>
          <cell r="X126" t="str">
            <v>N</v>
          </cell>
          <cell r="Y126" t="str">
            <v>N</v>
          </cell>
          <cell r="Z126" t="str">
            <v>N</v>
          </cell>
          <cell r="AA126" t="str">
            <v>N</v>
          </cell>
          <cell r="AB126" t="str">
            <v>IV</v>
          </cell>
          <cell r="AC126" t="str">
            <v>IV</v>
          </cell>
          <cell r="AD126" t="str">
            <v>IV</v>
          </cell>
          <cell r="AE126" t="str">
            <v>IV</v>
          </cell>
          <cell r="AF126" t="str">
            <v xml:space="preserve">None.  </v>
          </cell>
          <cell r="AG126" t="str">
            <v>•  None</v>
          </cell>
          <cell r="AH126" t="str">
            <v>•  Cell liners/sumps and/or area berms</v>
          </cell>
          <cell r="AI126" t="str">
            <v>•  None</v>
          </cell>
          <cell r="AJ126" t="str">
            <v xml:space="preserve">•  Quality Assurance Program
•  Performance Based Training Program
•  Maintenance Program
•  Conduct of Operations
•  Waste Management Program </v>
          </cell>
          <cell r="AK126" t="str">
            <v>•  None</v>
          </cell>
          <cell r="AL126" t="str">
            <v>•  None</v>
          </cell>
          <cell r="AM126" t="str">
            <v>•  None</v>
          </cell>
          <cell r="AN126" t="str">
            <v>•  Radiological Protection Program
•  Performance Based Training Program
•  Conduct of Operations</v>
          </cell>
        </row>
        <row r="127">
          <cell r="A127" t="str">
            <v>OUT</v>
          </cell>
          <cell r="B127">
            <v>22</v>
          </cell>
          <cell r="C127" t="str">
            <v>Flood</v>
          </cell>
          <cell r="D127" t="str">
            <v>A greater than 100-yr  rain event results in sheet flow that floods the storage area. Flooding may be exacerbated by plugged drainage channels or culverts.</v>
          </cell>
          <cell r="E127">
            <v>2100</v>
          </cell>
          <cell r="F127" t="str">
            <v>NA</v>
          </cell>
          <cell r="G127" t="str">
            <v>NA</v>
          </cell>
          <cell r="H127" t="str">
            <v>Gnd</v>
          </cell>
          <cell r="I127">
            <v>850</v>
          </cell>
          <cell r="J127" t="str">
            <v>U</v>
          </cell>
          <cell r="K127" t="str">
            <v>N</v>
          </cell>
          <cell r="L127" t="str">
            <v>N</v>
          </cell>
          <cell r="M127" t="str">
            <v>N</v>
          </cell>
          <cell r="N127" t="str">
            <v>N</v>
          </cell>
          <cell r="O127" t="str">
            <v>IV</v>
          </cell>
          <cell r="P127" t="str">
            <v>IV</v>
          </cell>
          <cell r="Q127" t="str">
            <v>IV</v>
          </cell>
          <cell r="R127" t="str">
            <v>IV</v>
          </cell>
          <cell r="S127" t="str">
            <v>NA</v>
          </cell>
          <cell r="T127" t="str">
            <v>NA</v>
          </cell>
          <cell r="U127" t="str">
            <v>Gnd</v>
          </cell>
          <cell r="V127">
            <v>850</v>
          </cell>
          <cell r="W127" t="str">
            <v>U</v>
          </cell>
          <cell r="X127" t="str">
            <v>N</v>
          </cell>
          <cell r="Y127" t="str">
            <v>N</v>
          </cell>
          <cell r="Z127" t="str">
            <v>N</v>
          </cell>
          <cell r="AA127" t="str">
            <v>N</v>
          </cell>
          <cell r="AB127" t="str">
            <v>IV</v>
          </cell>
          <cell r="AC127" t="str">
            <v>IV</v>
          </cell>
          <cell r="AD127" t="str">
            <v>IV</v>
          </cell>
          <cell r="AE127" t="str">
            <v>IV</v>
          </cell>
          <cell r="AF127" t="str">
            <v xml:space="preserve">Site topography places facility outside area vulnerable to flooding (ref. Figure 1.4-6).  MAR is entire inventory of radioactive material in WVDP packaged waste (exclusive of HLW) (Ref.WVNS-CAL-397, Table C-1, Lag Storage).  </v>
          </cell>
          <cell r="AG127" t="str">
            <v>•  None</v>
          </cell>
          <cell r="AH127" t="str">
            <v>•  Siting of storage array in area away from areas of anticipated flooding</v>
          </cell>
          <cell r="AI127" t="str">
            <v>•  None</v>
          </cell>
          <cell r="AJ127" t="str">
            <v>•  None</v>
          </cell>
          <cell r="AK127" t="str">
            <v>•  None</v>
          </cell>
          <cell r="AL127" t="str">
            <v>•  None</v>
          </cell>
          <cell r="AM127" t="str">
            <v>•  None</v>
          </cell>
          <cell r="AN127" t="str">
            <v>•  Radiological Protection Program
•  Performance Based Training Program
•  Conduct of Operations</v>
          </cell>
        </row>
        <row r="128">
          <cell r="A128" t="str">
            <v>RH</v>
          </cell>
          <cell r="B128">
            <v>1</v>
          </cell>
          <cell r="C128" t="str">
            <v>Localized flammable liquid pool fire</v>
          </cell>
          <cell r="D128"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28">
            <v>1000</v>
          </cell>
          <cell r="F128" t="str">
            <v>E01</v>
          </cell>
          <cell r="G128">
            <v>1</v>
          </cell>
          <cell r="H128" t="str">
            <v>20m</v>
          </cell>
          <cell r="I128">
            <v>850</v>
          </cell>
          <cell r="J128" t="str">
            <v>EU</v>
          </cell>
          <cell r="K128" t="str">
            <v>N</v>
          </cell>
          <cell r="L128" t="str">
            <v>M</v>
          </cell>
          <cell r="M128" t="str">
            <v>N</v>
          </cell>
          <cell r="N128" t="str">
            <v>N</v>
          </cell>
          <cell r="O128" t="str">
            <v>IV</v>
          </cell>
          <cell r="P128" t="str">
            <v>III</v>
          </cell>
          <cell r="Q128" t="str">
            <v>IV</v>
          </cell>
          <cell r="R128" t="str">
            <v>IV</v>
          </cell>
          <cell r="S128" t="str">
            <v>E01</v>
          </cell>
          <cell r="T128">
            <v>0.01</v>
          </cell>
          <cell r="U128" t="str">
            <v>20m</v>
          </cell>
          <cell r="V128">
            <v>850</v>
          </cell>
          <cell r="W128" t="str">
            <v>EU</v>
          </cell>
          <cell r="X128" t="str">
            <v>N</v>
          </cell>
          <cell r="Y128" t="str">
            <v>L</v>
          </cell>
          <cell r="Z128" t="str">
            <v>N</v>
          </cell>
          <cell r="AA128" t="str">
            <v>N</v>
          </cell>
          <cell r="AB128" t="str">
            <v>IV</v>
          </cell>
          <cell r="AC128" t="str">
            <v>IV</v>
          </cell>
          <cell r="AD128" t="str">
            <v>IV</v>
          </cell>
          <cell r="AE128" t="str">
            <v>IV</v>
          </cell>
          <cell r="AF128" t="str">
            <v>Event credible only for ICA areas of RHWF due to lack of accessibility to in-cell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RHWF. MAR is all waste originating from the HECs (Ref. WVNS-CAL-397, Table A-2, HC Gen Area = "HEC" or "PBS") plus ICA inventory limit.  DR reflects TSR to protect arrays of TRU waste containing greater than 10 PE-Ci from spills of flammable/ combustible liquids</v>
          </cell>
          <cell r="AG128" t="str">
            <v>•  None</v>
          </cell>
          <cell r="AH128" t="str">
            <v>•  None</v>
          </cell>
          <cell r="AI128" t="str">
            <v>•  SAC for TRU waste drum fire protection
•  SAC for TRU waste container physical protection</v>
          </cell>
          <cell r="AJ128" t="str">
            <v xml:space="preserve">•  Quality Assurance Program
•  Fire Protection Program
•  Performance Based Training Program
•  Maintenance Program
•  Conduct of Operations
•  Waste Management Program </v>
          </cell>
          <cell r="AK128" t="str">
            <v>•  APPROVED CONTAINERS used for TRU waste storage
•  TSR-compliant packaging for high activity TRU waste</v>
          </cell>
          <cell r="AL128" t="str">
            <v xml:space="preserve">•  Steel-deck pallets that limit direct flame impingement on TRU containers
•  Wet pipe sprinkler system in Receiving Area and Load Out
</v>
          </cell>
          <cell r="AM128" t="str">
            <v>•  SAC for APPROVED CONTAINER use
•  SAC for facility inventory control</v>
          </cell>
          <cell r="AN128" t="str">
            <v>•  Radiological Protection Program
•  Emergency Response Program
•  Fire Protection Program
•  Performance Based Training Program
•  Conduct of Operations</v>
          </cell>
        </row>
        <row r="129">
          <cell r="A129" t="str">
            <v>RH</v>
          </cell>
          <cell r="B129">
            <v>2</v>
          </cell>
          <cell r="C129" t="str">
            <v>Small combustible material fire</v>
          </cell>
          <cell r="D129" t="str">
            <v>Fire occurs in a contaminated facility area. Includes accidents initiated due to pyrophoric reactions or reactions involving incompatible materials.</v>
          </cell>
          <cell r="E129">
            <v>360</v>
          </cell>
          <cell r="F129" t="str">
            <v>E02</v>
          </cell>
          <cell r="G129">
            <v>1</v>
          </cell>
          <cell r="H129" t="str">
            <v>20m</v>
          </cell>
          <cell r="I129">
            <v>850</v>
          </cell>
          <cell r="J129" t="str">
            <v>A</v>
          </cell>
          <cell r="K129" t="str">
            <v>N</v>
          </cell>
          <cell r="L129" t="str">
            <v>M</v>
          </cell>
          <cell r="M129" t="str">
            <v>N</v>
          </cell>
          <cell r="N129" t="str">
            <v>N</v>
          </cell>
          <cell r="O129" t="str">
            <v>IV</v>
          </cell>
          <cell r="P129" t="str">
            <v>I</v>
          </cell>
          <cell r="Q129" t="str">
            <v>IV</v>
          </cell>
          <cell r="R129" t="str">
            <v>IV</v>
          </cell>
          <cell r="S129" t="str">
            <v>CWF</v>
          </cell>
          <cell r="T129">
            <v>1</v>
          </cell>
          <cell r="U129" t="str">
            <v>20m</v>
          </cell>
          <cell r="V129">
            <v>850</v>
          </cell>
          <cell r="W129" t="str">
            <v>U</v>
          </cell>
          <cell r="X129" t="str">
            <v>N</v>
          </cell>
          <cell r="Y129" t="str">
            <v>L</v>
          </cell>
          <cell r="Z129" t="str">
            <v>N</v>
          </cell>
          <cell r="AA129" t="str">
            <v>N</v>
          </cell>
          <cell r="AB129" t="str">
            <v>IV</v>
          </cell>
          <cell r="AC129" t="str">
            <v>III</v>
          </cell>
          <cell r="AD129" t="str">
            <v>IV</v>
          </cell>
          <cell r="AE129" t="str">
            <v>IV</v>
          </cell>
          <cell r="AF129"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129" t="str">
            <v>•  None</v>
          </cell>
          <cell r="AH129" t="str">
            <v>•  None</v>
          </cell>
          <cell r="AI129" t="str">
            <v>•  None</v>
          </cell>
          <cell r="AJ129" t="str">
            <v xml:space="preserve">•  Quality Assurance Program
•  Fire Protection Program
-   “Hot work” controls
-   Combustible material control program
•  Performance Based Training Program
•  Maintenance Program
•  Conduct of Operations
•  Waste Management Program </v>
          </cell>
          <cell r="AK129" t="str">
            <v>•  None</v>
          </cell>
          <cell r="AL129" t="str">
            <v>•  Wet pipe sprinkler system in Receiving Area and Load Out/Truck Bay</v>
          </cell>
          <cell r="AM129" t="str">
            <v>•  SAC for APPROVED CONTAINER use
•  SAC for facility inventory control</v>
          </cell>
          <cell r="AN129" t="str">
            <v>•  Radiological Protection Program
•  Emergency Response Program
•  Fire Protection Program
•  Performance Based Training Program
•  Conduct of Operations</v>
          </cell>
        </row>
        <row r="130">
          <cell r="A130" t="str">
            <v>RH</v>
          </cell>
          <cell r="B130">
            <v>3</v>
          </cell>
          <cell r="C130" t="str">
            <v>Large fire</v>
          </cell>
          <cell r="D130" t="str">
            <v>Large cell fire. Expected to be bounded by combustion of shield window mineral oil following window failure. Fire may initiate due to ignition of combustible or pyrophoric material in cell.</v>
          </cell>
          <cell r="E130">
            <v>1000</v>
          </cell>
          <cell r="F130" t="str">
            <v>E04</v>
          </cell>
          <cell r="G130">
            <v>0.5</v>
          </cell>
          <cell r="H130" t="str">
            <v>20m</v>
          </cell>
          <cell r="I130">
            <v>850</v>
          </cell>
          <cell r="J130" t="str">
            <v>U</v>
          </cell>
          <cell r="K130" t="str">
            <v>N</v>
          </cell>
          <cell r="L130" t="str">
            <v>L</v>
          </cell>
          <cell r="M130" t="str">
            <v>N</v>
          </cell>
          <cell r="N130" t="str">
            <v>N</v>
          </cell>
          <cell r="O130" t="str">
            <v>IV</v>
          </cell>
          <cell r="P130" t="str">
            <v>III</v>
          </cell>
          <cell r="Q130" t="str">
            <v>IV</v>
          </cell>
          <cell r="R130" t="str">
            <v>IV</v>
          </cell>
          <cell r="S130" t="str">
            <v>E04</v>
          </cell>
          <cell r="T130">
            <v>0.5</v>
          </cell>
          <cell r="U130" t="str">
            <v>20m</v>
          </cell>
          <cell r="V130">
            <v>850</v>
          </cell>
          <cell r="W130" t="str">
            <v>EU</v>
          </cell>
          <cell r="X130" t="str">
            <v>N</v>
          </cell>
          <cell r="Y130" t="str">
            <v>L</v>
          </cell>
          <cell r="Z130" t="str">
            <v>N</v>
          </cell>
          <cell r="AA130" t="str">
            <v>N</v>
          </cell>
          <cell r="AB130" t="str">
            <v>IV</v>
          </cell>
          <cell r="AC130" t="str">
            <v>IV</v>
          </cell>
          <cell r="AD130" t="str">
            <v>IV</v>
          </cell>
          <cell r="AE130" t="str">
            <v>IV</v>
          </cell>
          <cell r="AF130" t="str">
            <v xml:space="preserve">Releases are assumed to be through facility stack, even under loss of active ventilation, via stack chimney effect. MAR is all waste originating from the HECs (Ref. WVNS-CAL-397, Table A-2, HC Gen Area = "HEC" or "PBS") plus ICA inventory limit.  </v>
          </cell>
          <cell r="AG130" t="str">
            <v>•  None</v>
          </cell>
          <cell r="AH130" t="str">
            <v>•  None</v>
          </cell>
          <cell r="AI130" t="str">
            <v>•  None</v>
          </cell>
          <cell r="AJ130" t="str">
            <v xml:space="preserve">•  Quality Assurance Program
•  Fire Protection Program
-   “Hot work” controls
-   Combustible material control program
•  Performance Based Training Program
•  Maintenance Program
•  Waste Management Program </v>
          </cell>
          <cell r="AK130" t="str">
            <v>•  None</v>
          </cell>
          <cell r="AL130" t="str">
            <v>•  Fire rated cell walls and shield doors</v>
          </cell>
          <cell r="AM130" t="str">
            <v>•  SAC for APPROVED CONTAINER use
•  SAC for facility inventory control</v>
          </cell>
          <cell r="AN130" t="str">
            <v>•  Radiological Protection Program
•  Emergency Response Program
•  Fire Protection Program
•  Performance Based Training Program
•  Conduct of Operations</v>
          </cell>
        </row>
        <row r="131">
          <cell r="A131" t="str">
            <v>RH</v>
          </cell>
          <cell r="B131">
            <v>4</v>
          </cell>
          <cell r="C131" t="str">
            <v>Localized explosion external to container</v>
          </cell>
          <cell r="D13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31">
            <v>360</v>
          </cell>
          <cell r="F131" t="str">
            <v>E05</v>
          </cell>
          <cell r="G131">
            <v>1</v>
          </cell>
          <cell r="H131" t="str">
            <v>20m</v>
          </cell>
          <cell r="I131">
            <v>850</v>
          </cell>
          <cell r="J131" t="str">
            <v>A</v>
          </cell>
          <cell r="K131" t="str">
            <v>N</v>
          </cell>
          <cell r="L131" t="str">
            <v>L</v>
          </cell>
          <cell r="M131" t="str">
            <v>N</v>
          </cell>
          <cell r="N131" t="str">
            <v>N</v>
          </cell>
          <cell r="O131" t="str">
            <v>IV</v>
          </cell>
          <cell r="P131" t="str">
            <v>III</v>
          </cell>
          <cell r="Q131" t="str">
            <v>IV</v>
          </cell>
          <cell r="R131" t="str">
            <v>IV</v>
          </cell>
          <cell r="S131" t="str">
            <v>E05</v>
          </cell>
          <cell r="T131">
            <v>2.8000000000000001E-2</v>
          </cell>
          <cell r="U131" t="str">
            <v>20m</v>
          </cell>
          <cell r="V131">
            <v>850</v>
          </cell>
          <cell r="W131" t="str">
            <v>U</v>
          </cell>
          <cell r="X131" t="str">
            <v>N</v>
          </cell>
          <cell r="Y131" t="str">
            <v>L</v>
          </cell>
          <cell r="Z131" t="str">
            <v>N</v>
          </cell>
          <cell r="AA131" t="str">
            <v>N</v>
          </cell>
          <cell r="AB131" t="str">
            <v>IV</v>
          </cell>
          <cell r="AC131" t="str">
            <v>III</v>
          </cell>
          <cell r="AD131" t="str">
            <v>IV</v>
          </cell>
          <cell r="AE131" t="str">
            <v>IV</v>
          </cell>
          <cell r="AF131" t="str">
            <v>Event only applicable to ICA areas of MPPB due to lack of accessibility to in-cell areas by equipment that represents a risk for this type of equipment-based explosion. In-facility explosions considered under event "Localized explosion within facility." 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31" t="str">
            <v>•  None</v>
          </cell>
          <cell r="AH131" t="str">
            <v>•  None</v>
          </cell>
          <cell r="AI131" t="str">
            <v>•  None</v>
          </cell>
          <cell r="AJ131" t="str">
            <v xml:space="preserve">•  Quality Assurance Program
•  Fire Protection Program
•  Performance Based Training Program
•  Maintenance Program
•  Waste Management Program </v>
          </cell>
          <cell r="AK131" t="str">
            <v>•   APPROVED CONTAINERS used for TRU waste storage
•   TSR-compliant packaging for high activity TRU waste</v>
          </cell>
          <cell r="AL131" t="str">
            <v>•  None</v>
          </cell>
          <cell r="AM131" t="str">
            <v>•  None</v>
          </cell>
          <cell r="AN131" t="str">
            <v>•  Radiological Protection Program
•  Emergency Response Program
•  Fire Protection Program
•  Performance Based Training Program
•  Conduct of Operations</v>
          </cell>
        </row>
        <row r="132">
          <cell r="A132" t="str">
            <v>RH</v>
          </cell>
          <cell r="B132">
            <v>5</v>
          </cell>
          <cell r="C132" t="str">
            <v>Localized explosion within facility</v>
          </cell>
          <cell r="D132" t="str">
            <v>Localized explosion within facility.</v>
          </cell>
          <cell r="E132">
            <v>360</v>
          </cell>
          <cell r="F132" t="str">
            <v>ES</v>
          </cell>
          <cell r="G132">
            <v>1</v>
          </cell>
          <cell r="H132" t="str">
            <v>20m</v>
          </cell>
          <cell r="I132">
            <v>850</v>
          </cell>
          <cell r="J132" t="str">
            <v>U</v>
          </cell>
          <cell r="K132" t="str">
            <v>N</v>
          </cell>
          <cell r="L132" t="str">
            <v>L</v>
          </cell>
          <cell r="M132" t="str">
            <v>N</v>
          </cell>
          <cell r="N132" t="str">
            <v>N</v>
          </cell>
          <cell r="O132" t="str">
            <v>IV</v>
          </cell>
          <cell r="P132" t="str">
            <v>III</v>
          </cell>
          <cell r="Q132" t="str">
            <v>IV</v>
          </cell>
          <cell r="R132" t="str">
            <v>IV</v>
          </cell>
          <cell r="S132" t="str">
            <v>ES</v>
          </cell>
          <cell r="T132">
            <v>1</v>
          </cell>
          <cell r="U132" t="str">
            <v>20m</v>
          </cell>
          <cell r="V132">
            <v>850</v>
          </cell>
          <cell r="W132" t="str">
            <v>U</v>
          </cell>
          <cell r="X132" t="str">
            <v>N</v>
          </cell>
          <cell r="Y132" t="str">
            <v>L</v>
          </cell>
          <cell r="Z132" t="str">
            <v>N</v>
          </cell>
          <cell r="AA132" t="str">
            <v>N</v>
          </cell>
          <cell r="AB132" t="str">
            <v>IV</v>
          </cell>
          <cell r="AC132" t="str">
            <v>III</v>
          </cell>
          <cell r="AD132" t="str">
            <v>IV</v>
          </cell>
          <cell r="AE132" t="str">
            <v>IV</v>
          </cell>
          <cell r="AF132" t="str">
            <v xml:space="preserve">Event is assumed to be due to ignition of flammable gas associated with D&amp;D activities (e.g., cutting gases, pressurized decontamination gases, etc.).  MAR is activity in maximally loaded 2-drum Interim Storage Container (Ref. WVNS-CAL-397, Table A-2).  </v>
          </cell>
          <cell r="AG132" t="str">
            <v>•  None</v>
          </cell>
          <cell r="AH132" t="str">
            <v>•  None</v>
          </cell>
          <cell r="AI132" t="str">
            <v>•  None</v>
          </cell>
          <cell r="AJ132" t="str">
            <v>•  Quality Assurance Program
•  Fire Protection Program
•  Performance Based Training Program
•  Maintenance Program
•  Conduct of Operations</v>
          </cell>
          <cell r="AK132" t="str">
            <v>•  None</v>
          </cell>
          <cell r="AL132" t="str">
            <v>•  Reinforced concrete shield walls</v>
          </cell>
          <cell r="AM132" t="str">
            <v>•  None</v>
          </cell>
          <cell r="AN132" t="str">
            <v>•  Radiological Protection Program
•  Emergency Response Program
•  Fire Protection Program
•  Performance Based Training Program
•  Conduct of Operations</v>
          </cell>
        </row>
        <row r="133">
          <cell r="A133" t="str">
            <v>RH</v>
          </cell>
          <cell r="B133">
            <v>6</v>
          </cell>
          <cell r="C133" t="str">
            <v>Waste container deflagration</v>
          </cell>
          <cell r="D133" t="str">
            <v>Hydrogen or other flammable/explosive gases inside a container is ignited.</v>
          </cell>
          <cell r="E133">
            <v>360</v>
          </cell>
          <cell r="F133" t="str">
            <v>E06</v>
          </cell>
          <cell r="G133">
            <v>1</v>
          </cell>
          <cell r="H133" t="str">
            <v>20m</v>
          </cell>
          <cell r="I133">
            <v>850</v>
          </cell>
          <cell r="J133" t="str">
            <v>U</v>
          </cell>
          <cell r="K133" t="str">
            <v>N</v>
          </cell>
          <cell r="L133" t="str">
            <v>L</v>
          </cell>
          <cell r="M133" t="str">
            <v>N</v>
          </cell>
          <cell r="N133" t="str">
            <v>N</v>
          </cell>
          <cell r="O133" t="str">
            <v>IV</v>
          </cell>
          <cell r="P133" t="str">
            <v>III</v>
          </cell>
          <cell r="Q133" t="str">
            <v>IV</v>
          </cell>
          <cell r="R133" t="str">
            <v>IV</v>
          </cell>
          <cell r="S133" t="str">
            <v>E06</v>
          </cell>
          <cell r="T133">
            <v>1</v>
          </cell>
          <cell r="U133" t="str">
            <v>20m</v>
          </cell>
          <cell r="V133">
            <v>850</v>
          </cell>
          <cell r="W133" t="str">
            <v>EU</v>
          </cell>
          <cell r="X133" t="str">
            <v>N</v>
          </cell>
          <cell r="Y133" t="str">
            <v>L</v>
          </cell>
          <cell r="Z133" t="str">
            <v>N</v>
          </cell>
          <cell r="AA133" t="str">
            <v>N</v>
          </cell>
          <cell r="AB133" t="str">
            <v>IV</v>
          </cell>
          <cell r="AC133" t="str">
            <v>IV</v>
          </cell>
          <cell r="AD133" t="str">
            <v>IV</v>
          </cell>
          <cell r="AE133" t="str">
            <v>IV</v>
          </cell>
          <cell r="AF133" t="str">
            <v xml:space="preserve">Waste form and waste package vent filters contribute to low probability of this event. Event is assumed to occur within shielded process cell.  MAR is activity in maximally loaded 2-drum Interim Storage Container (Ref. WVNS-CAL-397, Table A-2).  </v>
          </cell>
          <cell r="AG133" t="str">
            <v>•  None</v>
          </cell>
          <cell r="AH133" t="str">
            <v>•  HEPA filter vents on waste containers
•  Non-sparking tools for containers suspected of containing high concentrations of flammable gas</v>
          </cell>
          <cell r="AI133" t="str">
            <v>•  None</v>
          </cell>
          <cell r="AJ133" t="str">
            <v xml:space="preserve">•  Quality Assurance Program
•  Fire Protection Program
•  Performance Based Training Program
•  Maintenance Program
•  Waste Management Program </v>
          </cell>
          <cell r="AK133" t="str">
            <v>•   TSR-compliant packaging for high activity TRU waste</v>
          </cell>
          <cell r="AL133" t="str">
            <v>•  Confinement capability of cell structure
•  Fire rated cell walls and shield doors</v>
          </cell>
          <cell r="AM133" t="str">
            <v>•  None</v>
          </cell>
          <cell r="AN133" t="str">
            <v>•  Radiological Protection Program
•  Emergency Response Program
•  Fire Protection Program
•  Performance Based Training Program
•  Conduct of Operations</v>
          </cell>
        </row>
        <row r="134">
          <cell r="A134" t="str">
            <v>RH</v>
          </cell>
          <cell r="B134">
            <v>7</v>
          </cell>
          <cell r="C134" t="str">
            <v>Vehicle/equipment impacts waste/waste containers</v>
          </cell>
          <cell r="D134"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34">
            <v>360</v>
          </cell>
          <cell r="F134" t="str">
            <v>E09</v>
          </cell>
          <cell r="G134">
            <v>0.01</v>
          </cell>
          <cell r="H134" t="str">
            <v>20m</v>
          </cell>
          <cell r="I134">
            <v>850</v>
          </cell>
          <cell r="J134" t="str">
            <v>A</v>
          </cell>
          <cell r="K134" t="str">
            <v>N</v>
          </cell>
          <cell r="L134" t="str">
            <v>N</v>
          </cell>
          <cell r="M134" t="str">
            <v>N</v>
          </cell>
          <cell r="N134" t="str">
            <v>N</v>
          </cell>
          <cell r="O134" t="str">
            <v>IV</v>
          </cell>
          <cell r="P134" t="str">
            <v>IV</v>
          </cell>
          <cell r="Q134" t="str">
            <v>IV</v>
          </cell>
          <cell r="R134" t="str">
            <v>IV</v>
          </cell>
          <cell r="S134" t="str">
            <v>E09</v>
          </cell>
          <cell r="T134">
            <v>0.01</v>
          </cell>
          <cell r="U134" t="str">
            <v>20m</v>
          </cell>
          <cell r="V134">
            <v>850</v>
          </cell>
          <cell r="W134" t="str">
            <v>A</v>
          </cell>
          <cell r="X134" t="str">
            <v>N</v>
          </cell>
          <cell r="Y134" t="str">
            <v>N</v>
          </cell>
          <cell r="Z134" t="str">
            <v>N</v>
          </cell>
          <cell r="AA134" t="str">
            <v>N</v>
          </cell>
          <cell r="AB134" t="str">
            <v>IV</v>
          </cell>
          <cell r="AC134" t="str">
            <v>IV</v>
          </cell>
          <cell r="AD134" t="str">
            <v>IV</v>
          </cell>
          <cell r="AE134" t="str">
            <v>IV</v>
          </cell>
          <cell r="AF134" t="str">
            <v xml:space="preserve">Wastes in Receiving Area or WPA/LO could potentially be affected by this event. Containers assumed to be impacted by handling equipment travelling &lt;10 mph.  MAR is activity in maximally loaded 2-drum Interim Storage Container (Ref. WVNS-CAL-397, Table A-2).  </v>
          </cell>
          <cell r="AG134" t="str">
            <v>•  None</v>
          </cell>
          <cell r="AH134" t="str">
            <v>•  Physical barriers such as Jersey barriers or facility structure that protects waste containers from vehicle impacts</v>
          </cell>
          <cell r="AI134" t="str">
            <v>•  None</v>
          </cell>
          <cell r="AJ134" t="str">
            <v xml:space="preserve">•  Quality Assurance Program
•  Performance Based Training Program
•  Maintenance Program
•  Conduct of Operations
•  Waste Management Program </v>
          </cell>
          <cell r="AK134" t="str">
            <v>•   TSR-compliant packaging for high activity TRU waste</v>
          </cell>
          <cell r="AL134" t="str">
            <v>•  None</v>
          </cell>
          <cell r="AM134" t="str">
            <v>•  None</v>
          </cell>
          <cell r="AN134" t="str">
            <v>•  Radiological Protection Program
•  Emergency Response Program
•  Performance Based Training Program
•  Conduct of Operations</v>
          </cell>
        </row>
        <row r="135">
          <cell r="A135" t="str">
            <v>RH</v>
          </cell>
          <cell r="B135">
            <v>8</v>
          </cell>
          <cell r="C135" t="str">
            <v>Drop/impact/spill</v>
          </cell>
          <cell r="D135" t="str">
            <v>This event is due to mishandling of containers; or to drops/impacts caused by equipment failure; or leaks caused by corrosion, construction defect, or improper closure.</v>
          </cell>
          <cell r="E135">
            <v>360</v>
          </cell>
          <cell r="F135" t="str">
            <v>E10</v>
          </cell>
          <cell r="G135">
            <v>0.1</v>
          </cell>
          <cell r="H135" t="str">
            <v>20m</v>
          </cell>
          <cell r="I135">
            <v>850</v>
          </cell>
          <cell r="J135" t="str">
            <v>A</v>
          </cell>
          <cell r="K135" t="str">
            <v>N</v>
          </cell>
          <cell r="L135" t="str">
            <v>N</v>
          </cell>
          <cell r="M135" t="str">
            <v>N</v>
          </cell>
          <cell r="N135" t="str">
            <v>N</v>
          </cell>
          <cell r="O135" t="str">
            <v>IV</v>
          </cell>
          <cell r="P135" t="str">
            <v>IV</v>
          </cell>
          <cell r="Q135" t="str">
            <v>IV</v>
          </cell>
          <cell r="R135" t="str">
            <v>IV</v>
          </cell>
          <cell r="S135" t="str">
            <v>E10</v>
          </cell>
          <cell r="T135">
            <v>0.1</v>
          </cell>
          <cell r="U135" t="str">
            <v>20m</v>
          </cell>
          <cell r="V135">
            <v>850</v>
          </cell>
          <cell r="W135" t="str">
            <v>U</v>
          </cell>
          <cell r="X135" t="str">
            <v>N</v>
          </cell>
          <cell r="Y135" t="str">
            <v>N</v>
          </cell>
          <cell r="Z135" t="str">
            <v>N</v>
          </cell>
          <cell r="AA135" t="str">
            <v>N</v>
          </cell>
          <cell r="AB135" t="str">
            <v>IV</v>
          </cell>
          <cell r="AC135" t="str">
            <v>IV</v>
          </cell>
          <cell r="AD135" t="str">
            <v>IV</v>
          </cell>
          <cell r="AE135" t="str">
            <v>IV</v>
          </cell>
          <cell r="AF135" t="str">
            <v xml:space="preserve">Event is a low energy breach of container confinement (e.g. tine puncture or container drop).  MAR is activity in maximally loaded 2-drum Interim Storage Container (Ref. WVNS-CAL-397, Table A-2).  </v>
          </cell>
          <cell r="AG135" t="str">
            <v>•  None</v>
          </cell>
          <cell r="AH135" t="str">
            <v>•  None</v>
          </cell>
          <cell r="AI135" t="str">
            <v>•  None</v>
          </cell>
          <cell r="AJ135" t="str">
            <v xml:space="preserve">•  Quality Assurance Program
•  Performance Based Training Program
•  Maintenance Program
•  Conduct of Operations
•  Waste Management Program </v>
          </cell>
          <cell r="AK135" t="str">
            <v>•   TSR-compliant packaging for high activity TRU waste</v>
          </cell>
          <cell r="AL135" t="str">
            <v>•  Confinement capability of cell structure</v>
          </cell>
          <cell r="AM135" t="str">
            <v>•  None</v>
          </cell>
          <cell r="AN135" t="str">
            <v>•  Radiological Protection Program
•  Emergency Response Program
•  Performance Based Training Program
•  Conduct of Operations</v>
          </cell>
        </row>
        <row r="136">
          <cell r="A136" t="str">
            <v>RH</v>
          </cell>
          <cell r="B136">
            <v>9</v>
          </cell>
          <cell r="C136" t="str">
            <v>Waste container over-pressurization</v>
          </cell>
          <cell r="D136" t="str">
            <v>Container failure occurs due to pressure buildup, possibly due to radiolysis of water or other hydrogenous material, thermal expansion of material/gases inside the container, or chemical reactions inside the container.</v>
          </cell>
          <cell r="E136">
            <v>360</v>
          </cell>
          <cell r="F136" t="str">
            <v>E12</v>
          </cell>
          <cell r="G136">
            <v>1</v>
          </cell>
          <cell r="H136" t="str">
            <v>20m</v>
          </cell>
          <cell r="I136">
            <v>850</v>
          </cell>
          <cell r="J136" t="str">
            <v>A</v>
          </cell>
          <cell r="K136" t="str">
            <v>N</v>
          </cell>
          <cell r="L136" t="str">
            <v>L</v>
          </cell>
          <cell r="M136" t="str">
            <v>N</v>
          </cell>
          <cell r="N136" t="str">
            <v>N</v>
          </cell>
          <cell r="O136" t="str">
            <v>IV</v>
          </cell>
          <cell r="P136" t="str">
            <v>III</v>
          </cell>
          <cell r="Q136" t="str">
            <v>IV</v>
          </cell>
          <cell r="R136" t="str">
            <v>IV</v>
          </cell>
          <cell r="S136" t="str">
            <v>E12</v>
          </cell>
          <cell r="T136">
            <v>1</v>
          </cell>
          <cell r="U136" t="str">
            <v>20m</v>
          </cell>
          <cell r="V136">
            <v>850</v>
          </cell>
          <cell r="W136" t="str">
            <v>A</v>
          </cell>
          <cell r="X136" t="str">
            <v>N</v>
          </cell>
          <cell r="Y136" t="str">
            <v>L</v>
          </cell>
          <cell r="Z136" t="str">
            <v>N</v>
          </cell>
          <cell r="AA136" t="str">
            <v>N</v>
          </cell>
          <cell r="AB136" t="str">
            <v>IV</v>
          </cell>
          <cell r="AC136" t="str">
            <v>III</v>
          </cell>
          <cell r="AD136" t="str">
            <v>IV</v>
          </cell>
          <cell r="AE136" t="str">
            <v>IV</v>
          </cell>
          <cell r="AF136"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136" t="str">
            <v>•  None</v>
          </cell>
          <cell r="AH136" t="str">
            <v>•  HEPA filter vents on waste containers</v>
          </cell>
          <cell r="AI136" t="str">
            <v>•  None</v>
          </cell>
          <cell r="AJ136" t="str">
            <v xml:space="preserve">•  Quality Assurance Program
•  Performance Based Training Program
•  Waste Management Program </v>
          </cell>
          <cell r="AK136" t="str">
            <v>•  None</v>
          </cell>
          <cell r="AL136" t="str">
            <v>•  Lid restraining devices for bulging drums</v>
          </cell>
          <cell r="AM136" t="str">
            <v>•  None</v>
          </cell>
          <cell r="AN136" t="str">
            <v>•  Radiological Protection Program
•  Emergency Response Program
•  Performance Based Training Program
•  Conduct of Operations</v>
          </cell>
        </row>
        <row r="137">
          <cell r="A137" t="str">
            <v>RH</v>
          </cell>
          <cell r="B137">
            <v>10</v>
          </cell>
          <cell r="C137" t="str">
            <v>Direct exposure to radiation</v>
          </cell>
          <cell r="D137" t="str">
            <v>Exposure to ionizing radiation from the waste, possibly due to loss of proper shielding within a container or instrument miscalibration</v>
          </cell>
          <cell r="E137" t="str">
            <v>Not applicable.</v>
          </cell>
          <cell r="F137" t="str">
            <v>NA</v>
          </cell>
          <cell r="G137" t="str">
            <v>NA</v>
          </cell>
          <cell r="H137" t="str">
            <v>20m</v>
          </cell>
          <cell r="I137">
            <v>850</v>
          </cell>
          <cell r="J137" t="str">
            <v>A</v>
          </cell>
          <cell r="K137" t="str">
            <v>M</v>
          </cell>
          <cell r="L137" t="str">
            <v>N</v>
          </cell>
          <cell r="M137" t="str">
            <v>N</v>
          </cell>
          <cell r="N137" t="str">
            <v>N</v>
          </cell>
          <cell r="O137" t="str">
            <v>I</v>
          </cell>
          <cell r="P137" t="str">
            <v>IV</v>
          </cell>
          <cell r="Q137" t="str">
            <v>IV</v>
          </cell>
          <cell r="R137" t="str">
            <v>IV</v>
          </cell>
          <cell r="S137" t="str">
            <v>NA</v>
          </cell>
          <cell r="T137" t="str">
            <v>NA</v>
          </cell>
          <cell r="U137" t="str">
            <v>20m</v>
          </cell>
          <cell r="V137">
            <v>850</v>
          </cell>
          <cell r="W137" t="str">
            <v>U</v>
          </cell>
          <cell r="X137" t="str">
            <v>L</v>
          </cell>
          <cell r="Y137" t="str">
            <v>N</v>
          </cell>
          <cell r="Z137" t="str">
            <v>N</v>
          </cell>
          <cell r="AA137" t="str">
            <v>N</v>
          </cell>
          <cell r="AB137" t="str">
            <v>III</v>
          </cell>
          <cell r="AC137" t="str">
            <v>IV</v>
          </cell>
          <cell r="AD137" t="str">
            <v>IV</v>
          </cell>
          <cell r="AE137" t="str">
            <v>IV</v>
          </cell>
          <cell r="AF137" t="str">
            <v xml:space="preserve">None.  </v>
          </cell>
          <cell r="AG137" t="str">
            <v>•  None</v>
          </cell>
          <cell r="AH137" t="str">
            <v>•  Engineered radiation shielding on high dose rate waste containers</v>
          </cell>
          <cell r="AI137" t="str">
            <v>•  None</v>
          </cell>
          <cell r="AJ137" t="str">
            <v xml:space="preserve">•  Radiological Protection Program
•  Quality Assurance Program
•  Performance Based Training Program
•  Conduct of Operations
•  Waste Management Program </v>
          </cell>
          <cell r="AK137" t="str">
            <v>•  None</v>
          </cell>
          <cell r="AL137" t="str">
            <v>•  None</v>
          </cell>
          <cell r="AM137" t="str">
            <v>•  None</v>
          </cell>
          <cell r="AN137" t="str">
            <v>•  Radiological Protection Program
•  Performance Based Training Program
•  Conduct of Operations</v>
          </cell>
        </row>
        <row r="138">
          <cell r="A138" t="str">
            <v>RH</v>
          </cell>
          <cell r="B138">
            <v>11</v>
          </cell>
          <cell r="C138" t="str">
            <v>Criticality</v>
          </cell>
          <cell r="D138" t="str">
            <v>Inadvertent criticality occurs due to multiple independent failures and/or highly improbable circumstances</v>
          </cell>
          <cell r="E138" t="str">
            <v>&gt;450 FGE
Pu-239</v>
          </cell>
          <cell r="F138" t="str">
            <v>NA</v>
          </cell>
          <cell r="G138" t="str">
            <v>NA</v>
          </cell>
          <cell r="H138" t="str">
            <v>20m</v>
          </cell>
          <cell r="I138">
            <v>850</v>
          </cell>
          <cell r="J138" t="str">
            <v>BEU</v>
          </cell>
          <cell r="K138" t="str">
            <v>H</v>
          </cell>
          <cell r="L138" t="str">
            <v>N</v>
          </cell>
          <cell r="M138" t="str">
            <v>N</v>
          </cell>
          <cell r="N138" t="str">
            <v>N</v>
          </cell>
          <cell r="O138" t="str">
            <v>III</v>
          </cell>
          <cell r="P138" t="str">
            <v>IV</v>
          </cell>
          <cell r="Q138" t="str">
            <v>IV</v>
          </cell>
          <cell r="R138" t="str">
            <v>IV</v>
          </cell>
          <cell r="S138" t="str">
            <v>NA</v>
          </cell>
          <cell r="T138" t="str">
            <v>NA</v>
          </cell>
          <cell r="U138" t="str">
            <v>20m</v>
          </cell>
          <cell r="V138">
            <v>850</v>
          </cell>
          <cell r="W138" t="str">
            <v>BEU</v>
          </cell>
          <cell r="X138" t="str">
            <v>H</v>
          </cell>
          <cell r="Y138" t="str">
            <v>N</v>
          </cell>
          <cell r="Z138" t="str">
            <v>N</v>
          </cell>
          <cell r="AA138" t="str">
            <v>N</v>
          </cell>
          <cell r="AB138" t="str">
            <v>III</v>
          </cell>
          <cell r="AC138" t="str">
            <v>IV</v>
          </cell>
          <cell r="AD138" t="str">
            <v>IV</v>
          </cell>
          <cell r="AE138" t="str">
            <v>IV</v>
          </cell>
          <cell r="AF138" t="str">
            <v xml:space="preserve">Nuclear criticality safety administrative controls ensure criticality safety for all D&amp;D operations and waste packaging activities involving greater than a significant quantity of fissile material.   </v>
          </cell>
          <cell r="AG138" t="str">
            <v>• PSRs for fissile material storage container specifications</v>
          </cell>
          <cell r="AH138" t="str">
            <v>•  None</v>
          </cell>
          <cell r="AI138" t="str">
            <v>• PSR limits on container fissile mass
• PSR for fissile material storage containers</v>
          </cell>
          <cell r="AJ138" t="str">
            <v xml:space="preserve">•  Radiological Protection Program
•  Nuclear Criticality Safety Program
•  Quality Assurance Program
•  Performance Based Training Program
•  Conduct of Operations
•  Waste Management Program </v>
          </cell>
          <cell r="AK138" t="str">
            <v>•  None</v>
          </cell>
          <cell r="AL138" t="str">
            <v>•  None</v>
          </cell>
          <cell r="AM138" t="str">
            <v>•  None</v>
          </cell>
          <cell r="AN138" t="str">
            <v>•  Radiological Protection Program
•  Nuclear Criticality Safety Program
•  Emergency Response Program
•  Performance Based Training Program
•  Conduct of Operations</v>
          </cell>
        </row>
        <row r="139">
          <cell r="A139" t="str">
            <v>RH</v>
          </cell>
          <cell r="B139">
            <v>12</v>
          </cell>
          <cell r="C139" t="str">
            <v>Aircraft impact with fire</v>
          </cell>
          <cell r="D139" t="str">
            <v>Small general aviation aircraft or helicopter crashes and a fire ensues</v>
          </cell>
          <cell r="E139">
            <v>1000</v>
          </cell>
          <cell r="F139" t="str">
            <v>E15</v>
          </cell>
          <cell r="G139">
            <v>1</v>
          </cell>
          <cell r="H139" t="str">
            <v>20m</v>
          </cell>
          <cell r="I139">
            <v>850</v>
          </cell>
          <cell r="J139" t="str">
            <v>BEU</v>
          </cell>
          <cell r="K139" t="str">
            <v>N</v>
          </cell>
          <cell r="L139" t="str">
            <v>M</v>
          </cell>
          <cell r="M139" t="str">
            <v>N</v>
          </cell>
          <cell r="N139" t="str">
            <v>N</v>
          </cell>
          <cell r="O139" t="str">
            <v>IV</v>
          </cell>
          <cell r="P139" t="str">
            <v>IV</v>
          </cell>
          <cell r="Q139" t="str">
            <v>IV</v>
          </cell>
          <cell r="R139" t="str">
            <v>IV</v>
          </cell>
          <cell r="S139" t="str">
            <v>E15</v>
          </cell>
          <cell r="T139">
            <v>1</v>
          </cell>
          <cell r="U139" t="str">
            <v>20m</v>
          </cell>
          <cell r="V139">
            <v>850</v>
          </cell>
          <cell r="W139" t="str">
            <v>BEU</v>
          </cell>
          <cell r="X139" t="str">
            <v>N</v>
          </cell>
          <cell r="Y139" t="str">
            <v>M</v>
          </cell>
          <cell r="Z139" t="str">
            <v>N</v>
          </cell>
          <cell r="AA139" t="str">
            <v>N</v>
          </cell>
          <cell r="AB139" t="str">
            <v>IV</v>
          </cell>
          <cell r="AC139" t="str">
            <v>IV</v>
          </cell>
          <cell r="AD139" t="str">
            <v>IV</v>
          </cell>
          <cell r="AE139" t="str">
            <v>IV</v>
          </cell>
          <cell r="AF139" t="str">
            <v xml:space="preserve">Event not expected to impact radioactive materials within heavily shielded cells. Only activity in ventilation system would be expected to be affected. Event BEU per WVNS-CAL-388. MAR is all waste originating from the HECs (Ref. WVNS-CAL-397, Table A-2, HC Gen Area = "HEC" or "PBS") plus ICA inventory limit.  </v>
          </cell>
          <cell r="AG139" t="str">
            <v>•  None</v>
          </cell>
          <cell r="AH139" t="str">
            <v>•  None</v>
          </cell>
          <cell r="AI139" t="str">
            <v>•  None</v>
          </cell>
          <cell r="AJ139" t="str">
            <v>•  None</v>
          </cell>
          <cell r="AK139" t="str">
            <v>•  None</v>
          </cell>
          <cell r="AL139" t="str">
            <v>•  None</v>
          </cell>
          <cell r="AM139" t="str">
            <v>• SAC for APPROVED CONTAINER use</v>
          </cell>
          <cell r="AN139" t="str">
            <v>•  Radiological Protection Program
•  Emergency Response Program
•  Fire Protection Program
•  Performance Based Training Program
•  Conduct of Operations</v>
          </cell>
        </row>
        <row r="140">
          <cell r="A140" t="str">
            <v>RH</v>
          </cell>
          <cell r="B140">
            <v>13</v>
          </cell>
          <cell r="C140" t="str">
            <v>External explosion</v>
          </cell>
          <cell r="D140" t="str">
            <v>Explosion involving failure of equipment not directly related to facility operations (e.g. natural gas line rupture) with possible missiles generated.</v>
          </cell>
          <cell r="E140">
            <v>360</v>
          </cell>
          <cell r="F140" t="str">
            <v>E18</v>
          </cell>
          <cell r="G140">
            <v>1</v>
          </cell>
          <cell r="H140" t="str">
            <v>20m</v>
          </cell>
          <cell r="I140">
            <v>850</v>
          </cell>
          <cell r="J140" t="str">
            <v>U</v>
          </cell>
          <cell r="K140" t="str">
            <v>N</v>
          </cell>
          <cell r="L140" t="str">
            <v>L</v>
          </cell>
          <cell r="M140" t="str">
            <v>N</v>
          </cell>
          <cell r="N140" t="str">
            <v>N</v>
          </cell>
          <cell r="O140" t="str">
            <v>IV</v>
          </cell>
          <cell r="P140" t="str">
            <v>III</v>
          </cell>
          <cell r="Q140" t="str">
            <v>IV</v>
          </cell>
          <cell r="R140" t="str">
            <v>IV</v>
          </cell>
          <cell r="S140" t="str">
            <v>E18</v>
          </cell>
          <cell r="T140">
            <v>1</v>
          </cell>
          <cell r="U140" t="str">
            <v>20m</v>
          </cell>
          <cell r="V140">
            <v>850</v>
          </cell>
          <cell r="W140" t="str">
            <v>U</v>
          </cell>
          <cell r="X140" t="str">
            <v>N</v>
          </cell>
          <cell r="Y140" t="str">
            <v>L</v>
          </cell>
          <cell r="Z140" t="str">
            <v>N</v>
          </cell>
          <cell r="AA140" t="str">
            <v>N</v>
          </cell>
          <cell r="AB140" t="str">
            <v>IV</v>
          </cell>
          <cell r="AC140" t="str">
            <v>III</v>
          </cell>
          <cell r="AD140" t="str">
            <v>IV</v>
          </cell>
          <cell r="AE140" t="str">
            <v>IV</v>
          </cell>
          <cell r="AF140" t="str">
            <v xml:space="preserve">Explosion assumed to be due to detonation of accumulated flammable gas associated with facility natural gas heaters.  MAR is activity in maximally loaded 2-drum Interim Storage Container (Ref. WVNS-CAL-397, Table A-2).  </v>
          </cell>
          <cell r="AG140" t="str">
            <v>•  None</v>
          </cell>
          <cell r="AH140" t="str">
            <v>•  None</v>
          </cell>
          <cell r="AI140" t="str">
            <v>• SAC for TRU waste container physical protection</v>
          </cell>
          <cell r="AJ140" t="str">
            <v>•  Quality Assurance Program
•  Performance Based Training Program
•  Maintenance Program</v>
          </cell>
          <cell r="AK140" t="str">
            <v>•   APPROVED CONTAINERS used for TRU waste storage
•   TSR-compliant packaging for high activity TRU waste</v>
          </cell>
          <cell r="AL140" t="str">
            <v>•  None</v>
          </cell>
          <cell r="AM140" t="str">
            <v>• SAC for APPROVED CONTAINER use</v>
          </cell>
          <cell r="AN140" t="str">
            <v>•  Radiological Protection Program
•  Emergency Response Program
•  Fire Protection Program
•  Performance Based Training Program
•  Conduct of Operations</v>
          </cell>
        </row>
        <row r="141">
          <cell r="A141" t="str">
            <v>RH</v>
          </cell>
          <cell r="B141">
            <v>14</v>
          </cell>
          <cell r="C141" t="str">
            <v>External fire</v>
          </cell>
          <cell r="D141" t="str">
            <v>A fire begins outside of the RHWF and propagates to an area in the RHWF where waste is present. The external fire could be from a wildland fire, other facility, or another fire source.</v>
          </cell>
          <cell r="E141">
            <v>1000</v>
          </cell>
          <cell r="F141" t="str">
            <v>E19</v>
          </cell>
          <cell r="G141">
            <v>0.5</v>
          </cell>
          <cell r="H141" t="str">
            <v>20m</v>
          </cell>
          <cell r="I141">
            <v>850</v>
          </cell>
          <cell r="J141" t="str">
            <v>U</v>
          </cell>
          <cell r="K141" t="str">
            <v>N</v>
          </cell>
          <cell r="L141" t="str">
            <v>L</v>
          </cell>
          <cell r="M141" t="str">
            <v>N</v>
          </cell>
          <cell r="N141" t="str">
            <v>N</v>
          </cell>
          <cell r="O141" t="str">
            <v>IV</v>
          </cell>
          <cell r="P141" t="str">
            <v>III</v>
          </cell>
          <cell r="Q141" t="str">
            <v>IV</v>
          </cell>
          <cell r="R141" t="str">
            <v>IV</v>
          </cell>
          <cell r="S141" t="str">
            <v>E19</v>
          </cell>
          <cell r="T141">
            <v>0.05</v>
          </cell>
          <cell r="U141" t="str">
            <v>20m</v>
          </cell>
          <cell r="V141">
            <v>850</v>
          </cell>
          <cell r="W141" t="str">
            <v>EU</v>
          </cell>
          <cell r="X141" t="str">
            <v>N</v>
          </cell>
          <cell r="Y141" t="str">
            <v>L</v>
          </cell>
          <cell r="Z141" t="str">
            <v>N</v>
          </cell>
          <cell r="AA141" t="str">
            <v>N</v>
          </cell>
          <cell r="AB141" t="str">
            <v>IV</v>
          </cell>
          <cell r="AC141" t="str">
            <v>IV</v>
          </cell>
          <cell r="AD141" t="str">
            <v>IV</v>
          </cell>
          <cell r="AE141" t="str">
            <v>IV</v>
          </cell>
          <cell r="AF141" t="str">
            <v>Unmitigated frequency very conservative since no exposure fire risks per WVNS-FHA-014. Even under EU wildland fire conditions virtually no waste would be exposed to critical heat flux due to facility construction.  MAR is all waste originating from the HECs (Ref. WVNS-CAL-397, Table A-2, HC Gen Area = "HEC" or "PBS") plus ICA inventory limit.  DR assumes that 10% of array is exposed to critical heat flux.</v>
          </cell>
          <cell r="AG141" t="str">
            <v>•  None</v>
          </cell>
          <cell r="AH141" t="str">
            <v>•  None</v>
          </cell>
          <cell r="AI141" t="str">
            <v>• SAC for TRU waste container physical protection</v>
          </cell>
          <cell r="AJ141" t="str">
            <v>•  Fire Protection Program
•  Maintenance Program</v>
          </cell>
          <cell r="AK141" t="str">
            <v>•   APPROVED CONTAINERS used for TRU waste storage
•   TSR-compliant packaging for high activity TRU waste</v>
          </cell>
          <cell r="AL141" t="str">
            <v>•  Non-combustible facility sheathing/ exterior</v>
          </cell>
          <cell r="AM141" t="str">
            <v>• SAC for APPROVED CONTAINER use</v>
          </cell>
          <cell r="AN141" t="str">
            <v>•  Emergency Response Program
•  Fire Protection Program
•  Radiological Protection Program</v>
          </cell>
        </row>
        <row r="142">
          <cell r="A142" t="str">
            <v>RH</v>
          </cell>
          <cell r="B142">
            <v>15</v>
          </cell>
          <cell r="C142" t="str">
            <v>Tornado</v>
          </cell>
          <cell r="D142" t="str">
            <v>Direct effects of tornado winds, falling objects, or tornado-produced missiles causing impacts to the facility. Event includes loss of contamination confinement resulting from abnormal facility differential pressures (backflow).</v>
          </cell>
          <cell r="E142">
            <v>360</v>
          </cell>
          <cell r="F142" t="str">
            <v>IS</v>
          </cell>
          <cell r="G142">
            <v>1</v>
          </cell>
          <cell r="H142" t="str">
            <v>20m</v>
          </cell>
          <cell r="I142">
            <v>850</v>
          </cell>
          <cell r="J142" t="str">
            <v>U</v>
          </cell>
          <cell r="K142" t="str">
            <v>N</v>
          </cell>
          <cell r="L142" t="str">
            <v>L</v>
          </cell>
          <cell r="M142" t="str">
            <v>N</v>
          </cell>
          <cell r="N142" t="str">
            <v>N</v>
          </cell>
          <cell r="O142" t="str">
            <v>IV</v>
          </cell>
          <cell r="P142" t="str">
            <v>III</v>
          </cell>
          <cell r="Q142" t="str">
            <v>IV</v>
          </cell>
          <cell r="R142" t="str">
            <v>IV</v>
          </cell>
          <cell r="S142" t="str">
            <v>IS</v>
          </cell>
          <cell r="T142">
            <v>1</v>
          </cell>
          <cell r="U142" t="str">
            <v>20m</v>
          </cell>
          <cell r="V142">
            <v>850</v>
          </cell>
          <cell r="W142" t="str">
            <v>U</v>
          </cell>
          <cell r="X142" t="str">
            <v>N</v>
          </cell>
          <cell r="Y142" t="str">
            <v>L</v>
          </cell>
          <cell r="Z142" t="str">
            <v>N</v>
          </cell>
          <cell r="AA142" t="str">
            <v>N</v>
          </cell>
          <cell r="AB142" t="str">
            <v>IV</v>
          </cell>
          <cell r="AC142" t="str">
            <v>III</v>
          </cell>
          <cell r="AD142" t="str">
            <v>IV</v>
          </cell>
          <cell r="AE142" t="str">
            <v>IV</v>
          </cell>
          <cell r="AF142" t="str">
            <v xml:space="preserve">Source term for event expected to be limited to airborne contamination affected by large negative pressure associated with direct strike by a tornado. Facility confinement not expected to be affected by missiles of EBE.  MAR is activity in maximally loaded 2-drum Interim Storage Container (Ref. WVNS-CAL-397, Table A-2).  </v>
          </cell>
          <cell r="AG142" t="str">
            <v>•  None</v>
          </cell>
          <cell r="AH142" t="str">
            <v>•  None</v>
          </cell>
          <cell r="AI142" t="str">
            <v>•  None</v>
          </cell>
          <cell r="AJ142" t="str">
            <v>•  None</v>
          </cell>
          <cell r="AK142" t="str">
            <v>•  None</v>
          </cell>
          <cell r="AL142" t="str">
            <v>•  Facility design capable of maintaining confinement integrity following design basis events</v>
          </cell>
          <cell r="AM142" t="str">
            <v>•  None</v>
          </cell>
          <cell r="AN142" t="str">
            <v>•  Radiological Protection Program
•  Emergency Response Program
•  Performance Based Training Program
•  Conduct of Operations</v>
          </cell>
        </row>
        <row r="143">
          <cell r="A143" t="str">
            <v>RH</v>
          </cell>
          <cell r="B143">
            <v>16</v>
          </cell>
          <cell r="C143" t="str">
            <v>Seismic event</v>
          </cell>
          <cell r="D143" t="str">
            <v>Seismic event causes failure of equipment or structure which impacts facility contamination and/or seismic event disturbs loose surface contamination. Confinement boundaries are expected to remain intact.</v>
          </cell>
          <cell r="E143">
            <v>1000</v>
          </cell>
          <cell r="F143" t="str">
            <v>EQ</v>
          </cell>
          <cell r="G143">
            <v>0.1</v>
          </cell>
          <cell r="H143" t="str">
            <v>20m</v>
          </cell>
          <cell r="I143">
            <v>850</v>
          </cell>
          <cell r="J143" t="str">
            <v>U</v>
          </cell>
          <cell r="K143" t="str">
            <v>N</v>
          </cell>
          <cell r="L143" t="str">
            <v>L</v>
          </cell>
          <cell r="M143" t="str">
            <v>N</v>
          </cell>
          <cell r="N143" t="str">
            <v>N</v>
          </cell>
          <cell r="O143" t="str">
            <v>IV</v>
          </cell>
          <cell r="P143" t="str">
            <v>III</v>
          </cell>
          <cell r="Q143" t="str">
            <v>IV</v>
          </cell>
          <cell r="R143" t="str">
            <v>IV</v>
          </cell>
          <cell r="S143" t="str">
            <v>EQ</v>
          </cell>
          <cell r="T143">
            <v>0.1</v>
          </cell>
          <cell r="U143" t="str">
            <v>20m</v>
          </cell>
          <cell r="V143">
            <v>850</v>
          </cell>
          <cell r="W143" t="str">
            <v>U</v>
          </cell>
          <cell r="X143" t="str">
            <v>N</v>
          </cell>
          <cell r="Y143" t="str">
            <v>L</v>
          </cell>
          <cell r="Z143" t="str">
            <v>N</v>
          </cell>
          <cell r="AA143" t="str">
            <v>N</v>
          </cell>
          <cell r="AB143" t="str">
            <v>IV</v>
          </cell>
          <cell r="AC143" t="str">
            <v>III</v>
          </cell>
          <cell r="AD143" t="str">
            <v>IV</v>
          </cell>
          <cell r="AE143" t="str">
            <v>IV</v>
          </cell>
          <cell r="AF143" t="str">
            <v xml:space="preserve">Facility confinement boundaries expected to remain intact following EBE.  MAR is all waste originating from the HECs (Ref. WVNS-CAL-397, Table A-2, HC Gen Area = "HEC" or "PBS") plus ICA inventory limit.  </v>
          </cell>
          <cell r="AG143" t="str">
            <v>•  None</v>
          </cell>
          <cell r="AH143" t="str">
            <v>•  None</v>
          </cell>
          <cell r="AI143" t="str">
            <v>•  None</v>
          </cell>
          <cell r="AJ143" t="str">
            <v>•  None</v>
          </cell>
          <cell r="AK143" t="str">
            <v>•  None</v>
          </cell>
          <cell r="AL143" t="str">
            <v>•  Facility design capable of maintaining confinement integrity following design basis events</v>
          </cell>
          <cell r="AM143" t="str">
            <v>•  None</v>
          </cell>
          <cell r="AN143" t="str">
            <v>•  Radiological Protection Program
•  Emergency Response Program
•  Performance Based Training Program
•  Conduct of Operations</v>
          </cell>
        </row>
        <row r="144">
          <cell r="A144" t="str">
            <v>RH</v>
          </cell>
          <cell r="B144">
            <v>17</v>
          </cell>
          <cell r="C144" t="str">
            <v>HEPA filter fire</v>
          </cell>
          <cell r="D144" t="str">
            <v>In-cell fire propagates to HEPA filter bank</v>
          </cell>
          <cell r="E144">
            <v>1</v>
          </cell>
          <cell r="F144" t="str">
            <v>HF</v>
          </cell>
          <cell r="G144">
            <v>1</v>
          </cell>
          <cell r="H144" t="str">
            <v>20m</v>
          </cell>
          <cell r="I144">
            <v>850</v>
          </cell>
          <cell r="J144" t="str">
            <v>A</v>
          </cell>
          <cell r="K144" t="str">
            <v>N</v>
          </cell>
          <cell r="L144" t="str">
            <v>N</v>
          </cell>
          <cell r="M144" t="str">
            <v>N</v>
          </cell>
          <cell r="N144" t="str">
            <v>N</v>
          </cell>
          <cell r="O144" t="str">
            <v>IV</v>
          </cell>
          <cell r="P144" t="str">
            <v>IV</v>
          </cell>
          <cell r="Q144" t="str">
            <v>IV</v>
          </cell>
          <cell r="R144" t="str">
            <v>IV</v>
          </cell>
          <cell r="S144" t="str">
            <v>HF</v>
          </cell>
          <cell r="T144">
            <v>1</v>
          </cell>
          <cell r="U144" t="str">
            <v>20m</v>
          </cell>
          <cell r="V144">
            <v>850</v>
          </cell>
          <cell r="W144" t="str">
            <v>U</v>
          </cell>
          <cell r="X144" t="str">
            <v>N</v>
          </cell>
          <cell r="Y144" t="str">
            <v>N</v>
          </cell>
          <cell r="Z144" t="str">
            <v>N</v>
          </cell>
          <cell r="AA144" t="str">
            <v>N</v>
          </cell>
          <cell r="AB144" t="str">
            <v>IV</v>
          </cell>
          <cell r="AC144" t="str">
            <v>IV</v>
          </cell>
          <cell r="AD144" t="str">
            <v>IV</v>
          </cell>
          <cell r="AE144" t="str">
            <v>IV</v>
          </cell>
          <cell r="AF144" t="str">
            <v xml:space="preserve"> 10% of MPPB ventilation system MAR bounding for facility HEPA filters based on system environmental emission data </v>
          </cell>
          <cell r="AG144" t="str">
            <v>•  None</v>
          </cell>
          <cell r="AH144" t="str">
            <v>•  None</v>
          </cell>
          <cell r="AI144" t="str">
            <v>•  None</v>
          </cell>
          <cell r="AJ144" t="str">
            <v>•  Quality Assurance Program
•  Fire Protection Program
•  Performance Based Training Program
•  Maintenance Program
•  Conduct of Operations</v>
          </cell>
          <cell r="AK144" t="str">
            <v>•  None</v>
          </cell>
          <cell r="AL144" t="str">
            <v>•  Redundant ventilation system filter trains and blowers</v>
          </cell>
          <cell r="AM144" t="str">
            <v>•  None</v>
          </cell>
          <cell r="AN144" t="str">
            <v>•  Radiological Protection Program
•  Emergency Response Program
•  Fire Protection Program
•  Performance Based Training Program
•  Conduct of Operations</v>
          </cell>
        </row>
        <row r="145">
          <cell r="A145" t="str">
            <v>RH</v>
          </cell>
          <cell r="B145">
            <v>18</v>
          </cell>
          <cell r="C145" t="str">
            <v>HEPA filter failure</v>
          </cell>
          <cell r="D145" t="str">
            <v>Excess moisture or particulate on filters or area pressure excursion causes high filter differential pressure, resulting in filter failure</v>
          </cell>
          <cell r="E145">
            <v>1</v>
          </cell>
          <cell r="F145" t="str">
            <v>HB</v>
          </cell>
          <cell r="G145">
            <v>1</v>
          </cell>
          <cell r="H145" t="str">
            <v>20m</v>
          </cell>
          <cell r="I145">
            <v>850</v>
          </cell>
          <cell r="J145" t="str">
            <v>A</v>
          </cell>
          <cell r="K145" t="str">
            <v>N</v>
          </cell>
          <cell r="L145" t="str">
            <v>L</v>
          </cell>
          <cell r="M145" t="str">
            <v>N</v>
          </cell>
          <cell r="N145" t="str">
            <v>N</v>
          </cell>
          <cell r="O145" t="str">
            <v>IV</v>
          </cell>
          <cell r="P145" t="str">
            <v>III</v>
          </cell>
          <cell r="Q145" t="str">
            <v>IV</v>
          </cell>
          <cell r="R145" t="str">
            <v>IV</v>
          </cell>
          <cell r="S145" t="str">
            <v>HB</v>
          </cell>
          <cell r="T145">
            <v>1</v>
          </cell>
          <cell r="U145" t="str">
            <v>20m</v>
          </cell>
          <cell r="V145">
            <v>850</v>
          </cell>
          <cell r="W145" t="str">
            <v>U</v>
          </cell>
          <cell r="X145" t="str">
            <v>N</v>
          </cell>
          <cell r="Y145" t="str">
            <v>L</v>
          </cell>
          <cell r="Z145" t="str">
            <v>N</v>
          </cell>
          <cell r="AA145" t="str">
            <v>N</v>
          </cell>
          <cell r="AB145" t="str">
            <v>IV</v>
          </cell>
          <cell r="AC145" t="str">
            <v>III</v>
          </cell>
          <cell r="AD145" t="str">
            <v>IV</v>
          </cell>
          <cell r="AE145" t="str">
            <v>IV</v>
          </cell>
          <cell r="AF145" t="str">
            <v xml:space="preserve"> 10% of MPPB ventilation system MAR bounding for facility HEPA filters based on system environmental emission data </v>
          </cell>
          <cell r="AG145" t="str">
            <v>•  None</v>
          </cell>
          <cell r="AH145" t="str">
            <v>•  Instrumentation and controls to switch trains on high differential pressure
•  Instrumentation and controls to provide backup ventilation blower capability</v>
          </cell>
          <cell r="AI145" t="str">
            <v>•  None</v>
          </cell>
          <cell r="AJ145" t="str">
            <v>•  Quality Assurance Program
•  Fire Protection Program
•  Performance Based Training Program
•  Maintenance Program
•  Conduct of Operations</v>
          </cell>
          <cell r="AK145" t="str">
            <v>•  None</v>
          </cell>
          <cell r="AL145" t="str">
            <v>•  Redundant ventilation system filter trains and blowers</v>
          </cell>
          <cell r="AM145" t="str">
            <v>•  None</v>
          </cell>
          <cell r="AN145" t="str">
            <v>•  Radiological Protection Program
•  Emergency Response Program
•  Performance Based Training Program
•  Conduct of Operations</v>
          </cell>
        </row>
        <row r="146">
          <cell r="A146" t="str">
            <v>RH</v>
          </cell>
          <cell r="B146">
            <v>19</v>
          </cell>
          <cell r="C146" t="str">
            <v>Loss of airborne contamination confinement</v>
          </cell>
          <cell r="D146" t="str">
            <v>Loss of power/redundancy resulting in loss of exhaust blower operability or other upset condition resulting in loss of airborne contamination confinement.</v>
          </cell>
          <cell r="E146">
            <v>1000</v>
          </cell>
          <cell r="F146" t="str">
            <v>AER</v>
          </cell>
          <cell r="G146">
            <v>1</v>
          </cell>
          <cell r="H146" t="str">
            <v>20m</v>
          </cell>
          <cell r="I146">
            <v>850</v>
          </cell>
          <cell r="J146" t="str">
            <v>A</v>
          </cell>
          <cell r="K146" t="str">
            <v>N</v>
          </cell>
          <cell r="L146" t="str">
            <v>L</v>
          </cell>
          <cell r="M146" t="str">
            <v>N</v>
          </cell>
          <cell r="N146" t="str">
            <v>N</v>
          </cell>
          <cell r="O146" t="str">
            <v>IV</v>
          </cell>
          <cell r="P146" t="str">
            <v>III</v>
          </cell>
          <cell r="Q146" t="str">
            <v>IV</v>
          </cell>
          <cell r="R146" t="str">
            <v>IV</v>
          </cell>
          <cell r="S146" t="str">
            <v>AER</v>
          </cell>
          <cell r="T146">
            <v>1</v>
          </cell>
          <cell r="U146" t="str">
            <v>20m</v>
          </cell>
          <cell r="V146">
            <v>850</v>
          </cell>
          <cell r="W146" t="str">
            <v>A</v>
          </cell>
          <cell r="X146" t="str">
            <v>N</v>
          </cell>
          <cell r="Y146" t="str">
            <v>L</v>
          </cell>
          <cell r="Z146" t="str">
            <v>N</v>
          </cell>
          <cell r="AA146" t="str">
            <v>N</v>
          </cell>
          <cell r="AB146" t="str">
            <v>IV</v>
          </cell>
          <cell r="AC146" t="str">
            <v>III</v>
          </cell>
          <cell r="AD146" t="str">
            <v>IV</v>
          </cell>
          <cell r="AE146" t="str">
            <v>IV</v>
          </cell>
          <cell r="AF146" t="str">
            <v xml:space="preserve">Contamination assumed to migrate from confinement boundary penetrations through aerodynamic entrainment and resuspension under static facility conditions. MAR is all waste originating from the HECs (Ref. WVNS-CAL-397, Table A-2, HC Gen Area = "HEC" or "PBS") plus ICA inventory limit.  </v>
          </cell>
          <cell r="AG146" t="str">
            <v>•  None</v>
          </cell>
          <cell r="AH146" t="str">
            <v>•  Facility ventilation exhaust stack which continues to provide nominal facility negative via chimney effect</v>
          </cell>
          <cell r="AI146" t="str">
            <v>•  None</v>
          </cell>
          <cell r="AJ146" t="str">
            <v>•  Quality Assurance Program
•  Fire Protection Program
•  Performance Based Training Program
•  Maintenance Program
•  Conduct of Operations</v>
          </cell>
          <cell r="AK146" t="str">
            <v>•  None</v>
          </cell>
          <cell r="AL146" t="str">
            <v>•  Confinement capability of facility envelope
•  Nominal facility negative maintained on facility even under loss of active ventilation through stack "chimney effect"</v>
          </cell>
          <cell r="AM146" t="str">
            <v>•  None</v>
          </cell>
          <cell r="AN146" t="str">
            <v>•  Radiological Protection Program
•  Performance Based Training Program
•  Conduct of Operations</v>
          </cell>
        </row>
        <row r="147">
          <cell r="A147" t="str">
            <v>RH</v>
          </cell>
          <cell r="B147">
            <v>20</v>
          </cell>
          <cell r="C147" t="str">
            <v>Loss of liquid contamination confinement</v>
          </cell>
          <cell r="D147" t="str">
            <v>Vessel/line failure; sump overflow; roof leak; or other loss of contaminated liquid to an operating area or to the environment</v>
          </cell>
          <cell r="E147">
            <v>1</v>
          </cell>
          <cell r="F147" t="str">
            <v>FFS</v>
          </cell>
          <cell r="G147">
            <v>0.5</v>
          </cell>
          <cell r="H147" t="str">
            <v>20m</v>
          </cell>
          <cell r="I147">
            <v>850</v>
          </cell>
          <cell r="J147" t="str">
            <v>A</v>
          </cell>
          <cell r="K147" t="str">
            <v>N</v>
          </cell>
          <cell r="L147" t="str">
            <v>N</v>
          </cell>
          <cell r="M147" t="str">
            <v>N</v>
          </cell>
          <cell r="N147" t="str">
            <v>N</v>
          </cell>
          <cell r="O147" t="str">
            <v>IV</v>
          </cell>
          <cell r="P147" t="str">
            <v>IV</v>
          </cell>
          <cell r="Q147" t="str">
            <v>IV</v>
          </cell>
          <cell r="R147" t="str">
            <v>IV</v>
          </cell>
          <cell r="S147" t="str">
            <v>FFS</v>
          </cell>
          <cell r="T147">
            <v>0.5</v>
          </cell>
          <cell r="U147" t="str">
            <v>20m</v>
          </cell>
          <cell r="V147">
            <v>850</v>
          </cell>
          <cell r="W147" t="str">
            <v>A</v>
          </cell>
          <cell r="X147" t="str">
            <v>N</v>
          </cell>
          <cell r="Y147" t="str">
            <v>N</v>
          </cell>
          <cell r="Z147" t="str">
            <v>N</v>
          </cell>
          <cell r="AA147" t="str">
            <v>N</v>
          </cell>
          <cell r="AB147" t="str">
            <v>IV</v>
          </cell>
          <cell r="AC147" t="str">
            <v>IV</v>
          </cell>
          <cell r="AD147" t="str">
            <v>IV</v>
          </cell>
          <cell r="AE147" t="str">
            <v>IV</v>
          </cell>
          <cell r="AF147" t="str">
            <v xml:space="preserve">None.  </v>
          </cell>
          <cell r="AG147" t="str">
            <v>•  None</v>
          </cell>
          <cell r="AH147" t="str">
            <v>•  Cell liners/sumps and/or area berms</v>
          </cell>
          <cell r="AI147" t="str">
            <v>•  None</v>
          </cell>
          <cell r="AJ147" t="str">
            <v xml:space="preserve">•  Quality Assurance Program
•  Performance Based Training Program
•  Maintenance Program
•  Conduct of Operations
•  Waste Management Program </v>
          </cell>
          <cell r="AK147" t="str">
            <v>•  None</v>
          </cell>
          <cell r="AL147" t="str">
            <v>•  Cell sumps/liners</v>
          </cell>
          <cell r="AM147" t="str">
            <v>•  None</v>
          </cell>
          <cell r="AN147" t="str">
            <v>•  Radiological Protection Program
•  Performance Based Training Program
•  Conduct of Operations</v>
          </cell>
        </row>
        <row r="148">
          <cell r="A148" t="str">
            <v>RH</v>
          </cell>
          <cell r="B148">
            <v>21</v>
          </cell>
          <cell r="C148" t="str">
            <v>Flood</v>
          </cell>
          <cell r="D148" t="str">
            <v>A greater than 100-yr  rain event results in sheet flow that floods the storage area. Flooding may be exacerbated by plugged drainage channels or culverts.</v>
          </cell>
          <cell r="E148">
            <v>1000</v>
          </cell>
          <cell r="F148" t="str">
            <v>NA</v>
          </cell>
          <cell r="G148" t="str">
            <v>NA</v>
          </cell>
          <cell r="H148" t="str">
            <v>20m</v>
          </cell>
          <cell r="I148">
            <v>850</v>
          </cell>
          <cell r="J148" t="str">
            <v>U</v>
          </cell>
          <cell r="K148" t="str">
            <v>N</v>
          </cell>
          <cell r="L148" t="str">
            <v>N</v>
          </cell>
          <cell r="M148" t="str">
            <v>N</v>
          </cell>
          <cell r="N148" t="str">
            <v>N</v>
          </cell>
          <cell r="O148" t="str">
            <v>IV</v>
          </cell>
          <cell r="P148" t="str">
            <v>IV</v>
          </cell>
          <cell r="Q148" t="str">
            <v>IV</v>
          </cell>
          <cell r="R148" t="str">
            <v>IV</v>
          </cell>
          <cell r="S148" t="str">
            <v>NA</v>
          </cell>
          <cell r="T148" t="str">
            <v>NA</v>
          </cell>
          <cell r="U148" t="str">
            <v>20m</v>
          </cell>
          <cell r="V148">
            <v>850</v>
          </cell>
          <cell r="W148" t="str">
            <v>U</v>
          </cell>
          <cell r="X148" t="str">
            <v>N</v>
          </cell>
          <cell r="Y148" t="str">
            <v>N</v>
          </cell>
          <cell r="Z148" t="str">
            <v>N</v>
          </cell>
          <cell r="AA148" t="str">
            <v>N</v>
          </cell>
          <cell r="AB148" t="str">
            <v>IV</v>
          </cell>
          <cell r="AC148" t="str">
            <v>IV</v>
          </cell>
          <cell r="AD148" t="str">
            <v>IV</v>
          </cell>
          <cell r="AE148" t="str">
            <v>IV</v>
          </cell>
          <cell r="AF148" t="str">
            <v xml:space="preserve">Site topography places facility outside area vulnerable to flooding (ref. Figure 1.4-6).  MAR is all waste originating from the HECs (Ref. WVNS-CAL-397, Table A-2, HC Gen Area = "HEC" or "PBS") plus ICA inventory limit.  </v>
          </cell>
          <cell r="AG148" t="str">
            <v>•  None</v>
          </cell>
          <cell r="AH148" t="str">
            <v>•  Siting of storage array in area away from areas of anticipated flooding</v>
          </cell>
          <cell r="AI148" t="str">
            <v>•  None</v>
          </cell>
          <cell r="AJ148" t="str">
            <v>•  None</v>
          </cell>
          <cell r="AK148" t="str">
            <v>•  None</v>
          </cell>
          <cell r="AL148" t="str">
            <v>•  None</v>
          </cell>
          <cell r="AM148" t="str">
            <v>•  None</v>
          </cell>
          <cell r="AN148" t="str">
            <v>•  Radiological Protection Program
•  Performance Based Training Program
•  Conduct of Operations</v>
          </cell>
        </row>
        <row r="149">
          <cell r="A149" t="str">
            <v>TRN</v>
          </cell>
          <cell r="B149">
            <v>1</v>
          </cell>
          <cell r="C149" t="str">
            <v>Localized flammable liquid pool fire</v>
          </cell>
          <cell r="D149" t="str">
            <v>Fire or waste container(s) breach with fire ensuing while in transport, resulting in an uncontrolled release of hazardous material. Causes of breach include vehicle accident, container(s) improperly secured to vehicle, and lids(s) not secured adequately. Includes transport with trucks and powered industrial trucks.</v>
          </cell>
          <cell r="E149">
            <v>360</v>
          </cell>
          <cell r="F149" t="str">
            <v>E01</v>
          </cell>
          <cell r="G149">
            <v>1</v>
          </cell>
          <cell r="H149" t="str">
            <v>Gnd</v>
          </cell>
          <cell r="I149">
            <v>850</v>
          </cell>
          <cell r="J149" t="str">
            <v>EU</v>
          </cell>
          <cell r="K149" t="str">
            <v>H</v>
          </cell>
          <cell r="L149" t="str">
            <v>H</v>
          </cell>
          <cell r="M149" t="str">
            <v>N</v>
          </cell>
          <cell r="N149" t="str">
            <v>N</v>
          </cell>
          <cell r="O149" t="str">
            <v>II</v>
          </cell>
          <cell r="P149" t="str">
            <v>II</v>
          </cell>
          <cell r="Q149" t="str">
            <v>IV</v>
          </cell>
          <cell r="R149" t="str">
            <v>IV</v>
          </cell>
          <cell r="S149" t="str">
            <v>E01</v>
          </cell>
          <cell r="T149">
            <v>2.8000000000000001E-2</v>
          </cell>
          <cell r="U149" t="str">
            <v>Gnd</v>
          </cell>
          <cell r="V149">
            <v>850</v>
          </cell>
          <cell r="W149" t="str">
            <v>EU</v>
          </cell>
          <cell r="X149" t="str">
            <v>L</v>
          </cell>
          <cell r="Y149" t="str">
            <v>L</v>
          </cell>
          <cell r="Z149" t="str">
            <v>N</v>
          </cell>
          <cell r="AA149" t="str">
            <v>N</v>
          </cell>
          <cell r="AB149" t="str">
            <v>IV</v>
          </cell>
          <cell r="AC149" t="str">
            <v>IV</v>
          </cell>
          <cell r="AD149" t="str">
            <v>IV</v>
          </cell>
          <cell r="AE149" t="str">
            <v>IV</v>
          </cell>
          <cell r="AF149" t="str">
            <v>SAC for transportation of high activity waste recognized as for providing protection under accident conditions.  MAR is activity in maximally loaded 2-drum Interim Storage Container (Ref. WVNS-CAL-397, Table A-2).  DR reflects TSR to protect TRU waste containing greater than 10 PE-Ci from spills of flammable/ combustible liquids</v>
          </cell>
          <cell r="AG149" t="str">
            <v>•  None</v>
          </cell>
          <cell r="AH149" t="str">
            <v>•  None</v>
          </cell>
          <cell r="AI149" t="str">
            <v>• SAC for TRU waste transportation</v>
          </cell>
          <cell r="AJ149" t="str">
            <v xml:space="preserve">•  Quality Assurance Program
•  Fire Protection Program
•  Performance Based Training Program
•  Maintenance Program
•  Conduct of Operations
•  Waste Management Program </v>
          </cell>
          <cell r="AK149" t="str">
            <v>•  APPROVED CONTAINERS used for TRU waste storage
•  TSR-compliant packaging for high activity TRU waste</v>
          </cell>
          <cell r="AL149" t="str">
            <v>•  Steel-deck pallets that limit direct flame impingement on TRU containers</v>
          </cell>
          <cell r="AM149" t="str">
            <v>•  SAC for APPROVED CONTAINER use
•  SAC for facility inventory control</v>
          </cell>
          <cell r="AN149" t="str">
            <v>•  Radiological Protection Program
•  Emergency Response Program
•  Fire Protection Program
•  Performance Based Training Program
•  Conduct of Operations</v>
          </cell>
        </row>
        <row r="150">
          <cell r="A150" t="str">
            <v>TRN</v>
          </cell>
          <cell r="B150">
            <v>2</v>
          </cell>
          <cell r="C150" t="str">
            <v>Small combustible material fire</v>
          </cell>
          <cell r="D150" t="str">
            <v>Fire impacts TRU waste during transport, possibly due to impact. Includes accidents initiated due to pyrophoric reactions or reactions involving incompatible wastes.</v>
          </cell>
          <cell r="E150">
            <v>360</v>
          </cell>
          <cell r="F150" t="str">
            <v>E02</v>
          </cell>
          <cell r="G150">
            <v>1</v>
          </cell>
          <cell r="H150" t="str">
            <v>Gnd</v>
          </cell>
          <cell r="I150">
            <v>850</v>
          </cell>
          <cell r="J150" t="str">
            <v>U</v>
          </cell>
          <cell r="K150" t="str">
            <v>H</v>
          </cell>
          <cell r="L150" t="str">
            <v>H</v>
          </cell>
          <cell r="M150" t="str">
            <v>N</v>
          </cell>
          <cell r="N150" t="str">
            <v>N</v>
          </cell>
          <cell r="O150" t="str">
            <v>I</v>
          </cell>
          <cell r="P150" t="str">
            <v>I</v>
          </cell>
          <cell r="Q150" t="str">
            <v>IV</v>
          </cell>
          <cell r="R150" t="str">
            <v>IV</v>
          </cell>
          <cell r="S150" t="str">
            <v>E02</v>
          </cell>
          <cell r="T150">
            <v>2.8E-3</v>
          </cell>
          <cell r="U150" t="str">
            <v>Gnd</v>
          </cell>
          <cell r="V150">
            <v>850</v>
          </cell>
          <cell r="W150" t="str">
            <v>U</v>
          </cell>
          <cell r="X150" t="str">
            <v>L</v>
          </cell>
          <cell r="Y150" t="str">
            <v>L</v>
          </cell>
          <cell r="Z150" t="str">
            <v>N</v>
          </cell>
          <cell r="AA150" t="str">
            <v>N</v>
          </cell>
          <cell r="AB150" t="str">
            <v>III</v>
          </cell>
          <cell r="AC150" t="str">
            <v>III</v>
          </cell>
          <cell r="AD150" t="str">
            <v>IV</v>
          </cell>
          <cell r="AE150" t="str">
            <v>IV</v>
          </cell>
          <cell r="AF150" t="str">
            <v xml:space="preserve"> MAR is activity in maximally loaded 2-drum Interim Storage Container (Ref. WVNS-CAL-397, Table A-2).  DR reflects TSR that limits the amount of TRU waste that may be outside of an APPROVED CONTAINER to 1.0 PE-Ci.</v>
          </cell>
          <cell r="AG150" t="str">
            <v>•  None</v>
          </cell>
          <cell r="AH150" t="str">
            <v>•  None</v>
          </cell>
          <cell r="AI150" t="str">
            <v>•  None</v>
          </cell>
          <cell r="AJ150" t="str">
            <v xml:space="preserve">•  Quality Assurance Program
•  Performance Based Training Program
•  Waste Management Program </v>
          </cell>
          <cell r="AK150" t="str">
            <v>•  APPROVED CONTAINERS used for TRU waste storage
•  TSR-compliant packaging for high activity TRU waste</v>
          </cell>
          <cell r="AL150" t="str">
            <v>•  None</v>
          </cell>
          <cell r="AM150" t="str">
            <v>•  SAC for APPROVED CONTAINER use
•  SAC for facility inventory control</v>
          </cell>
          <cell r="AN150" t="str">
            <v>•  Radiological Protection Program
•  Emergency Response Program
•  Fire Protection Program
•  Performance Based Training Program
•  Conduct of Operations</v>
          </cell>
        </row>
        <row r="151">
          <cell r="A151" t="str">
            <v>TRN</v>
          </cell>
          <cell r="B151">
            <v>3</v>
          </cell>
          <cell r="C151" t="str">
            <v>Localized explosion external to container</v>
          </cell>
          <cell r="D15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51">
            <v>360</v>
          </cell>
          <cell r="F151" t="str">
            <v>E05</v>
          </cell>
          <cell r="G151">
            <v>1</v>
          </cell>
          <cell r="H151" t="str">
            <v>Gnd</v>
          </cell>
          <cell r="I151">
            <v>850</v>
          </cell>
          <cell r="J151" t="str">
            <v>A</v>
          </cell>
          <cell r="K151" t="str">
            <v>H</v>
          </cell>
          <cell r="L151" t="str">
            <v>M</v>
          </cell>
          <cell r="M151" t="str">
            <v>N</v>
          </cell>
          <cell r="N151" t="str">
            <v>N</v>
          </cell>
          <cell r="O151" t="str">
            <v>I</v>
          </cell>
          <cell r="P151" t="str">
            <v>I</v>
          </cell>
          <cell r="Q151" t="str">
            <v>IV</v>
          </cell>
          <cell r="R151" t="str">
            <v>IV</v>
          </cell>
          <cell r="S151" t="str">
            <v>E05</v>
          </cell>
          <cell r="T151">
            <v>2.8000000000000001E-2</v>
          </cell>
          <cell r="U151" t="str">
            <v>Gnd</v>
          </cell>
          <cell r="V151">
            <v>850</v>
          </cell>
          <cell r="W151" t="str">
            <v>U</v>
          </cell>
          <cell r="X151" t="str">
            <v>L</v>
          </cell>
          <cell r="Y151" t="str">
            <v>L</v>
          </cell>
          <cell r="Z151" t="str">
            <v>N</v>
          </cell>
          <cell r="AA151" t="str">
            <v>N</v>
          </cell>
          <cell r="AB151" t="str">
            <v>III</v>
          </cell>
          <cell r="AC151" t="str">
            <v>III</v>
          </cell>
          <cell r="AD151" t="str">
            <v>IV</v>
          </cell>
          <cell r="AE151" t="str">
            <v>IV</v>
          </cell>
          <cell r="AF151"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51" t="str">
            <v>•  None</v>
          </cell>
          <cell r="AH151" t="str">
            <v>•  None</v>
          </cell>
          <cell r="AI151" t="str">
            <v>•  None</v>
          </cell>
          <cell r="AJ151" t="str">
            <v xml:space="preserve">•  Quality Assurance Program
•  Fire Protection Program
•  Performance Based Training Program
•  Maintenance Program
•  Waste Management Program </v>
          </cell>
          <cell r="AK151" t="str">
            <v>•   APPROVED CONTAINERS used for TRU waste storage
•   TSR-compliant packaging for high activity TRU waste</v>
          </cell>
          <cell r="AL151" t="str">
            <v>•  None</v>
          </cell>
          <cell r="AM151" t="str">
            <v>•  SAC for APPROVED CONTAINER use
•  SAC for facility inventory control</v>
          </cell>
          <cell r="AN151" t="str">
            <v>•  Radiological Protection Program
•  Emergency Response Program
•  Fire Protection Program
•  Performance Based Training Program
•  Conduct of Operations</v>
          </cell>
        </row>
        <row r="152">
          <cell r="A152" t="str">
            <v>TRN</v>
          </cell>
          <cell r="B152">
            <v>4</v>
          </cell>
          <cell r="C152" t="str">
            <v>Vehicle/equipment impacts waste/waste containers</v>
          </cell>
          <cell r="D152"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52">
            <v>360</v>
          </cell>
          <cell r="F152" t="str">
            <v>E09</v>
          </cell>
          <cell r="G152">
            <v>0.01</v>
          </cell>
          <cell r="H152" t="str">
            <v>Gnd</v>
          </cell>
          <cell r="I152">
            <v>850</v>
          </cell>
          <cell r="J152" t="str">
            <v>A</v>
          </cell>
          <cell r="K152" t="str">
            <v>N</v>
          </cell>
          <cell r="L152" t="str">
            <v>L</v>
          </cell>
          <cell r="M152" t="str">
            <v>N</v>
          </cell>
          <cell r="N152" t="str">
            <v>N</v>
          </cell>
          <cell r="O152" t="str">
            <v>IV</v>
          </cell>
          <cell r="P152" t="str">
            <v>III</v>
          </cell>
          <cell r="Q152" t="str">
            <v>IV</v>
          </cell>
          <cell r="R152" t="str">
            <v>IV</v>
          </cell>
          <cell r="S152" t="str">
            <v>E09</v>
          </cell>
          <cell r="T152">
            <v>0.01</v>
          </cell>
          <cell r="U152" t="str">
            <v>Gnd</v>
          </cell>
          <cell r="V152">
            <v>850</v>
          </cell>
          <cell r="W152" t="str">
            <v>A</v>
          </cell>
          <cell r="X152" t="str">
            <v>N</v>
          </cell>
          <cell r="Y152" t="str">
            <v>L</v>
          </cell>
          <cell r="Z152" t="str">
            <v>N</v>
          </cell>
          <cell r="AA152" t="str">
            <v>N</v>
          </cell>
          <cell r="AB152" t="str">
            <v>IV</v>
          </cell>
          <cell r="AC152" t="str">
            <v>III</v>
          </cell>
          <cell r="AD152" t="str">
            <v>IV</v>
          </cell>
          <cell r="AE152" t="str">
            <v>IV</v>
          </cell>
          <cell r="AF152" t="str">
            <v xml:space="preserve">Containers assumed to be impacted by handling equipment travelling &lt;10 mph.  MAR is activity in maximally loaded 2-drum Interim Storage Container (Ref. WVNS-CAL-397, Table A-2).  </v>
          </cell>
          <cell r="AG152" t="str">
            <v>•  None</v>
          </cell>
          <cell r="AH152" t="str">
            <v>•  Physical barriers such as Jersey barriers or facility structure that protects waste containers from vehicle impacts</v>
          </cell>
          <cell r="AI152" t="str">
            <v>• SAC for TRU waste transportation</v>
          </cell>
          <cell r="AJ152" t="str">
            <v xml:space="preserve">•  Quality Assurance Program
•  Performance Based Training Program
•  Maintenance Program
•  Conduct of Operations
•  Waste Management Program </v>
          </cell>
          <cell r="AK152" t="str">
            <v>•   TSR-compliant packaging for high activity TRU waste</v>
          </cell>
          <cell r="AL152" t="str">
            <v>•  None</v>
          </cell>
          <cell r="AM152" t="str">
            <v>•  None</v>
          </cell>
          <cell r="AN152" t="str">
            <v>•  Radiological Protection Program
•  Emergency Response Program
•  Performance Based Training Program
•  Conduct of Operations</v>
          </cell>
        </row>
        <row r="153">
          <cell r="A153" t="str">
            <v>TRN</v>
          </cell>
          <cell r="B153">
            <v>5</v>
          </cell>
          <cell r="C153" t="str">
            <v>Drop/impact/spill</v>
          </cell>
          <cell r="D153" t="str">
            <v>This event is due to mishandling of containers; or to drops/impacts caused by equipment failure; or leaks caused by corrosion, construction defect, or improper closure. Causes of breach include vehicle accident; container improperly secured to vehicle; and lids not secured adequately. Includes crane drops.</v>
          </cell>
          <cell r="E153">
            <v>360</v>
          </cell>
          <cell r="F153" t="str">
            <v>E10</v>
          </cell>
          <cell r="G153">
            <v>0.1</v>
          </cell>
          <cell r="H153" t="str">
            <v>Gnd</v>
          </cell>
          <cell r="I153">
            <v>850</v>
          </cell>
          <cell r="J153" t="str">
            <v>A</v>
          </cell>
          <cell r="K153" t="str">
            <v>L</v>
          </cell>
          <cell r="L153" t="str">
            <v>L</v>
          </cell>
          <cell r="M153" t="str">
            <v>N</v>
          </cell>
          <cell r="N153" t="str">
            <v>N</v>
          </cell>
          <cell r="O153" t="str">
            <v>III</v>
          </cell>
          <cell r="P153" t="str">
            <v>III</v>
          </cell>
          <cell r="Q153" t="str">
            <v>IV</v>
          </cell>
          <cell r="R153" t="str">
            <v>IV</v>
          </cell>
          <cell r="S153" t="str">
            <v>E10</v>
          </cell>
          <cell r="T153">
            <v>0.1</v>
          </cell>
          <cell r="U153" t="str">
            <v>Gnd</v>
          </cell>
          <cell r="V153">
            <v>850</v>
          </cell>
          <cell r="W153" t="str">
            <v>U</v>
          </cell>
          <cell r="X153" t="str">
            <v>L</v>
          </cell>
          <cell r="Y153" t="str">
            <v>L</v>
          </cell>
          <cell r="Z153" t="str">
            <v>N</v>
          </cell>
          <cell r="AA153" t="str">
            <v>N</v>
          </cell>
          <cell r="AB153" t="str">
            <v>III</v>
          </cell>
          <cell r="AC153" t="str">
            <v>III</v>
          </cell>
          <cell r="AD153" t="str">
            <v>IV</v>
          </cell>
          <cell r="AE153" t="str">
            <v>IV</v>
          </cell>
          <cell r="AF153" t="str">
            <v xml:space="preserve">Event is a low energy breach of container confinement (e.g. tine puncture or container drop).  MAR is activity in maximally loaded 2-drum Interim Storage Container (Ref. WVNS-CAL-397, Table A-2).  </v>
          </cell>
          <cell r="AG153" t="str">
            <v>•  None</v>
          </cell>
          <cell r="AH153" t="str">
            <v>•  None</v>
          </cell>
          <cell r="AI153" t="str">
            <v>•  None</v>
          </cell>
          <cell r="AJ153" t="str">
            <v xml:space="preserve">•  Quality Assurance Program
•  Performance Based Training Program
•  Maintenance Program
•  Conduct of Operations
•  Waste Management Program </v>
          </cell>
          <cell r="AK153" t="str">
            <v>•   TSR-compliant packaging for high activity TRU waste</v>
          </cell>
          <cell r="AL153" t="str">
            <v>•  None</v>
          </cell>
          <cell r="AM153" t="str">
            <v>•  None</v>
          </cell>
          <cell r="AN153" t="str">
            <v>•  Radiological Protection Program
•  Emergency Response Program
•  Performance Based Training Program
•  Conduct of Operations</v>
          </cell>
        </row>
        <row r="154">
          <cell r="A154" t="str">
            <v>TRN</v>
          </cell>
          <cell r="B154">
            <v>6</v>
          </cell>
          <cell r="C154" t="str">
            <v>Criticality</v>
          </cell>
          <cell r="D154" t="str">
            <v>Inadvertent criticality occurs due to multiple independent failures and/or highly improbable circumstances</v>
          </cell>
          <cell r="E154" t="str">
            <v>&gt;450 FGE
Pu-239</v>
          </cell>
          <cell r="F154" t="str">
            <v>NA</v>
          </cell>
          <cell r="G154" t="str">
            <v>NA</v>
          </cell>
          <cell r="H154" t="str">
            <v>Gnd</v>
          </cell>
          <cell r="I154">
            <v>850</v>
          </cell>
          <cell r="J154" t="str">
            <v>BEU</v>
          </cell>
          <cell r="K154" t="str">
            <v>H</v>
          </cell>
          <cell r="L154" t="str">
            <v>N</v>
          </cell>
          <cell r="M154" t="str">
            <v>N</v>
          </cell>
          <cell r="N154" t="str">
            <v>N</v>
          </cell>
          <cell r="O154" t="str">
            <v>III</v>
          </cell>
          <cell r="P154" t="str">
            <v>IV</v>
          </cell>
          <cell r="Q154" t="str">
            <v>IV</v>
          </cell>
          <cell r="R154" t="str">
            <v>IV</v>
          </cell>
          <cell r="S154" t="str">
            <v>NA</v>
          </cell>
          <cell r="T154" t="str">
            <v>NA</v>
          </cell>
          <cell r="U154" t="str">
            <v>Gnd</v>
          </cell>
          <cell r="V154">
            <v>850</v>
          </cell>
          <cell r="W154" t="str">
            <v>BEU</v>
          </cell>
          <cell r="X154" t="str">
            <v>H</v>
          </cell>
          <cell r="Y154" t="str">
            <v>N</v>
          </cell>
          <cell r="Z154" t="str">
            <v>N</v>
          </cell>
          <cell r="AA154" t="str">
            <v>N</v>
          </cell>
          <cell r="AB154" t="str">
            <v>III</v>
          </cell>
          <cell r="AC154" t="str">
            <v>IV</v>
          </cell>
          <cell r="AD154" t="str">
            <v>IV</v>
          </cell>
          <cell r="AE154" t="str">
            <v>IV</v>
          </cell>
          <cell r="AF154" t="str">
            <v xml:space="preserve">Wastes containing significant quantities of fissile material transported in TSR-compliant containers which would ensure that container spacing is maintained in the event of credible accident conditions.  </v>
          </cell>
          <cell r="AG154" t="str">
            <v>• PSRs for fissile material storage container specifications</v>
          </cell>
          <cell r="AH154" t="str">
            <v>•  None</v>
          </cell>
          <cell r="AI154" t="str">
            <v>• PSR limits on container fissile mass
• PSR for fissile material storage containers</v>
          </cell>
          <cell r="AJ154" t="str">
            <v xml:space="preserve">•  Radiological Protection Program
•  Nuclear Criticality Safety Program
•  Quality Assurance Program
•  Performance Based Training Program
•  Conduct of Operations
•  Waste Management Program </v>
          </cell>
          <cell r="AK154" t="str">
            <v>•  None</v>
          </cell>
          <cell r="AL154" t="str">
            <v>•  None</v>
          </cell>
          <cell r="AM154" t="str">
            <v>•  None</v>
          </cell>
          <cell r="AN154" t="str">
            <v>•  Radiological Protection Program
•  Nuclear Criticality Safety Program
•  Emergency Response Program
•  Performance Based Training Program
•  Conduct of Operations</v>
          </cell>
        </row>
        <row r="155">
          <cell r="A155" t="str">
            <v>TRN</v>
          </cell>
          <cell r="B155">
            <v>7</v>
          </cell>
          <cell r="C155" t="str">
            <v>Direct exposure to radiation</v>
          </cell>
          <cell r="D155" t="str">
            <v>Vehicle accident while transporting waste container(s) results in container damage/shielding reconfiguration such that dose to worker(s) on the order of tens of rem potentially occurs.</v>
          </cell>
          <cell r="E155" t="str">
            <v>Not applicable.</v>
          </cell>
          <cell r="F155" t="str">
            <v>NA</v>
          </cell>
          <cell r="G155" t="str">
            <v>NA</v>
          </cell>
          <cell r="H155" t="str">
            <v>Gnd</v>
          </cell>
          <cell r="I155">
            <v>850</v>
          </cell>
          <cell r="J155" t="str">
            <v>A</v>
          </cell>
          <cell r="K155" t="str">
            <v>M</v>
          </cell>
          <cell r="L155" t="str">
            <v>N</v>
          </cell>
          <cell r="M155" t="str">
            <v>N</v>
          </cell>
          <cell r="N155" t="str">
            <v>N</v>
          </cell>
          <cell r="O155" t="str">
            <v>I</v>
          </cell>
          <cell r="P155" t="str">
            <v>IV</v>
          </cell>
          <cell r="Q155" t="str">
            <v>IV</v>
          </cell>
          <cell r="R155" t="str">
            <v>IV</v>
          </cell>
          <cell r="S155" t="str">
            <v>NA</v>
          </cell>
          <cell r="T155" t="str">
            <v>NA</v>
          </cell>
          <cell r="U155" t="str">
            <v>Gnd</v>
          </cell>
          <cell r="V155">
            <v>850</v>
          </cell>
          <cell r="W155" t="str">
            <v>U</v>
          </cell>
          <cell r="X155" t="str">
            <v>L</v>
          </cell>
          <cell r="Y155" t="str">
            <v>N</v>
          </cell>
          <cell r="Z155" t="str">
            <v>N</v>
          </cell>
          <cell r="AA155" t="str">
            <v>N</v>
          </cell>
          <cell r="AB155" t="str">
            <v>III</v>
          </cell>
          <cell r="AC155" t="str">
            <v>IV</v>
          </cell>
          <cell r="AD155" t="str">
            <v>IV</v>
          </cell>
          <cell r="AE155" t="str">
            <v>IV</v>
          </cell>
          <cell r="AF155" t="str">
            <v xml:space="preserve">Radiation Protection Program credited with ensuring that personnel exposures are within DOE accepted guidelines.   </v>
          </cell>
          <cell r="AG155" t="str">
            <v>•  None</v>
          </cell>
          <cell r="AH155" t="str">
            <v>•  Engineered radiation shielding on high dose rate waste containers</v>
          </cell>
          <cell r="AI155" t="str">
            <v>•  None</v>
          </cell>
          <cell r="AJ155" t="str">
            <v xml:space="preserve">•  Radiological Protection Program
•  Quality Assurance Program
•  Performance Based Training Program
•  Conduct of Operations
•  Waste Management Program </v>
          </cell>
          <cell r="AK155" t="str">
            <v>•  None</v>
          </cell>
          <cell r="AL155" t="str">
            <v>•  None</v>
          </cell>
          <cell r="AM155" t="str">
            <v>•  None</v>
          </cell>
          <cell r="AN155" t="str">
            <v>•  Radiological Protection Program
•  Performance Based Training Program
•  Conduct of Operations</v>
          </cell>
        </row>
        <row r="156">
          <cell r="A156" t="str">
            <v>TRN</v>
          </cell>
          <cell r="B156">
            <v>8</v>
          </cell>
          <cell r="C156" t="str">
            <v>Loss of liquid contamination confinement</v>
          </cell>
          <cell r="D156" t="str">
            <v>Waste container containing residual liquids fails, resulting in loss of liquid contamination to the environment</v>
          </cell>
          <cell r="E156">
            <v>1</v>
          </cell>
          <cell r="F156" t="str">
            <v>FFS</v>
          </cell>
          <cell r="G156">
            <v>0.5</v>
          </cell>
          <cell r="H156" t="str">
            <v>Gnd</v>
          </cell>
          <cell r="I156">
            <v>850</v>
          </cell>
          <cell r="J156" t="str">
            <v>A</v>
          </cell>
          <cell r="K156" t="str">
            <v>N</v>
          </cell>
          <cell r="L156" t="str">
            <v>N</v>
          </cell>
          <cell r="M156" t="str">
            <v>N</v>
          </cell>
          <cell r="N156" t="str">
            <v>N</v>
          </cell>
          <cell r="O156" t="str">
            <v>IV</v>
          </cell>
          <cell r="P156" t="str">
            <v>IV</v>
          </cell>
          <cell r="Q156" t="str">
            <v>IV</v>
          </cell>
          <cell r="R156" t="str">
            <v>IV</v>
          </cell>
          <cell r="S156" t="str">
            <v>FFS</v>
          </cell>
          <cell r="T156">
            <v>0.5</v>
          </cell>
          <cell r="U156" t="str">
            <v>Gnd</v>
          </cell>
          <cell r="V156">
            <v>850</v>
          </cell>
          <cell r="W156" t="str">
            <v>A</v>
          </cell>
          <cell r="X156" t="str">
            <v>N</v>
          </cell>
          <cell r="Y156" t="str">
            <v>N</v>
          </cell>
          <cell r="Z156" t="str">
            <v>N</v>
          </cell>
          <cell r="AA156" t="str">
            <v>N</v>
          </cell>
          <cell r="AB156" t="str">
            <v>IV</v>
          </cell>
          <cell r="AC156" t="str">
            <v>IV</v>
          </cell>
          <cell r="AD156" t="str">
            <v>IV</v>
          </cell>
          <cell r="AE156" t="str">
            <v>IV</v>
          </cell>
          <cell r="AF156" t="str">
            <v xml:space="preserve">None.  </v>
          </cell>
          <cell r="AG156" t="str">
            <v>•  None</v>
          </cell>
          <cell r="AH156" t="str">
            <v>•  Cell liners/sumps and/or area berms</v>
          </cell>
          <cell r="AI156" t="str">
            <v>•  None</v>
          </cell>
          <cell r="AJ156" t="str">
            <v xml:space="preserve">•  Quality Assurance Program
•  Performance Based Training Program
•  Maintenance Program
•  Conduct of Operations
•  Waste Management Program </v>
          </cell>
          <cell r="AK156" t="str">
            <v>•  None</v>
          </cell>
          <cell r="AL156" t="str">
            <v>•  None</v>
          </cell>
          <cell r="AM156" t="str">
            <v>•  None</v>
          </cell>
          <cell r="AN156" t="str">
            <v>•  Radiological Protection Program
•  Performance Based Training Program
•  Conduct of Operations</v>
          </cell>
        </row>
        <row r="157">
          <cell r="A157" t="str">
            <v>VF</v>
          </cell>
          <cell r="B157">
            <v>1</v>
          </cell>
          <cell r="C157" t="str">
            <v>Small combustible material fire</v>
          </cell>
          <cell r="D157" t="str">
            <v>Fire occurs in a contaminated facility area. Includes accidents initiated due to pyrophoric reactions or reactions involving incompatible materials.</v>
          </cell>
          <cell r="E157">
            <v>360</v>
          </cell>
          <cell r="F157" t="str">
            <v>E02</v>
          </cell>
          <cell r="G157">
            <v>1</v>
          </cell>
          <cell r="H157" t="str">
            <v>20m</v>
          </cell>
          <cell r="I157">
            <v>850</v>
          </cell>
          <cell r="J157" t="str">
            <v>A</v>
          </cell>
          <cell r="K157" t="str">
            <v>N</v>
          </cell>
          <cell r="L157" t="str">
            <v>M</v>
          </cell>
          <cell r="M157" t="str">
            <v>N</v>
          </cell>
          <cell r="N157" t="str">
            <v>N</v>
          </cell>
          <cell r="O157" t="str">
            <v>IV</v>
          </cell>
          <cell r="P157" t="str">
            <v>I</v>
          </cell>
          <cell r="Q157" t="str">
            <v>IV</v>
          </cell>
          <cell r="R157" t="str">
            <v>IV</v>
          </cell>
          <cell r="S157" t="str">
            <v>CWF</v>
          </cell>
          <cell r="T157">
            <v>1</v>
          </cell>
          <cell r="U157" t="str">
            <v>20m</v>
          </cell>
          <cell r="V157">
            <v>850</v>
          </cell>
          <cell r="W157" t="str">
            <v>U</v>
          </cell>
          <cell r="X157" t="str">
            <v>N</v>
          </cell>
          <cell r="Y157" t="str">
            <v>L</v>
          </cell>
          <cell r="Z157" t="str">
            <v>N</v>
          </cell>
          <cell r="AA157" t="str">
            <v>N</v>
          </cell>
          <cell r="AB157" t="str">
            <v>IV</v>
          </cell>
          <cell r="AC157" t="str">
            <v>III</v>
          </cell>
          <cell r="AD157" t="str">
            <v>IV</v>
          </cell>
          <cell r="AE157" t="str">
            <v>IV</v>
          </cell>
          <cell r="AF157"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157" t="str">
            <v>•  None</v>
          </cell>
          <cell r="AH157" t="str">
            <v>•  None</v>
          </cell>
          <cell r="AI157" t="str">
            <v>•  None</v>
          </cell>
          <cell r="AJ157" t="str">
            <v xml:space="preserve">•  Quality Assurance Program
•  Fire Protection Program
-   “Hot work” controls
-   Combustible material control program
•  Performance Based Training Program
•  Maintenance Program
•  Conduct of Operations
•  Waste Management Program </v>
          </cell>
          <cell r="AK157" t="str">
            <v>•  None</v>
          </cell>
          <cell r="AL157" t="str">
            <v>•  Fire rated cell walls and shield doors</v>
          </cell>
          <cell r="AM157" t="str">
            <v>•  None</v>
          </cell>
          <cell r="AN157" t="str">
            <v>•  Radiological Protection Program
•  Emergency Response Program
•  Fire Protection Program
•  Performance Based Training Program
•  Conduct of Operations</v>
          </cell>
        </row>
        <row r="158">
          <cell r="A158" t="str">
            <v>VF</v>
          </cell>
          <cell r="B158">
            <v>2</v>
          </cell>
          <cell r="C158" t="str">
            <v>Large fire</v>
          </cell>
          <cell r="D158" t="str">
            <v>Large cell fire. Expected to be bounded by combustion of shield window mineral oil following window failure. Fire may initiate due to ignition of combustible or pyrophoric material in cell.</v>
          </cell>
          <cell r="E158">
            <v>1500</v>
          </cell>
          <cell r="F158" t="str">
            <v>E04</v>
          </cell>
          <cell r="G158">
            <v>0.5</v>
          </cell>
          <cell r="H158" t="str">
            <v>20m</v>
          </cell>
          <cell r="I158">
            <v>850</v>
          </cell>
          <cell r="J158" t="str">
            <v>U</v>
          </cell>
          <cell r="K158" t="str">
            <v>N</v>
          </cell>
          <cell r="L158" t="str">
            <v>L</v>
          </cell>
          <cell r="M158" t="str">
            <v>N</v>
          </cell>
          <cell r="N158" t="str">
            <v>N</v>
          </cell>
          <cell r="O158" t="str">
            <v>IV</v>
          </cell>
          <cell r="P158" t="str">
            <v>III</v>
          </cell>
          <cell r="Q158" t="str">
            <v>IV</v>
          </cell>
          <cell r="R158" t="str">
            <v>IV</v>
          </cell>
          <cell r="S158" t="str">
            <v>E04</v>
          </cell>
          <cell r="T158">
            <v>0.5</v>
          </cell>
          <cell r="U158" t="str">
            <v>20m</v>
          </cell>
          <cell r="V158">
            <v>850</v>
          </cell>
          <cell r="W158" t="str">
            <v>EU</v>
          </cell>
          <cell r="X158" t="str">
            <v>N</v>
          </cell>
          <cell r="Y158" t="str">
            <v>L</v>
          </cell>
          <cell r="Z158" t="str">
            <v>N</v>
          </cell>
          <cell r="AA158" t="str">
            <v>N</v>
          </cell>
          <cell r="AB158" t="str">
            <v>IV</v>
          </cell>
          <cell r="AC158" t="str">
            <v>IV</v>
          </cell>
          <cell r="AD158" t="str">
            <v>IV</v>
          </cell>
          <cell r="AE158" t="str">
            <v>IV</v>
          </cell>
          <cell r="AF158" t="str">
            <v xml:space="preserve">Release bounds any potential releases associated with handling HLW in Vit Cell. Releases are assumed to be through facility stack, even under loss of active ventilation, via stack chimney effect. MAR is entire inventory of radioactive material in the Vitrification Facility (Ref. WVNS-CAL-397, Table C-1).  </v>
          </cell>
          <cell r="AG158" t="str">
            <v>•  None</v>
          </cell>
          <cell r="AH158" t="str">
            <v>•  None</v>
          </cell>
          <cell r="AI158" t="str">
            <v>•  None</v>
          </cell>
          <cell r="AJ158" t="str">
            <v xml:space="preserve">•  Quality Assurance Program
•  Fire Protection Program
-   “Hot work” controls
-   Combustible material control program
•  Performance Based Training Program
•  Maintenance Program
•  Waste Management Program </v>
          </cell>
          <cell r="AK158" t="str">
            <v>•  None</v>
          </cell>
          <cell r="AL158" t="str">
            <v>•  Fire rated cell walls and shield doors</v>
          </cell>
          <cell r="AM158" t="str">
            <v>•  None</v>
          </cell>
          <cell r="AN158" t="str">
            <v>•  Radiological Protection Program
•  Emergency Response Program
•  Fire Protection Program
•  Performance Based Training Program
•  Conduct of Operations</v>
          </cell>
        </row>
        <row r="159">
          <cell r="A159" t="str">
            <v>VF</v>
          </cell>
          <cell r="B159">
            <v>3</v>
          </cell>
          <cell r="C159" t="str">
            <v>Localized explosion within facility</v>
          </cell>
          <cell r="D159" t="str">
            <v>Localized explosion within facility.</v>
          </cell>
          <cell r="E159">
            <v>360</v>
          </cell>
          <cell r="F159" t="str">
            <v>ES</v>
          </cell>
          <cell r="G159">
            <v>1</v>
          </cell>
          <cell r="H159" t="str">
            <v>20m</v>
          </cell>
          <cell r="I159">
            <v>850</v>
          </cell>
          <cell r="J159" t="str">
            <v>U</v>
          </cell>
          <cell r="K159" t="str">
            <v>N</v>
          </cell>
          <cell r="L159" t="str">
            <v>L</v>
          </cell>
          <cell r="M159" t="str">
            <v>N</v>
          </cell>
          <cell r="N159" t="str">
            <v>N</v>
          </cell>
          <cell r="O159" t="str">
            <v>IV</v>
          </cell>
          <cell r="P159" t="str">
            <v>III</v>
          </cell>
          <cell r="Q159" t="str">
            <v>IV</v>
          </cell>
          <cell r="R159" t="str">
            <v>IV</v>
          </cell>
          <cell r="S159" t="str">
            <v>ES</v>
          </cell>
          <cell r="T159">
            <v>1</v>
          </cell>
          <cell r="U159" t="str">
            <v>20m</v>
          </cell>
          <cell r="V159">
            <v>850</v>
          </cell>
          <cell r="W159" t="str">
            <v>U</v>
          </cell>
          <cell r="X159" t="str">
            <v>N</v>
          </cell>
          <cell r="Y159" t="str">
            <v>L</v>
          </cell>
          <cell r="Z159" t="str">
            <v>N</v>
          </cell>
          <cell r="AA159" t="str">
            <v>N</v>
          </cell>
          <cell r="AB159" t="str">
            <v>IV</v>
          </cell>
          <cell r="AC159" t="str">
            <v>III</v>
          </cell>
          <cell r="AD159" t="str">
            <v>IV</v>
          </cell>
          <cell r="AE159" t="str">
            <v>IV</v>
          </cell>
          <cell r="AF159" t="str">
            <v xml:space="preserve">Event is assumed to be due to ignition of flammable gas associated with D&amp;D activities (e.g., cutting gases, pressurized decontamination gases, etc.).  MAR is activity in maximally loaded 2-drum Interim Storage Container (Ref. WVNS-CAL-397, Table A-2).  </v>
          </cell>
          <cell r="AG159" t="str">
            <v>•  None</v>
          </cell>
          <cell r="AH159" t="str">
            <v>•  None</v>
          </cell>
          <cell r="AI159" t="str">
            <v>•  None</v>
          </cell>
          <cell r="AJ159" t="str">
            <v>•  Quality Assurance Program
•  Fire Protection Program
•  Performance Based Training Program
•  Maintenance Program
•  Conduct of Operations</v>
          </cell>
          <cell r="AK159" t="str">
            <v>•  None</v>
          </cell>
          <cell r="AL159" t="str">
            <v>•  Reinforced concrete shield walls</v>
          </cell>
          <cell r="AM159" t="str">
            <v>•  None</v>
          </cell>
          <cell r="AN159" t="str">
            <v>•  Radiological Protection Program
•  Emergency Response Program
•  Fire Protection Program
•  Performance Based Training Program
•  Conduct of Operations</v>
          </cell>
        </row>
        <row r="160">
          <cell r="A160" t="str">
            <v>VF</v>
          </cell>
          <cell r="B160">
            <v>4</v>
          </cell>
          <cell r="C160" t="str">
            <v>Drop/impact/spill</v>
          </cell>
          <cell r="D160" t="str">
            <v>This event is due to mishandling of containers; or to drops/impacts caused by equipment failure; or leaks caused by corrosion, construction defect, or improper closure. Analysis includes impacts affecting vitrified waste canisters.</v>
          </cell>
          <cell r="E160">
            <v>360</v>
          </cell>
          <cell r="F160" t="str">
            <v>E10</v>
          </cell>
          <cell r="G160">
            <v>0.1</v>
          </cell>
          <cell r="H160" t="str">
            <v>20m</v>
          </cell>
          <cell r="I160">
            <v>850</v>
          </cell>
          <cell r="J160" t="str">
            <v>A</v>
          </cell>
          <cell r="K160" t="str">
            <v>N</v>
          </cell>
          <cell r="L160" t="str">
            <v>N</v>
          </cell>
          <cell r="M160" t="str">
            <v>N</v>
          </cell>
          <cell r="N160" t="str">
            <v>N</v>
          </cell>
          <cell r="O160" t="str">
            <v>IV</v>
          </cell>
          <cell r="P160" t="str">
            <v>IV</v>
          </cell>
          <cell r="Q160" t="str">
            <v>IV</v>
          </cell>
          <cell r="R160" t="str">
            <v>IV</v>
          </cell>
          <cell r="S160" t="str">
            <v>E10</v>
          </cell>
          <cell r="T160">
            <v>0.1</v>
          </cell>
          <cell r="U160" t="str">
            <v>20m</v>
          </cell>
          <cell r="V160">
            <v>850</v>
          </cell>
          <cell r="W160" t="str">
            <v>U</v>
          </cell>
          <cell r="X160" t="str">
            <v>N</v>
          </cell>
          <cell r="Y160" t="str">
            <v>N</v>
          </cell>
          <cell r="Z160" t="str">
            <v>N</v>
          </cell>
          <cell r="AA160" t="str">
            <v>N</v>
          </cell>
          <cell r="AB160" t="str">
            <v>IV</v>
          </cell>
          <cell r="AC160" t="str">
            <v>IV</v>
          </cell>
          <cell r="AD160" t="str">
            <v>IV</v>
          </cell>
          <cell r="AE160" t="str">
            <v>IV</v>
          </cell>
          <cell r="AF160" t="str">
            <v xml:space="preserve">Assumed to be bounded by one high activity TRU waste container dropped on another high activity TRU waste container.  No releases from HLW canister expected for this event.  MAR is activity in maximally loaded 2-drum Interim Storage Container (Ref. WVNS-CAL-397, Table A-2).  </v>
          </cell>
          <cell r="AG160" t="str">
            <v>•  None</v>
          </cell>
          <cell r="AH160" t="str">
            <v>•  None</v>
          </cell>
          <cell r="AI160" t="str">
            <v>•  None</v>
          </cell>
          <cell r="AJ160" t="str">
            <v xml:space="preserve">•  Quality Assurance Program
•  Performance Based Training Program
•  Maintenance Program
•  Conduct of Operations
•  Waste Management Program </v>
          </cell>
          <cell r="AK160" t="str">
            <v>•  None</v>
          </cell>
          <cell r="AL160" t="str">
            <v>•  Confinement capability of cell structure</v>
          </cell>
          <cell r="AM160" t="str">
            <v>•  None</v>
          </cell>
          <cell r="AN160" t="str">
            <v>•  Radiological Protection Program
•  Emergency Response Program
•  Performance Based Training Program
•  Conduct of Operations</v>
          </cell>
        </row>
        <row r="161">
          <cell r="A161" t="str">
            <v>VF</v>
          </cell>
          <cell r="B161">
            <v>5</v>
          </cell>
          <cell r="C161" t="str">
            <v>Waste container deflagration</v>
          </cell>
          <cell r="D161" t="str">
            <v>Hydrogen or other flammable/explosive gases inside a container is ignited.</v>
          </cell>
          <cell r="E161">
            <v>360</v>
          </cell>
          <cell r="F161" t="str">
            <v>E06</v>
          </cell>
          <cell r="G161">
            <v>1</v>
          </cell>
          <cell r="H161" t="str">
            <v>20m</v>
          </cell>
          <cell r="I161">
            <v>850</v>
          </cell>
          <cell r="J161" t="str">
            <v>U</v>
          </cell>
          <cell r="K161" t="str">
            <v>N</v>
          </cell>
          <cell r="L161" t="str">
            <v>L</v>
          </cell>
          <cell r="M161" t="str">
            <v>N</v>
          </cell>
          <cell r="N161" t="str">
            <v>N</v>
          </cell>
          <cell r="O161" t="str">
            <v>IV</v>
          </cell>
          <cell r="P161" t="str">
            <v>III</v>
          </cell>
          <cell r="Q161" t="str">
            <v>IV</v>
          </cell>
          <cell r="R161" t="str">
            <v>IV</v>
          </cell>
          <cell r="S161" t="str">
            <v>E06</v>
          </cell>
          <cell r="T161">
            <v>1</v>
          </cell>
          <cell r="U161" t="str">
            <v>20m</v>
          </cell>
          <cell r="V161">
            <v>850</v>
          </cell>
          <cell r="W161" t="str">
            <v>EU</v>
          </cell>
          <cell r="X161" t="str">
            <v>N</v>
          </cell>
          <cell r="Y161" t="str">
            <v>L</v>
          </cell>
          <cell r="Z161" t="str">
            <v>N</v>
          </cell>
          <cell r="AA161" t="str">
            <v>N</v>
          </cell>
          <cell r="AB161" t="str">
            <v>IV</v>
          </cell>
          <cell r="AC161" t="str">
            <v>IV</v>
          </cell>
          <cell r="AD161" t="str">
            <v>IV</v>
          </cell>
          <cell r="AE161" t="str">
            <v>IV</v>
          </cell>
          <cell r="AF161" t="str">
            <v xml:space="preserve">Waste form and waste package vent filters contribute to low probability of this event. Event is assumed to occur within shielded process cell.  MAR is activity in maximally loaded 2-drum Interim Storage Container (Ref. WVNS-CAL-397, Table A-2).  </v>
          </cell>
          <cell r="AG161" t="str">
            <v>•  None</v>
          </cell>
          <cell r="AH161" t="str">
            <v>•  HEPA filter vents on waste containers
•  Non-sparking tools for containers suspected of containing high concentrations of flammable gas</v>
          </cell>
          <cell r="AI161" t="str">
            <v>•  None</v>
          </cell>
          <cell r="AJ161" t="str">
            <v xml:space="preserve">•  Quality Assurance Program
•  Fire Protection Program
•  Performance Based Training Program
•  Maintenance Program
•  Waste Management Program </v>
          </cell>
          <cell r="AK161" t="str">
            <v>•   TSR-compliant packaging for high activity TRU waste</v>
          </cell>
          <cell r="AL161" t="str">
            <v>•  Confinement capability of cell structure
•  Fire rated cell walls and shield doors</v>
          </cell>
          <cell r="AM161" t="str">
            <v>•  None</v>
          </cell>
          <cell r="AN161" t="str">
            <v>•  Radiological Protection Program
•  Emergency Response Program
•  Fire Protection Program
•  Performance Based Training Program
•  Conduct of Operations</v>
          </cell>
        </row>
        <row r="162">
          <cell r="A162" t="str">
            <v>VF</v>
          </cell>
          <cell r="B162">
            <v>6</v>
          </cell>
          <cell r="C162" t="str">
            <v>Waste container over-pressurization</v>
          </cell>
          <cell r="D162" t="str">
            <v>Container failure occurs due to pressure buildup, possibly due to radiolysis of water or other hydrogenous material, thermal expansion of material/gases inside the container, or chemical reactions inside the container.</v>
          </cell>
          <cell r="E162">
            <v>360</v>
          </cell>
          <cell r="F162" t="str">
            <v>E12</v>
          </cell>
          <cell r="G162">
            <v>1</v>
          </cell>
          <cell r="H162" t="str">
            <v>20m</v>
          </cell>
          <cell r="I162">
            <v>850</v>
          </cell>
          <cell r="J162" t="str">
            <v>A</v>
          </cell>
          <cell r="K162" t="str">
            <v>N</v>
          </cell>
          <cell r="L162" t="str">
            <v>L</v>
          </cell>
          <cell r="M162" t="str">
            <v>N</v>
          </cell>
          <cell r="N162" t="str">
            <v>N</v>
          </cell>
          <cell r="O162" t="str">
            <v>IV</v>
          </cell>
          <cell r="P162" t="str">
            <v>III</v>
          </cell>
          <cell r="Q162" t="str">
            <v>IV</v>
          </cell>
          <cell r="R162" t="str">
            <v>IV</v>
          </cell>
          <cell r="S162" t="str">
            <v>E12</v>
          </cell>
          <cell r="T162">
            <v>1</v>
          </cell>
          <cell r="U162" t="str">
            <v>20m</v>
          </cell>
          <cell r="V162">
            <v>850</v>
          </cell>
          <cell r="W162" t="str">
            <v>A</v>
          </cell>
          <cell r="X162" t="str">
            <v>N</v>
          </cell>
          <cell r="Y162" t="str">
            <v>L</v>
          </cell>
          <cell r="Z162" t="str">
            <v>N</v>
          </cell>
          <cell r="AA162" t="str">
            <v>N</v>
          </cell>
          <cell r="AB162" t="str">
            <v>IV</v>
          </cell>
          <cell r="AC162" t="str">
            <v>III</v>
          </cell>
          <cell r="AD162" t="str">
            <v>IV</v>
          </cell>
          <cell r="AE162" t="str">
            <v>IV</v>
          </cell>
          <cell r="AF162"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162" t="str">
            <v>•  None</v>
          </cell>
          <cell r="AH162" t="str">
            <v>•  HEPA filter vents on waste containers</v>
          </cell>
          <cell r="AI162" t="str">
            <v>•  None</v>
          </cell>
          <cell r="AJ162" t="str">
            <v xml:space="preserve">•  Quality Assurance Program
•  Performance Based Training Program
•  Waste Management Program </v>
          </cell>
          <cell r="AK162" t="str">
            <v>•  None</v>
          </cell>
          <cell r="AL162" t="str">
            <v>•  None</v>
          </cell>
          <cell r="AM162" t="str">
            <v>•  None</v>
          </cell>
          <cell r="AN162" t="str">
            <v>•  Radiological Protection Program
•  Emergency Response Program
•  Performance Based Training Program
•  Conduct of Operations</v>
          </cell>
        </row>
        <row r="163">
          <cell r="A163" t="str">
            <v>VF</v>
          </cell>
          <cell r="B163">
            <v>7</v>
          </cell>
          <cell r="C163" t="str">
            <v>Direct exposure to radiation</v>
          </cell>
          <cell r="D163" t="str">
            <v>Exposure to ionizing radiation from the waste, possibly due to a defective Vitrification Cell penetration or instrument miscalibration</v>
          </cell>
          <cell r="E163" t="str">
            <v>Not applicable.</v>
          </cell>
          <cell r="F163" t="str">
            <v>NA</v>
          </cell>
          <cell r="G163" t="str">
            <v>NA</v>
          </cell>
          <cell r="H163" t="str">
            <v>20m</v>
          </cell>
          <cell r="I163">
            <v>850</v>
          </cell>
          <cell r="J163" t="str">
            <v>A</v>
          </cell>
          <cell r="K163" t="str">
            <v>M</v>
          </cell>
          <cell r="L163" t="str">
            <v>N</v>
          </cell>
          <cell r="M163" t="str">
            <v>N</v>
          </cell>
          <cell r="N163" t="str">
            <v>N</v>
          </cell>
          <cell r="O163" t="str">
            <v>I</v>
          </cell>
          <cell r="P163" t="str">
            <v>IV</v>
          </cell>
          <cell r="Q163" t="str">
            <v>IV</v>
          </cell>
          <cell r="R163" t="str">
            <v>IV</v>
          </cell>
          <cell r="S163" t="str">
            <v>NA</v>
          </cell>
          <cell r="T163" t="str">
            <v>NA</v>
          </cell>
          <cell r="U163" t="str">
            <v>20m</v>
          </cell>
          <cell r="V163">
            <v>850</v>
          </cell>
          <cell r="W163" t="str">
            <v>U</v>
          </cell>
          <cell r="X163" t="str">
            <v>L</v>
          </cell>
          <cell r="Y163" t="str">
            <v>N</v>
          </cell>
          <cell r="Z163" t="str">
            <v>N</v>
          </cell>
          <cell r="AA163" t="str">
            <v>N</v>
          </cell>
          <cell r="AB163" t="str">
            <v>III</v>
          </cell>
          <cell r="AC163" t="str">
            <v>IV</v>
          </cell>
          <cell r="AD163" t="str">
            <v>IV</v>
          </cell>
          <cell r="AE163" t="str">
            <v>IV</v>
          </cell>
          <cell r="AF163" t="str">
            <v xml:space="preserve">None.  </v>
          </cell>
          <cell r="AG163" t="str">
            <v>•  None</v>
          </cell>
          <cell r="AH163" t="str">
            <v>•  Engineered radiation shielding on high dose rate waste containers</v>
          </cell>
          <cell r="AI163" t="str">
            <v>•  None</v>
          </cell>
          <cell r="AJ163" t="str">
            <v xml:space="preserve">•  Radiological Protection Program
•  Quality Assurance Program
•  Performance Based Training Program
•  Conduct of Operations
•  Waste Management Program </v>
          </cell>
          <cell r="AK163" t="str">
            <v>•  None</v>
          </cell>
          <cell r="AL163" t="str">
            <v>•  None</v>
          </cell>
          <cell r="AM163" t="str">
            <v>•  None</v>
          </cell>
          <cell r="AN163" t="str">
            <v>•  Radiological Protection Program
•  Performance Based Training Program
•  Conduct of Operations</v>
          </cell>
        </row>
        <row r="164">
          <cell r="A164" t="str">
            <v>VF</v>
          </cell>
          <cell r="B164">
            <v>8</v>
          </cell>
          <cell r="C164" t="str">
            <v>Criticality</v>
          </cell>
          <cell r="D164" t="str">
            <v>Inadvertent criticality occurs due to multiple independent failures and/or highly improbable circumstances</v>
          </cell>
          <cell r="E164" t="str">
            <v>&gt;450 FGE
Pu-239</v>
          </cell>
          <cell r="F164" t="str">
            <v>NA</v>
          </cell>
          <cell r="G164" t="str">
            <v>NA</v>
          </cell>
          <cell r="H164" t="str">
            <v>20m</v>
          </cell>
          <cell r="I164">
            <v>850</v>
          </cell>
          <cell r="J164" t="str">
            <v>BEU</v>
          </cell>
          <cell r="K164" t="str">
            <v>L</v>
          </cell>
          <cell r="L164" t="str">
            <v>N</v>
          </cell>
          <cell r="M164" t="str">
            <v>N</v>
          </cell>
          <cell r="N164" t="str">
            <v>N</v>
          </cell>
          <cell r="O164" t="str">
            <v>IV</v>
          </cell>
          <cell r="P164" t="str">
            <v>IV</v>
          </cell>
          <cell r="Q164" t="str">
            <v>IV</v>
          </cell>
          <cell r="R164" t="str">
            <v>IV</v>
          </cell>
          <cell r="S164" t="str">
            <v>NA</v>
          </cell>
          <cell r="T164" t="str">
            <v>NA</v>
          </cell>
          <cell r="U164" t="str">
            <v>20m</v>
          </cell>
          <cell r="V164">
            <v>850</v>
          </cell>
          <cell r="W164" t="str">
            <v>BEU</v>
          </cell>
          <cell r="X164" t="str">
            <v>L</v>
          </cell>
          <cell r="Y164" t="str">
            <v>N</v>
          </cell>
          <cell r="Z164" t="str">
            <v>N</v>
          </cell>
          <cell r="AA164" t="str">
            <v>N</v>
          </cell>
          <cell r="AB164" t="str">
            <v>IV</v>
          </cell>
          <cell r="AC164" t="str">
            <v>IV</v>
          </cell>
          <cell r="AD164" t="str">
            <v>IV</v>
          </cell>
          <cell r="AE164" t="str">
            <v>IV</v>
          </cell>
          <cell r="AF164" t="str">
            <v xml:space="preserve">Nuclear criticality safety administrative controls ensure criticality safety for all D&amp;D operations and waste packaging activities involving greater than a significant quantity of fissile material.   </v>
          </cell>
          <cell r="AG164" t="str">
            <v>• PSRs for fissile material storage container specifications</v>
          </cell>
          <cell r="AH164" t="str">
            <v>•  None</v>
          </cell>
          <cell r="AI164" t="str">
            <v>• PSR limits on container fissile mass
• PSR for fissile material storage containers</v>
          </cell>
          <cell r="AJ164" t="str">
            <v xml:space="preserve">•  Radiological Protection Program
•  Nuclear Criticality Safety Program
•  Quality Assurance Program
•  Performance Based Training Program
•  Conduct of Operations
•  Waste Management Program </v>
          </cell>
          <cell r="AK164" t="str">
            <v>•  None</v>
          </cell>
          <cell r="AL164" t="str">
            <v>•  None</v>
          </cell>
          <cell r="AM164" t="str">
            <v>•  None</v>
          </cell>
          <cell r="AN164" t="str">
            <v>•  Radiological Protection Program
•  Nuclear Criticality Safety Program
•  Emergency Response Program
•  Performance Based Training Program
•  Conduct of Operations</v>
          </cell>
        </row>
        <row r="165">
          <cell r="A165" t="str">
            <v>VF</v>
          </cell>
          <cell r="B165">
            <v>9</v>
          </cell>
          <cell r="C165" t="str">
            <v>Aircraft impact with fire</v>
          </cell>
          <cell r="D165" t="str">
            <v>Small general aviation aircraft or helicopter crashes and a fire ensues</v>
          </cell>
          <cell r="E165">
            <v>1</v>
          </cell>
          <cell r="F165" t="str">
            <v>HF</v>
          </cell>
          <cell r="G165">
            <v>1</v>
          </cell>
          <cell r="H165" t="str">
            <v>20m</v>
          </cell>
          <cell r="I165">
            <v>850</v>
          </cell>
          <cell r="J165" t="str">
            <v>BEU</v>
          </cell>
          <cell r="K165" t="str">
            <v>N</v>
          </cell>
          <cell r="L165" t="str">
            <v>N</v>
          </cell>
          <cell r="M165" t="str">
            <v>N</v>
          </cell>
          <cell r="N165" t="str">
            <v>N</v>
          </cell>
          <cell r="O165" t="str">
            <v>IV</v>
          </cell>
          <cell r="P165" t="str">
            <v>IV</v>
          </cell>
          <cell r="Q165" t="str">
            <v>IV</v>
          </cell>
          <cell r="R165" t="str">
            <v>IV</v>
          </cell>
          <cell r="S165" t="str">
            <v>HF</v>
          </cell>
          <cell r="T165">
            <v>1</v>
          </cell>
          <cell r="U165" t="str">
            <v>20m</v>
          </cell>
          <cell r="V165">
            <v>850</v>
          </cell>
          <cell r="W165" t="str">
            <v>BEU</v>
          </cell>
          <cell r="X165" t="str">
            <v>N</v>
          </cell>
          <cell r="Y165" t="str">
            <v>N</v>
          </cell>
          <cell r="Z165" t="str">
            <v>N</v>
          </cell>
          <cell r="AA165" t="str">
            <v>N</v>
          </cell>
          <cell r="AB165" t="str">
            <v>IV</v>
          </cell>
          <cell r="AC165" t="str">
            <v>IV</v>
          </cell>
          <cell r="AD165" t="str">
            <v>IV</v>
          </cell>
          <cell r="AE165" t="str">
            <v>IV</v>
          </cell>
          <cell r="AF165" t="str">
            <v xml:space="preserve">Event not expected to impact radioactive materials within heavily shielded cells. Only activity in ventilation system would be expected to be affected. Event BEU per WVNS-CAL-388. Only facility ventilation system vulnerable to event. MAR is bounded by 10% of MPPB ventilation system MAR based on system environmental emission data. </v>
          </cell>
          <cell r="AG165" t="str">
            <v>•  None</v>
          </cell>
          <cell r="AH165" t="str">
            <v>•  None</v>
          </cell>
          <cell r="AI165" t="str">
            <v>•  None</v>
          </cell>
          <cell r="AJ165" t="str">
            <v>•  None</v>
          </cell>
          <cell r="AK165" t="str">
            <v>•  None</v>
          </cell>
          <cell r="AL165" t="str">
            <v>•  None</v>
          </cell>
          <cell r="AM165" t="str">
            <v>• SAC for APPROVED CONTAINER use</v>
          </cell>
          <cell r="AN165" t="str">
            <v>•  Radiological Protection Program
•  Emergency Response Program
•  Fire Protection Program
•  Performance Based Training Program
•  Conduct of Operations</v>
          </cell>
        </row>
        <row r="166">
          <cell r="A166" t="str">
            <v>VF</v>
          </cell>
          <cell r="B166">
            <v>10</v>
          </cell>
          <cell r="C166" t="str">
            <v>Tornado</v>
          </cell>
          <cell r="D166" t="str">
            <v>Direct effects of tornado winds, falling objects, or tornado-produced missiles causing impacts to the facility. Event includes loss of contamination confinement resulting from abnormal facility differential pressures (backflow).</v>
          </cell>
          <cell r="E166">
            <v>1500</v>
          </cell>
          <cell r="F166" t="str">
            <v>IS</v>
          </cell>
          <cell r="G166">
            <v>1</v>
          </cell>
          <cell r="H166" t="str">
            <v>20m</v>
          </cell>
          <cell r="I166">
            <v>850</v>
          </cell>
          <cell r="J166" t="str">
            <v>U</v>
          </cell>
          <cell r="K166" t="str">
            <v>N</v>
          </cell>
          <cell r="L166" t="str">
            <v>L</v>
          </cell>
          <cell r="M166" t="str">
            <v>N</v>
          </cell>
          <cell r="N166" t="str">
            <v>N</v>
          </cell>
          <cell r="O166" t="str">
            <v>IV</v>
          </cell>
          <cell r="P166" t="str">
            <v>III</v>
          </cell>
          <cell r="Q166" t="str">
            <v>IV</v>
          </cell>
          <cell r="R166" t="str">
            <v>IV</v>
          </cell>
          <cell r="S166" t="str">
            <v>IS</v>
          </cell>
          <cell r="T166">
            <v>1</v>
          </cell>
          <cell r="U166" t="str">
            <v>20m</v>
          </cell>
          <cell r="V166">
            <v>850</v>
          </cell>
          <cell r="W166" t="str">
            <v>U</v>
          </cell>
          <cell r="X166" t="str">
            <v>N</v>
          </cell>
          <cell r="Y166" t="str">
            <v>L</v>
          </cell>
          <cell r="Z166" t="str">
            <v>N</v>
          </cell>
          <cell r="AA166" t="str">
            <v>N</v>
          </cell>
          <cell r="AB166" t="str">
            <v>IV</v>
          </cell>
          <cell r="AC166" t="str">
            <v>III</v>
          </cell>
          <cell r="AD166" t="str">
            <v>IV</v>
          </cell>
          <cell r="AE166" t="str">
            <v>IV</v>
          </cell>
          <cell r="AF166" t="str">
            <v xml:space="preserve">Source term for event expected to be limited to airborne contamination affected by large negative pressure associated with direct strike by a tornado. Facility confinement not expected to be affected by missiles of EBE.  MAR is entire inventory of radioactive material in the Vitrification Facility (Ref. WVNS-CAL-397, Table C-1).  </v>
          </cell>
          <cell r="AG166" t="str">
            <v>•  None</v>
          </cell>
          <cell r="AH166" t="str">
            <v>•  None</v>
          </cell>
          <cell r="AI166" t="str">
            <v>•  None</v>
          </cell>
          <cell r="AJ166" t="str">
            <v>•  None</v>
          </cell>
          <cell r="AK166" t="str">
            <v>•  None</v>
          </cell>
          <cell r="AL166" t="str">
            <v>•  Facility design capable of maintaining confinement integrity following design basis events</v>
          </cell>
          <cell r="AM166" t="str">
            <v>•  None</v>
          </cell>
          <cell r="AN166" t="str">
            <v>•  Radiological Protection Program
•  Emergency Response Program
•  Performance Based Training Program
•  Conduct of Operations</v>
          </cell>
        </row>
        <row r="167">
          <cell r="A167" t="str">
            <v>VF</v>
          </cell>
          <cell r="B167">
            <v>11</v>
          </cell>
          <cell r="C167" t="str">
            <v>Seismic event</v>
          </cell>
          <cell r="D167" t="str">
            <v>Seismic event causes failure of equipment or structure which impacts facility contamination and/or seismic event disturbs loose surface contamination. Confinement boundaries are expected to remain intact.</v>
          </cell>
          <cell r="E167">
            <v>1500</v>
          </cell>
          <cell r="F167" t="str">
            <v>EQ</v>
          </cell>
          <cell r="G167">
            <v>0.1</v>
          </cell>
          <cell r="H167" t="str">
            <v>20m</v>
          </cell>
          <cell r="I167">
            <v>850</v>
          </cell>
          <cell r="J167" t="str">
            <v>U</v>
          </cell>
          <cell r="K167" t="str">
            <v>N</v>
          </cell>
          <cell r="L167" t="str">
            <v>L</v>
          </cell>
          <cell r="M167" t="str">
            <v>N</v>
          </cell>
          <cell r="N167" t="str">
            <v>N</v>
          </cell>
          <cell r="O167" t="str">
            <v>IV</v>
          </cell>
          <cell r="P167" t="str">
            <v>III</v>
          </cell>
          <cell r="Q167" t="str">
            <v>IV</v>
          </cell>
          <cell r="R167" t="str">
            <v>IV</v>
          </cell>
          <cell r="S167" t="str">
            <v>EQ</v>
          </cell>
          <cell r="T167">
            <v>0.1</v>
          </cell>
          <cell r="U167" t="str">
            <v>20m</v>
          </cell>
          <cell r="V167">
            <v>850</v>
          </cell>
          <cell r="W167" t="str">
            <v>U</v>
          </cell>
          <cell r="X167" t="str">
            <v>N</v>
          </cell>
          <cell r="Y167" t="str">
            <v>L</v>
          </cell>
          <cell r="Z167" t="str">
            <v>N</v>
          </cell>
          <cell r="AA167" t="str">
            <v>N</v>
          </cell>
          <cell r="AB167" t="str">
            <v>IV</v>
          </cell>
          <cell r="AC167" t="str">
            <v>III</v>
          </cell>
          <cell r="AD167" t="str">
            <v>IV</v>
          </cell>
          <cell r="AE167" t="str">
            <v>IV</v>
          </cell>
          <cell r="AF167" t="str">
            <v xml:space="preserve">Facility confinement boundaries expected to remain intact following EBE.  MAR is entire inventory of radioactive material in the Vitrification Facility (Ref. WVNS-CAL-397, Table C-1).  </v>
          </cell>
          <cell r="AG167" t="str">
            <v>•  None</v>
          </cell>
          <cell r="AH167" t="str">
            <v>•  None</v>
          </cell>
          <cell r="AI167" t="str">
            <v>•  None</v>
          </cell>
          <cell r="AJ167" t="str">
            <v>•  None</v>
          </cell>
          <cell r="AK167" t="str">
            <v>•  None</v>
          </cell>
          <cell r="AL167" t="str">
            <v>•  Facility design capable of maintaining confinement integrity following design basis events</v>
          </cell>
          <cell r="AM167" t="str">
            <v>•  None</v>
          </cell>
          <cell r="AN167" t="str">
            <v>•  Radiological Protection Program
•  Emergency Response Program
•  Performance Based Training Program
•  Conduct of Operations</v>
          </cell>
        </row>
        <row r="168">
          <cell r="A168" t="str">
            <v>VF</v>
          </cell>
          <cell r="B168">
            <v>12</v>
          </cell>
          <cell r="C168" t="str">
            <v>HEPA filter fire</v>
          </cell>
          <cell r="D168" t="str">
            <v>In-cell fire propagates to HEPA filter bank</v>
          </cell>
          <cell r="E168">
            <v>1</v>
          </cell>
          <cell r="F168" t="str">
            <v>HF</v>
          </cell>
          <cell r="G168">
            <v>1</v>
          </cell>
          <cell r="H168" t="str">
            <v>20m</v>
          </cell>
          <cell r="I168">
            <v>850</v>
          </cell>
          <cell r="J168" t="str">
            <v>A</v>
          </cell>
          <cell r="K168" t="str">
            <v>N</v>
          </cell>
          <cell r="L168" t="str">
            <v>N</v>
          </cell>
          <cell r="M168" t="str">
            <v>N</v>
          </cell>
          <cell r="N168" t="str">
            <v>N</v>
          </cell>
          <cell r="O168" t="str">
            <v>IV</v>
          </cell>
          <cell r="P168" t="str">
            <v>IV</v>
          </cell>
          <cell r="Q168" t="str">
            <v>IV</v>
          </cell>
          <cell r="R168" t="str">
            <v>IV</v>
          </cell>
          <cell r="S168" t="str">
            <v>HF</v>
          </cell>
          <cell r="T168">
            <v>1</v>
          </cell>
          <cell r="U168" t="str">
            <v>20m</v>
          </cell>
          <cell r="V168">
            <v>850</v>
          </cell>
          <cell r="W168" t="str">
            <v>U</v>
          </cell>
          <cell r="X168" t="str">
            <v>N</v>
          </cell>
          <cell r="Y168" t="str">
            <v>N</v>
          </cell>
          <cell r="Z168" t="str">
            <v>N</v>
          </cell>
          <cell r="AA168" t="str">
            <v>N</v>
          </cell>
          <cell r="AB168" t="str">
            <v>IV</v>
          </cell>
          <cell r="AC168" t="str">
            <v>IV</v>
          </cell>
          <cell r="AD168" t="str">
            <v>IV</v>
          </cell>
          <cell r="AE168" t="str">
            <v>IV</v>
          </cell>
          <cell r="AF168" t="str">
            <v xml:space="preserve"> 10% of MPPB ventilation system MAR bounding for facility HEPA filters based on system environmental emission data </v>
          </cell>
          <cell r="AG168" t="str">
            <v>•  None</v>
          </cell>
          <cell r="AH168" t="str">
            <v>•  Spark arrestors on in-cell filters</v>
          </cell>
          <cell r="AI168" t="str">
            <v>•  None</v>
          </cell>
          <cell r="AJ168" t="str">
            <v>•  Quality Assurance Program
•  Fire Protection Program
•  Performance Based Training Program
•  Maintenance Program
•  Conduct of Operations</v>
          </cell>
          <cell r="AK168" t="str">
            <v>•  None</v>
          </cell>
          <cell r="AL168" t="str">
            <v>•  Redundant ventilation system filter trains and blowers</v>
          </cell>
          <cell r="AM168" t="str">
            <v>•  None</v>
          </cell>
          <cell r="AN168" t="str">
            <v>•  Radiological Protection Program
•  Emergency Response Program
•  Fire Protection Program
•  Performance Based Training Program
•  Conduct of Operations</v>
          </cell>
        </row>
        <row r="169">
          <cell r="A169" t="str">
            <v>VF</v>
          </cell>
          <cell r="B169">
            <v>13</v>
          </cell>
          <cell r="C169" t="str">
            <v>HEPA filter failure</v>
          </cell>
          <cell r="D169" t="str">
            <v>Excess moisture or particulate on filters or area pressure excursion causes high filter differential pressure, resulting in filter failure</v>
          </cell>
          <cell r="E169">
            <v>1</v>
          </cell>
          <cell r="F169" t="str">
            <v>HB</v>
          </cell>
          <cell r="G169">
            <v>1</v>
          </cell>
          <cell r="H169" t="str">
            <v>20m</v>
          </cell>
          <cell r="I169">
            <v>850</v>
          </cell>
          <cell r="J169" t="str">
            <v>A</v>
          </cell>
          <cell r="K169" t="str">
            <v>N</v>
          </cell>
          <cell r="L169" t="str">
            <v>L</v>
          </cell>
          <cell r="M169" t="str">
            <v>N</v>
          </cell>
          <cell r="N169" t="str">
            <v>N</v>
          </cell>
          <cell r="O169" t="str">
            <v>IV</v>
          </cell>
          <cell r="P169" t="str">
            <v>III</v>
          </cell>
          <cell r="Q169" t="str">
            <v>IV</v>
          </cell>
          <cell r="R169" t="str">
            <v>IV</v>
          </cell>
          <cell r="S169" t="str">
            <v>HB</v>
          </cell>
          <cell r="T169">
            <v>1</v>
          </cell>
          <cell r="U169" t="str">
            <v>20m</v>
          </cell>
          <cell r="V169">
            <v>850</v>
          </cell>
          <cell r="W169" t="str">
            <v>U</v>
          </cell>
          <cell r="X169" t="str">
            <v>N</v>
          </cell>
          <cell r="Y169" t="str">
            <v>L</v>
          </cell>
          <cell r="Z169" t="str">
            <v>N</v>
          </cell>
          <cell r="AA169" t="str">
            <v>N</v>
          </cell>
          <cell r="AB169" t="str">
            <v>IV</v>
          </cell>
          <cell r="AC169" t="str">
            <v>III</v>
          </cell>
          <cell r="AD169" t="str">
            <v>IV</v>
          </cell>
          <cell r="AE169" t="str">
            <v>IV</v>
          </cell>
          <cell r="AF169" t="str">
            <v xml:space="preserve"> 10% of MPPB ventilation system MAR bounding for facility HEPA filters based on system environmental emission data </v>
          </cell>
          <cell r="AG169" t="str">
            <v>•  None</v>
          </cell>
          <cell r="AH169" t="str">
            <v>•  Instrumentation and controls to switch trains on high differential pressure
•  Instrumentation and controls to provide backup ventilation blower capability</v>
          </cell>
          <cell r="AI169" t="str">
            <v>•  None</v>
          </cell>
          <cell r="AJ169" t="str">
            <v>•  Quality Assurance Program
•  Fire Protection Program
•  Performance Based Training Program
•  Maintenance Program
•  Conduct of Operations</v>
          </cell>
          <cell r="AK169" t="str">
            <v>•  None</v>
          </cell>
          <cell r="AL169" t="str">
            <v>•  Redundant ventilation system filter trains and blowers</v>
          </cell>
          <cell r="AM169" t="str">
            <v>•  None</v>
          </cell>
          <cell r="AN169" t="str">
            <v>•  Radiological Protection Program
•  Emergency Response Program
•  Performance Based Training Program
•  Conduct of Operations</v>
          </cell>
        </row>
        <row r="170">
          <cell r="A170" t="str">
            <v>VF</v>
          </cell>
          <cell r="B170">
            <v>14</v>
          </cell>
          <cell r="C170" t="str">
            <v>Loss of airborne contamination confinement</v>
          </cell>
          <cell r="D170" t="str">
            <v>Loss of power/redundancy resulting in loss of exhaust blower operability or other upset condition resulting in loss of airborne contamination confinement.</v>
          </cell>
          <cell r="E170">
            <v>1500</v>
          </cell>
          <cell r="F170" t="str">
            <v>AER</v>
          </cell>
          <cell r="G170">
            <v>1</v>
          </cell>
          <cell r="H170" t="str">
            <v>20m</v>
          </cell>
          <cell r="I170">
            <v>850</v>
          </cell>
          <cell r="J170" t="str">
            <v>A</v>
          </cell>
          <cell r="K170" t="str">
            <v>N</v>
          </cell>
          <cell r="L170" t="str">
            <v>L</v>
          </cell>
          <cell r="M170" t="str">
            <v>N</v>
          </cell>
          <cell r="N170" t="str">
            <v>N</v>
          </cell>
          <cell r="O170" t="str">
            <v>IV</v>
          </cell>
          <cell r="P170" t="str">
            <v>III</v>
          </cell>
          <cell r="Q170" t="str">
            <v>IV</v>
          </cell>
          <cell r="R170" t="str">
            <v>IV</v>
          </cell>
          <cell r="S170" t="str">
            <v>AER</v>
          </cell>
          <cell r="T170">
            <v>1</v>
          </cell>
          <cell r="U170" t="str">
            <v>20m</v>
          </cell>
          <cell r="V170">
            <v>850</v>
          </cell>
          <cell r="W170" t="str">
            <v>A</v>
          </cell>
          <cell r="X170" t="str">
            <v>N</v>
          </cell>
          <cell r="Y170" t="str">
            <v>L</v>
          </cell>
          <cell r="Z170" t="str">
            <v>N</v>
          </cell>
          <cell r="AA170" t="str">
            <v>N</v>
          </cell>
          <cell r="AB170" t="str">
            <v>IV</v>
          </cell>
          <cell r="AC170" t="str">
            <v>III</v>
          </cell>
          <cell r="AD170" t="str">
            <v>IV</v>
          </cell>
          <cell r="AE170" t="str">
            <v>IV</v>
          </cell>
          <cell r="AF170" t="str">
            <v xml:space="preserve">Contamination assumed to migrate from confinement boundary penetrations through aerodynamic entrainment and resuspension under static facility conditions. MAR is entire inventory of radioactive material in the Vitrification Facility (Ref. WVNS-CAL-397, Table C-1).  </v>
          </cell>
          <cell r="AG170" t="str">
            <v>•  None</v>
          </cell>
          <cell r="AH170" t="str">
            <v>•  Facility ventilation exhaust stack which continues to provide nominal facility negative via chimney effect</v>
          </cell>
          <cell r="AI170" t="str">
            <v>•  None</v>
          </cell>
          <cell r="AJ170" t="str">
            <v>•  Quality Assurance Program
•  Fire Protection Program
•  Performance Based Training Program
•  Maintenance Program
•  Conduct of Operations</v>
          </cell>
          <cell r="AK170" t="str">
            <v>•  None</v>
          </cell>
          <cell r="AL170" t="str">
            <v>•  Confinement capability of facility envelope
•  Nominal facility negative maintained on facility even under loss of active ventilation through stack "chimney effect"</v>
          </cell>
          <cell r="AM170" t="str">
            <v>•  None</v>
          </cell>
          <cell r="AN170" t="str">
            <v>•  Radiological Protection Program
•  Performance Based Training Program
•  Conduct of Operations</v>
          </cell>
        </row>
        <row r="171">
          <cell r="A171" t="str">
            <v>VF</v>
          </cell>
          <cell r="B171">
            <v>15</v>
          </cell>
          <cell r="C171" t="str">
            <v>Loss of liquid contamination confinement</v>
          </cell>
          <cell r="D171" t="str">
            <v>Vessel/line failure; sump overflow; roof leak; or other loss of contaminated liquid to an operating area or to the environment</v>
          </cell>
          <cell r="E171">
            <v>1</v>
          </cell>
          <cell r="F171" t="str">
            <v>FFS</v>
          </cell>
          <cell r="G171">
            <v>0.5</v>
          </cell>
          <cell r="H171" t="str">
            <v>20m</v>
          </cell>
          <cell r="I171">
            <v>850</v>
          </cell>
          <cell r="J171" t="str">
            <v>A</v>
          </cell>
          <cell r="K171" t="str">
            <v>N</v>
          </cell>
          <cell r="L171" t="str">
            <v>N</v>
          </cell>
          <cell r="M171" t="str">
            <v>N</v>
          </cell>
          <cell r="N171" t="str">
            <v>N</v>
          </cell>
          <cell r="O171" t="str">
            <v>IV</v>
          </cell>
          <cell r="P171" t="str">
            <v>IV</v>
          </cell>
          <cell r="Q171" t="str">
            <v>IV</v>
          </cell>
          <cell r="R171" t="str">
            <v>IV</v>
          </cell>
          <cell r="S171" t="str">
            <v>FFS</v>
          </cell>
          <cell r="T171">
            <v>0.5</v>
          </cell>
          <cell r="U171" t="str">
            <v>20m</v>
          </cell>
          <cell r="V171">
            <v>850</v>
          </cell>
          <cell r="W171" t="str">
            <v>A</v>
          </cell>
          <cell r="X171" t="str">
            <v>N</v>
          </cell>
          <cell r="Y171" t="str">
            <v>N</v>
          </cell>
          <cell r="Z171" t="str">
            <v>N</v>
          </cell>
          <cell r="AA171" t="str">
            <v>N</v>
          </cell>
          <cell r="AB171" t="str">
            <v>IV</v>
          </cell>
          <cell r="AC171" t="str">
            <v>IV</v>
          </cell>
          <cell r="AD171" t="str">
            <v>IV</v>
          </cell>
          <cell r="AE171" t="str">
            <v>IV</v>
          </cell>
          <cell r="AF171" t="str">
            <v xml:space="preserve">None.  </v>
          </cell>
          <cell r="AG171" t="str">
            <v>•  None</v>
          </cell>
          <cell r="AH171" t="str">
            <v>•  Cell liners/sumps and/or area berms</v>
          </cell>
          <cell r="AI171" t="str">
            <v>•  None</v>
          </cell>
          <cell r="AJ171" t="str">
            <v xml:space="preserve">•  Quality Assurance Program
•  Performance Based Training Program
•  Maintenance Program
•  Conduct of Operations
•  Waste Management Program </v>
          </cell>
          <cell r="AK171" t="str">
            <v>•  None</v>
          </cell>
          <cell r="AL171" t="str">
            <v>•  Cell sumps/liners</v>
          </cell>
          <cell r="AM171" t="str">
            <v>•  None</v>
          </cell>
          <cell r="AN171" t="str">
            <v>•  Radiological Protection Program
•  Performance Based Training Program
•  Conduct of Operations</v>
          </cell>
        </row>
        <row r="172">
          <cell r="A172" t="str">
            <v>VF</v>
          </cell>
          <cell r="B172">
            <v>16</v>
          </cell>
          <cell r="C172" t="str">
            <v>Flood</v>
          </cell>
          <cell r="D172" t="str">
            <v>A greater than 100-yr  rain event results in sheet flow that floods the storage area. Flooding may be exacerbated by plugged drainage channels or culverts.</v>
          </cell>
          <cell r="E172">
            <v>1500</v>
          </cell>
          <cell r="F172" t="str">
            <v>NA</v>
          </cell>
          <cell r="G172" t="str">
            <v>NA</v>
          </cell>
          <cell r="H172" t="str">
            <v>20m</v>
          </cell>
          <cell r="I172">
            <v>850</v>
          </cell>
          <cell r="J172" t="str">
            <v>U</v>
          </cell>
          <cell r="K172" t="str">
            <v>N</v>
          </cell>
          <cell r="L172" t="str">
            <v>N</v>
          </cell>
          <cell r="M172" t="str">
            <v>N</v>
          </cell>
          <cell r="N172" t="str">
            <v>N</v>
          </cell>
          <cell r="O172" t="str">
            <v>IV</v>
          </cell>
          <cell r="P172" t="str">
            <v>IV</v>
          </cell>
          <cell r="Q172" t="str">
            <v>IV</v>
          </cell>
          <cell r="R172" t="str">
            <v>IV</v>
          </cell>
          <cell r="S172" t="str">
            <v>NA</v>
          </cell>
          <cell r="T172" t="str">
            <v>NA</v>
          </cell>
          <cell r="U172" t="str">
            <v>20m</v>
          </cell>
          <cell r="V172">
            <v>850</v>
          </cell>
          <cell r="W172" t="str">
            <v>U</v>
          </cell>
          <cell r="X172" t="str">
            <v>N</v>
          </cell>
          <cell r="Y172" t="str">
            <v>N</v>
          </cell>
          <cell r="Z172" t="str">
            <v>N</v>
          </cell>
          <cell r="AA172" t="str">
            <v>N</v>
          </cell>
          <cell r="AB172" t="str">
            <v>IV</v>
          </cell>
          <cell r="AC172" t="str">
            <v>IV</v>
          </cell>
          <cell r="AD172" t="str">
            <v>IV</v>
          </cell>
          <cell r="AE172" t="str">
            <v>IV</v>
          </cell>
          <cell r="AF172" t="str">
            <v xml:space="preserve">Site topography places facility outside area vulnerable to flooding (ref. Figure 1.4-6).  MAR is entire inventory of radioactive material in the Vitrification Facility (Ref. WVNS-CAL-397, Table C-1).  </v>
          </cell>
          <cell r="AG172" t="str">
            <v>•  None</v>
          </cell>
          <cell r="AH172" t="str">
            <v>•  Siting of storage array in area away from areas of anticipated flooding</v>
          </cell>
          <cell r="AI172" t="str">
            <v>•  None</v>
          </cell>
          <cell r="AJ172" t="str">
            <v>•  None</v>
          </cell>
          <cell r="AK172" t="str">
            <v>•  None</v>
          </cell>
          <cell r="AL172" t="str">
            <v>•  None</v>
          </cell>
          <cell r="AM172" t="str">
            <v>•  None</v>
          </cell>
          <cell r="AN172" t="str">
            <v>•  Radiological Protection Program
•  Performance Based Training Program
•  Conduct of Operations</v>
          </cell>
        </row>
        <row r="173">
          <cell r="A173" t="str">
            <v>WTF</v>
          </cell>
          <cell r="B173">
            <v>1</v>
          </cell>
          <cell r="C173" t="str">
            <v>Small combustible material fire</v>
          </cell>
          <cell r="D173" t="str">
            <v>Fire occurs in a contaminated facility area. Includes accidents initiated due to pyrophoric reactions or reactions involving incompatible materials.</v>
          </cell>
          <cell r="E173">
            <v>850</v>
          </cell>
          <cell r="F173" t="str">
            <v>E02</v>
          </cell>
          <cell r="G173">
            <v>1</v>
          </cell>
          <cell r="H173" t="str">
            <v>Gnd</v>
          </cell>
          <cell r="I173">
            <v>850</v>
          </cell>
          <cell r="J173" t="str">
            <v>U</v>
          </cell>
          <cell r="K173" t="str">
            <v>H</v>
          </cell>
          <cell r="L173" t="str">
            <v>H</v>
          </cell>
          <cell r="M173" t="str">
            <v>N</v>
          </cell>
          <cell r="N173" t="str">
            <v>N</v>
          </cell>
          <cell r="O173" t="str">
            <v>I</v>
          </cell>
          <cell r="P173" t="str">
            <v>I</v>
          </cell>
          <cell r="Q173" t="str">
            <v>IV</v>
          </cell>
          <cell r="R173" t="str">
            <v>IV</v>
          </cell>
          <cell r="S173" t="str">
            <v>E02</v>
          </cell>
          <cell r="T173">
            <v>1.1999999999999999E-3</v>
          </cell>
          <cell r="U173" t="str">
            <v>Gnd</v>
          </cell>
          <cell r="V173">
            <v>850</v>
          </cell>
          <cell r="W173" t="str">
            <v>U</v>
          </cell>
          <cell r="X173" t="str">
            <v>L</v>
          </cell>
          <cell r="Y173" t="str">
            <v>L</v>
          </cell>
          <cell r="Z173" t="str">
            <v>N</v>
          </cell>
          <cell r="AA173" t="str">
            <v>N</v>
          </cell>
          <cell r="AB173" t="str">
            <v>III</v>
          </cell>
          <cell r="AC173" t="str">
            <v>III</v>
          </cell>
          <cell r="AD173" t="str">
            <v>IV</v>
          </cell>
          <cell r="AE173" t="str">
            <v>IV</v>
          </cell>
          <cell r="AF173" t="str">
            <v xml:space="preserve"> MAR is total inventory of activity in the WTF (Ref. WVNS-CAL-397, Table C-1).  DR reflects the fact that only MAR equal to that associated with facility ventilation system would be expected to be involved in event.</v>
          </cell>
          <cell r="AG173" t="str">
            <v>•  None</v>
          </cell>
          <cell r="AH173" t="str">
            <v>•  None</v>
          </cell>
          <cell r="AI173" t="str">
            <v>•  None</v>
          </cell>
          <cell r="AJ173" t="str">
            <v xml:space="preserve">•  Quality Assurance Program
•  Fire Protection Program
-   “Hot work” controls
-   Combustible material control program
•  Performance Based Training Program
•  Maintenance Program
•  Conduct of Operations
•  Waste Management Program </v>
          </cell>
          <cell r="AK173" t="str">
            <v>•  APPROVED CONTAINERS used for TRU waste storage
•  TSR-compliant packaging for high activity TRU waste</v>
          </cell>
          <cell r="AL173" t="str">
            <v>•  Wet pipe sprinkler system in PVS Building
•  Dry pipe sprinkler system in STS Support Building</v>
          </cell>
          <cell r="AM173" t="str">
            <v>•  None</v>
          </cell>
          <cell r="AN173" t="str">
            <v>•  Radiological Protection Program
•  Emergency Response Program
•  Fire Protection Program
•  Performance Based Training Program
•  Conduct of Operations</v>
          </cell>
        </row>
        <row r="174">
          <cell r="A174" t="str">
            <v>WTF</v>
          </cell>
          <cell r="B174">
            <v>2</v>
          </cell>
          <cell r="C174" t="str">
            <v>Seismic event</v>
          </cell>
          <cell r="D174" t="str">
            <v>Seismic event causes failure of equipment or structure which impacts facility contamination and/or seismic event disturbs loose surface contamination. Confinement boundaries are expected to remain intact.</v>
          </cell>
          <cell r="E174">
            <v>850</v>
          </cell>
          <cell r="F174" t="str">
            <v>EQ</v>
          </cell>
          <cell r="G174">
            <v>0.1</v>
          </cell>
          <cell r="H174" t="str">
            <v>Gnd</v>
          </cell>
          <cell r="I174">
            <v>850</v>
          </cell>
          <cell r="J174" t="str">
            <v>U</v>
          </cell>
          <cell r="K174" t="str">
            <v>H</v>
          </cell>
          <cell r="L174" t="str">
            <v>M</v>
          </cell>
          <cell r="M174" t="str">
            <v>N</v>
          </cell>
          <cell r="N174" t="str">
            <v>N</v>
          </cell>
          <cell r="O174" t="str">
            <v>I</v>
          </cell>
          <cell r="P174" t="str">
            <v>II</v>
          </cell>
          <cell r="Q174" t="str">
            <v>IV</v>
          </cell>
          <cell r="R174" t="str">
            <v>IV</v>
          </cell>
          <cell r="S174" t="str">
            <v>EQ</v>
          </cell>
          <cell r="T174">
            <v>1.2E-5</v>
          </cell>
          <cell r="U174" t="str">
            <v>Gnd</v>
          </cell>
          <cell r="V174">
            <v>850</v>
          </cell>
          <cell r="W174" t="str">
            <v>U</v>
          </cell>
          <cell r="X174" t="str">
            <v>N</v>
          </cell>
          <cell r="Y174" t="str">
            <v>N</v>
          </cell>
          <cell r="Z174" t="str">
            <v>N</v>
          </cell>
          <cell r="AA174" t="str">
            <v>N</v>
          </cell>
          <cell r="AB174" t="str">
            <v>IV</v>
          </cell>
          <cell r="AC174" t="str">
            <v>IV</v>
          </cell>
          <cell r="AD174" t="str">
            <v>IV</v>
          </cell>
          <cell r="AE174" t="str">
            <v>IV</v>
          </cell>
          <cell r="AF174" t="str">
            <v xml:space="preserve">Facility confinement boundaries expected to remain intact following EBE.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74" t="str">
            <v>•  None</v>
          </cell>
          <cell r="AH174" t="str">
            <v>•  None</v>
          </cell>
          <cell r="AI174" t="str">
            <v>•  None</v>
          </cell>
          <cell r="AJ174" t="str">
            <v>•  None</v>
          </cell>
          <cell r="AK174" t="str">
            <v>•  None</v>
          </cell>
          <cell r="AL174" t="str">
            <v>•  Facility design capable of maintaining confinement integrity following design basis events</v>
          </cell>
          <cell r="AM174" t="str">
            <v>•  None</v>
          </cell>
          <cell r="AN174" t="str">
            <v>•  Radiological Protection Program
•  Emergency Response Program
•  Performance Based Training Program
•  Conduct of Operations</v>
          </cell>
        </row>
        <row r="175">
          <cell r="A175" t="str">
            <v>WTF</v>
          </cell>
          <cell r="B175">
            <v>3</v>
          </cell>
          <cell r="C175" t="str">
            <v>Drop/impact/spill</v>
          </cell>
          <cell r="D175" t="str">
            <v>Upset during maintenance, tank sampling, deactivation, or D&amp;D (including the WTF Equipment Shelter); tank leak; or other uncontrolled release of contaminated liquid.</v>
          </cell>
          <cell r="E175">
            <v>1</v>
          </cell>
          <cell r="F175" t="str">
            <v>IS</v>
          </cell>
          <cell r="G175">
            <v>1</v>
          </cell>
          <cell r="H175" t="str">
            <v>Gnd</v>
          </cell>
          <cell r="I175">
            <v>850</v>
          </cell>
          <cell r="J175" t="str">
            <v>A</v>
          </cell>
          <cell r="K175" t="str">
            <v>N</v>
          </cell>
          <cell r="L175" t="str">
            <v>N</v>
          </cell>
          <cell r="M175" t="str">
            <v>N</v>
          </cell>
          <cell r="N175" t="str">
            <v>N</v>
          </cell>
          <cell r="O175" t="str">
            <v>IV</v>
          </cell>
          <cell r="P175" t="str">
            <v>IV</v>
          </cell>
          <cell r="Q175" t="str">
            <v>IV</v>
          </cell>
          <cell r="R175" t="str">
            <v>IV</v>
          </cell>
          <cell r="S175" t="str">
            <v>IS</v>
          </cell>
          <cell r="T175">
            <v>1</v>
          </cell>
          <cell r="U175" t="str">
            <v>Gnd</v>
          </cell>
          <cell r="V175">
            <v>850</v>
          </cell>
          <cell r="W175" t="str">
            <v>U</v>
          </cell>
          <cell r="X175" t="str">
            <v>N</v>
          </cell>
          <cell r="Y175" t="str">
            <v>N</v>
          </cell>
          <cell r="Z175" t="str">
            <v>N</v>
          </cell>
          <cell r="AA175" t="str">
            <v>N</v>
          </cell>
          <cell r="AB175" t="str">
            <v>IV</v>
          </cell>
          <cell r="AC175" t="str">
            <v>IV</v>
          </cell>
          <cell r="AD175" t="str">
            <v>IV</v>
          </cell>
          <cell r="AE175" t="str">
            <v>IV</v>
          </cell>
          <cell r="AF175" t="str">
            <v xml:space="preserve">Event is assumed to involve drop of HEPA filter during changeout. This event would bound any releases associated with drop of equipment internal to a waste tank (e.g. sampling component).  10% of MPPB ventilation system MAR bounding for facility HEPA filters based on system environmental emission data </v>
          </cell>
          <cell r="AG175" t="str">
            <v>•  None</v>
          </cell>
          <cell r="AH175" t="str">
            <v>•  None</v>
          </cell>
          <cell r="AI175" t="str">
            <v>•  None</v>
          </cell>
          <cell r="AJ175" t="str">
            <v xml:space="preserve">•  Quality Assurance Program
•  Performance Based Training Program
•  Maintenance Program
•  Conduct of Operations
•  Waste Management Program </v>
          </cell>
          <cell r="AK175" t="str">
            <v>•  None</v>
          </cell>
          <cell r="AL175" t="str">
            <v>•  Confinement capability of tank/vault structure</v>
          </cell>
          <cell r="AM175" t="str">
            <v>•  None</v>
          </cell>
          <cell r="AN175" t="str">
            <v>•  Radiological Protection Program
•  Emergency Response Program
•  Performance Based Training Program
•  Conduct of Operations</v>
          </cell>
        </row>
        <row r="176">
          <cell r="A176" t="str">
            <v>WTF</v>
          </cell>
          <cell r="B176">
            <v>4</v>
          </cell>
          <cell r="C176" t="str">
            <v>Direct exposure to radiation</v>
          </cell>
          <cell r="D176" t="str">
            <v>Gamma dose rate substantially understated by instrumentation, shielding reconfigured in undesired manner, or human error resulting in dose to worker(s) on the order of tens of rem.</v>
          </cell>
          <cell r="E176" t="str">
            <v>Not applicable.</v>
          </cell>
          <cell r="F176" t="str">
            <v>NA</v>
          </cell>
          <cell r="G176" t="str">
            <v>NA</v>
          </cell>
          <cell r="H176" t="str">
            <v>Gnd</v>
          </cell>
          <cell r="I176">
            <v>850</v>
          </cell>
          <cell r="J176" t="str">
            <v>A</v>
          </cell>
          <cell r="K176" t="str">
            <v>M</v>
          </cell>
          <cell r="L176" t="str">
            <v>N</v>
          </cell>
          <cell r="M176" t="str">
            <v>N</v>
          </cell>
          <cell r="N176" t="str">
            <v>N</v>
          </cell>
          <cell r="O176" t="str">
            <v>I</v>
          </cell>
          <cell r="P176" t="str">
            <v>IV</v>
          </cell>
          <cell r="Q176" t="str">
            <v>IV</v>
          </cell>
          <cell r="R176" t="str">
            <v>IV</v>
          </cell>
          <cell r="S176" t="str">
            <v>NA</v>
          </cell>
          <cell r="T176" t="str">
            <v>NA</v>
          </cell>
          <cell r="U176" t="str">
            <v>Gnd</v>
          </cell>
          <cell r="V176">
            <v>850</v>
          </cell>
          <cell r="W176" t="str">
            <v>U</v>
          </cell>
          <cell r="X176" t="str">
            <v>L</v>
          </cell>
          <cell r="Y176" t="str">
            <v>N</v>
          </cell>
          <cell r="Z176" t="str">
            <v>N</v>
          </cell>
          <cell r="AA176" t="str">
            <v>N</v>
          </cell>
          <cell r="AB176" t="str">
            <v>III</v>
          </cell>
          <cell r="AC176" t="str">
            <v>IV</v>
          </cell>
          <cell r="AD176" t="str">
            <v>IV</v>
          </cell>
          <cell r="AE176" t="str">
            <v>IV</v>
          </cell>
          <cell r="AF176" t="str">
            <v xml:space="preserve">Radiation Protection Program credited with ensuring that personnel exposures are within DOE accepted guidelines.   </v>
          </cell>
          <cell r="AG176" t="str">
            <v>•  None</v>
          </cell>
          <cell r="AH176" t="str">
            <v>•  Engineered radiation shielding on high dose rate waste containers</v>
          </cell>
          <cell r="AI176" t="str">
            <v>•  None</v>
          </cell>
          <cell r="AJ176" t="str">
            <v xml:space="preserve">•  Radiological Protection Program
•  Quality Assurance Program
•  Performance Based Training Program
•  Conduct of Operations
•  Waste Management Program </v>
          </cell>
          <cell r="AK176" t="str">
            <v>•  None</v>
          </cell>
          <cell r="AL176" t="str">
            <v>•  None</v>
          </cell>
          <cell r="AM176" t="str">
            <v>•  None</v>
          </cell>
          <cell r="AN176" t="str">
            <v>•  Radiological Protection Program
•  Performance Based Training Program
•  Conduct of Operations</v>
          </cell>
        </row>
        <row r="177">
          <cell r="A177" t="str">
            <v>WTF</v>
          </cell>
          <cell r="B177">
            <v>5</v>
          </cell>
          <cell r="C177" t="str">
            <v>Criticality</v>
          </cell>
          <cell r="D177" t="str">
            <v>Inadvertent criticality occurs due to multiple independent failures and/or highly improbable circumstances</v>
          </cell>
          <cell r="E177" t="str">
            <v>&gt;450 FGE
Pu-239</v>
          </cell>
          <cell r="F177" t="str">
            <v>NA</v>
          </cell>
          <cell r="G177" t="str">
            <v>NA</v>
          </cell>
          <cell r="H177" t="str">
            <v>Gnd</v>
          </cell>
          <cell r="I177">
            <v>850</v>
          </cell>
          <cell r="J177" t="str">
            <v>BEU</v>
          </cell>
          <cell r="K177" t="str">
            <v>L</v>
          </cell>
          <cell r="L177" t="str">
            <v>N</v>
          </cell>
          <cell r="M177" t="str">
            <v>N</v>
          </cell>
          <cell r="N177" t="str">
            <v>N</v>
          </cell>
          <cell r="O177" t="str">
            <v>IV</v>
          </cell>
          <cell r="P177" t="str">
            <v>IV</v>
          </cell>
          <cell r="Q177" t="str">
            <v>IV</v>
          </cell>
          <cell r="R177" t="str">
            <v>IV</v>
          </cell>
          <cell r="S177" t="str">
            <v>NA</v>
          </cell>
          <cell r="T177" t="str">
            <v>NA</v>
          </cell>
          <cell r="U177" t="str">
            <v>Gnd</v>
          </cell>
          <cell r="V177">
            <v>850</v>
          </cell>
          <cell r="W177" t="str">
            <v>BEU</v>
          </cell>
          <cell r="X177" t="str">
            <v>L</v>
          </cell>
          <cell r="Y177" t="str">
            <v>N</v>
          </cell>
          <cell r="Z177" t="str">
            <v>N</v>
          </cell>
          <cell r="AA177" t="str">
            <v>N</v>
          </cell>
          <cell r="AB177" t="str">
            <v>IV</v>
          </cell>
          <cell r="AC177" t="str">
            <v>IV</v>
          </cell>
          <cell r="AD177" t="str">
            <v>IV</v>
          </cell>
          <cell r="AE177" t="str">
            <v>IV</v>
          </cell>
          <cell r="AF177" t="str">
            <v xml:space="preserve">WTF estimated to contain approximately 3,200 FGE Pu-239 per WVNS-CAL-397, R0. Only tanks 8D-1 and 8D-2 believed to contain greater than a safe mass of fissile material. Areal concentration of fissile material significantly below safe concentrations as specified in ANSI/ANS-8.1. No credible means to concentrate materials within the tank.   </v>
          </cell>
          <cell r="AG177" t="str">
            <v>•  None</v>
          </cell>
          <cell r="AH177" t="str">
            <v>•  None</v>
          </cell>
          <cell r="AI177" t="str">
            <v>• PSR limits on container fissile mass
• PSR for fissile material storage containers</v>
          </cell>
          <cell r="AJ177" t="str">
            <v xml:space="preserve">•  Radiological Protection Program
•  Nuclear Criticality Safety Program
•  Quality Assurance Program
•  Performance Based Training Program
•  Conduct of Operations
•  Waste Management Program </v>
          </cell>
          <cell r="AK177" t="str">
            <v>•  None</v>
          </cell>
          <cell r="AL177" t="str">
            <v>•  None</v>
          </cell>
          <cell r="AM177" t="str">
            <v>•  None</v>
          </cell>
          <cell r="AN177" t="str">
            <v>•  Radiological Protection Program
•  Nuclear Criticality Safety Program
•  Emergency Response Program
•  Performance Based Training Program
•  Conduct of Operations</v>
          </cell>
        </row>
        <row r="178">
          <cell r="A178" t="str">
            <v>WTF</v>
          </cell>
          <cell r="B178">
            <v>6</v>
          </cell>
          <cell r="C178" t="str">
            <v>Aircraft impact with fire</v>
          </cell>
          <cell r="D178" t="str">
            <v>Small general aviation aircraft or helicopter crashes and a fire ensues</v>
          </cell>
          <cell r="E178">
            <v>1</v>
          </cell>
          <cell r="F178" t="str">
            <v>HF</v>
          </cell>
          <cell r="G178">
            <v>1</v>
          </cell>
          <cell r="H178" t="str">
            <v>Gnd</v>
          </cell>
          <cell r="I178">
            <v>850</v>
          </cell>
          <cell r="J178" t="str">
            <v>BEU</v>
          </cell>
          <cell r="K178" t="str">
            <v>N</v>
          </cell>
          <cell r="L178" t="str">
            <v>N</v>
          </cell>
          <cell r="M178" t="str">
            <v>N</v>
          </cell>
          <cell r="N178" t="str">
            <v>N</v>
          </cell>
          <cell r="O178" t="str">
            <v>IV</v>
          </cell>
          <cell r="P178" t="str">
            <v>IV</v>
          </cell>
          <cell r="Q178" t="str">
            <v>IV</v>
          </cell>
          <cell r="R178" t="str">
            <v>IV</v>
          </cell>
          <cell r="S178" t="str">
            <v>HF</v>
          </cell>
          <cell r="T178">
            <v>1</v>
          </cell>
          <cell r="U178" t="str">
            <v>Gnd</v>
          </cell>
          <cell r="V178">
            <v>850</v>
          </cell>
          <cell r="W178" t="str">
            <v>BEU</v>
          </cell>
          <cell r="X178" t="str">
            <v>N</v>
          </cell>
          <cell r="Y178" t="str">
            <v>N</v>
          </cell>
          <cell r="Z178" t="str">
            <v>N</v>
          </cell>
          <cell r="AA178" t="str">
            <v>N</v>
          </cell>
          <cell r="AB178" t="str">
            <v>IV</v>
          </cell>
          <cell r="AC178" t="str">
            <v>IV</v>
          </cell>
          <cell r="AD178" t="str">
            <v>IV</v>
          </cell>
          <cell r="AE178" t="str">
            <v>IV</v>
          </cell>
          <cell r="AF178" t="str">
            <v xml:space="preserve">Event not expected to impact radioactive materials within HLW tanks. Only activity in ventilation system would be expected to be affected. Event BEU per WVNS-CAL-388. Only facility ventilation system vulnerable to event. MAR is bounded by 10% of MPPB ventilation system MAR based on system environmental emission data. </v>
          </cell>
          <cell r="AG178" t="str">
            <v>•  None</v>
          </cell>
          <cell r="AH178" t="str">
            <v>•  None</v>
          </cell>
          <cell r="AI178" t="str">
            <v>•  None</v>
          </cell>
          <cell r="AJ178" t="str">
            <v>•  None</v>
          </cell>
          <cell r="AK178" t="str">
            <v>•  None</v>
          </cell>
          <cell r="AL178" t="str">
            <v>•  None</v>
          </cell>
          <cell r="AM178" t="str">
            <v>•  None</v>
          </cell>
          <cell r="AN178" t="str">
            <v>•  None</v>
          </cell>
        </row>
        <row r="179">
          <cell r="A179" t="str">
            <v>WTF</v>
          </cell>
          <cell r="B179">
            <v>7</v>
          </cell>
          <cell r="C179" t="str">
            <v>HEPA filter fire</v>
          </cell>
          <cell r="D179" t="str">
            <v>Area fire propagates to HEPA filter bank</v>
          </cell>
          <cell r="E179">
            <v>1</v>
          </cell>
          <cell r="F179" t="str">
            <v>HF</v>
          </cell>
          <cell r="G179">
            <v>1</v>
          </cell>
          <cell r="H179" t="str">
            <v>Gnd</v>
          </cell>
          <cell r="I179">
            <v>850</v>
          </cell>
          <cell r="J179" t="str">
            <v>U</v>
          </cell>
          <cell r="K179" t="str">
            <v>N</v>
          </cell>
          <cell r="L179" t="str">
            <v>N</v>
          </cell>
          <cell r="M179" t="str">
            <v>N</v>
          </cell>
          <cell r="N179" t="str">
            <v>N</v>
          </cell>
          <cell r="O179" t="str">
            <v>IV</v>
          </cell>
          <cell r="P179" t="str">
            <v>IV</v>
          </cell>
          <cell r="Q179" t="str">
            <v>IV</v>
          </cell>
          <cell r="R179" t="str">
            <v>IV</v>
          </cell>
          <cell r="S179" t="str">
            <v>HF</v>
          </cell>
          <cell r="T179">
            <v>1</v>
          </cell>
          <cell r="U179" t="str">
            <v>Gnd</v>
          </cell>
          <cell r="V179">
            <v>850</v>
          </cell>
          <cell r="W179" t="str">
            <v>U</v>
          </cell>
          <cell r="X179" t="str">
            <v>N</v>
          </cell>
          <cell r="Y179" t="str">
            <v>N</v>
          </cell>
          <cell r="Z179" t="str">
            <v>N</v>
          </cell>
          <cell r="AA179" t="str">
            <v>N</v>
          </cell>
          <cell r="AB179" t="str">
            <v>IV</v>
          </cell>
          <cell r="AC179" t="str">
            <v>IV</v>
          </cell>
          <cell r="AD179" t="str">
            <v>IV</v>
          </cell>
          <cell r="AE179" t="str">
            <v>IV</v>
          </cell>
          <cell r="AF179" t="str">
            <v xml:space="preserve"> 10% of MPPB ventilation system MAR bounding for facility HEPA filters based on system environmental emission data </v>
          </cell>
          <cell r="AG179" t="str">
            <v>•  None</v>
          </cell>
          <cell r="AH179" t="str">
            <v>•  None</v>
          </cell>
          <cell r="AI179" t="str">
            <v>•  None</v>
          </cell>
          <cell r="AJ179" t="str">
            <v>•  Quality Assurance Program
•  Fire Protection Program
•  Performance Based Training Program
•  Maintenance Program
•  Conduct of Operations</v>
          </cell>
          <cell r="AK179" t="str">
            <v>•  None</v>
          </cell>
          <cell r="AL179" t="str">
            <v>•  Redundant ventilation system filter trains and blowers</v>
          </cell>
          <cell r="AM179" t="str">
            <v>•  None</v>
          </cell>
          <cell r="AN179" t="str">
            <v>•  Radiological Protection Program
•  Emergency Response Program
•  Fire Protection Program
•  Performance Based Training Program
•  Conduct of Operations</v>
          </cell>
        </row>
        <row r="180">
          <cell r="A180" t="str">
            <v>WTF</v>
          </cell>
          <cell r="B180">
            <v>8</v>
          </cell>
          <cell r="C180" t="str">
            <v>HEPA filter failure</v>
          </cell>
          <cell r="D180" t="str">
            <v>Excess moisture or particulate on filters or area pressure excursion causes high filter differential pressure, resulting in filter failure</v>
          </cell>
          <cell r="E180">
            <v>1</v>
          </cell>
          <cell r="F180" t="str">
            <v>HB</v>
          </cell>
          <cell r="G180">
            <v>1</v>
          </cell>
          <cell r="H180" t="str">
            <v>Gnd</v>
          </cell>
          <cell r="I180">
            <v>850</v>
          </cell>
          <cell r="J180" t="str">
            <v>A</v>
          </cell>
          <cell r="K180" t="str">
            <v>L</v>
          </cell>
          <cell r="L180" t="str">
            <v>L</v>
          </cell>
          <cell r="M180" t="str">
            <v>N</v>
          </cell>
          <cell r="N180" t="str">
            <v>N</v>
          </cell>
          <cell r="O180" t="str">
            <v>III</v>
          </cell>
          <cell r="P180" t="str">
            <v>III</v>
          </cell>
          <cell r="Q180" t="str">
            <v>IV</v>
          </cell>
          <cell r="R180" t="str">
            <v>IV</v>
          </cell>
          <cell r="S180" t="str">
            <v>HB</v>
          </cell>
          <cell r="T180">
            <v>1</v>
          </cell>
          <cell r="U180" t="str">
            <v>Gnd</v>
          </cell>
          <cell r="V180">
            <v>850</v>
          </cell>
          <cell r="W180" t="str">
            <v>U</v>
          </cell>
          <cell r="X180" t="str">
            <v>L</v>
          </cell>
          <cell r="Y180" t="str">
            <v>L</v>
          </cell>
          <cell r="Z180" t="str">
            <v>N</v>
          </cell>
          <cell r="AA180" t="str">
            <v>N</v>
          </cell>
          <cell r="AB180" t="str">
            <v>III</v>
          </cell>
          <cell r="AC180" t="str">
            <v>III</v>
          </cell>
          <cell r="AD180" t="str">
            <v>IV</v>
          </cell>
          <cell r="AE180" t="str">
            <v>IV</v>
          </cell>
          <cell r="AF180" t="str">
            <v xml:space="preserve"> 10% of MPPB ventilation system MAR bounding for facility HEPA filters based on system environmental emission data </v>
          </cell>
          <cell r="AG180" t="str">
            <v>•  None</v>
          </cell>
          <cell r="AH180" t="str">
            <v>•  Instrumentation and controls to switch trains on high differential pressure
•  Instrumentation and controls to provide backup ventilation blower capability</v>
          </cell>
          <cell r="AI180" t="str">
            <v>•  None</v>
          </cell>
          <cell r="AJ180" t="str">
            <v>•  Quality Assurance Program
•  Fire Protection Program
•  Performance Based Training Program
•  Maintenance Program
•  Conduct of Operations</v>
          </cell>
          <cell r="AK180" t="str">
            <v>•  None</v>
          </cell>
          <cell r="AL180" t="str">
            <v>•  Redundant ventilation system filter trains and blowers</v>
          </cell>
          <cell r="AM180" t="str">
            <v>•  None</v>
          </cell>
          <cell r="AN180" t="str">
            <v>•  Radiological Protection Program
•  Emergency Response Program
•  Performance Based Training Program
•  Conduct of Operations</v>
          </cell>
        </row>
        <row r="181">
          <cell r="A181" t="str">
            <v>WTF</v>
          </cell>
          <cell r="B181">
            <v>9</v>
          </cell>
          <cell r="C181" t="str">
            <v>Loss of airborne contamination confinement</v>
          </cell>
          <cell r="D181" t="str">
            <v>Loss of power/redundancy resulting in loss of exhaust blower operability or other upset condition resulting in loss of airborne contamination confinement.</v>
          </cell>
          <cell r="E181">
            <v>850</v>
          </cell>
          <cell r="F181" t="str">
            <v>AER</v>
          </cell>
          <cell r="G181">
            <v>1</v>
          </cell>
          <cell r="H181" t="str">
            <v>Gnd</v>
          </cell>
          <cell r="I181">
            <v>850</v>
          </cell>
          <cell r="J181" t="str">
            <v>A</v>
          </cell>
          <cell r="K181" t="str">
            <v>L</v>
          </cell>
          <cell r="L181" t="str">
            <v>L</v>
          </cell>
          <cell r="M181" t="str">
            <v>N</v>
          </cell>
          <cell r="N181" t="str">
            <v>N</v>
          </cell>
          <cell r="O181" t="str">
            <v>III</v>
          </cell>
          <cell r="P181" t="str">
            <v>III</v>
          </cell>
          <cell r="Q181" t="str">
            <v>IV</v>
          </cell>
          <cell r="R181" t="str">
            <v>IV</v>
          </cell>
          <cell r="S181" t="str">
            <v>AER</v>
          </cell>
          <cell r="T181">
            <v>1.2E-4</v>
          </cell>
          <cell r="U181" t="str">
            <v>Gnd</v>
          </cell>
          <cell r="V181">
            <v>850</v>
          </cell>
          <cell r="W181" t="str">
            <v>A</v>
          </cell>
          <cell r="X181" t="str">
            <v>N</v>
          </cell>
          <cell r="Y181" t="str">
            <v>N</v>
          </cell>
          <cell r="Z181" t="str">
            <v>N</v>
          </cell>
          <cell r="AA181" t="str">
            <v>N</v>
          </cell>
          <cell r="AB181" t="str">
            <v>IV</v>
          </cell>
          <cell r="AC181" t="str">
            <v>IV</v>
          </cell>
          <cell r="AD181" t="str">
            <v>IV</v>
          </cell>
          <cell r="AE181" t="str">
            <v>IV</v>
          </cell>
          <cell r="AF181" t="str">
            <v xml:space="preserve">Contamination assumed to migrate from confinement boundary penetrations through aerodynamic entrainment and resuspension under static facility conditions.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81" t="str">
            <v>•  None</v>
          </cell>
          <cell r="AH181" t="str">
            <v>•  Facility ventilation exhaust stack which continues to provide nominal facility negative via chimney effect</v>
          </cell>
          <cell r="AI181" t="str">
            <v>•  None</v>
          </cell>
          <cell r="AJ181" t="str">
            <v>•  Quality Assurance Program
•  Fire Protection Program
•  Performance Based Training Program
•  Maintenance Program
•  Conduct of Operations</v>
          </cell>
          <cell r="AK181" t="str">
            <v>•  None</v>
          </cell>
          <cell r="AL181" t="str">
            <v>•  Confinement capability of facility envelope
•  Nominal facility negative maintained on facility even under loss of active ventilation through stack "chimney effect"</v>
          </cell>
          <cell r="AM181" t="str">
            <v>•  None</v>
          </cell>
          <cell r="AN181" t="str">
            <v>•  Radiological Protection Program
•  Performance Based Training Program
•  Conduct of Operations</v>
          </cell>
        </row>
        <row r="182">
          <cell r="A182" t="str">
            <v>WTF</v>
          </cell>
          <cell r="B182">
            <v>10</v>
          </cell>
          <cell r="C182" t="str">
            <v>Loss of liquid contamination confinement</v>
          </cell>
          <cell r="D182" t="str">
            <v>Vessel/line/sampler failure; operational upset</v>
          </cell>
          <cell r="E182">
            <v>1</v>
          </cell>
          <cell r="F182" t="str">
            <v>FFS</v>
          </cell>
          <cell r="G182">
            <v>0.5</v>
          </cell>
          <cell r="H182" t="str">
            <v>Gnd</v>
          </cell>
          <cell r="I182">
            <v>850</v>
          </cell>
          <cell r="J182" t="str">
            <v>A</v>
          </cell>
          <cell r="K182" t="str">
            <v>N</v>
          </cell>
          <cell r="L182" t="str">
            <v>N</v>
          </cell>
          <cell r="M182" t="str">
            <v>N</v>
          </cell>
          <cell r="N182" t="str">
            <v>N</v>
          </cell>
          <cell r="O182" t="str">
            <v>IV</v>
          </cell>
          <cell r="P182" t="str">
            <v>IV</v>
          </cell>
          <cell r="Q182" t="str">
            <v>IV</v>
          </cell>
          <cell r="R182" t="str">
            <v>IV</v>
          </cell>
          <cell r="S182" t="str">
            <v>FFS</v>
          </cell>
          <cell r="T182">
            <v>0.5</v>
          </cell>
          <cell r="U182" t="str">
            <v>Gnd</v>
          </cell>
          <cell r="V182">
            <v>850</v>
          </cell>
          <cell r="W182" t="str">
            <v>A</v>
          </cell>
          <cell r="X182" t="str">
            <v>N</v>
          </cell>
          <cell r="Y182" t="str">
            <v>N</v>
          </cell>
          <cell r="Z182" t="str">
            <v>N</v>
          </cell>
          <cell r="AA182" t="str">
            <v>N</v>
          </cell>
          <cell r="AB182" t="str">
            <v>IV</v>
          </cell>
          <cell r="AC182" t="str">
            <v>IV</v>
          </cell>
          <cell r="AD182" t="str">
            <v>IV</v>
          </cell>
          <cell r="AE182" t="str">
            <v>IV</v>
          </cell>
          <cell r="AF182" t="str">
            <v xml:space="preserve">None.  </v>
          </cell>
          <cell r="AG182" t="str">
            <v>•  None</v>
          </cell>
          <cell r="AH182" t="str">
            <v>•  Cell liners/sumps and/or area berms</v>
          </cell>
          <cell r="AI182" t="str">
            <v>•  None</v>
          </cell>
          <cell r="AJ182" t="str">
            <v xml:space="preserve">•  Quality Assurance Program
•  Performance Based Training Program
•  Maintenance Program
•  Conduct of Operations
•  Waste Management Program </v>
          </cell>
          <cell r="AK182" t="str">
            <v>•  None</v>
          </cell>
          <cell r="AL182" t="str">
            <v>•  Tank pans/vault liners</v>
          </cell>
          <cell r="AM182" t="str">
            <v>•  None</v>
          </cell>
          <cell r="AN182" t="str">
            <v>•  Radiological Protection Program
•  Performance Based Training Program
•  Conduct of Operations</v>
          </cell>
        </row>
        <row r="183">
          <cell r="A183" t="str">
            <v>WTF</v>
          </cell>
          <cell r="B183">
            <v>11</v>
          </cell>
          <cell r="C183" t="str">
            <v>Tornado</v>
          </cell>
          <cell r="D183" t="str">
            <v>Direct effects of tornado winds, falling objects, or tornado-produced missiles causing impacts to the facility. Event includes loss of contamination confinement resulting from abnormal facility differential pressures (backflow).</v>
          </cell>
          <cell r="E183">
            <v>850</v>
          </cell>
          <cell r="F183" t="str">
            <v>AER</v>
          </cell>
          <cell r="G183">
            <v>0.1</v>
          </cell>
          <cell r="H183" t="str">
            <v>Gnd</v>
          </cell>
          <cell r="I183">
            <v>850</v>
          </cell>
          <cell r="J183" t="str">
            <v>U</v>
          </cell>
          <cell r="K183" t="str">
            <v>N</v>
          </cell>
          <cell r="L183" t="str">
            <v>L</v>
          </cell>
          <cell r="M183" t="str">
            <v>N</v>
          </cell>
          <cell r="N183" t="str">
            <v>N</v>
          </cell>
          <cell r="O183" t="str">
            <v>IV</v>
          </cell>
          <cell r="P183" t="str">
            <v>III</v>
          </cell>
          <cell r="Q183" t="str">
            <v>IV</v>
          </cell>
          <cell r="R183" t="str">
            <v>IV</v>
          </cell>
          <cell r="S183" t="str">
            <v>AER</v>
          </cell>
          <cell r="T183">
            <v>1.2E-4</v>
          </cell>
          <cell r="U183" t="str">
            <v>Gnd</v>
          </cell>
          <cell r="V183">
            <v>850</v>
          </cell>
          <cell r="W183" t="str">
            <v>U</v>
          </cell>
          <cell r="X183" t="str">
            <v>N</v>
          </cell>
          <cell r="Y183" t="str">
            <v>N</v>
          </cell>
          <cell r="Z183" t="str">
            <v>N</v>
          </cell>
          <cell r="AA183" t="str">
            <v>N</v>
          </cell>
          <cell r="AB183" t="str">
            <v>IV</v>
          </cell>
          <cell r="AC183" t="str">
            <v>IV</v>
          </cell>
          <cell r="AD183" t="str">
            <v>IV</v>
          </cell>
          <cell r="AE183" t="str">
            <v>IV</v>
          </cell>
          <cell r="AF183" t="str">
            <v xml:space="preserve">Source term for event expected to be limited to airborne contamination affected by large negative pressure associated with direct strike by a tornado. Facility confinement not expected to be affected by missiles of EBE.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83" t="str">
            <v>•  None</v>
          </cell>
          <cell r="AH183" t="str">
            <v>•  None</v>
          </cell>
          <cell r="AI183" t="str">
            <v>•  None</v>
          </cell>
          <cell r="AJ183" t="str">
            <v>•  None</v>
          </cell>
          <cell r="AK183" t="str">
            <v>•  None</v>
          </cell>
          <cell r="AL183" t="str">
            <v>•  Facility design capable of maintaining confinement integrity following design basis events</v>
          </cell>
          <cell r="AM183" t="str">
            <v>•  None</v>
          </cell>
          <cell r="AN183" t="str">
            <v>•  Radiological Protection Program
•  Emergency Response Program
•  Performance Based Training Program
•  Conduct of Operations</v>
          </cell>
        </row>
        <row r="184">
          <cell r="A184" t="str">
            <v>WTF</v>
          </cell>
          <cell r="B184">
            <v>12</v>
          </cell>
          <cell r="C184" t="str">
            <v>Flood</v>
          </cell>
          <cell r="D184" t="str">
            <v>A greater than 100-yr  rain event results in sheet flow that floods the storage area. Flooding may be exacerbated by plugged drainage channels or culverts.</v>
          </cell>
          <cell r="E184">
            <v>850</v>
          </cell>
          <cell r="F184" t="str">
            <v>NA</v>
          </cell>
          <cell r="G184" t="str">
            <v>NA</v>
          </cell>
          <cell r="H184" t="str">
            <v>Gnd</v>
          </cell>
          <cell r="I184">
            <v>850</v>
          </cell>
          <cell r="J184" t="str">
            <v>U</v>
          </cell>
          <cell r="K184" t="str">
            <v>N</v>
          </cell>
          <cell r="L184" t="str">
            <v>N</v>
          </cell>
          <cell r="M184" t="str">
            <v>N</v>
          </cell>
          <cell r="N184" t="str">
            <v>N</v>
          </cell>
          <cell r="O184" t="str">
            <v>IV</v>
          </cell>
          <cell r="P184" t="str">
            <v>IV</v>
          </cell>
          <cell r="Q184" t="str">
            <v>IV</v>
          </cell>
          <cell r="R184" t="str">
            <v>IV</v>
          </cell>
          <cell r="S184" t="str">
            <v>NA</v>
          </cell>
          <cell r="T184" t="str">
            <v>NA</v>
          </cell>
          <cell r="U184" t="str">
            <v>Gnd</v>
          </cell>
          <cell r="V184">
            <v>850</v>
          </cell>
          <cell r="W184" t="str">
            <v>U</v>
          </cell>
          <cell r="X184" t="str">
            <v>N</v>
          </cell>
          <cell r="Y184" t="str">
            <v>N</v>
          </cell>
          <cell r="Z184" t="str">
            <v>N</v>
          </cell>
          <cell r="AA184" t="str">
            <v>N</v>
          </cell>
          <cell r="AB184" t="str">
            <v>IV</v>
          </cell>
          <cell r="AC184" t="str">
            <v>IV</v>
          </cell>
          <cell r="AD184" t="str">
            <v>IV</v>
          </cell>
          <cell r="AE184" t="str">
            <v>IV</v>
          </cell>
          <cell r="AF184" t="str">
            <v xml:space="preserve">Site topography places facility outside area vulnerable to flooding (ref. Figure 1.4-6).  MAR is total inventory of activity in the WTF (Ref. WVNS-CAL-397, Table C-1).  </v>
          </cell>
          <cell r="AG184" t="str">
            <v>•  None</v>
          </cell>
          <cell r="AH184" t="str">
            <v>•  None</v>
          </cell>
          <cell r="AI184" t="str">
            <v>•  None</v>
          </cell>
          <cell r="AJ184" t="str">
            <v>•  None</v>
          </cell>
          <cell r="AK184" t="str">
            <v>•  None</v>
          </cell>
          <cell r="AL184" t="str">
            <v>•  None</v>
          </cell>
          <cell r="AM184" t="str">
            <v>•  None</v>
          </cell>
          <cell r="AN184" t="str">
            <v>•  None</v>
          </cell>
        </row>
      </sheetData>
      <sheetData sheetId="1" refreshError="1"/>
      <sheetData sheetId="2" refreshError="1"/>
      <sheetData sheetId="3" refreshError="1"/>
      <sheetData sheetId="4">
        <row r="3">
          <cell r="C3">
            <v>3.3300000000000002E-4</v>
          </cell>
        </row>
        <row r="8">
          <cell r="A8" t="str">
            <v>DST</v>
          </cell>
          <cell r="B8">
            <v>100</v>
          </cell>
          <cell r="C8">
            <v>850</v>
          </cell>
          <cell r="D8">
            <v>1050</v>
          </cell>
        </row>
        <row r="9">
          <cell r="A9" t="str">
            <v>Gnd</v>
          </cell>
          <cell r="B9">
            <v>3.1099999999999999E-2</v>
          </cell>
          <cell r="C9">
            <v>1.1100000000000001E-3</v>
          </cell>
          <cell r="D9">
            <v>7.8299999999999995E-4</v>
          </cell>
        </row>
        <row r="10">
          <cell r="A10" t="str">
            <v>20m</v>
          </cell>
          <cell r="B10">
            <v>4.07E-6</v>
          </cell>
          <cell r="C10">
            <v>3.1600000000000002E-5</v>
          </cell>
          <cell r="D10">
            <v>2.4600000000000002E-5</v>
          </cell>
        </row>
        <row r="11">
          <cell r="A11" t="str">
            <v>60m</v>
          </cell>
          <cell r="B11">
            <v>0</v>
          </cell>
          <cell r="C11">
            <v>1.0200000000000001E-5</v>
          </cell>
          <cell r="D11">
            <v>1.2999999999999999E-5</v>
          </cell>
        </row>
        <row r="17">
          <cell r="A17" t="str">
            <v>E01</v>
          </cell>
          <cell r="B17">
            <v>1.2837500000000002E-3</v>
          </cell>
          <cell r="C17">
            <v>1</v>
          </cell>
        </row>
        <row r="18">
          <cell r="A18" t="str">
            <v>E02</v>
          </cell>
          <cell r="B18">
            <v>0.01</v>
          </cell>
          <cell r="C18">
            <v>1</v>
          </cell>
        </row>
        <row r="19">
          <cell r="A19" t="str">
            <v>E03</v>
          </cell>
          <cell r="B19" t="str">
            <v>NA</v>
          </cell>
          <cell r="C19" t="str">
            <v>NA</v>
          </cell>
        </row>
        <row r="20">
          <cell r="A20" t="str">
            <v>E04</v>
          </cell>
          <cell r="B20">
            <v>5.0000000000000001E-4</v>
          </cell>
          <cell r="C20">
            <v>0.5</v>
          </cell>
        </row>
        <row r="21">
          <cell r="A21" t="str">
            <v>E05</v>
          </cell>
          <cell r="B21">
            <v>1E-3</v>
          </cell>
          <cell r="C21">
            <v>1</v>
          </cell>
        </row>
        <row r="22">
          <cell r="A22" t="str">
            <v>E06</v>
          </cell>
          <cell r="B22">
            <v>5.4000000000000001E-4</v>
          </cell>
          <cell r="C22">
            <v>1</v>
          </cell>
        </row>
        <row r="23">
          <cell r="A23" t="str">
            <v>E07</v>
          </cell>
          <cell r="B23" t="str">
            <v>NA</v>
          </cell>
          <cell r="C23" t="str">
            <v>NA</v>
          </cell>
        </row>
        <row r="24">
          <cell r="A24" t="str">
            <v>E08</v>
          </cell>
          <cell r="B24" t="str">
            <v>NA</v>
          </cell>
          <cell r="C24" t="str">
            <v>NA</v>
          </cell>
        </row>
        <row r="25">
          <cell r="A25" t="str">
            <v>E09</v>
          </cell>
          <cell r="B25">
            <v>1E-4</v>
          </cell>
          <cell r="C25">
            <v>0.01</v>
          </cell>
        </row>
        <row r="26">
          <cell r="A26" t="str">
            <v>E10</v>
          </cell>
          <cell r="B26">
            <v>1E-4</v>
          </cell>
          <cell r="C26">
            <v>0.1</v>
          </cell>
        </row>
        <row r="27">
          <cell r="A27" t="str">
            <v>E11</v>
          </cell>
          <cell r="B27">
            <v>1E-4</v>
          </cell>
          <cell r="C27">
            <v>0.1</v>
          </cell>
        </row>
        <row r="28">
          <cell r="A28" t="str">
            <v>E12</v>
          </cell>
          <cell r="B28">
            <v>1E-4</v>
          </cell>
          <cell r="C28">
            <v>1</v>
          </cell>
        </row>
        <row r="29">
          <cell r="A29" t="str">
            <v>E13</v>
          </cell>
          <cell r="B29" t="str">
            <v>NA</v>
          </cell>
          <cell r="C29" t="str">
            <v>NA</v>
          </cell>
        </row>
        <row r="30">
          <cell r="A30" t="str">
            <v>E14</v>
          </cell>
          <cell r="B30" t="str">
            <v>NA</v>
          </cell>
          <cell r="C30" t="str">
            <v>NA</v>
          </cell>
        </row>
        <row r="31">
          <cell r="A31" t="str">
            <v>E15</v>
          </cell>
          <cell r="B31">
            <v>3.6350000000000002E-3</v>
          </cell>
          <cell r="C31">
            <v>1</v>
          </cell>
        </row>
        <row r="32">
          <cell r="A32" t="str">
            <v>E16</v>
          </cell>
          <cell r="B32">
            <v>2E-3</v>
          </cell>
          <cell r="C32">
            <v>0.1</v>
          </cell>
        </row>
        <row r="33">
          <cell r="A33" t="str">
            <v>E17</v>
          </cell>
          <cell r="B33">
            <v>1.2837500000000002E-3</v>
          </cell>
          <cell r="C33">
            <v>1</v>
          </cell>
        </row>
        <row r="34">
          <cell r="A34" t="str">
            <v>E18</v>
          </cell>
          <cell r="B34">
            <v>1E-4</v>
          </cell>
          <cell r="C34">
            <v>1</v>
          </cell>
        </row>
        <row r="35">
          <cell r="A35" t="str">
            <v>E19</v>
          </cell>
          <cell r="B35">
            <v>5.0000000000000001E-4</v>
          </cell>
          <cell r="C35">
            <v>0.5</v>
          </cell>
        </row>
        <row r="36">
          <cell r="A36" t="str">
            <v>E20</v>
          </cell>
          <cell r="B36">
            <v>1E-4</v>
          </cell>
          <cell r="C36">
            <v>1</v>
          </cell>
        </row>
        <row r="37">
          <cell r="A37" t="str">
            <v>E21</v>
          </cell>
          <cell r="B37">
            <v>1E-4</v>
          </cell>
          <cell r="C37">
            <v>0.01</v>
          </cell>
        </row>
        <row r="38">
          <cell r="A38" t="str">
            <v>E22</v>
          </cell>
          <cell r="B38">
            <v>1E-4</v>
          </cell>
          <cell r="C38">
            <v>1</v>
          </cell>
        </row>
        <row r="39">
          <cell r="A39" t="str">
            <v>E23</v>
          </cell>
          <cell r="B39">
            <v>1E-4</v>
          </cell>
          <cell r="C39">
            <v>1E-3</v>
          </cell>
        </row>
        <row r="40">
          <cell r="A40" t="str">
            <v>E24</v>
          </cell>
          <cell r="B40">
            <v>1E-4</v>
          </cell>
          <cell r="C40">
            <v>0.01</v>
          </cell>
        </row>
        <row r="41">
          <cell r="A41" t="str">
            <v>E25</v>
          </cell>
          <cell r="B41" t="str">
            <v>NA</v>
          </cell>
          <cell r="C41" t="str">
            <v>NA</v>
          </cell>
        </row>
        <row r="42">
          <cell r="A42" t="str">
            <v>HDBK-3010 Events</v>
          </cell>
        </row>
        <row r="43">
          <cell r="A43" t="str">
            <v>AER</v>
          </cell>
          <cell r="B43">
            <v>7.9999999999999996E-6</v>
          </cell>
          <cell r="C43">
            <v>1</v>
          </cell>
        </row>
        <row r="44">
          <cell r="A44" t="str">
            <v>CWF</v>
          </cell>
          <cell r="B44">
            <v>5.0000000000000001E-4</v>
          </cell>
          <cell r="C44">
            <v>1</v>
          </cell>
        </row>
        <row r="45">
          <cell r="A45" t="str">
            <v>EQ</v>
          </cell>
          <cell r="B45">
            <v>1E-3</v>
          </cell>
          <cell r="C45">
            <v>0.1</v>
          </cell>
        </row>
        <row r="46">
          <cell r="A46" t="str">
            <v>ES</v>
          </cell>
          <cell r="B46">
            <v>1E-3</v>
          </cell>
          <cell r="C46">
            <v>1</v>
          </cell>
        </row>
        <row r="47">
          <cell r="A47" t="str">
            <v>FFS</v>
          </cell>
          <cell r="B47">
            <v>2.0000000000000001E-4</v>
          </cell>
          <cell r="C47">
            <v>0.5</v>
          </cell>
        </row>
        <row r="48">
          <cell r="A48" t="str">
            <v>HB</v>
          </cell>
          <cell r="B48">
            <v>0.01</v>
          </cell>
          <cell r="C48">
            <v>1</v>
          </cell>
        </row>
        <row r="49">
          <cell r="A49" t="str">
            <v>HF</v>
          </cell>
          <cell r="B49">
            <v>1E-4</v>
          </cell>
          <cell r="C49">
            <v>1</v>
          </cell>
        </row>
        <row r="50">
          <cell r="A50" t="str">
            <v>IS</v>
          </cell>
          <cell r="B50">
            <v>1E-4</v>
          </cell>
          <cell r="C50">
            <v>1</v>
          </cell>
        </row>
        <row r="51">
          <cell r="A51" t="str">
            <v>NA</v>
          </cell>
          <cell r="B51" t="str">
            <v>NA</v>
          </cell>
          <cell r="C51" t="str">
            <v>NA</v>
          </cell>
        </row>
        <row r="52">
          <cell r="A52" t="str">
            <v>SS</v>
          </cell>
          <cell r="B52">
            <v>0</v>
          </cell>
          <cell r="C52">
            <v>0</v>
          </cell>
        </row>
      </sheetData>
      <sheetData sheetId="5">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Localized flammable liquid pool fire</v>
          </cell>
          <cell r="B2" t="str">
            <v>E01</v>
          </cell>
          <cell r="C2" t="str">
            <v xml:space="preserve">Waste in CPC-WSA is primarily non-combustible vessels and equipment with internal contamination. Topography and soil conditions in outdoor hardstand areas limit the spatial extent of any fuel spilled in the area. </v>
          </cell>
          <cell r="E2" t="str">
            <v xml:space="preserve">APPROVED CONTAINERS credited with limiting the propagation of fire in a storage array. </v>
          </cell>
          <cell r="F2" t="str">
            <v>Event not credible for non-MPA areas of the Main Plant due to lack of accessibility to these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MPPB.</v>
          </cell>
          <cell r="G2" t="str">
            <v xml:space="preserve">Potentially affected areas are FRS or Vit LI/LO. </v>
          </cell>
          <cell r="H2" t="str">
            <v>Topography and soil conditions in outdoor hardstand areas limit the spatial extent of any fuel spill in the area.</v>
          </cell>
          <cell r="I2" t="str">
            <v>Event credible only for ICA areas of RHWF due to lack of accessibility to in-cell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RHWF.</v>
          </cell>
          <cell r="J2" t="str">
            <v xml:space="preserve">SAC for transportation of high activity waste recognized as for providing protection under accident conditions. </v>
          </cell>
          <cell r="K2" t="str">
            <v>Event not credible for VF due to lack of accessibility to these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VF.</v>
          </cell>
          <cell r="L2" t="str">
            <v>Event not credible for WTF due to lack of accessibility to areas containing radioactive materials by equipment that represents a risk for pool fires.</v>
          </cell>
        </row>
        <row r="3">
          <cell r="A3" t="str">
            <v>Small combustible material fire</v>
          </cell>
          <cell r="B3" t="str">
            <v>E02</v>
          </cell>
          <cell r="C3" t="str">
            <v xml:space="preserve">Contingency evaluation in the event of discovery of non-conforming waste container. Credit taken for storage of waste in APPROVED CONTAINERS in assuming mitigated event progresses as contained waste fire. </v>
          </cell>
          <cell r="D3" t="str">
            <v>Area does not require use of combustible materials for operations.</v>
          </cell>
          <cell r="E3" t="str">
            <v xml:space="preserve">Fire Protection (hot work controls), Radiation Protection, and Waste Management Programs credited with minimizing probability and consequences of fire event.  MAR assumes that waste is unconfined combustible. </v>
          </cell>
          <cell r="F3" t="str">
            <v xml:space="preserve">Releases are assumed to be through facility stack, even under loss of active ventilation, via stack chimney effect. Credit taken for Fire Protection Program controls in assuming mitigated event progresses as contained waste fire. </v>
          </cell>
          <cell r="G3" t="str">
            <v>MAR limit imposed on exposed waste operations. Fire Protection (hot work controls), Radiation Protection, and Waste Management Programs credited with minimizing probability and consequences of fire event.  MAR assumes that waste is unconfined combustible.</v>
          </cell>
          <cell r="H3" t="str">
            <v xml:space="preserve">Amount of combustible material in radiologically-controlled areas controlled by WVDP Fire Protection Program. Credit taken for storage of waste in APPROVED CONTAINERS in assuming mitigated event progresses as contained waste fire. </v>
          </cell>
          <cell r="I3" t="str">
            <v xml:space="preserve">Releases are assumed to be through facility stack, even under loss of active ventilation, via stack chimney effect. Credit taken for Fire Protection Program controls in assuming mitigated event progresses as contained waste fire. </v>
          </cell>
          <cell r="K3" t="str">
            <v xml:space="preserve">Releases are assumed to be through facility stack, even under loss of active ventilation, via stack chimney effect.  Credit taken for Fire Protection Program controls in assuming mitigated event progresses as contained waste fire. </v>
          </cell>
        </row>
        <row r="4">
          <cell r="A4" t="str">
            <v>Enclosure fire</v>
          </cell>
          <cell r="B4" t="str">
            <v>E03</v>
          </cell>
          <cell r="C4" t="str">
            <v>This type of activity not performed at the WVDP.</v>
          </cell>
          <cell r="D4" t="str">
            <v>This type of activity not performed at the WVDP.</v>
          </cell>
          <cell r="E4" t="str">
            <v>This type of activity not performed at the WVDP.</v>
          </cell>
          <cell r="F4" t="str">
            <v>This type of activity not performed at the WVDP.</v>
          </cell>
          <cell r="G4" t="str">
            <v>This type of activity not performed at the WVDP.</v>
          </cell>
          <cell r="H4" t="str">
            <v>This type of activity not performed at the WVDP.</v>
          </cell>
          <cell r="I4" t="str">
            <v>This type of activity not performed at the WVDP.</v>
          </cell>
          <cell r="J4" t="str">
            <v>This type of activity not performed at the WVDP.</v>
          </cell>
          <cell r="K4" t="str">
            <v>This type of activity not performed at the WVDP.</v>
          </cell>
          <cell r="L4" t="str">
            <v>This type of activity not performed at the WVDP.</v>
          </cell>
        </row>
        <row r="5">
          <cell r="A5" t="str">
            <v>Large fire</v>
          </cell>
          <cell r="B5" t="str">
            <v>E04</v>
          </cell>
          <cell r="C5" t="str">
            <v>Only small quantities of combustible material expected to be in area with little exposed material present. Facility constructed of fire resistant or fire retardant materials.</v>
          </cell>
          <cell r="D5" t="str">
            <v>Area does not require use of combustible materials for operations.</v>
          </cell>
          <cell r="E5" t="str">
            <v xml:space="preserve">Combustibles in area are minimized through site combustible material control requirements. APPROVED CONTAINERS credited with limiting the propagation of fire in a storage array. </v>
          </cell>
          <cell r="F5" t="str">
            <v xml:space="preserve">Releases are assumed to be through facility stack, even under loss of active ventilation, via stack chimney effect. </v>
          </cell>
          <cell r="G5" t="str">
            <v>Only small quantities of combustible material expected to be in area with little exposed material present. Facility constructed of fire resistant or fire retardant materials.</v>
          </cell>
          <cell r="H5" t="str">
            <v>Only small quantities of combustible material expected to be in area with little exposed material present.</v>
          </cell>
          <cell r="I5" t="str">
            <v>Releases are assumed to be through facility stack, even under loss of active ventilation, via stack chimney effect.</v>
          </cell>
          <cell r="J5" t="str">
            <v>Event not applicable to this type of activity.</v>
          </cell>
          <cell r="K5" t="str">
            <v>Release bounds any potential releases associated with handling HLW in Vit Cell. Releases are assumed to be through facility stack, even under loss of active ventilation, via stack chimney effect.</v>
          </cell>
          <cell r="L5" t="str">
            <v>Only small quantities of combustible material expected to be in area with little exposed material present. Facility constructed of fire resistant or fire retardant materials.</v>
          </cell>
        </row>
        <row r="6">
          <cell r="A6" t="str">
            <v>Localized explosion external to container</v>
          </cell>
          <cell r="B6" t="str">
            <v>E05</v>
          </cell>
          <cell r="C6" t="str">
            <v>APPROVED CONTAINERS credited with mitigating consequences.</v>
          </cell>
          <cell r="E6" t="str">
            <v>APPROVED CONTAINERS credited with mitigating consequences.</v>
          </cell>
          <cell r="F6" t="str">
            <v>Event not credible for non-MPA areas of the Main Plant due to lack of accessibility to these areas by equipment that represents a risk for this type of equipment-based explosion. In-facility explosions considered under event "Localized explosion within facility."</v>
          </cell>
          <cell r="G6" t="str">
            <v>APPROVED CONTAINERS recognized as mitigating consequences.</v>
          </cell>
          <cell r="H6" t="str">
            <v>APPROVED CONTAINERS credited with mitigating consequences.</v>
          </cell>
          <cell r="I6" t="str">
            <v>Event only applicable to ICA areas of MPPB due to lack of accessibility to in-cell areas by equipment that represents a risk for this type of equipment-based explosion. In-facility explosions considered under event "Localized explosion within facility." APPROVED CONTAINERS credited with mitigating consequences.</v>
          </cell>
          <cell r="J6" t="str">
            <v>APPROVED CONTAINERS credited with mitigating consequences.</v>
          </cell>
          <cell r="K6" t="str">
            <v>Event not credible for VF due to lack of accessibility to these areas by equipment that represents a risk for this type of equipment-based explosion. In-facility explosions considered under event "Localized explosion within facility."</v>
          </cell>
          <cell r="L6" t="str">
            <v>Event assumes impact to containerized waste. Event not credible due to the low combined probability of presence of MAR in area and occurrence of event.</v>
          </cell>
        </row>
        <row r="7">
          <cell r="A7" t="str">
            <v>Waste container deflagration</v>
          </cell>
          <cell r="B7" t="str">
            <v>E06</v>
          </cell>
          <cell r="C7" t="str">
            <v xml:space="preserve">Waste form and waste package vent filters contribute to low probability of this event. </v>
          </cell>
          <cell r="D7" t="str">
            <v>Explosive gases confirmed to not be present in WVDP HLW canisters in accordance with waste form qualification requirements.</v>
          </cell>
          <cell r="E7" t="str">
            <v xml:space="preserve">Waste form and waste package vent filters contribute to low probability of this event. </v>
          </cell>
          <cell r="F7" t="str">
            <v xml:space="preserve">Waste form and waste package vent filters contribute to low probability of this event. Event is assumed to occur within shielded process cell. </v>
          </cell>
          <cell r="G7" t="str">
            <v xml:space="preserve">Waste form and waste package vent filters contribute to low probability of this event. </v>
          </cell>
          <cell r="H7" t="str">
            <v xml:space="preserve">Waste form and waste package vent filters contribute to low probability of this event. </v>
          </cell>
          <cell r="I7" t="str">
            <v xml:space="preserve">Waste form and waste package vent filters contribute to low probability of this event. Event is assumed to occur within shielded process cell. </v>
          </cell>
          <cell r="J7" t="str">
            <v>Occurrence of event not incredible during the short period of time in which the material is in transit.</v>
          </cell>
          <cell r="K7" t="str">
            <v xml:space="preserve">Waste form and waste package vent filters contribute to low probability of this event. Event is assumed to occur within shielded process cell. </v>
          </cell>
          <cell r="L7" t="str">
            <v>Event requires the accumulation of an explosive concentration of flammable gases. Flammable gas generation rate of residual HLW; large volume of HLW tanks; and ventilation paths of tank headspace all contribute to incredibility of this event.</v>
          </cell>
        </row>
        <row r="8">
          <cell r="A8" t="str">
            <v>Multiple container deflagration</v>
          </cell>
          <cell r="B8" t="str">
            <v>E07</v>
          </cell>
          <cell r="C8" t="str">
            <v>Waste form and waste package vent filters contribute to low probability of event affecting single container. Event affecting multiple containers determined to be not credible</v>
          </cell>
          <cell r="D8" t="str">
            <v>Waste form and waste package vent filters contribute to low probability of event affecting single container. Event affecting multiple containers determined to be not credible</v>
          </cell>
          <cell r="E8" t="str">
            <v>Waste form and waste package vent filters contribute to low probability of event affecting single container. Event affecting multiple containers determined to be not credible</v>
          </cell>
          <cell r="F8" t="str">
            <v>Waste form and waste package vent filters contribute to low probability of event affecting single container. Event affecting multiple containers determined to be not credible</v>
          </cell>
          <cell r="G8" t="str">
            <v>Waste form and waste package vent filters contribute to low probability of event affecting single container. Event affecting multiple containers determined to be not credible</v>
          </cell>
          <cell r="H8" t="str">
            <v>Waste form and waste package vent filters contribute to low probability of event affecting single container. Event affecting multiple containers determined to be not credible</v>
          </cell>
          <cell r="I8" t="str">
            <v>Waste form and waste package vent filters contribute to low probability of event affecting single container. Event affecting multiple containers determined to be not credible</v>
          </cell>
          <cell r="J8" t="str">
            <v>Waste form and waste package vent filters contribute to low probability of event affecting single container. Event affecting multiple containers determined to be not credible</v>
          </cell>
          <cell r="K8" t="str">
            <v>Waste form and waste package vent filters contribute to low probability of event affecting single container. Event affecting multiple containers determined to be not credible</v>
          </cell>
          <cell r="L8" t="str">
            <v>Waste form and waste package vent filters contribute to low probability of event affecting single container. Event affecting multiple containers determined to be not credible</v>
          </cell>
        </row>
        <row r="9">
          <cell r="A9" t="str">
            <v>Enclosure deflagration</v>
          </cell>
          <cell r="B9" t="str">
            <v>E08</v>
          </cell>
          <cell r="C9" t="str">
            <v>This type of activity not performed at the WVDP.</v>
          </cell>
          <cell r="D9" t="str">
            <v>This type of activity not performed at the WVDP.</v>
          </cell>
          <cell r="E9" t="str">
            <v>This type of activity not performed at the WVDP.</v>
          </cell>
          <cell r="F9" t="str">
            <v>This type of activity not performed at the WVDP.</v>
          </cell>
          <cell r="G9" t="str">
            <v>This type of activity not performed at the WVDP.</v>
          </cell>
          <cell r="H9" t="str">
            <v>This type of activity not performed at the WVDP.</v>
          </cell>
          <cell r="I9" t="str">
            <v>This type of activity not performed at the WVDP.</v>
          </cell>
          <cell r="J9" t="str">
            <v>This type of activity not performed at the WVDP.</v>
          </cell>
          <cell r="K9" t="str">
            <v>This type of activity not performed at the WVDP.</v>
          </cell>
          <cell r="L9" t="str">
            <v>This type of activity not performed at the WVDP.</v>
          </cell>
        </row>
        <row r="10">
          <cell r="A10" t="str">
            <v>Vehicle/equipment impacts waste/waste containers</v>
          </cell>
          <cell r="B10" t="str">
            <v>E09</v>
          </cell>
          <cell r="C10" t="str">
            <v>Shielding and nature of waste associated with many of the containers in the facility expected to mitigate the consequences of this event.</v>
          </cell>
          <cell r="D10" t="str">
            <v xml:space="preserve">The maximum anticipated speed of the cask transporter enroute to the storage pad is approximately 2 mph.  </v>
          </cell>
          <cell r="F10" t="str">
            <v>Event not credible for non-MPA areas of the Main Plant due to lack of accessibility to these areas by equipment that represents a risk for this type of event.</v>
          </cell>
          <cell r="G10" t="str">
            <v xml:space="preserve">Containers assumed to be impacted by handling equipment travelling &lt;10 mph. </v>
          </cell>
          <cell r="H10" t="str">
            <v xml:space="preserve">Containers assumed to be impacted by handling equipment travelling &lt;10 mph. </v>
          </cell>
          <cell r="I10" t="str">
            <v xml:space="preserve">Wastes in Receiving Area or WPA/LO could potentially be affected by this event. Containers assumed to be impacted by handling equipment travelling &lt;10 mph. </v>
          </cell>
          <cell r="J10" t="str">
            <v xml:space="preserve">Containers assumed to be impacted by handling equipment travelling &lt;10 mph. </v>
          </cell>
          <cell r="K10" t="str">
            <v>Event not credible for VF due to lack of accessibility to areas by equipment that represents a risk for this type of event.</v>
          </cell>
          <cell r="L10" t="str">
            <v>Event assumes impact to containerized waste. Event not credible due to the low combined probability of presence of MAR in area and occurrence of event.</v>
          </cell>
        </row>
        <row r="11">
          <cell r="A11" t="str">
            <v>Drop/impact/spill</v>
          </cell>
          <cell r="B11" t="str">
            <v>E10</v>
          </cell>
          <cell r="C11" t="str">
            <v>Shielding and nature of waste associated with many of the containers in the facility expected to mitigate the consequences of this event.</v>
          </cell>
          <cell r="D11" t="str">
            <v>Cask transporters are designed with conservative safety factors. (Transporters load tested to 125% of nominal capacity.)</v>
          </cell>
          <cell r="E11" t="str">
            <v xml:space="preserve">Event is a low energy breach of container confinement (e.g. tine puncture or container drop). </v>
          </cell>
          <cell r="F11" t="str">
            <v xml:space="preserve">Assumed to be bounded by one high activity TRU waste container in HLWIS dropped on another high activity TRU waste container.  No releases from HLW canister expected for this event. </v>
          </cell>
          <cell r="G11" t="str">
            <v xml:space="preserve">Event is a low energy breach of container confinement (e.g. tine puncture or container drop). </v>
          </cell>
          <cell r="H11" t="str">
            <v xml:space="preserve">Event is a low energy breach of container confinement (e.g. tine puncture or container drop). </v>
          </cell>
          <cell r="I11" t="str">
            <v xml:space="preserve">Event is a low energy breach of container confinement (e.g. tine puncture or container drop). </v>
          </cell>
          <cell r="J11" t="str">
            <v xml:space="preserve">Event is a low energy breach of container confinement (e.g. tine puncture or container drop). </v>
          </cell>
          <cell r="K11" t="str">
            <v xml:space="preserve">Assumed to be bounded by one high activity TRU waste container dropped on another high activity TRU waste container.  No releases from HLW canister expected for this event. </v>
          </cell>
          <cell r="L11" t="str">
            <v xml:space="preserve">Event is assumed to involve drop of HEPA filter during changeout. This event would bound any releases associated with drop of equipment internal to a waste tank (e.g. sampling component). </v>
          </cell>
        </row>
        <row r="12">
          <cell r="A12" t="str">
            <v>Collapse of stacked containers</v>
          </cell>
          <cell r="B12" t="str">
            <v>E11</v>
          </cell>
          <cell r="C12" t="str">
            <v xml:space="preserve">Event applies only to containers above 2nd tier of a storage array since Type 17C containers designed to withstand 4' drop. </v>
          </cell>
          <cell r="D12" t="str">
            <v>Event applies only to failure of array possessing 3 or more tiers. This type of array not maintained in the area.</v>
          </cell>
          <cell r="E12" t="str">
            <v xml:space="preserve">Event applies only to containers above 2nd tier of a storage array since Type 17C containers designed to withstand 4' drop. </v>
          </cell>
          <cell r="F12" t="str">
            <v>Event applies only to failure of array possessing 3 or more tiers. This type of array not maintained in the area.</v>
          </cell>
          <cell r="G12" t="str">
            <v>Event applies only to failure of array possessing 3 or more tiers. This type of array not maintained in the area.</v>
          </cell>
          <cell r="I12" t="str">
            <v>Event applies only to failure of array possessing 3 or more tiers. This type of array not maintained in the area.</v>
          </cell>
          <cell r="J12" t="str">
            <v>Event applies only to failure of array possessing 3 or more tiers. Event therefore not applicable to this activity.</v>
          </cell>
          <cell r="K12" t="str">
            <v>Event applies only to failure of array possessing 3 or more tiers. This type of array not maintained in the area.</v>
          </cell>
          <cell r="L12" t="str">
            <v>Event applies only to failure of array possessing 3 or more tiers. This type of array not maintained in the area.</v>
          </cell>
        </row>
        <row r="13">
          <cell r="A13" t="str">
            <v>Waste container over-pressurization</v>
          </cell>
          <cell r="B13" t="str">
            <v>E12</v>
          </cell>
          <cell r="C13" t="str">
            <v xml:space="preserve">Waste form and waste package vent filters contribute to reducing the probability of this event. </v>
          </cell>
          <cell r="D13" t="str">
            <v>Generation rate of gas in WVDP HLW canisters determined to be insufficient to support this event in accordance with waste form qualification requirements.</v>
          </cell>
          <cell r="E13" t="str">
            <v xml:space="preserve">Waste form and waste package vent filters contribute to reducing the probability of this event. </v>
          </cell>
          <cell r="F13" t="str">
            <v xml:space="preserve">Waste form and waste package vent filters contribute to reducing the probability of this event. Event is assumed to occur within shielded process cell. </v>
          </cell>
          <cell r="G13" t="str">
            <v xml:space="preserve">Waste form and waste package vent filters contribute to reducing the probability of this event. </v>
          </cell>
          <cell r="H13" t="str">
            <v xml:space="preserve">Waste form and waste package vent filters contribute to reducing the probability of this event. </v>
          </cell>
          <cell r="I13" t="str">
            <v xml:space="preserve">Waste form and waste package vent filters contribute to reducing the probability of this event. Event is assumed to occur within shielded process cell. </v>
          </cell>
          <cell r="J13" t="str">
            <v>Occurrence of event assumed to be incredible during the short period of time in which the material is in transit.</v>
          </cell>
          <cell r="K13" t="str">
            <v xml:space="preserve">Waste form and waste package vent filters contribute to reducing the probability of this event. Event is assumed to occur within shielded process cell. </v>
          </cell>
          <cell r="L13" t="str">
            <v>Event applies to containerized waste. Event not credible due to the low combined probability of presence of MAR in area and occurrence of event.</v>
          </cell>
        </row>
        <row r="14">
          <cell r="A14" t="str">
            <v>Direct exposure to radiation</v>
          </cell>
          <cell r="B14" t="str">
            <v>E13</v>
          </cell>
          <cell r="C14" t="str">
            <v>None.</v>
          </cell>
          <cell r="D14" t="str">
            <v>Reduced shielding on cask/MPC bottom is a known source of potentially elevated radiation levels during cask transport. Exposure risk will be mitigated by maintaining a low ground clearance (6” or less) during transportation.</v>
          </cell>
          <cell r="E14" t="str">
            <v>None.</v>
          </cell>
          <cell r="F14" t="str">
            <v>None.</v>
          </cell>
          <cell r="G14" t="str">
            <v>None.</v>
          </cell>
          <cell r="H14" t="str">
            <v>None.</v>
          </cell>
          <cell r="I14" t="str">
            <v>None.</v>
          </cell>
          <cell r="J14" t="str">
            <v xml:space="preserve">Radiation Protection Program credited with ensuring that personnel exposures are within DOE accepted guidelines. </v>
          </cell>
          <cell r="K14" t="str">
            <v>None.</v>
          </cell>
          <cell r="L14" t="str">
            <v xml:space="preserve">Radiation Protection Program credited with ensuring that personnel exposures are within DOE accepted guidelines. </v>
          </cell>
        </row>
        <row r="15">
          <cell r="A15" t="str">
            <v>Criticality</v>
          </cell>
          <cell r="B15" t="str">
            <v>E14</v>
          </cell>
          <cell r="C15" t="str">
            <v xml:space="preserve">Nuclear criticality safety administrative controls ensure that only safe quantities of fissile material are placed in waste packages. </v>
          </cell>
          <cell r="D15" t="str">
            <v>Low fissile material concentration, waste matrix form and composition, and presence of significant quantity of neutron absorbing material (iron, boron, U-238, Pu-240) limits waste reactivity and potential for re-organization into critical configuration.</v>
          </cell>
          <cell r="E15" t="str">
            <v xml:space="preserve">Nuclear criticality safety administrative controls ensure that only safe quantities of fissile material are placed in waste packages. </v>
          </cell>
          <cell r="F15" t="str">
            <v xml:space="preserve">Nuclear criticality safety administrative controls ensure criticality safety for all D&amp;D operations and waste packaging activities involving greater than a significant quantity of fissile material. </v>
          </cell>
          <cell r="G15" t="str">
            <v xml:space="preserve">Nuclear criticality safety administrative controls ensure that only safe quantities of fissile material are placed in waste packages. </v>
          </cell>
          <cell r="H15" t="str">
            <v xml:space="preserve">Nuclear criticality safety administrative controls ensure that only safe quantities of fissile material are placed in waste packages. </v>
          </cell>
          <cell r="I15" t="str">
            <v xml:space="preserve">Nuclear criticality safety administrative controls ensure criticality safety for all D&amp;D operations and waste packaging activities involving greater than a significant quantity of fissile material. </v>
          </cell>
          <cell r="J15" t="str">
            <v>Wastes containing significant quantities of fissile material transported in TSR-compliant containers which would ensure that container spacing is maintained in the event of credible accident conditions.</v>
          </cell>
          <cell r="K15" t="str">
            <v xml:space="preserve">Nuclear criticality safety administrative controls ensure criticality safety for all D&amp;D operations and waste packaging activities involving greater than a significant quantity of fissile material. </v>
          </cell>
          <cell r="L15" t="str">
            <v xml:space="preserve">WTF estimated to contain approximately 3,200 FGE Pu-239 per WVNS-CAL-397, R0. Only tanks 8D-1 and 8D-2 believed to contain greater than a safe mass of fissile material. Areal concentration of fissile material significantly below safe concentrations as specified in ANSI/ANS-8.1. No credible means to concentrate materials within the tank. </v>
          </cell>
        </row>
        <row r="16">
          <cell r="A16" t="str">
            <v>Aircraft impact with fire</v>
          </cell>
          <cell r="B16" t="str">
            <v>E15</v>
          </cell>
          <cell r="C16" t="str">
            <v>Shielding and nature of waste associated with many of the containers in the facility expected to mitigate the consequences of this event. Event assumes waste containers breach in a manner similar to external vehicle accident event. Event BEU per WVNS-CAL-388</v>
          </cell>
          <cell r="E16" t="str">
            <v>Event assumes waste containers breach in a manner similar to external vehicle accident event. Event BEU per WVNS-CAL-388.</v>
          </cell>
          <cell r="F16" t="str">
            <v>Event not expected to impact radioactive materials within heavily shielded cells. Only activity in ventilation system would be expected to be affected. Event BEU per WVNS-CAL-388.</v>
          </cell>
          <cell r="G16" t="str">
            <v>Event assumes waste containers breach in a manner similar to external vehicle accident event. Event BEU per WVNS-CAL-388.</v>
          </cell>
          <cell r="H16" t="str">
            <v>Event assumes waste containers breach in a manner similar to external vehicle accident event. Event BEU per WVNS-CAL-388.</v>
          </cell>
          <cell r="I16" t="str">
            <v>Event not expected to impact radioactive materials within heavily shielded cells. Only activity in ventilation system would be expected to be affected. Event BEU per WVNS-CAL-388.</v>
          </cell>
          <cell r="J16" t="str">
            <v>Occurrence of event assumed to be incredible during the short period of time in which the material is in transit.</v>
          </cell>
          <cell r="K16" t="str">
            <v>Event not expected to impact radioactive materials within heavily shielded cells. Only activity in ventilation system would be expected to be affected. Event BEU per WVNS-CAL-388.</v>
          </cell>
          <cell r="L16" t="str">
            <v>Event not expected to impact radioactive materials within HLW tanks. Only activity in ventilation system would be expected to be affected. Event BEU per WVNS-CAL-388.</v>
          </cell>
        </row>
        <row r="17">
          <cell r="A17" t="str">
            <v>External vehicle accident</v>
          </cell>
          <cell r="B17" t="str">
            <v>E16</v>
          </cell>
          <cell r="C17" t="str">
            <v>Facility structure assumed sufficient to protect MAR from this event</v>
          </cell>
          <cell r="D17" t="str">
            <v xml:space="preserve">Impact by vehicle having a speed that can't be reasonably assumed to be &lt;~10 mph (e.g., plow truck, vendor/ subcontractor vehicle, etc.). </v>
          </cell>
          <cell r="E17" t="str">
            <v>Facility structure assumed sufficient to protect MAR from this event</v>
          </cell>
          <cell r="F17" t="str">
            <v>Facility structure assumed sufficient to protect MAR from this event</v>
          </cell>
          <cell r="G17" t="str">
            <v>Facility structure assumed sufficient to protect MAR from this event</v>
          </cell>
          <cell r="H17" t="str">
            <v>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v>
          </cell>
          <cell r="I17" t="str">
            <v>Facility structure assumed sufficient to protect MAR from this event</v>
          </cell>
          <cell r="J17" t="str">
            <v>Facility structure assumed sufficient to protect MAR from this event</v>
          </cell>
          <cell r="K17" t="str">
            <v>Facility structure assumed sufficient to protect MAR from this event</v>
          </cell>
          <cell r="L17" t="str">
            <v>Facility structure assumed sufficient to protect MAR from this event</v>
          </cell>
        </row>
        <row r="18">
          <cell r="A18" t="str">
            <v>External vehicle accident with fire</v>
          </cell>
          <cell r="B18" t="str">
            <v>E17</v>
          </cell>
          <cell r="C18" t="str">
            <v>Facility structure assumed sufficient to protect MAR from this event</v>
          </cell>
          <cell r="D18" t="str">
            <v xml:space="preserve">Impact by vehicle having a speed that can't be reasonably assumed to be &lt;~10 mph (e.g., plow truck, vendor/ subcontractor vehicle, etc.). </v>
          </cell>
          <cell r="E18" t="str">
            <v>Facility structure assumed sufficient to protect MAR from this event</v>
          </cell>
          <cell r="F18" t="str">
            <v>Facility structure assumed sufficient to protect MAR from this event</v>
          </cell>
          <cell r="G18" t="str">
            <v>Facility structure assumed sufficient to protect MAR from this event</v>
          </cell>
          <cell r="H18" t="str">
            <v>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v>
          </cell>
          <cell r="I18" t="str">
            <v>Facility structure assumed sufficient to protect MAR from this event</v>
          </cell>
          <cell r="J18" t="str">
            <v>Facility structure assumed sufficient to protect MAR from this event</v>
          </cell>
          <cell r="K18" t="str">
            <v>Facility structure assumed sufficient to protect MAR from this event</v>
          </cell>
          <cell r="L18" t="str">
            <v>Facility structure assumed sufficient to protect MAR from this event</v>
          </cell>
        </row>
        <row r="19">
          <cell r="A19" t="str">
            <v>External explosion</v>
          </cell>
          <cell r="B19" t="str">
            <v>E18</v>
          </cell>
          <cell r="C19" t="str">
            <v>No sources of flammable/explosive materials sufficient to breach facility envelope in vicinity of facility.</v>
          </cell>
          <cell r="D19" t="str">
            <v>No explosive material handling is required in vicinity of storage pad area. The storage pad is a minimum of 500 feet from public highways.</v>
          </cell>
          <cell r="E19" t="str">
            <v xml:space="preserve">Explosion assumed to be due to detonation of accumulated flammable gas associated with facility natural gas heaters. </v>
          </cell>
          <cell r="F19" t="str">
            <v xml:space="preserve">Explosion assumed to be due to detonation of accumulated flammable gas associated with utility room or related operations. </v>
          </cell>
          <cell r="G19" t="str">
            <v>No sources of flammable/explosive materials sufficient to breach facility envelope in vicinity of facility.</v>
          </cell>
          <cell r="H19" t="str">
            <v xml:space="preserve">Event assumed to be due to explosion of passing (onsite) vehicle payload (e.g., bottled gas, flammable liquids, etc.). </v>
          </cell>
          <cell r="I19" t="str">
            <v xml:space="preserve">Explosion assumed to be due to detonation of accumulated flammable gas associated with facility natural gas heaters. </v>
          </cell>
          <cell r="J19" t="str">
            <v>Occurrence of event assumed to be incredible during the short period of time in which the material is in transit.</v>
          </cell>
          <cell r="K19" t="str">
            <v>No sources of flammable/explosive materials sufficient to breach facility envelope in vicinity of facility.</v>
          </cell>
          <cell r="L19" t="str">
            <v>No sources of flammable/explosive materials sufficient to breach facility envelope in vicinity of facility.</v>
          </cell>
        </row>
        <row r="20">
          <cell r="A20" t="str">
            <v>External fire</v>
          </cell>
          <cell r="B20" t="str">
            <v>E19</v>
          </cell>
          <cell r="C20" t="str">
            <v xml:space="preserve">Unmitigated frequency very conservative since no exposure fire risks identified in WVNS-FHA-010, Rev. 2. Even under EU wildland fire conditions virtually no waste would be exposed to critical heat flux due to facility construction. </v>
          </cell>
          <cell r="D20" t="str">
            <v xml:space="preserve">Cask construction sufficient to protect storage canisters under credible wildland fire event. Fire Protection Program recognized as mitigating probability of event. </v>
          </cell>
          <cell r="E20" t="str">
            <v xml:space="preserve">Unmitigated frequency very conservative since no exposure fire risks identified in WVNS-FHA-015. Even under EU wildland fire conditions virtually no waste would be exposed to critical heat flux due to facility construction. </v>
          </cell>
          <cell r="F20" t="str">
            <v>Facility not vulnerable to exposure fires per FHA</v>
          </cell>
          <cell r="G20" t="str">
            <v>Facility not vulnerable to exposure fires per FHA</v>
          </cell>
          <cell r="H20" t="str">
            <v xml:space="preserve">Use of APPROVED CONTAINERS recognized as mitigating consequences of event. Fire Protection Program recognized as mitigating probability of event. </v>
          </cell>
          <cell r="I20" t="str">
            <v xml:space="preserve">Unmitigated frequency very conservative since no exposure fire risks per WVNS-FHA-014. Even under EU wildland fire conditions virtually no waste would be exposed to critical heat flux due to facility construction. </v>
          </cell>
          <cell r="J20" t="str">
            <v>Activity would not be conducted under event conditions.</v>
          </cell>
          <cell r="K20" t="str">
            <v>Facility not vulnerable to exposure fires per FHA</v>
          </cell>
          <cell r="L20" t="str">
            <v>Facility not vulnerable to exposure fires per FHA</v>
          </cell>
        </row>
        <row r="21">
          <cell r="A21" t="str">
            <v>Lightning</v>
          </cell>
          <cell r="B21" t="str">
            <v>E20</v>
          </cell>
          <cell r="C21" t="str">
            <v>Steel construction of facility protects waste within facility. Facility provided with lightning protection per NFPA 780.</v>
          </cell>
          <cell r="D21" t="str">
            <v xml:space="preserve">Waste protected by conductive shielding of cask interior. </v>
          </cell>
          <cell r="E21" t="str">
            <v>Steel construction of facility protects waste within facility.</v>
          </cell>
          <cell r="F21" t="str">
            <v>Per the guidance of NFPA 780, the Main Plant stack meets the criteria of a strike termination device and therefore provides a zone of protection for several facilities including the MPPB, VF, and STS/PVS.</v>
          </cell>
          <cell r="G21" t="str">
            <v>Per the guidance of NFPA 780, the Main Plant stack meets the criteria of a strike termination device and therefore provides a zone of protection for several facilities including the MPPB, VF, and STS/PVS.</v>
          </cell>
          <cell r="H21" t="str">
            <v xml:space="preserve">Rapid heating of waste container could induce seal/lid failure with ejected waste. </v>
          </cell>
          <cell r="I21" t="str">
            <v>Steel construction of facility protects waste within facility. Facility provided with lightning protection per NFPA 780.</v>
          </cell>
          <cell r="J21" t="str">
            <v>Activity would not be conducted under event conditions.</v>
          </cell>
          <cell r="K21" t="str">
            <v>Per the guidance of NFPA 780, the Main Plant stack meets the criteria of a strike termination device and therefore provides a zone of protection for several facilities including the MPPB, VF, and STS/PVS.</v>
          </cell>
          <cell r="L21" t="str">
            <v>Steel construction of PVS facility protects MAR within facility. Facility provided with lightning protection per NFPA 780. HLW tank MAR located below ground and therefore not vulnerable to lightning strike.</v>
          </cell>
        </row>
        <row r="22">
          <cell r="A22" t="str">
            <v>High wind</v>
          </cell>
          <cell r="B22" t="str">
            <v>E21</v>
          </cell>
          <cell r="C22" t="str">
            <v>WVDP facilities designed to withstand design wind loading</v>
          </cell>
          <cell r="D22" t="str">
            <v>VSC determined to be stable against tip-over and sliding during high wind conditions (ref. NAC Calculation 630087-2010, Revision 0, MPC-WVDP VSC Structural Evaluation).</v>
          </cell>
          <cell r="E22" t="str">
            <v>WVDP facilities designed to withstand design wind loading</v>
          </cell>
          <cell r="F22" t="str">
            <v>WVDP facilities designed to withstand design wind loading</v>
          </cell>
          <cell r="G22" t="str">
            <v>WVDP facilities designed to withstand design wind loading</v>
          </cell>
          <cell r="H22" t="str">
            <v xml:space="preserve">Stored waste containers potentially affected by blown objects. High wind conditions would disperse any release material in a manner significantly greater than 95% meteorological condition assumptions. </v>
          </cell>
          <cell r="I22" t="str">
            <v>WVDP facilities designed to withstand design wind loading</v>
          </cell>
          <cell r="J22" t="str">
            <v>Activity would not be conducted under event conditions.</v>
          </cell>
          <cell r="K22" t="str">
            <v>WVDP facilities designed to withstand design wind loading</v>
          </cell>
          <cell r="L22" t="str">
            <v>WVDP facilities designed to withstand design wind loading</v>
          </cell>
        </row>
        <row r="23">
          <cell r="A23" t="str">
            <v>Tornado</v>
          </cell>
          <cell r="B23" t="str">
            <v>E22</v>
          </cell>
          <cell r="C23" t="str">
            <v xml:space="preserve">Shielding and nature of waste associated with many of the containers in the facility expected to mitigate the consequences of this event. High wind conditions would disperse any released material in a manner significantly greater than 95% meteorological condition assumptions. </v>
          </cell>
          <cell r="D23" t="str">
            <v>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v>
          </cell>
          <cell r="E23" t="str">
            <v xml:space="preserve">High wind conditions would disperse any released material in a manner significantly greater than 95% meteorological condition assumptions. </v>
          </cell>
          <cell r="F23" t="str">
            <v xml:space="preserve">Source term for event expected to be limited to airborne contamination affected by large negative pressure associated with direct strike by a tornado. Facility confinement not expected to be affected by missiles of EBE. </v>
          </cell>
          <cell r="H23" t="str">
            <v xml:space="preserve">High wind conditions would disperse any released material in a manner significantly greater than 95% meteorological condition assumptions. </v>
          </cell>
          <cell r="I23" t="str">
            <v xml:space="preserve">Source term for event expected to be limited to airborne contamination affected by large negative pressure associated with direct strike by a tornado. Facility confinement not expected to be affected by missiles of EBE. </v>
          </cell>
          <cell r="J23" t="str">
            <v>Activity would not be conducted under event conditions.</v>
          </cell>
          <cell r="K23" t="str">
            <v xml:space="preserve">Source term for event expected to be limited to airborne contamination affected by large negative pressure associated with direct strike by a tornado. Facility confinement not expected to be affected by missiles of EBE. </v>
          </cell>
          <cell r="L23" t="str">
            <v xml:space="preserve">Source term for event expected to be limited to airborne contamination affected by large negative pressure associated with direct strike by a tornado. Facility confinement not expected to be affected by missiles of EBE. </v>
          </cell>
        </row>
        <row r="24">
          <cell r="A24" t="str">
            <v>Snow and/or ice buildup</v>
          </cell>
          <cell r="B24" t="str">
            <v>E23</v>
          </cell>
          <cell r="C24" t="str">
            <v>WVDP facilities designed to withstand 40 psf snow loading</v>
          </cell>
          <cell r="D24" t="str">
            <v>WVDP facilities designed to withstand 40 psf snow loading</v>
          </cell>
          <cell r="E24" t="str">
            <v>WVDP facilities designed to withstand 40 psf snow loading</v>
          </cell>
          <cell r="F24" t="str">
            <v>WVDP facilities designed to withstand 40 psf snow loading</v>
          </cell>
          <cell r="G24" t="str">
            <v>WVDP facilities designed to withstand 40 psf snow loading</v>
          </cell>
          <cell r="H24" t="str">
            <v xml:space="preserve">Construction of waste storage containers more than adequate to support anticipated snow/ice loadings. </v>
          </cell>
          <cell r="I24" t="str">
            <v>WVDP facilities designed to withstand 40 psf snow loading</v>
          </cell>
          <cell r="J24" t="str">
            <v>WVDP facilities designed to withstand 40 psf snow loading</v>
          </cell>
          <cell r="K24" t="str">
            <v>WVDP facilities designed to withstand 40 psf snow loading</v>
          </cell>
          <cell r="L24" t="str">
            <v>WVDP facilities designed to withstand 40 psf snow loading</v>
          </cell>
        </row>
        <row r="25">
          <cell r="A25" t="str">
            <v>Seismic event</v>
          </cell>
          <cell r="B25" t="str">
            <v>E24</v>
          </cell>
          <cell r="C25" t="str">
            <v xml:space="preserve">Facility expected to remain intact following EBE. Toppling of storage array addressed under event "Collapse of Stacked Containers." </v>
          </cell>
          <cell r="E25" t="str">
            <v xml:space="preserve">Facility expected to remain intact following EBE. Toppling of storage array addressed under event "Collapse of Stacked Containers." </v>
          </cell>
          <cell r="F25" t="str">
            <v xml:space="preserve">Facility confinement boundaries expected to remain intact following EBE. </v>
          </cell>
          <cell r="G25" t="str">
            <v xml:space="preserve">Facility confinement boundaries expected to remain intact following EBE. </v>
          </cell>
          <cell r="I25" t="str">
            <v xml:space="preserve">Facility confinement boundaries expected to remain intact following EBE. </v>
          </cell>
          <cell r="J25" t="str">
            <v>Occurrence of event assumed to be incredible during the short period of time in which the material is in transit.</v>
          </cell>
          <cell r="K25" t="str">
            <v xml:space="preserve">Facility confinement boundaries expected to remain intact following EBE. </v>
          </cell>
          <cell r="L25" t="str">
            <v xml:space="preserve">Facility confinement boundaries expected to remain intact following EBE. </v>
          </cell>
        </row>
        <row r="26">
          <cell r="A26" t="str">
            <v>Loss of airborne contamination confinement</v>
          </cell>
          <cell r="B26" t="str">
            <v>AER</v>
          </cell>
          <cell r="C26" t="str">
            <v>Event applicable only to loss of confinement in areas maintaining active ventilation systems. Loss of airborne contamination confinement involving packaged wastes addressed in other events:
•  Vehicle/equipment impacts waste/ waste containers
•  Drop/impact/spill
•  Collapse of stacked containers
•  Waste container over-pressurization</v>
          </cell>
          <cell r="E26" t="str">
            <v>Contamination assumed to migrate from confinement boundary penetrations through aerodynamic entrainment and resuspension under static facility conditions.</v>
          </cell>
          <cell r="F26" t="str">
            <v>Contamination assumed to migrate from confinement boundary penetrations through aerodynamic entrainment and resuspension under static facility conditions.</v>
          </cell>
          <cell r="G26" t="str">
            <v>Contamination assumed to migrate from confinement boundary penetrations through aerodynamic entrainment and resuspension under static facility conditions.</v>
          </cell>
          <cell r="H26" t="str">
            <v>Event applicable only to loss of confinement in areas maintaining active ventilation systems. Loss of airborne contamination confinement involving packaged wastes addressed in other events:
•  Vehicle/equipment impacts waste/ waste containers
•  Drop/impact/spill
•  Collapse of stacked containers
•  Waste container over-pressurization</v>
          </cell>
          <cell r="I26" t="str">
            <v>Contamination assumed to migrate from confinement boundary penetrations through aerodynamic entrainment and resuspension under static facility conditions.</v>
          </cell>
          <cell r="J26" t="str">
            <v>Event applicable only to loss of confinement in areas maintaining active ventilation systems. Loss of airborne contamination confinement involving packaged wastes addressed in other events:
•  Vehicle/equipment impacts waste/ waste containers
•  Drop/impact/spill
•  Waste container over-pressurization</v>
          </cell>
          <cell r="K26" t="str">
            <v>Contamination assumed to migrate from confinement boundary penetrations through aerodynamic entrainment and resuspension under static facility conditions.</v>
          </cell>
          <cell r="L26" t="str">
            <v>Contamination assumed to migrate from confinement boundary penetrations through aerodynamic entrainment and resuspension under static facility conditions.</v>
          </cell>
        </row>
        <row r="27">
          <cell r="A27" t="str">
            <v>Localized explosion within facility</v>
          </cell>
          <cell r="B27" t="str">
            <v>ES</v>
          </cell>
          <cell r="C27" t="str">
            <v>Events involving explosions that have the potential to impact facility MAR addressed in event "Localized explosion external to container."</v>
          </cell>
          <cell r="D27" t="str">
            <v>Events involving explosions that have the potential to impact facility MAR addressed in event "Localized explosion external to container."</v>
          </cell>
          <cell r="E27" t="str">
            <v>Events involving explosions that have the potential to impact facility MAR addressed in event "Localized explosion external to container."</v>
          </cell>
          <cell r="F27" t="str">
            <v xml:space="preserve">Event is assumed to be due to ignition of flammable gas associated with D&amp;D activities (e.g., cutting gases, pressurized decontamination gases, etc.). </v>
          </cell>
          <cell r="G27" t="str">
            <v>Events involving explosions that have the potential to impact facility MAR addressed in event "Localized explosion external to container."</v>
          </cell>
          <cell r="H27" t="str">
            <v>Events involving explosions that have the potential to impact facility MAR addressed in event "Localized explosion external to container."</v>
          </cell>
          <cell r="I27" t="str">
            <v xml:space="preserve">Event is assumed to be due to ignition of flammable gas associated with D&amp;D activities (e.g., cutting gases, pressurized decontamination gases, etc.). </v>
          </cell>
          <cell r="J27" t="str">
            <v>Events involving explosions that have the potential to impact facility MAR addressed in event "Localized explosion external to container."</v>
          </cell>
          <cell r="K27" t="str">
            <v xml:space="preserve">Event is assumed to be due to ignition of flammable gas associated with D&amp;D activities (e.g., cutting gases, pressurized decontamination gases, etc.). </v>
          </cell>
          <cell r="L27" t="str">
            <v>Materials capable of initiating an explosion not required for operation of WTF areas.</v>
          </cell>
        </row>
        <row r="28">
          <cell r="A28" t="str">
            <v>Loss of liquid contamination confinement</v>
          </cell>
          <cell r="B28" t="str">
            <v>FFS</v>
          </cell>
          <cell r="C28" t="str">
            <v>None.</v>
          </cell>
          <cell r="D28" t="str">
            <v>Liquids excluded from WVDP HLW canisters in accordance with waste form qualification requirements.</v>
          </cell>
          <cell r="E28" t="str">
            <v>None.</v>
          </cell>
          <cell r="F28" t="str">
            <v>None.</v>
          </cell>
          <cell r="G28" t="str">
            <v>None.</v>
          </cell>
          <cell r="H28" t="str">
            <v>None.</v>
          </cell>
          <cell r="I28" t="str">
            <v>None.</v>
          </cell>
          <cell r="J28" t="str">
            <v>None.</v>
          </cell>
          <cell r="K28" t="str">
            <v>None.</v>
          </cell>
          <cell r="L28" t="str">
            <v>None.</v>
          </cell>
        </row>
        <row r="29">
          <cell r="A29" t="str">
            <v>Flood</v>
          </cell>
          <cell r="C29" t="str">
            <v xml:space="preserve">Site topography places facility outside area vulnerable to flooding (ref. Figure 1.4-6). </v>
          </cell>
          <cell r="D29" t="str">
            <v>Cask design provides isolation of stored waste from credible external water levels (ponding) due to flooding (i.e., no vent holes).</v>
          </cell>
          <cell r="E29" t="str">
            <v xml:space="preserve">Site topography places facility outside area vulnerable to flooding (ref. Figure 1.4-6). </v>
          </cell>
          <cell r="F29" t="str">
            <v xml:space="preserve">Site topography places facility outside area vulnerable to flooding (ref. Figure 1.4-6). </v>
          </cell>
          <cell r="G29" t="str">
            <v xml:space="preserve">Site topography places facility outside area vulnerable to flooding (ref. Figure 1.4-6). </v>
          </cell>
          <cell r="H29" t="str">
            <v xml:space="preserve">Site topography places facility outside area vulnerable to flooding (ref. Figure 1.4-6). </v>
          </cell>
          <cell r="I29" t="str">
            <v xml:space="preserve">Site topography places facility outside area vulnerable to flooding (ref. Figure 1.4-6). </v>
          </cell>
          <cell r="J29" t="str">
            <v>Activity would not be conducted under event conditions.</v>
          </cell>
          <cell r="K29" t="str">
            <v xml:space="preserve">Site topography places facility outside area vulnerable to flooding (ref. Figure 1.4-6). </v>
          </cell>
          <cell r="L29" t="str">
            <v xml:space="preserve">Site topography places facility outside area vulnerable to flooding (ref. Figure 1.4-6). </v>
          </cell>
        </row>
        <row r="30">
          <cell r="A30" t="str">
            <v>HEPA filter failure</v>
          </cell>
          <cell r="B30" t="str">
            <v>HB</v>
          </cell>
          <cell r="C30" t="str">
            <v>Facility does not possess HEPA-filtered ventilation system.</v>
          </cell>
          <cell r="D30" t="str">
            <v>Facility does not possess HEPA-filtered ventilation system.</v>
          </cell>
          <cell r="H30" t="str">
            <v>Facility does not possess HEPA-filtered ventilation system.</v>
          </cell>
          <cell r="J30" t="str">
            <v>Activity does not require HEPA-filtered ventilation system.</v>
          </cell>
        </row>
        <row r="31">
          <cell r="A31" t="str">
            <v>HEPA filter fire</v>
          </cell>
          <cell r="B31" t="str">
            <v>HF</v>
          </cell>
          <cell r="C31" t="str">
            <v>Facility does not possess HEPA-filtered ventilation system.</v>
          </cell>
          <cell r="D31" t="str">
            <v>Facility does not possess HEPA-filtered ventilation system.</v>
          </cell>
          <cell r="H31" t="str">
            <v>Facility does not possess HEPA-filtered ventilation system.</v>
          </cell>
          <cell r="J31" t="str">
            <v>Activity does not require HEPA-filtered ventilation system.</v>
          </cell>
        </row>
        <row r="32">
          <cell r="A32" t="str">
            <v>Stack failure</v>
          </cell>
          <cell r="B32" t="str">
            <v>IS</v>
          </cell>
          <cell r="C32" t="str">
            <v>Facility does not possess ventilation stack</v>
          </cell>
          <cell r="D32" t="str">
            <v>Facility does not possess ventilation stack</v>
          </cell>
          <cell r="E32" t="str">
            <v>Facility does not possess ventilation stack</v>
          </cell>
          <cell r="G32" t="str">
            <v>Area ventilation exhausts to Main Plant stack</v>
          </cell>
          <cell r="H32" t="str">
            <v>Facility does not possess ventilation stack</v>
          </cell>
          <cell r="I32" t="str">
            <v>Short stack with little potential to affect contaminated material in the facility.</v>
          </cell>
          <cell r="J32" t="str">
            <v>Facility does not possess ventilation stack</v>
          </cell>
          <cell r="K32" t="str">
            <v>Short stack with little potential to affect contaminated material in the facility.</v>
          </cell>
          <cell r="L32" t="str">
            <v>Short stack with little potential to affect contaminated material in the facility.</v>
          </cell>
        </row>
        <row r="33">
          <cell r="A33" t="str">
            <v>Corrosion</v>
          </cell>
          <cell r="C33" t="str">
            <v>Event unique to HLW storage.</v>
          </cell>
          <cell r="D33" t="str">
            <v>Carbon steel cask interior is coated to minimize corrosion. The overpack is stainless steel and rests on a stainless steel pad located on the bottom of the storage cask. The materials of construction and design limit the potential for corrosion of the canisters and canister overpack.</v>
          </cell>
          <cell r="E33" t="str">
            <v>Event unique to HLW storage.</v>
          </cell>
          <cell r="F33" t="str">
            <v>Event unique to HLW storage.</v>
          </cell>
          <cell r="G33" t="str">
            <v>Event unique to HLW storage.</v>
          </cell>
          <cell r="H33" t="str">
            <v>Event unique to HLW storage.</v>
          </cell>
          <cell r="I33" t="str">
            <v>Event unique to HLW storage.</v>
          </cell>
          <cell r="J33" t="str">
            <v>Event unique to HLW storage.</v>
          </cell>
          <cell r="K33" t="str">
            <v>Event unique to HLW storage.</v>
          </cell>
          <cell r="L33" t="str">
            <v>Event unique to HLW storage.</v>
          </cell>
        </row>
        <row r="34">
          <cell r="A34" t="str">
            <v>Locomotive/ loaded rail car impacts storage casks</v>
          </cell>
          <cell r="C34" t="str">
            <v>Event unique to HLW storage.</v>
          </cell>
          <cell r="D34" t="str">
            <v>The rail line adjacent to the storage pad is a spur that is wholly on the WVDP premises, precluding other commercial traffic.</v>
          </cell>
          <cell r="E34" t="str">
            <v>Event unique to HLW storage.</v>
          </cell>
          <cell r="F34" t="str">
            <v>Event unique to HLW storage.</v>
          </cell>
          <cell r="G34" t="str">
            <v>Event unique to HLW storage.</v>
          </cell>
          <cell r="H34" t="str">
            <v>Event unique to HLW storage.</v>
          </cell>
          <cell r="I34" t="str">
            <v>Event unique to HLW storage.</v>
          </cell>
          <cell r="J34" t="str">
            <v>Event unique to HLW storage.</v>
          </cell>
          <cell r="K34" t="str">
            <v>Event unique to HLW storage.</v>
          </cell>
          <cell r="L34" t="str">
            <v>Event unique to HLW storage.</v>
          </cell>
        </row>
        <row r="35">
          <cell r="A35" t="str">
            <v>Seismic event (tip over)</v>
          </cell>
          <cell r="C35" t="str">
            <v>Event unique to HLW storage.</v>
          </cell>
          <cell r="D35" t="str">
            <v>VSC determined to be stable against tip-over under conditions (ref. NAC Calculation 630087-2010, Revision 0, MPC-WVDP VSC Structural Evaluation).</v>
          </cell>
          <cell r="E35" t="str">
            <v>Event unique to HLW storage.</v>
          </cell>
          <cell r="F35" t="str">
            <v>Event unique to HLW storage.</v>
          </cell>
          <cell r="G35" t="str">
            <v>Event unique to HLW storage.</v>
          </cell>
          <cell r="H35" t="str">
            <v>Event unique to HLW storage.</v>
          </cell>
          <cell r="I35" t="str">
            <v>Event unique to HLW storage.</v>
          </cell>
          <cell r="J35" t="str">
            <v>Event unique to HLW storage.</v>
          </cell>
          <cell r="K35" t="str">
            <v>Event unique to HLW storage.</v>
          </cell>
          <cell r="L35" t="str">
            <v>Event unique to HLW storage.</v>
          </cell>
        </row>
        <row r="36">
          <cell r="A36" t="str">
            <v>Severe environmental conditions</v>
          </cell>
          <cell r="C36" t="str">
            <v>Event unique to HLW storage.</v>
          </cell>
          <cell r="E36" t="str">
            <v>Event unique to HLW storage.</v>
          </cell>
          <cell r="F36" t="str">
            <v>Event unique to HLW storage.</v>
          </cell>
          <cell r="G36" t="str">
            <v>Event unique to HLW storage.</v>
          </cell>
          <cell r="H36" t="str">
            <v>Event unique to HLW storage.</v>
          </cell>
          <cell r="I36" t="str">
            <v>Event unique to HLW storage.</v>
          </cell>
          <cell r="J36" t="str">
            <v>Event unique to HLW storage.</v>
          </cell>
          <cell r="K36" t="str">
            <v>Event unique to HLW storage.</v>
          </cell>
          <cell r="L36" t="str">
            <v>Event unique to HLW storage.</v>
          </cell>
        </row>
        <row r="37">
          <cell r="A37" t="str">
            <v>Storage cask tip-over due to transportation event</v>
          </cell>
          <cell r="C37" t="str">
            <v>Event unique to HLW storage.</v>
          </cell>
          <cell r="D37" t="str">
            <v>Haul path to be inspected and verified to be adequate prior to transportation.</v>
          </cell>
          <cell r="E37" t="str">
            <v>Event unique to HLW storage.</v>
          </cell>
          <cell r="F37" t="str">
            <v>Event unique to HLW storage.</v>
          </cell>
          <cell r="G37" t="str">
            <v>Event unique to HLW storage.</v>
          </cell>
          <cell r="H37" t="str">
            <v>Event unique to HLW storage.</v>
          </cell>
          <cell r="I37" t="str">
            <v>Event unique to HLW storage.</v>
          </cell>
          <cell r="J37" t="str">
            <v>Event unique to HLW storage.</v>
          </cell>
          <cell r="K37" t="str">
            <v>Event unique to HLW storage.</v>
          </cell>
          <cell r="L37" t="str">
            <v>Event unique to HLW storage.</v>
          </cell>
        </row>
      </sheetData>
      <sheetData sheetId="6">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Max Facility MAR</v>
          </cell>
          <cell r="C2">
            <v>2100</v>
          </cell>
          <cell r="D2">
            <v>83000</v>
          </cell>
          <cell r="E2">
            <v>2100</v>
          </cell>
          <cell r="F2">
            <v>2300</v>
          </cell>
          <cell r="G2">
            <v>360</v>
          </cell>
          <cell r="H2">
            <v>2100</v>
          </cell>
          <cell r="I2">
            <v>1000</v>
          </cell>
          <cell r="J2">
            <v>360</v>
          </cell>
          <cell r="K2">
            <v>1500</v>
          </cell>
          <cell r="L2">
            <v>850</v>
          </cell>
        </row>
        <row r="3">
          <cell r="C3" t="str">
            <v xml:space="preserve">MAR is entire inventory of radioactive material in WVDP packaged waste (exclusive of HLW) (Ref.WVNS-CAL-397, Table C-1, Lag Storage). </v>
          </cell>
          <cell r="D3" t="str">
            <v xml:space="preserve">MAR is entire inventory of radioactive material in HLWSS (Ref.WVNS-CAL-397, Table C-1, HLWSS). </v>
          </cell>
          <cell r="E3" t="str">
            <v xml:space="preserve">MAR is entire inventory of radioactive material in WVDP packaged waste (exclusive of HLW) (Ref.WVNS-CAL-397, Table C-1). </v>
          </cell>
          <cell r="F3" t="str">
            <v xml:space="preserve">MAR is entire inventory of radioactive material in the MPPB  (exclusive of HLW) (Ref. WVNS-CAL-397, Table C-1). </v>
          </cell>
          <cell r="G3" t="str">
            <v xml:space="preserve">MAR is activity in maximally loaded 2-drum Interim Storage Container (Ref. WVNS-CAL-397, Table A-2). </v>
          </cell>
          <cell r="H3" t="str">
            <v xml:space="preserve">MAR is entire inventory of radioactive material in WVDP packaged waste (exclusive of HLW) (Ref.WVNS-CAL-397, Table C-1, Lag Storage). </v>
          </cell>
          <cell r="I3" t="str">
            <v xml:space="preserve">MAR is all waste originating from the HECs (Ref. WVNS-CAL-397, Table A-2, HC Gen Area = "HEC" or "PBS") plus ICA inventory limit. </v>
          </cell>
          <cell r="J3" t="str">
            <v xml:space="preserve">MAR is activity in maximally loaded 2-drum Interim Storage Container (Ref. WVNS-CAL-397, Table A-2). </v>
          </cell>
          <cell r="K3" t="str">
            <v xml:space="preserve">MAR is entire inventory of radioactive material in the Vitrification Facility (Ref. WVNS-CAL-397, Table C-1). </v>
          </cell>
          <cell r="L3" t="str">
            <v xml:space="preserve">MAR is total inventory of activity in the WTF (Ref. WVNS-CAL-397, Table C-1). </v>
          </cell>
        </row>
        <row r="4">
          <cell r="A4" t="str">
            <v>Max Cell/Array MAR</v>
          </cell>
          <cell r="F4">
            <v>850</v>
          </cell>
          <cell r="K4">
            <v>500</v>
          </cell>
        </row>
        <row r="5">
          <cell r="F5" t="str">
            <v>MAR is all surface contamination in MPPB cells (includes fixed contamination).
(Ref. WVNS-CAL-397, Table A-1, MPPB cell activity less "liquids" and CPC waste)</v>
          </cell>
          <cell r="K5" t="str">
            <v>MAR is all surface contamination in Vitrification Cell (includes fixed contamination) (Ref. WVNS-CAL-397, Table A-1, "surfaces")</v>
          </cell>
        </row>
        <row r="6">
          <cell r="A6" t="str">
            <v>Ventilation System MAR</v>
          </cell>
          <cell r="E6">
            <v>1</v>
          </cell>
          <cell r="F6">
            <v>10</v>
          </cell>
          <cell r="G6">
            <v>1</v>
          </cell>
          <cell r="I6">
            <v>1</v>
          </cell>
          <cell r="K6">
            <v>1</v>
          </cell>
          <cell r="L6">
            <v>1</v>
          </cell>
        </row>
        <row r="7">
          <cell r="E7" t="str">
            <v>10% of MPPB ventilation system MAR bounding for facility HEPA filters based on system environmental emission data</v>
          </cell>
          <cell r="F7" t="str">
            <v>MAR is inventory of radioactive material in bounding MPPB ventilation system (Ref. WVNS-CAL-397, Table A-1, "VEC").</v>
          </cell>
          <cell r="G7" t="str">
            <v>10% of MPPB ventilation system MAR bounding for facility HEPA filters based on system environmental emission data</v>
          </cell>
          <cell r="I7" t="str">
            <v>10% of MPPB ventilation system MAR bounding for facility HEPA filters based on system environmental emission data</v>
          </cell>
          <cell r="K7" t="str">
            <v>10% of MPPB ventilation system MAR bounding for facility HEPA filters based on system environmental emission data</v>
          </cell>
          <cell r="L7" t="str">
            <v>10% of MPPB ventilation system MAR bounding for facility HEPA filters based on system environmental emission data</v>
          </cell>
        </row>
        <row r="8">
          <cell r="A8" t="str">
            <v>Max individual container MAR</v>
          </cell>
          <cell r="C8">
            <v>360</v>
          </cell>
          <cell r="D8">
            <v>2500</v>
          </cell>
          <cell r="E8">
            <v>360</v>
          </cell>
          <cell r="F8">
            <v>360</v>
          </cell>
          <cell r="G8">
            <v>360</v>
          </cell>
          <cell r="H8">
            <v>360</v>
          </cell>
          <cell r="I8">
            <v>360</v>
          </cell>
          <cell r="J8">
            <v>360</v>
          </cell>
          <cell r="K8">
            <v>360</v>
          </cell>
        </row>
        <row r="9">
          <cell r="C9" t="str">
            <v xml:space="preserve">MAR is activity in maximally loaded 2-drum Interim Storage Container (Ref. WVNS-CAL-397, Table A-2). </v>
          </cell>
          <cell r="D9" t="str">
            <v xml:space="preserve">MAR is cask containing 5 HLW canisters each containing an amount of activity equal to the maximum HLW canister (Ref. WVNS-CAL-396). </v>
          </cell>
          <cell r="E9" t="str">
            <v xml:space="preserve">MAR is activity in maximally loaded 2-drum Interim Storage Container (Ref. WVNS-CAL-397, Table A-2). </v>
          </cell>
          <cell r="F9" t="str">
            <v xml:space="preserve">MAR is activity in maximally loaded 2-drum Interim Storage Container (Ref. WVNS-CAL-397, Table A-2). </v>
          </cell>
          <cell r="G9" t="str">
            <v xml:space="preserve">MAR is activity in maximally loaded 2-drum Interim Storage Container (Ref. WVNS-CAL-397, Table A-2). </v>
          </cell>
          <cell r="H9" t="str">
            <v xml:space="preserve">MAR is activity in maximally loaded 2-drum Interim Storage Container (Ref. WVNS-CAL-397, Table A-2). </v>
          </cell>
          <cell r="I9" t="str">
            <v xml:space="preserve">MAR is activity in maximally loaded 2-drum Interim Storage Container (Ref. WVNS-CAL-397, Table A-2). </v>
          </cell>
          <cell r="J9" t="str">
            <v xml:space="preserve">MAR is activity in maximally loaded 2-drum Interim Storage Container (Ref. WVNS-CAL-397, Table A-2). </v>
          </cell>
          <cell r="K9" t="str">
            <v xml:space="preserve">MAR is activity in maximally loaded 2-drum Interim Storage Container (Ref. WVNS-CAL-397, Table A-2). </v>
          </cell>
        </row>
        <row r="10">
          <cell r="A10" t="str">
            <v>Localized flammable liquid pool fire</v>
          </cell>
          <cell r="B10" t="str">
            <v>E01</v>
          </cell>
          <cell r="C10">
            <v>2100</v>
          </cell>
          <cell r="D10">
            <v>83000</v>
          </cell>
          <cell r="E10">
            <v>2100</v>
          </cell>
          <cell r="G10">
            <v>360</v>
          </cell>
          <cell r="H10">
            <v>2100</v>
          </cell>
          <cell r="I10">
            <v>1000</v>
          </cell>
          <cell r="J10">
            <v>360</v>
          </cell>
        </row>
        <row r="11">
          <cell r="C11" t="str">
            <v xml:space="preserve">MAR is entire inventory of radioactive material in WVDP packaged waste (exclusive of HLW) (Ref.WVNS-CAL-397, Table C-1, Lag Storage). </v>
          </cell>
          <cell r="D11" t="str">
            <v xml:space="preserve">MAR is entire inventory of radioactive material in HLWSS (Ref.WVNS-CAL-397, Table C-1, HLWSS). </v>
          </cell>
          <cell r="E11" t="str">
            <v xml:space="preserve">MAR is entire inventory of radioactive material in WVDP packaged waste (exclusive of HLW) (Ref.WVNS-CAL-397, Table C-1). </v>
          </cell>
          <cell r="G11" t="str">
            <v xml:space="preserve">MAR is activity in maximally loaded 2-drum Interim Storage Container (Ref. WVNS-CAL-397, Table A-2). </v>
          </cell>
          <cell r="H11" t="str">
            <v xml:space="preserve">MAR is entire inventory of radioactive material in WVDP packaged waste (exclusive of HLW) (Ref.WVNS-CAL-397, Table C-1, Lag Storage). </v>
          </cell>
          <cell r="I11" t="str">
            <v xml:space="preserve">MAR is all waste originating from the HECs (Ref. WVNS-CAL-397, Table A-2, HC Gen Area = "HEC" or "PBS") plus ICA inventory limit. </v>
          </cell>
          <cell r="J11" t="str">
            <v xml:space="preserve">MAR is activity in maximally loaded 2-drum Interim Storage Container (Ref. WVNS-CAL-397, Table A-2). </v>
          </cell>
        </row>
        <row r="12">
          <cell r="A12" t="str">
            <v>Small combustible material fire</v>
          </cell>
          <cell r="B12" t="str">
            <v>E02</v>
          </cell>
          <cell r="C12">
            <v>360</v>
          </cell>
          <cell r="E12">
            <v>360</v>
          </cell>
          <cell r="F12">
            <v>360</v>
          </cell>
          <cell r="G12">
            <v>360</v>
          </cell>
          <cell r="H12">
            <v>360</v>
          </cell>
          <cell r="I12">
            <v>360</v>
          </cell>
          <cell r="J12">
            <v>360</v>
          </cell>
          <cell r="K12">
            <v>360</v>
          </cell>
          <cell r="L12">
            <v>850</v>
          </cell>
        </row>
        <row r="13">
          <cell r="C13" t="str">
            <v xml:space="preserve">MAR is activity in maximally loaded 2-drum Interim Storage Container (Ref. WVNS-CAL-397, Table A-2). </v>
          </cell>
          <cell r="E13" t="str">
            <v xml:space="preserve">MAR is activity in maximally loaded 2-drum Interim Storage Container (Ref. WVNS-CAL-397, Table A-2). </v>
          </cell>
          <cell r="F13" t="str">
            <v xml:space="preserve">MAR is activity in maximally loaded 2-drum Interim Storage Container (Ref. WVNS-CAL-397, Table A-2). </v>
          </cell>
          <cell r="G13" t="str">
            <v xml:space="preserve">MAR is activity in maximally loaded 2-drum Interim Storage Container (Ref. WVNS-CAL-397, Table A-2). </v>
          </cell>
          <cell r="H13" t="str">
            <v xml:space="preserve">MAR is activity in maximally loaded 2-drum Interim Storage Container (Ref. WVNS-CAL-397, Table A-2). </v>
          </cell>
          <cell r="I13" t="str">
            <v xml:space="preserve">MAR is activity in maximally loaded 2-drum Interim Storage Container (Ref. WVNS-CAL-397, Table A-2). </v>
          </cell>
          <cell r="J13" t="str">
            <v xml:space="preserve">MAR is activity in maximally loaded 2-drum Interim Storage Container (Ref. WVNS-CAL-397, Table A-2). </v>
          </cell>
          <cell r="K13" t="str">
            <v xml:space="preserve">MAR is activity in maximally loaded 2-drum Interim Storage Container (Ref. WVNS-CAL-397, Table A-2). </v>
          </cell>
          <cell r="L13" t="str">
            <v xml:space="preserve">MAR is total inventory of activity in the WTF (Ref. WVNS-CAL-397, Table C-1). </v>
          </cell>
        </row>
        <row r="14">
          <cell r="A14" t="str">
            <v>Large fire</v>
          </cell>
          <cell r="B14" t="str">
            <v>E04</v>
          </cell>
          <cell r="E14">
            <v>2100</v>
          </cell>
          <cell r="F14">
            <v>2300</v>
          </cell>
          <cell r="I14">
            <v>1000</v>
          </cell>
          <cell r="K14">
            <v>1500</v>
          </cell>
        </row>
        <row r="15">
          <cell r="E15" t="str">
            <v xml:space="preserve">MAR is entire inventory of radioactive material in WVDP packaged waste (exclusive of HLW) (Ref.WVNS-CAL-397, Table C-1). </v>
          </cell>
          <cell r="F15" t="str">
            <v xml:space="preserve">MAR is entire inventory of radioactive material in the MPPB  (exclusive of HLW) (Ref. WVNS-CAL-397, Table C-1). </v>
          </cell>
          <cell r="I15" t="str">
            <v xml:space="preserve">MAR is all waste originating from the HECs (Ref. WVNS-CAL-397, Table A-2, HC Gen Area = "HEC" or "PBS") plus ICA inventory limit. </v>
          </cell>
          <cell r="K15" t="str">
            <v xml:space="preserve">MAR is entire inventory of radioactive material in the Vitrification Facility (Ref. WVNS-CAL-397, Table C-1). </v>
          </cell>
        </row>
        <row r="16">
          <cell r="A16" t="str">
            <v>Localized explosion external to container</v>
          </cell>
          <cell r="B16" t="str">
            <v>E05</v>
          </cell>
          <cell r="C16">
            <v>360</v>
          </cell>
          <cell r="D16">
            <v>2500</v>
          </cell>
          <cell r="E16">
            <v>360</v>
          </cell>
          <cell r="G16">
            <v>360</v>
          </cell>
          <cell r="H16">
            <v>360</v>
          </cell>
          <cell r="I16">
            <v>360</v>
          </cell>
          <cell r="J16">
            <v>360</v>
          </cell>
        </row>
        <row r="17">
          <cell r="C17" t="str">
            <v xml:space="preserve">MAR is activity in maximally loaded 2-drum Interim Storage Container (Ref. WVNS-CAL-397, Table A-2). </v>
          </cell>
          <cell r="D17" t="str">
            <v xml:space="preserve">MAR is cask containing 5 HLW canisters each containing an amount of activity equal to the maximum HLW canister (Ref. WVNS-CAL-396). </v>
          </cell>
          <cell r="E17" t="str">
            <v xml:space="preserve">MAR is activity in maximally loaded 2-drum Interim Storage Container (Ref. WVNS-CAL-397, Table A-2). </v>
          </cell>
          <cell r="G17" t="str">
            <v xml:space="preserve">MAR is activity in maximally loaded 2-drum Interim Storage Container (Ref. WVNS-CAL-397, Table A-2). </v>
          </cell>
          <cell r="H17" t="str">
            <v xml:space="preserve">MAR is activity in maximally loaded 2-drum Interim Storage Container (Ref. WVNS-CAL-397, Table A-2). </v>
          </cell>
          <cell r="I17" t="str">
            <v xml:space="preserve">MAR is activity in maximally loaded 2-drum Interim Storage Container (Ref. WVNS-CAL-397, Table A-2). </v>
          </cell>
          <cell r="J17" t="str">
            <v xml:space="preserve">MAR is activity in maximally loaded 2-drum Interim Storage Container (Ref. WVNS-CAL-397, Table A-2). </v>
          </cell>
        </row>
        <row r="18">
          <cell r="A18" t="str">
            <v>Waste container deflagration</v>
          </cell>
          <cell r="B18" t="str">
            <v>E06</v>
          </cell>
          <cell r="C18">
            <v>360</v>
          </cell>
          <cell r="E18">
            <v>360</v>
          </cell>
          <cell r="F18">
            <v>360</v>
          </cell>
          <cell r="G18">
            <v>360</v>
          </cell>
          <cell r="H18">
            <v>360</v>
          </cell>
          <cell r="I18">
            <v>360</v>
          </cell>
          <cell r="K18">
            <v>360</v>
          </cell>
        </row>
        <row r="19">
          <cell r="C19" t="str">
            <v xml:space="preserve">MAR is activity in maximally loaded 2-drum Interim Storage Container (Ref. WVNS-CAL-397, Table A-2). </v>
          </cell>
          <cell r="E19" t="str">
            <v xml:space="preserve">MAR is activity in maximally loaded 2-drum Interim Storage Container (Ref. WVNS-CAL-397, Table A-2). </v>
          </cell>
          <cell r="F19" t="str">
            <v xml:space="preserve">MAR is activity in maximally loaded 2-drum Interim Storage Container (Ref. WVNS-CAL-397, Table A-2). </v>
          </cell>
          <cell r="G19" t="str">
            <v xml:space="preserve">MAR is activity in maximally loaded 2-drum Interim Storage Container (Ref. WVNS-CAL-397, Table A-2). </v>
          </cell>
          <cell r="H19" t="str">
            <v xml:space="preserve">MAR is activity in maximally loaded 2-drum Interim Storage Container (Ref. WVNS-CAL-397, Table A-2). </v>
          </cell>
          <cell r="I19" t="str">
            <v xml:space="preserve">MAR is activity in maximally loaded 2-drum Interim Storage Container (Ref. WVNS-CAL-397, Table A-2). </v>
          </cell>
          <cell r="K19" t="str">
            <v xml:space="preserve">MAR is activity in maximally loaded 2-drum Interim Storage Container (Ref. WVNS-CAL-397, Table A-2). </v>
          </cell>
        </row>
        <row r="20">
          <cell r="A20" t="str">
            <v>Vehicle/equipment impacts waste/waste containers</v>
          </cell>
          <cell r="B20" t="str">
            <v>E09</v>
          </cell>
          <cell r="C20">
            <v>360</v>
          </cell>
          <cell r="D20">
            <v>2500</v>
          </cell>
          <cell r="E20">
            <v>360</v>
          </cell>
          <cell r="G20">
            <v>360</v>
          </cell>
          <cell r="H20">
            <v>360</v>
          </cell>
          <cell r="I20">
            <v>360</v>
          </cell>
          <cell r="J20">
            <v>360</v>
          </cell>
        </row>
        <row r="21">
          <cell r="C21" t="str">
            <v xml:space="preserve">MAR is activity in maximally loaded 2-drum Interim Storage Container (Ref. WVNS-CAL-397, Table A-2). </v>
          </cell>
          <cell r="D21" t="str">
            <v xml:space="preserve">MAR is cask containing 5 HLW canisters each containing an amount of activity equal to the maximum HLW canister (Ref. WVNS-CAL-396). </v>
          </cell>
          <cell r="E21" t="str">
            <v xml:space="preserve">MAR is activity in maximally loaded 2-drum Interim Storage Container (Ref. WVNS-CAL-397, Table A-2). </v>
          </cell>
          <cell r="G21" t="str">
            <v xml:space="preserve">MAR is activity in maximally loaded 2-drum Interim Storage Container (Ref. WVNS-CAL-397, Table A-2). </v>
          </cell>
          <cell r="H21" t="str">
            <v xml:space="preserve">MAR is activity in maximally loaded 2-drum Interim Storage Container (Ref. WVNS-CAL-397, Table A-2). </v>
          </cell>
          <cell r="I21" t="str">
            <v xml:space="preserve">MAR is activity in maximally loaded 2-drum Interim Storage Container (Ref. WVNS-CAL-397, Table A-2). </v>
          </cell>
          <cell r="J21" t="str">
            <v xml:space="preserve">MAR is activity in maximally loaded 2-drum Interim Storage Container (Ref. WVNS-CAL-397, Table A-2). </v>
          </cell>
        </row>
        <row r="22">
          <cell r="A22" t="str">
            <v>Drop/impact/spill</v>
          </cell>
          <cell r="B22" t="str">
            <v>E10</v>
          </cell>
          <cell r="C22">
            <v>360</v>
          </cell>
          <cell r="D22">
            <v>2500</v>
          </cell>
          <cell r="E22">
            <v>360</v>
          </cell>
          <cell r="F22">
            <v>360</v>
          </cell>
          <cell r="G22">
            <v>360</v>
          </cell>
          <cell r="H22">
            <v>360</v>
          </cell>
          <cell r="I22">
            <v>360</v>
          </cell>
          <cell r="J22">
            <v>360</v>
          </cell>
          <cell r="K22">
            <v>360</v>
          </cell>
          <cell r="L22">
            <v>1</v>
          </cell>
        </row>
        <row r="23">
          <cell r="C23" t="str">
            <v xml:space="preserve">MAR is activity in maximally loaded 2-drum Interim Storage Container (Ref. WVNS-CAL-397, Table A-2). </v>
          </cell>
          <cell r="D23" t="str">
            <v xml:space="preserve">MAR is cask containing 5 HLW canisters each containing an amount of activity equal to the maximum HLW canister (Ref. WVNS-CAL-396). </v>
          </cell>
          <cell r="E23" t="str">
            <v xml:space="preserve">MAR is activity in maximally loaded 2-drum Interim Storage Container (Ref. WVNS-CAL-397, Table A-2). </v>
          </cell>
          <cell r="F23" t="str">
            <v xml:space="preserve">MAR is activity in maximally loaded 2-drum Interim Storage Container (Ref. WVNS-CAL-397, Table A-2). </v>
          </cell>
          <cell r="G23" t="str">
            <v xml:space="preserve">MAR is activity in maximally loaded 2-drum Interim Storage Container (Ref. WVNS-CAL-397, Table A-2). </v>
          </cell>
          <cell r="H23" t="str">
            <v xml:space="preserve">MAR is activity in maximally loaded 2-drum Interim Storage Container (Ref. WVNS-CAL-397, Table A-2). </v>
          </cell>
          <cell r="I23" t="str">
            <v xml:space="preserve">MAR is activity in maximally loaded 2-drum Interim Storage Container (Ref. WVNS-CAL-397, Table A-2). </v>
          </cell>
          <cell r="J23" t="str">
            <v xml:space="preserve">MAR is activity in maximally loaded 2-drum Interim Storage Container (Ref. WVNS-CAL-397, Table A-2). </v>
          </cell>
          <cell r="K23" t="str">
            <v xml:space="preserve">MAR is activity in maximally loaded 2-drum Interim Storage Container (Ref. WVNS-CAL-397, Table A-2). </v>
          </cell>
          <cell r="L23" t="str">
            <v>10% of MPPB ventilation system MAR bounding for facility HEPA filters based on system environmental emission data</v>
          </cell>
        </row>
        <row r="24">
          <cell r="A24" t="str">
            <v>Collapse of stacked containers</v>
          </cell>
          <cell r="B24" t="str">
            <v>E11</v>
          </cell>
          <cell r="C24">
            <v>1050</v>
          </cell>
          <cell r="E24">
            <v>1050</v>
          </cell>
          <cell r="H24">
            <v>1050</v>
          </cell>
        </row>
        <row r="25">
          <cell r="C25" t="str">
            <v>MAR assumed to be half of activity in storage (i.e., activity in containers on 3rd and 4th tier of storage array (Ref. WVNS-CAL-397, Appendix A)</v>
          </cell>
          <cell r="E25" t="str">
            <v>MAR assumed to be half of activity in storage (i.e., activity in containers on 3rd and 4th tier of storage array (Ref. WVNS-CAL-397, Appendix A)</v>
          </cell>
          <cell r="H25" t="str">
            <v>MAR assumed to be half of activity in storage (i.e., activity in containers on 3rd and 4th tier of storage array (Ref. WVNS-CAL-397, Appendix A)</v>
          </cell>
        </row>
        <row r="26">
          <cell r="A26" t="str">
            <v>Waste container over-pressurization</v>
          </cell>
          <cell r="B26" t="str">
            <v>E12</v>
          </cell>
          <cell r="C26">
            <v>360</v>
          </cell>
          <cell r="E26">
            <v>360</v>
          </cell>
          <cell r="F26">
            <v>360</v>
          </cell>
          <cell r="G26">
            <v>360</v>
          </cell>
          <cell r="H26">
            <v>360</v>
          </cell>
          <cell r="I26">
            <v>360</v>
          </cell>
          <cell r="K26">
            <v>360</v>
          </cell>
        </row>
        <row r="27">
          <cell r="C27" t="str">
            <v xml:space="preserve">MAR is activity in maximally loaded 2-drum Interim Storage Container (Ref. WVNS-CAL-397, Table A-2). </v>
          </cell>
          <cell r="E27" t="str">
            <v xml:space="preserve">MAR is activity in maximally loaded 2-drum Interim Storage Container (Ref. WVNS-CAL-397, Table A-2). </v>
          </cell>
          <cell r="F27" t="str">
            <v xml:space="preserve">MAR is activity in maximally loaded 2-drum Interim Storage Container (Ref. WVNS-CAL-397, Table A-2). </v>
          </cell>
          <cell r="G27" t="str">
            <v xml:space="preserve">MAR is activity in maximally loaded 2-drum Interim Storage Container (Ref. WVNS-CAL-397, Table A-2). </v>
          </cell>
          <cell r="H27" t="str">
            <v xml:space="preserve">MAR is activity in maximally loaded 2-drum Interim Storage Container (Ref. WVNS-CAL-397, Table A-2). </v>
          </cell>
          <cell r="I27" t="str">
            <v xml:space="preserve">MAR is activity in maximally loaded 2-drum Interim Storage Container (Ref. WVNS-CAL-397, Table A-2). </v>
          </cell>
          <cell r="K27" t="str">
            <v xml:space="preserve">MAR is activity in maximally loaded 2-drum Interim Storage Container (Ref. WVNS-CAL-397, Table A-2). </v>
          </cell>
        </row>
        <row r="28">
          <cell r="A28" t="str">
            <v>Aircraft impact with fire</v>
          </cell>
          <cell r="B28" t="str">
            <v>E15</v>
          </cell>
          <cell r="C28">
            <v>2100</v>
          </cell>
          <cell r="D28">
            <v>83000</v>
          </cell>
          <cell r="E28">
            <v>2100</v>
          </cell>
          <cell r="F28">
            <v>10</v>
          </cell>
          <cell r="G28">
            <v>360</v>
          </cell>
          <cell r="H28">
            <v>2100</v>
          </cell>
          <cell r="I28">
            <v>1000</v>
          </cell>
          <cell r="K28">
            <v>1</v>
          </cell>
          <cell r="L28">
            <v>1</v>
          </cell>
        </row>
        <row r="29">
          <cell r="C29" t="str">
            <v xml:space="preserve">MAR is entire inventory of radioactive material in WVDP packaged waste (exclusive of HLW) (Ref.WVNS-CAL-397, Table C-1, Lag Storage). </v>
          </cell>
          <cell r="D29" t="str">
            <v xml:space="preserve">MAR is entire inventory of radioactive material in HLWSS (Ref.WVNS-CAL-397, Table C-1, HLWSS). </v>
          </cell>
          <cell r="E29" t="str">
            <v xml:space="preserve">MAR is entire inventory of radioactive material in WVDP packaged waste (exclusive of HLW) (Ref.WVNS-CAL-397, Table C-1). </v>
          </cell>
          <cell r="F29" t="str">
            <v>Only facility ventilation system vulnerable to event. MAR is inventory of radioactive material in bounding MPPB ventilation system 
(Ref. WVNS-CAL-397, Table A-1, "VEC")</v>
          </cell>
          <cell r="G29" t="str">
            <v xml:space="preserve">MAR is activity in maximally loaded 2-drum Interim Storage Container (Ref. WVNS-CAL-397, Table A-2). </v>
          </cell>
          <cell r="H29" t="str">
            <v xml:space="preserve">MAR is entire inventory of radioactive material in WVDP packaged waste (exclusive of HLW) (Ref.WVNS-CAL-397, Table C-1, Lag Storage). </v>
          </cell>
          <cell r="I29" t="str">
            <v xml:space="preserve">MAR is all waste originating from the HECs (Ref. WVNS-CAL-397, Table A-2, HC Gen Area = "HEC" or "PBS") plus ICA inventory limit. </v>
          </cell>
          <cell r="K29" t="str">
            <v>Only facility ventilation system vulnerable to event. MAR is bounded by 10% of MPPB ventilation system MAR based on system environmental emission data.</v>
          </cell>
          <cell r="L29" t="str">
            <v>Only facility ventilation system vulnerable to event. MAR is bounded by 10% of MPPB ventilation system MAR based on system environmental emission data.</v>
          </cell>
        </row>
        <row r="30">
          <cell r="A30" t="str">
            <v>External vehicle accident</v>
          </cell>
          <cell r="B30" t="str">
            <v>E16</v>
          </cell>
          <cell r="D30">
            <v>83000</v>
          </cell>
          <cell r="H30">
            <v>2100</v>
          </cell>
        </row>
        <row r="31">
          <cell r="D31" t="str">
            <v xml:space="preserve">MAR is entire inventory of radioactive material in HLWSS (Ref.WVNS-CAL-397, Table C-1, HLWSS). </v>
          </cell>
          <cell r="H31" t="str">
            <v xml:space="preserve">MAR is entire inventory of radioactive material in WVDP packaged waste (exclusive of HLW) (Ref.WVNS-CAL-397, Table C-1, Lag Storage). </v>
          </cell>
        </row>
        <row r="32">
          <cell r="A32" t="str">
            <v>External vehicle accident with fire</v>
          </cell>
          <cell r="B32" t="str">
            <v>E17</v>
          </cell>
          <cell r="D32">
            <v>83000</v>
          </cell>
          <cell r="H32">
            <v>2100</v>
          </cell>
        </row>
        <row r="33">
          <cell r="D33" t="str">
            <v xml:space="preserve">MAR is entire inventory of radioactive material in HLWSS (Ref.WVNS-CAL-397, Table C-1, HLWSS). </v>
          </cell>
          <cell r="H33" t="str">
            <v xml:space="preserve">MAR is entire inventory of radioactive material in WVDP packaged waste (exclusive of HLW) (Ref.WVNS-CAL-397, Table C-1, Lag Storage). </v>
          </cell>
        </row>
        <row r="34">
          <cell r="A34" t="str">
            <v>External explosion</v>
          </cell>
          <cell r="B34" t="str">
            <v>E18</v>
          </cell>
          <cell r="D34">
            <v>2500</v>
          </cell>
          <cell r="E34">
            <v>360</v>
          </cell>
          <cell r="F34">
            <v>2300</v>
          </cell>
          <cell r="H34">
            <v>360</v>
          </cell>
          <cell r="I34">
            <v>360</v>
          </cell>
        </row>
        <row r="35">
          <cell r="D35" t="str">
            <v xml:space="preserve">MAR is cask containing 5 HLW canisters each containing an amount of activity equal to the maximum HLW canister (Ref. WVNS-CAL-396). </v>
          </cell>
          <cell r="E35" t="str">
            <v xml:space="preserve">MAR is activity in maximally loaded 2-drum Interim Storage Container (Ref. WVNS-CAL-397, Table A-2). </v>
          </cell>
          <cell r="F35" t="str">
            <v xml:space="preserve">MAR is entire inventory of radioactive material in the MPPB  (exclusive of HLW) (Ref. WVNS-CAL-397, Table C-1). </v>
          </cell>
          <cell r="H35" t="str">
            <v xml:space="preserve">MAR is activity in maximally loaded 2-drum Interim Storage Container (Ref. WVNS-CAL-397, Table A-2). </v>
          </cell>
          <cell r="I35" t="str">
            <v xml:space="preserve">MAR is activity in maximally loaded 2-drum Interim Storage Container (Ref. WVNS-CAL-397, Table A-2). </v>
          </cell>
        </row>
        <row r="36">
          <cell r="A36" t="str">
            <v>External fire</v>
          </cell>
          <cell r="B36" t="str">
            <v>E19</v>
          </cell>
          <cell r="C36">
            <v>2100</v>
          </cell>
          <cell r="D36">
            <v>83000</v>
          </cell>
          <cell r="E36">
            <v>2100</v>
          </cell>
          <cell r="H36">
            <v>2100</v>
          </cell>
          <cell r="I36">
            <v>1000</v>
          </cell>
        </row>
        <row r="37">
          <cell r="C37" t="str">
            <v xml:space="preserve">MAR is entire inventory of radioactive material in WVDP packaged waste (exclusive of HLW). 
(Ref.WVNS-CAL-397, Table C-1, Lag Storage). </v>
          </cell>
          <cell r="D37" t="str">
            <v xml:space="preserve">MAR is entire inventory of radioactive material in HLWSS (Ref.WVNS-CAL-397, Table C-1, HLWSS). </v>
          </cell>
          <cell r="E37" t="str">
            <v xml:space="preserve">MAR is entire inventory of radioactive material in WVDP packaged waste (exclusive of HLW) (Ref.WVNS-CAL-397, Table C-1). </v>
          </cell>
          <cell r="H37" t="str">
            <v xml:space="preserve">MAR is entire inventory of radioactive material in WVDP packaged waste (exclusive of HLW) (Ref.WVNS-CAL-397, Table C-1, Lag Storage). </v>
          </cell>
          <cell r="I37" t="str">
            <v xml:space="preserve">MAR is all waste originating from the HECs (Ref. WVNS-CAL-397, Table A-2, HC Gen Area = "HEC" or "PBS") plus ICA inventory limit. </v>
          </cell>
        </row>
        <row r="38">
          <cell r="A38" t="str">
            <v>Lightning</v>
          </cell>
          <cell r="B38" t="str">
            <v>E20</v>
          </cell>
          <cell r="D38">
            <v>2500</v>
          </cell>
          <cell r="H38">
            <v>360</v>
          </cell>
        </row>
        <row r="39">
          <cell r="D39" t="str">
            <v xml:space="preserve">MAR is cask containing 5 HLW canisters each containing an amount of activity equal to the maximum HLW canister (Ref. WVNS-CAL-396). </v>
          </cell>
          <cell r="H39" t="str">
            <v xml:space="preserve">MAR is activity in maximally loaded 2-drum Interim Storage Container (Ref. WVNS-CAL-397, Table A-2). </v>
          </cell>
        </row>
        <row r="40">
          <cell r="A40" t="str">
            <v>High wind</v>
          </cell>
          <cell r="B40" t="str">
            <v>E21</v>
          </cell>
          <cell r="D40">
            <v>83000</v>
          </cell>
          <cell r="H40">
            <v>2100</v>
          </cell>
        </row>
        <row r="41">
          <cell r="D41" t="str">
            <v xml:space="preserve">MAR is entire inventory of radioactive material in HLWSS (Ref.WVNS-CAL-397, Table C-1, HLWSS). </v>
          </cell>
          <cell r="H41" t="str">
            <v xml:space="preserve">MAR is entire inventory of radioactive material in WVDP packaged waste (exclusive of HLW) (Ref.WVNS-CAL-397, Table C-1, Lag Storage). </v>
          </cell>
        </row>
        <row r="42">
          <cell r="A42" t="str">
            <v>Tornado</v>
          </cell>
          <cell r="B42" t="str">
            <v>E22</v>
          </cell>
          <cell r="C42">
            <v>2100</v>
          </cell>
          <cell r="D42">
            <v>83000</v>
          </cell>
          <cell r="E42">
            <v>2100</v>
          </cell>
          <cell r="F42">
            <v>2300</v>
          </cell>
          <cell r="G42">
            <v>360</v>
          </cell>
          <cell r="H42">
            <v>2100</v>
          </cell>
          <cell r="I42">
            <v>360</v>
          </cell>
          <cell r="K42">
            <v>1500</v>
          </cell>
          <cell r="L42">
            <v>850</v>
          </cell>
        </row>
        <row r="43">
          <cell r="C43" t="str">
            <v xml:space="preserve">MAR is entire inventory of radioactive material in WVDP packaged waste (exclusive of HLW) (Ref.WVNS-CAL-397, Table C-1, Lag Storage). </v>
          </cell>
          <cell r="D43" t="str">
            <v xml:space="preserve">MAR is entire inventory of radioactive material in HLWSS (Ref.WVNS-CAL-397, Table C-1, HLWSS). </v>
          </cell>
          <cell r="E43" t="str">
            <v xml:space="preserve">MAR is entire inventory of radioactive material in WVDP packaged waste (exclusive of HLW) (Ref.WVNS-CAL-397, Table C-1). </v>
          </cell>
          <cell r="F43" t="str">
            <v xml:space="preserve">MAR is entire inventory of radioactive material in the MPPB  (exclusive of HLW) (Ref. WVNS-CAL-397, Table C-1). </v>
          </cell>
          <cell r="G43" t="str">
            <v xml:space="preserve">MAR is activity in maximally loaded 2-drum Interim Storage Container (Ref. WVNS-CAL-397, Table A-2). </v>
          </cell>
          <cell r="H43" t="str">
            <v xml:space="preserve">MAR is entire inventory of radioactive material in WVDP packaged waste (exclusive of HLW) (Ref.WVNS-CAL-397, Table C-1, Lag Storage). </v>
          </cell>
          <cell r="I43" t="str">
            <v xml:space="preserve">MAR is activity in maximally loaded 2-drum Interim Storage Container (Ref. WVNS-CAL-397, Table A-2). </v>
          </cell>
          <cell r="K43" t="str">
            <v xml:space="preserve">MAR is entire inventory of radioactive material in the Vitrification Facility (Ref. WVNS-CAL-397, Table C-1). </v>
          </cell>
          <cell r="L43" t="str">
            <v xml:space="preserve">MAR is total inventory of activity in the WTF (Ref. WVNS-CAL-397, Table C-1). </v>
          </cell>
        </row>
        <row r="44">
          <cell r="A44" t="str">
            <v>Snow and/or ice buildup</v>
          </cell>
          <cell r="B44" t="str">
            <v>E23</v>
          </cell>
          <cell r="H44">
            <v>2100</v>
          </cell>
        </row>
        <row r="45">
          <cell r="H45" t="str">
            <v xml:space="preserve">MAR is entire inventory of radioactive material in WVDP packaged waste (exclusive of HLW) (Ref.WVNS-CAL-397, Table C-1, Lag Storage). </v>
          </cell>
        </row>
        <row r="46">
          <cell r="A46" t="str">
            <v>Seismic event</v>
          </cell>
          <cell r="B46" t="str">
            <v>E24</v>
          </cell>
          <cell r="C46">
            <v>2100</v>
          </cell>
          <cell r="D46">
            <v>83000</v>
          </cell>
          <cell r="E46">
            <v>2100</v>
          </cell>
          <cell r="F46">
            <v>2300</v>
          </cell>
          <cell r="G46">
            <v>360</v>
          </cell>
          <cell r="H46">
            <v>2100</v>
          </cell>
          <cell r="I46">
            <v>1000</v>
          </cell>
          <cell r="K46">
            <v>1500</v>
          </cell>
          <cell r="L46">
            <v>850</v>
          </cell>
        </row>
        <row r="47">
          <cell r="C47" t="str">
            <v xml:space="preserve">MAR is entire inventory of radioactive material in WVDP packaged waste (exclusive of HLW) (Ref.WVNS-CAL-397, Table C-1, Lag Storage). </v>
          </cell>
          <cell r="D47" t="str">
            <v xml:space="preserve">MAR is entire inventory of radioactive material in HLWSS (Ref.WVNS-CAL-397, Table C-1, HLWSS). </v>
          </cell>
          <cell r="E47" t="str">
            <v xml:space="preserve">MAR is entire inventory of radioactive material in WVDP packaged waste (exclusive of HLW) (Ref.WVNS-CAL-397, Table C-1). </v>
          </cell>
          <cell r="F47" t="str">
            <v xml:space="preserve">MAR is entire inventory of radioactive material in the MPPB  (exclusive of HLW) (Ref. WVNS-CAL-397, Table C-1). </v>
          </cell>
          <cell r="G47" t="str">
            <v xml:space="preserve">MAR is activity in maximally loaded 2-drum Interim Storage Container (Ref. WVNS-CAL-397, Table A-2). </v>
          </cell>
          <cell r="H47" t="str">
            <v xml:space="preserve">MAR is entire inventory of radioactive material in WVDP packaged waste (exclusive of HLW) (Ref.WVNS-CAL-397, Table C-1, Lag Storage). </v>
          </cell>
          <cell r="I47" t="str">
            <v xml:space="preserve">MAR is all waste originating from the HECs (Ref. WVNS-CAL-397, Table A-2, HC Gen Area = "HEC" or "PBS") plus ICA inventory limit. </v>
          </cell>
          <cell r="K47" t="str">
            <v xml:space="preserve">MAR is entire inventory of radioactive material in the Vitrification Facility (Ref. WVNS-CAL-397, Table C-1). </v>
          </cell>
          <cell r="L47" t="str">
            <v xml:space="preserve">MAR is total inventory of activity in the WTF (Ref. WVNS-CAL-397, Table C-1). </v>
          </cell>
        </row>
        <row r="48">
          <cell r="A48" t="str">
            <v>Loss of airborne contamination confinement</v>
          </cell>
          <cell r="B48" t="str">
            <v>AER</v>
          </cell>
          <cell r="D48">
            <v>2500</v>
          </cell>
          <cell r="E48">
            <v>360</v>
          </cell>
          <cell r="F48">
            <v>2300</v>
          </cell>
          <cell r="G48">
            <v>360</v>
          </cell>
          <cell r="I48">
            <v>1000</v>
          </cell>
          <cell r="K48">
            <v>1500</v>
          </cell>
          <cell r="L48">
            <v>850</v>
          </cell>
        </row>
        <row r="49">
          <cell r="D49" t="str">
            <v xml:space="preserve">MAR is cask containing 5 HLW canisters each containing an amount of activity equal to the maximum HLW canister (Ref. WVNS-CAL-396). </v>
          </cell>
          <cell r="E49" t="str">
            <v xml:space="preserve">MAR is activity in maximally loaded 2-drum Interim Storage Container (Ref. WVNS-CAL-397, Table A-2). </v>
          </cell>
          <cell r="F49" t="str">
            <v xml:space="preserve">MAR is entire inventory of radioactive material in the MPPB  (exclusive of HLW) (Ref. WVNS-CAL-397, Table C-1). </v>
          </cell>
          <cell r="G49" t="str">
            <v xml:space="preserve">MAR is activity in maximally loaded 2-drum Interim Storage Container (Ref. WVNS-CAL-397, Table A-2). </v>
          </cell>
          <cell r="I49" t="str">
            <v xml:space="preserve">MAR is all waste originating from the HECs (Ref. WVNS-CAL-397, Table A-2, HC Gen Area = "HEC" or "PBS") plus ICA inventory limit. </v>
          </cell>
          <cell r="K49" t="str">
            <v xml:space="preserve">MAR is entire inventory of radioactive material in the Vitrification Facility (Ref. WVNS-CAL-397, Table C-1). </v>
          </cell>
          <cell r="L49" t="str">
            <v xml:space="preserve">MAR is total inventory of activity in the WTF (Ref. WVNS-CAL-397, Table C-1). </v>
          </cell>
        </row>
        <row r="50">
          <cell r="A50" t="str">
            <v>Localized explosion within facility</v>
          </cell>
          <cell r="B50" t="str">
            <v>ES</v>
          </cell>
          <cell r="F50">
            <v>360</v>
          </cell>
          <cell r="I50">
            <v>360</v>
          </cell>
          <cell r="K50">
            <v>360</v>
          </cell>
        </row>
        <row r="51">
          <cell r="F51" t="str">
            <v xml:space="preserve">MAR is activity in maximally loaded 2-drum Interim Storage Container (Ref. WVNS-CAL-397, Table A-2). </v>
          </cell>
          <cell r="I51" t="str">
            <v xml:space="preserve">MAR is activity in maximally loaded 2-drum Interim Storage Container (Ref. WVNS-CAL-397, Table A-2). </v>
          </cell>
          <cell r="K51" t="str">
            <v xml:space="preserve">MAR is activity in maximally loaded 2-drum Interim Storage Container (Ref. WVNS-CAL-397, Table A-2). </v>
          </cell>
        </row>
        <row r="52">
          <cell r="A52" t="str">
            <v>Loss of liquid contamination confinement</v>
          </cell>
          <cell r="B52" t="str">
            <v>FFS</v>
          </cell>
          <cell r="C52">
            <v>1</v>
          </cell>
          <cell r="E52">
            <v>1</v>
          </cell>
          <cell r="F52">
            <v>1</v>
          </cell>
          <cell r="G52">
            <v>1</v>
          </cell>
          <cell r="H52">
            <v>1</v>
          </cell>
          <cell r="I52">
            <v>1</v>
          </cell>
          <cell r="J52">
            <v>1</v>
          </cell>
          <cell r="K52">
            <v>1</v>
          </cell>
          <cell r="L52">
            <v>1</v>
          </cell>
        </row>
        <row r="54">
          <cell r="A54" t="str">
            <v>Flood</v>
          </cell>
          <cell r="B54" t="str">
            <v>FLD</v>
          </cell>
          <cell r="C54">
            <v>2100</v>
          </cell>
          <cell r="D54">
            <v>83000</v>
          </cell>
          <cell r="E54">
            <v>2100</v>
          </cell>
          <cell r="F54">
            <v>2300</v>
          </cell>
          <cell r="G54">
            <v>360</v>
          </cell>
          <cell r="H54">
            <v>2100</v>
          </cell>
          <cell r="I54">
            <v>1000</v>
          </cell>
          <cell r="K54">
            <v>1500</v>
          </cell>
          <cell r="L54">
            <v>850</v>
          </cell>
        </row>
        <row r="55">
          <cell r="C55" t="str">
            <v xml:space="preserve">MAR is entire inventory of radioactive material in WVDP packaged waste (exclusive of HLW) (Ref.WVNS-CAL-397, Table C-1, Lag Storage). </v>
          </cell>
          <cell r="D55" t="str">
            <v xml:space="preserve">MAR is entire inventory of radioactive material in HLWSS (Ref.WVNS-CAL-397, Table C-1, HLWSS). </v>
          </cell>
          <cell r="E55" t="str">
            <v xml:space="preserve">MAR is entire inventory of radioactive material in WVDP packaged waste (exclusive of HLW) (Ref.WVNS-CAL-397, Table C-1). </v>
          </cell>
          <cell r="F55" t="str">
            <v xml:space="preserve">MAR is entire inventory of radioactive material in the MPPB  (exclusive of HLW) (Ref. WVNS-CAL-397, Table C-1). </v>
          </cell>
          <cell r="G55" t="str">
            <v xml:space="preserve">MAR is activity in maximally loaded 2-drum Interim Storage Container (Ref. WVNS-CAL-397, Table A-2). </v>
          </cell>
          <cell r="H55" t="str">
            <v xml:space="preserve">MAR is entire inventory of radioactive material in WVDP packaged waste (exclusive of HLW) (Ref.WVNS-CAL-397, Table C-1, Lag Storage). </v>
          </cell>
          <cell r="I55" t="str">
            <v xml:space="preserve">MAR is all waste originating from the HECs (Ref. WVNS-CAL-397, Table A-2, HC Gen Area = "HEC" or "PBS") plus ICA inventory limit. </v>
          </cell>
          <cell r="K55" t="str">
            <v xml:space="preserve">MAR is entire inventory of radioactive material in the Vitrification Facility (Ref. WVNS-CAL-397, Table C-1). </v>
          </cell>
          <cell r="L55" t="str">
            <v xml:space="preserve">MAR is total inventory of activity in the WTF (Ref. WVNS-CAL-397, Table C-1). </v>
          </cell>
        </row>
        <row r="56">
          <cell r="A56" t="str">
            <v>HEPA filter failure</v>
          </cell>
          <cell r="B56" t="str">
            <v>HB</v>
          </cell>
          <cell r="E56">
            <v>1</v>
          </cell>
          <cell r="F56">
            <v>10</v>
          </cell>
          <cell r="G56">
            <v>1</v>
          </cell>
          <cell r="I56">
            <v>1</v>
          </cell>
          <cell r="K56">
            <v>1</v>
          </cell>
          <cell r="L56">
            <v>1</v>
          </cell>
        </row>
        <row r="57">
          <cell r="E57" t="str">
            <v>10% of MPPB ventilation system MAR bounding for facility HEPA filters based on system environmental emission data</v>
          </cell>
          <cell r="F57" t="str">
            <v>MAR is inventory of radioactive material in bounding MPPB ventilation system (Ref. WVNS-CAL-397, Table A-1, "VEC").</v>
          </cell>
          <cell r="G57" t="str">
            <v>10% of MPPB ventilation system MAR bounding for facility HEPA filters based on system environmental emission data</v>
          </cell>
          <cell r="I57" t="str">
            <v>10% of MPPB ventilation system MAR bounding for facility HEPA filters based on system environmental emission data</v>
          </cell>
          <cell r="K57" t="str">
            <v>10% of MPPB ventilation system MAR bounding for facility HEPA filters based on system environmental emission data</v>
          </cell>
          <cell r="L57" t="str">
            <v>10% of MPPB ventilation system MAR bounding for facility HEPA filters based on system environmental emission data</v>
          </cell>
        </row>
        <row r="58">
          <cell r="A58" t="str">
            <v>HEPA filter fire</v>
          </cell>
          <cell r="B58" t="str">
            <v>HF</v>
          </cell>
          <cell r="E58">
            <v>1</v>
          </cell>
          <cell r="F58">
            <v>10</v>
          </cell>
          <cell r="G58">
            <v>1</v>
          </cell>
          <cell r="I58">
            <v>1</v>
          </cell>
          <cell r="K58">
            <v>1</v>
          </cell>
          <cell r="L58">
            <v>1</v>
          </cell>
        </row>
        <row r="59">
          <cell r="E59" t="str">
            <v>10% of MPPB ventilation system MAR bounding for facility HEPA filters based on system environmental emission data</v>
          </cell>
          <cell r="F59" t="str">
            <v>MAR is inventory of radioactive material in bounding MPPB ventilation system (Ref. WVNS-CAL-397, Table A-1, "VEC").</v>
          </cell>
          <cell r="G59" t="str">
            <v>10% of MPPB ventilation system MAR bounding for facility HEPA filters based on system environmental emission data</v>
          </cell>
          <cell r="I59" t="str">
            <v>10% of MPPB ventilation system MAR bounding for facility HEPA filters based on system environmental emission data</v>
          </cell>
          <cell r="K59" t="str">
            <v>10% of MPPB ventilation system MAR bounding for facility HEPA filters based on system environmental emission data</v>
          </cell>
          <cell r="L59" t="str">
            <v>10% of MPPB ventilation system MAR bounding for facility HEPA filters based on system environmental emission data</v>
          </cell>
        </row>
        <row r="60">
          <cell r="A60" t="str">
            <v>Stack failure</v>
          </cell>
          <cell r="B60" t="str">
            <v>IS</v>
          </cell>
          <cell r="F60">
            <v>10</v>
          </cell>
        </row>
        <row r="61">
          <cell r="F61" t="str">
            <v>MAR is activity in MPPB Stack 
(Ref. WVNS-CAL-397, Table A-1)</v>
          </cell>
        </row>
        <row r="62">
          <cell r="A62" t="str">
            <v>Corrosion</v>
          </cell>
          <cell r="B62" t="str">
            <v>HLW</v>
          </cell>
          <cell r="D62">
            <v>2500</v>
          </cell>
        </row>
        <row r="63">
          <cell r="D63" t="str">
            <v xml:space="preserve">MAR is cask containing 5 HLW canisters each containing an amount of activity equal to the maximum HLW canister (Ref. WVNS-CAL-396). </v>
          </cell>
        </row>
        <row r="64">
          <cell r="A64" t="str">
            <v>Locomotive/ loaded rail car impacts storage casks</v>
          </cell>
          <cell r="B64" t="str">
            <v>HLW</v>
          </cell>
          <cell r="D64">
            <v>83000</v>
          </cell>
        </row>
        <row r="65">
          <cell r="D65" t="str">
            <v xml:space="preserve">MAR is entire inventory of radioactive material in HLWSS (Ref.WVNS-CAL-397, Table C-1, HLWSS). </v>
          </cell>
        </row>
        <row r="66">
          <cell r="A66" t="str">
            <v>Seismic event (tip over)</v>
          </cell>
          <cell r="B66" t="str">
            <v>HLW</v>
          </cell>
          <cell r="D66">
            <v>2500</v>
          </cell>
        </row>
        <row r="67">
          <cell r="D67" t="str">
            <v xml:space="preserve">MAR is cask containing 5 HLW canisters each containing an amount of activity equal to the maximum HLW canister (Ref. WVNS-CAL-396). </v>
          </cell>
        </row>
        <row r="68">
          <cell r="A68" t="str">
            <v>Severe environmental conditions</v>
          </cell>
          <cell r="B68" t="str">
            <v>HLW</v>
          </cell>
          <cell r="D68">
            <v>2500</v>
          </cell>
        </row>
        <row r="69">
          <cell r="D69" t="str">
            <v xml:space="preserve">MAR is cask containing 5 HLW canisters each containing an amount of activity equal to the maximum HLW canister (Ref. WVNS-CAL-396). </v>
          </cell>
        </row>
        <row r="70">
          <cell r="A70" t="str">
            <v>Storage cask tip-over due to transportation event</v>
          </cell>
          <cell r="B70" t="str">
            <v>HLW</v>
          </cell>
          <cell r="D70">
            <v>2500</v>
          </cell>
        </row>
        <row r="71">
          <cell r="D71" t="str">
            <v xml:space="preserve">MAR is cask containing 5 HLW canisters each containing an amount of activity equal to the maximum HLW canister (Ref. WVNS-CAL-396). </v>
          </cell>
        </row>
      </sheetData>
      <sheetData sheetId="7">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Localized flammable liquid pool fire</v>
          </cell>
          <cell r="B2" t="str">
            <v>E01</v>
          </cell>
          <cell r="C2">
            <v>4.7999999999999996E-3</v>
          </cell>
          <cell r="D2">
            <v>0</v>
          </cell>
          <cell r="E2">
            <v>4.7999999999999996E-3</v>
          </cell>
          <cell r="F2" t="str">
            <v/>
          </cell>
          <cell r="G2">
            <v>2.8000000000000001E-2</v>
          </cell>
          <cell r="H2">
            <v>4.7999999999999996E-3</v>
          </cell>
          <cell r="I2">
            <v>0.01</v>
          </cell>
          <cell r="J2">
            <v>2.8000000000000001E-2</v>
          </cell>
          <cell r="K2" t="str">
            <v/>
          </cell>
          <cell r="L2" t="str">
            <v/>
          </cell>
        </row>
        <row r="3">
          <cell r="A3" t="str">
            <v>Mitigated</v>
          </cell>
          <cell r="B3" t="str">
            <v>MAR</v>
          </cell>
          <cell r="C3">
            <v>10</v>
          </cell>
          <cell r="D3">
            <v>0</v>
          </cell>
          <cell r="E3">
            <v>10</v>
          </cell>
          <cell r="G3">
            <v>10</v>
          </cell>
          <cell r="H3">
            <v>10</v>
          </cell>
          <cell r="I3">
            <v>10</v>
          </cell>
          <cell r="J3">
            <v>10</v>
          </cell>
        </row>
        <row r="4">
          <cell r="A4" t="str">
            <v>Unmitigated</v>
          </cell>
          <cell r="B4" t="str">
            <v>MAR</v>
          </cell>
          <cell r="C4">
            <v>2100</v>
          </cell>
          <cell r="D4">
            <v>83000</v>
          </cell>
          <cell r="E4">
            <v>2100</v>
          </cell>
          <cell r="G4">
            <v>360</v>
          </cell>
          <cell r="H4">
            <v>2100</v>
          </cell>
          <cell r="I4">
            <v>1000</v>
          </cell>
          <cell r="J4">
            <v>360</v>
          </cell>
        </row>
        <row r="5">
          <cell r="C5" t="str">
            <v>DR reflects TSR to protect arrays of TRU waste containing greater than 10 PE-Ci from spills of flammable/ combustible liquids</v>
          </cell>
          <cell r="E5" t="str">
            <v>DR reflects TSR to protect arrays of TRU waste containing greater than 10 PE-Ci from spills of flammable/ combustible liquids</v>
          </cell>
          <cell r="G5" t="str">
            <v>DR reflects TSR to protect arrays of TRU waste containing greater than 10 PE-Ci from spills of flammable/ combustible liquids</v>
          </cell>
          <cell r="H5" t="str">
            <v>DR reflects TSR to protect arrays of TRU waste containing greater than 10 PE-Ci from spills of flammable/ combustible liquids</v>
          </cell>
          <cell r="I5" t="str">
            <v>DR reflects TSR to protect arrays of TRU waste containing greater than 10 PE-Ci from spills of flammable/ combustible liquids</v>
          </cell>
          <cell r="J5" t="str">
            <v>DR reflects TSR to protect TRU waste containing greater than 10 PE-Ci from spills of flammable/ combustible liquids</v>
          </cell>
        </row>
        <row r="6">
          <cell r="A6" t="str">
            <v>Small combustible material fire</v>
          </cell>
          <cell r="B6" t="str">
            <v>E02</v>
          </cell>
          <cell r="C6">
            <v>2.8E-3</v>
          </cell>
          <cell r="D6" t="str">
            <v/>
          </cell>
          <cell r="E6">
            <v>2.8E-3</v>
          </cell>
          <cell r="F6">
            <v>1</v>
          </cell>
          <cell r="G6">
            <v>2.8E-3</v>
          </cell>
          <cell r="H6">
            <v>2.8E-3</v>
          </cell>
          <cell r="I6">
            <v>1</v>
          </cell>
          <cell r="J6">
            <v>2.8E-3</v>
          </cell>
          <cell r="K6">
            <v>1</v>
          </cell>
          <cell r="L6">
            <v>1.1999999999999999E-3</v>
          </cell>
        </row>
        <row r="7">
          <cell r="A7" t="str">
            <v>Mitigated</v>
          </cell>
          <cell r="B7" t="str">
            <v>MAR</v>
          </cell>
          <cell r="C7">
            <v>1</v>
          </cell>
          <cell r="E7">
            <v>1</v>
          </cell>
          <cell r="F7">
            <v>360</v>
          </cell>
          <cell r="G7">
            <v>1</v>
          </cell>
          <cell r="H7">
            <v>1</v>
          </cell>
          <cell r="I7">
            <v>360</v>
          </cell>
          <cell r="J7">
            <v>1</v>
          </cell>
          <cell r="K7">
            <v>360</v>
          </cell>
          <cell r="L7">
            <v>1</v>
          </cell>
        </row>
        <row r="8">
          <cell r="A8" t="str">
            <v>Unmitigated</v>
          </cell>
          <cell r="B8" t="str">
            <v>MAR</v>
          </cell>
          <cell r="C8">
            <v>360</v>
          </cell>
          <cell r="E8">
            <v>360</v>
          </cell>
          <cell r="F8">
            <v>360</v>
          </cell>
          <cell r="G8">
            <v>360</v>
          </cell>
          <cell r="H8">
            <v>360</v>
          </cell>
          <cell r="I8">
            <v>360</v>
          </cell>
          <cell r="J8">
            <v>360</v>
          </cell>
          <cell r="K8">
            <v>360</v>
          </cell>
          <cell r="L8">
            <v>850</v>
          </cell>
        </row>
        <row r="9">
          <cell r="C9" t="str">
            <v>DR reflects TSR that limits the amount of TRU waste that may be outside of an APPROVED CONTAINER to 1.0 PE-Ci.</v>
          </cell>
          <cell r="E9" t="str">
            <v>DR reflects TSR that limits the amount of TRU waste that may be outside of an APPROVED CONTAINER to 1.0 PE-Ci.</v>
          </cell>
          <cell r="G9" t="str">
            <v>DR reflects TSR that limits the amount of TRU waste that may be outside of an APPROVED CONTAINER to 1.0 PE-Ci.</v>
          </cell>
          <cell r="H9" t="str">
            <v>DR reflects TSR that limits the amount of TRU waste that may be outside of an APPROVED CONTAINER to 1.0 PE-Ci.</v>
          </cell>
          <cell r="J9" t="str">
            <v>DR reflects TSR that limits the amount of TRU waste that may be outside of an APPROVED CONTAINER to 1.0 PE-Ci.</v>
          </cell>
          <cell r="L9" t="str">
            <v>DR reflects the fact that only MAR equal to that associated with facility ventilation system would be expected to be involved in event.</v>
          </cell>
        </row>
        <row r="10">
          <cell r="A10" t="str">
            <v>Large fire</v>
          </cell>
          <cell r="B10" t="str">
            <v>E04</v>
          </cell>
          <cell r="C10" t="str">
            <v/>
          </cell>
          <cell r="D10" t="str">
            <v/>
          </cell>
          <cell r="E10">
            <v>6.7000000000000004E-2</v>
          </cell>
          <cell r="F10">
            <v>1</v>
          </cell>
          <cell r="G10" t="str">
            <v/>
          </cell>
          <cell r="H10" t="str">
            <v/>
          </cell>
          <cell r="I10">
            <v>1</v>
          </cell>
          <cell r="J10" t="str">
            <v/>
          </cell>
          <cell r="K10">
            <v>1</v>
          </cell>
          <cell r="L10" t="str">
            <v/>
          </cell>
        </row>
        <row r="11">
          <cell r="A11" t="str">
            <v>Mitigated</v>
          </cell>
          <cell r="B11" t="str">
            <v>MAR</v>
          </cell>
          <cell r="E11">
            <v>140</v>
          </cell>
          <cell r="F11">
            <v>2300</v>
          </cell>
          <cell r="I11">
            <v>1000</v>
          </cell>
          <cell r="K11">
            <v>1500</v>
          </cell>
        </row>
        <row r="12">
          <cell r="A12" t="str">
            <v>Unmitigated</v>
          </cell>
          <cell r="B12" t="str">
            <v>MAR</v>
          </cell>
          <cell r="E12">
            <v>2100</v>
          </cell>
          <cell r="F12">
            <v>2300</v>
          </cell>
          <cell r="I12">
            <v>1000</v>
          </cell>
          <cell r="K12">
            <v>1500</v>
          </cell>
        </row>
        <row r="13">
          <cell r="E13" t="str">
            <v>DR assumes impacted material to be all drummed CH TRU waste (i.e., waste not in shielded overpacks) per Exhibit 1 of WVNS-CAL-397. MAR very conservative since release fraction applies only to drums exposed to critical heat flux.</v>
          </cell>
        </row>
        <row r="14">
          <cell r="A14" t="str">
            <v>Localized explosion external to container</v>
          </cell>
          <cell r="B14" t="str">
            <v>E05</v>
          </cell>
          <cell r="C14">
            <v>2.8000000000000001E-2</v>
          </cell>
          <cell r="D14">
            <v>0</v>
          </cell>
          <cell r="E14">
            <v>2.8000000000000001E-2</v>
          </cell>
          <cell r="F14" t="str">
            <v/>
          </cell>
          <cell r="G14">
            <v>2.8000000000000001E-2</v>
          </cell>
          <cell r="H14">
            <v>2.8000000000000001E-2</v>
          </cell>
          <cell r="I14">
            <v>2.8000000000000001E-2</v>
          </cell>
          <cell r="J14">
            <v>2.8000000000000001E-2</v>
          </cell>
          <cell r="K14" t="str">
            <v/>
          </cell>
          <cell r="L14" t="str">
            <v/>
          </cell>
        </row>
        <row r="15">
          <cell r="A15" t="str">
            <v>Mitigated</v>
          </cell>
          <cell r="B15" t="str">
            <v>MAR</v>
          </cell>
          <cell r="C15">
            <v>10</v>
          </cell>
          <cell r="D15">
            <v>0</v>
          </cell>
          <cell r="E15">
            <v>10</v>
          </cell>
          <cell r="G15">
            <v>10</v>
          </cell>
          <cell r="H15">
            <v>10</v>
          </cell>
          <cell r="I15">
            <v>10</v>
          </cell>
          <cell r="J15">
            <v>10</v>
          </cell>
        </row>
        <row r="16">
          <cell r="A16" t="str">
            <v>Unmitigated</v>
          </cell>
          <cell r="B16" t="str">
            <v>MAR</v>
          </cell>
          <cell r="C16">
            <v>360</v>
          </cell>
          <cell r="D16">
            <v>2500</v>
          </cell>
          <cell r="E16">
            <v>360</v>
          </cell>
          <cell r="G16">
            <v>360</v>
          </cell>
          <cell r="H16">
            <v>360</v>
          </cell>
          <cell r="I16">
            <v>360</v>
          </cell>
          <cell r="J16">
            <v>360</v>
          </cell>
        </row>
        <row r="17">
          <cell r="C17" t="str">
            <v>DR credits SAC that requires TRU waste containing &gt;10 PE-Ci be in containers capable of meeting SAC physical protection functional requirements.</v>
          </cell>
          <cell r="E17" t="str">
            <v>DR credits SAC that requires TRU waste containing &gt;10 PE-Ci be in containers capable of meeting SAC physical protection functional requirements.</v>
          </cell>
          <cell r="G17" t="str">
            <v>DR credits SAC that requires TRU waste containing &gt;10 PE-Ci be in containers capable of meeting SAC physical protection functional requirements.</v>
          </cell>
          <cell r="H17" t="str">
            <v>DR credits SAC that requires TRU waste containing &gt;10 PE-Ci be in containers capable of meeting SAC physical protection functional requirements.</v>
          </cell>
          <cell r="I17" t="str">
            <v>DR credits SAC that requires TRU waste containing &gt;10 PE-Ci be in containers capable of meeting SAC physical protection functional requirements.</v>
          </cell>
          <cell r="J17" t="str">
            <v>DR credits SAC that requires TRU waste containing &gt;10 PE-Ci be in containers capable of meeting SAC physical protection functional requirements.</v>
          </cell>
        </row>
        <row r="18">
          <cell r="A18" t="str">
            <v>Waste container deflagration</v>
          </cell>
          <cell r="B18" t="str">
            <v>E06</v>
          </cell>
          <cell r="C18">
            <v>0.25</v>
          </cell>
          <cell r="D18" t="str">
            <v/>
          </cell>
          <cell r="E18">
            <v>0.25</v>
          </cell>
          <cell r="F18">
            <v>1</v>
          </cell>
          <cell r="G18">
            <v>0.25</v>
          </cell>
          <cell r="H18">
            <v>0.25</v>
          </cell>
          <cell r="I18">
            <v>1</v>
          </cell>
          <cell r="J18" t="str">
            <v/>
          </cell>
          <cell r="K18">
            <v>1</v>
          </cell>
          <cell r="L18" t="str">
            <v/>
          </cell>
        </row>
        <row r="19">
          <cell r="A19" t="str">
            <v>Mitigated</v>
          </cell>
          <cell r="B19" t="str">
            <v>MAR</v>
          </cell>
          <cell r="C19">
            <v>90</v>
          </cell>
          <cell r="E19">
            <v>90</v>
          </cell>
          <cell r="F19">
            <v>360</v>
          </cell>
          <cell r="G19">
            <v>90</v>
          </cell>
          <cell r="H19">
            <v>90</v>
          </cell>
          <cell r="I19">
            <v>360</v>
          </cell>
          <cell r="K19">
            <v>360</v>
          </cell>
        </row>
        <row r="20">
          <cell r="A20" t="str">
            <v>Unmitigated</v>
          </cell>
          <cell r="B20" t="str">
            <v>MAR</v>
          </cell>
          <cell r="C20">
            <v>360</v>
          </cell>
          <cell r="E20">
            <v>360</v>
          </cell>
          <cell r="F20">
            <v>360</v>
          </cell>
          <cell r="G20">
            <v>360</v>
          </cell>
          <cell r="H20">
            <v>360</v>
          </cell>
          <cell r="I20">
            <v>360</v>
          </cell>
          <cell r="K20">
            <v>360</v>
          </cell>
        </row>
        <row r="21">
          <cell r="C21" t="str">
            <v>High PE-Ci waste is overpacked. DR reflects credit allowed per Section 4.4.2 of STD-5506. Resultant MAR bounds credible conservative non-overpacked MAR (10 PE-Ci)</v>
          </cell>
          <cell r="E21" t="str">
            <v>High PE-Ci waste is overpacked. DR reflects credit allowed per Section 4.4.2 of STD-5506. Resultant MAR bounds credible conservative non-overpacked MAR (10 PE-Ci)</v>
          </cell>
          <cell r="G21" t="str">
            <v>High PE-Ci waste is overpacked. DR reflects credit allowed per Section 4.4.2 of STD-5506. Resultant MAR bounds credible conservative non-overpacked MAR (10 PE-Ci)</v>
          </cell>
          <cell r="H21" t="str">
            <v>High PE-Ci waste is overpacked. DR reflects credit allowed per Section 4.4.2 of STD-5506. Resultant MAR bounds credible conservative non-overpacked MAR (10 PE-Ci)</v>
          </cell>
        </row>
        <row r="22">
          <cell r="A22" t="str">
            <v>Vehicle/equipment impacts waste/waste containers</v>
          </cell>
          <cell r="B22" t="str">
            <v>E09</v>
          </cell>
          <cell r="C22">
            <v>1</v>
          </cell>
          <cell r="D22">
            <v>0</v>
          </cell>
          <cell r="E22">
            <v>1</v>
          </cell>
          <cell r="F22" t="str">
            <v/>
          </cell>
          <cell r="G22">
            <v>1</v>
          </cell>
          <cell r="H22">
            <v>1</v>
          </cell>
          <cell r="I22">
            <v>1</v>
          </cell>
          <cell r="J22">
            <v>1</v>
          </cell>
          <cell r="K22" t="str">
            <v/>
          </cell>
          <cell r="L22" t="str">
            <v/>
          </cell>
        </row>
        <row r="23">
          <cell r="A23" t="str">
            <v>Mitigated</v>
          </cell>
          <cell r="B23" t="str">
            <v>MAR</v>
          </cell>
          <cell r="C23">
            <v>360</v>
          </cell>
          <cell r="D23">
            <v>0</v>
          </cell>
          <cell r="E23">
            <v>360</v>
          </cell>
          <cell r="G23">
            <v>360</v>
          </cell>
          <cell r="H23">
            <v>360</v>
          </cell>
          <cell r="I23">
            <v>360</v>
          </cell>
          <cell r="J23">
            <v>360</v>
          </cell>
        </row>
        <row r="24">
          <cell r="A24" t="str">
            <v>Unmitigated</v>
          </cell>
          <cell r="B24" t="str">
            <v>MAR</v>
          </cell>
          <cell r="C24">
            <v>360</v>
          </cell>
          <cell r="D24">
            <v>2500</v>
          </cell>
          <cell r="E24">
            <v>360</v>
          </cell>
          <cell r="G24">
            <v>360</v>
          </cell>
          <cell r="H24">
            <v>360</v>
          </cell>
          <cell r="I24">
            <v>360</v>
          </cell>
          <cell r="J24">
            <v>360</v>
          </cell>
        </row>
        <row r="26">
          <cell r="A26" t="str">
            <v>Drop/impact/spill</v>
          </cell>
          <cell r="B26" t="str">
            <v>E10</v>
          </cell>
          <cell r="C26">
            <v>1</v>
          </cell>
          <cell r="D26">
            <v>0</v>
          </cell>
          <cell r="E26">
            <v>1</v>
          </cell>
          <cell r="F26">
            <v>1</v>
          </cell>
          <cell r="G26">
            <v>1</v>
          </cell>
          <cell r="H26">
            <v>1</v>
          </cell>
          <cell r="I26">
            <v>1</v>
          </cell>
          <cell r="J26">
            <v>1</v>
          </cell>
          <cell r="K26">
            <v>1</v>
          </cell>
          <cell r="L26">
            <v>1</v>
          </cell>
        </row>
        <row r="27">
          <cell r="A27" t="str">
            <v>Mitigated</v>
          </cell>
          <cell r="B27" t="str">
            <v>MAR</v>
          </cell>
          <cell r="C27">
            <v>360</v>
          </cell>
          <cell r="D27">
            <v>0</v>
          </cell>
          <cell r="E27">
            <v>360</v>
          </cell>
          <cell r="F27">
            <v>360</v>
          </cell>
          <cell r="G27">
            <v>360</v>
          </cell>
          <cell r="H27">
            <v>360</v>
          </cell>
          <cell r="I27">
            <v>360</v>
          </cell>
          <cell r="J27">
            <v>360</v>
          </cell>
          <cell r="K27">
            <v>360</v>
          </cell>
          <cell r="L27">
            <v>1</v>
          </cell>
        </row>
        <row r="28">
          <cell r="A28" t="str">
            <v>Unmitigated</v>
          </cell>
          <cell r="B28" t="str">
            <v>MAR</v>
          </cell>
          <cell r="C28">
            <v>360</v>
          </cell>
          <cell r="D28">
            <v>2500</v>
          </cell>
          <cell r="E28">
            <v>360</v>
          </cell>
          <cell r="F28">
            <v>360</v>
          </cell>
          <cell r="G28">
            <v>360</v>
          </cell>
          <cell r="H28">
            <v>360</v>
          </cell>
          <cell r="I28">
            <v>360</v>
          </cell>
          <cell r="J28">
            <v>360</v>
          </cell>
          <cell r="K28">
            <v>360</v>
          </cell>
          <cell r="L28">
            <v>1</v>
          </cell>
        </row>
        <row r="30">
          <cell r="A30" t="str">
            <v>Collapse of stacked containers</v>
          </cell>
          <cell r="B30" t="str">
            <v>E11</v>
          </cell>
          <cell r="C30">
            <v>1</v>
          </cell>
          <cell r="D30" t="str">
            <v/>
          </cell>
          <cell r="E30">
            <v>1</v>
          </cell>
          <cell r="F30" t="str">
            <v/>
          </cell>
          <cell r="G30" t="str">
            <v/>
          </cell>
          <cell r="H30">
            <v>1</v>
          </cell>
          <cell r="I30" t="str">
            <v/>
          </cell>
          <cell r="J30" t="str">
            <v/>
          </cell>
          <cell r="K30" t="str">
            <v/>
          </cell>
          <cell r="L30" t="str">
            <v/>
          </cell>
        </row>
        <row r="31">
          <cell r="A31" t="str">
            <v>Mitigated</v>
          </cell>
          <cell r="B31" t="str">
            <v>MAR</v>
          </cell>
          <cell r="C31">
            <v>1050</v>
          </cell>
          <cell r="E31">
            <v>1050</v>
          </cell>
          <cell r="H31">
            <v>1050</v>
          </cell>
        </row>
        <row r="32">
          <cell r="A32" t="str">
            <v>Unmitigated</v>
          </cell>
          <cell r="B32" t="str">
            <v>MAR</v>
          </cell>
          <cell r="C32">
            <v>1050</v>
          </cell>
          <cell r="E32">
            <v>1050</v>
          </cell>
          <cell r="H32">
            <v>1050</v>
          </cell>
        </row>
        <row r="34">
          <cell r="A34" t="str">
            <v>Waste container over-pressurization</v>
          </cell>
          <cell r="B34" t="str">
            <v>E12</v>
          </cell>
          <cell r="C34">
            <v>0.1</v>
          </cell>
          <cell r="D34" t="str">
            <v/>
          </cell>
          <cell r="E34">
            <v>0.1</v>
          </cell>
          <cell r="F34">
            <v>1</v>
          </cell>
          <cell r="G34">
            <v>0.1</v>
          </cell>
          <cell r="H34">
            <v>0.1</v>
          </cell>
          <cell r="I34">
            <v>1</v>
          </cell>
          <cell r="J34" t="str">
            <v/>
          </cell>
          <cell r="K34">
            <v>1</v>
          </cell>
          <cell r="L34" t="str">
            <v/>
          </cell>
        </row>
        <row r="35">
          <cell r="A35" t="str">
            <v>Mitigated</v>
          </cell>
          <cell r="B35" t="str">
            <v>MAR</v>
          </cell>
          <cell r="C35">
            <v>36</v>
          </cell>
          <cell r="E35">
            <v>36</v>
          </cell>
          <cell r="F35">
            <v>360</v>
          </cell>
          <cell r="G35">
            <v>36</v>
          </cell>
          <cell r="H35">
            <v>36</v>
          </cell>
          <cell r="I35">
            <v>360</v>
          </cell>
          <cell r="K35">
            <v>360</v>
          </cell>
        </row>
        <row r="36">
          <cell r="A36" t="str">
            <v>Unmitigated</v>
          </cell>
          <cell r="B36" t="str">
            <v>MAR</v>
          </cell>
          <cell r="C36">
            <v>360</v>
          </cell>
          <cell r="E36">
            <v>360</v>
          </cell>
          <cell r="F36">
            <v>360</v>
          </cell>
          <cell r="G36">
            <v>360</v>
          </cell>
          <cell r="H36">
            <v>360</v>
          </cell>
          <cell r="I36">
            <v>360</v>
          </cell>
          <cell r="K36">
            <v>360</v>
          </cell>
        </row>
        <row r="37">
          <cell r="C37" t="str">
            <v>High PE-Ci waste is overpacked. DR reflects credit allowed per Section 4.4.2 of STD-5506. Resultant MAR bounds credible conservative non-overpacked MAR (10 PE-Ci)</v>
          </cell>
          <cell r="E37" t="str">
            <v>High PE-Ci waste is overpacked. DR reflects credit allowed per Section 4.4.2 of STD-5506. Resultant MAR bounds credible conservative non-overpacked MAR (10 PE-Ci)</v>
          </cell>
          <cell r="G37" t="str">
            <v>High PE-Ci waste is overpacked. DR reflects credit allowed per Section 4.4.2 of STD-5506. Resultant MAR bounds credible conservative non-overpacked MAR (10 PE-Ci)</v>
          </cell>
          <cell r="H37" t="str">
            <v>High PE-Ci waste is overpacked. DR reflects credit allowed per Section 4.4.2 of STD-5506. Resultant MAR bounds credible conservative non-overpacked MAR (10 PE-Ci)</v>
          </cell>
        </row>
        <row r="38">
          <cell r="A38" t="str">
            <v>Aircraft impact with fire</v>
          </cell>
          <cell r="B38" t="str">
            <v>E15</v>
          </cell>
          <cell r="C38">
            <v>1</v>
          </cell>
          <cell r="D38">
            <v>0</v>
          </cell>
          <cell r="E38">
            <v>1</v>
          </cell>
          <cell r="F38">
            <v>1</v>
          </cell>
          <cell r="G38">
            <v>1</v>
          </cell>
          <cell r="H38">
            <v>1</v>
          </cell>
          <cell r="I38">
            <v>1</v>
          </cell>
          <cell r="J38" t="str">
            <v/>
          </cell>
          <cell r="K38">
            <v>1</v>
          </cell>
          <cell r="L38">
            <v>1</v>
          </cell>
        </row>
        <row r="39">
          <cell r="A39" t="str">
            <v>Mitigated</v>
          </cell>
          <cell r="B39" t="str">
            <v>MAR</v>
          </cell>
          <cell r="C39">
            <v>2100</v>
          </cell>
          <cell r="D39">
            <v>0</v>
          </cell>
          <cell r="E39">
            <v>2100</v>
          </cell>
          <cell r="F39">
            <v>10</v>
          </cell>
          <cell r="G39">
            <v>360</v>
          </cell>
          <cell r="H39">
            <v>2100</v>
          </cell>
          <cell r="I39">
            <v>1000</v>
          </cell>
          <cell r="K39">
            <v>1</v>
          </cell>
          <cell r="L39">
            <v>1</v>
          </cell>
        </row>
        <row r="40">
          <cell r="A40" t="str">
            <v>Unmitigated</v>
          </cell>
          <cell r="B40" t="str">
            <v>MAR</v>
          </cell>
          <cell r="C40">
            <v>2100</v>
          </cell>
          <cell r="D40">
            <v>83000</v>
          </cell>
          <cell r="E40">
            <v>2100</v>
          </cell>
          <cell r="F40">
            <v>10</v>
          </cell>
          <cell r="G40">
            <v>360</v>
          </cell>
          <cell r="H40">
            <v>2100</v>
          </cell>
          <cell r="I40">
            <v>1000</v>
          </cell>
          <cell r="K40">
            <v>1</v>
          </cell>
          <cell r="L40">
            <v>1</v>
          </cell>
        </row>
        <row r="42">
          <cell r="A42" t="str">
            <v>External vehicle accident</v>
          </cell>
          <cell r="B42" t="str">
            <v>E16</v>
          </cell>
          <cell r="C42" t="str">
            <v/>
          </cell>
          <cell r="D42">
            <v>0</v>
          </cell>
          <cell r="E42" t="str">
            <v/>
          </cell>
          <cell r="F42" t="str">
            <v/>
          </cell>
          <cell r="G42" t="str">
            <v/>
          </cell>
          <cell r="H42">
            <v>1</v>
          </cell>
          <cell r="I42" t="str">
            <v/>
          </cell>
          <cell r="J42" t="str">
            <v/>
          </cell>
          <cell r="K42" t="str">
            <v/>
          </cell>
          <cell r="L42" t="str">
            <v/>
          </cell>
        </row>
        <row r="43">
          <cell r="A43" t="str">
            <v>Mitigated</v>
          </cell>
          <cell r="B43" t="str">
            <v>MAR</v>
          </cell>
          <cell r="D43">
            <v>0</v>
          </cell>
          <cell r="H43">
            <v>2100</v>
          </cell>
        </row>
        <row r="44">
          <cell r="A44" t="str">
            <v>Unmitigated</v>
          </cell>
          <cell r="B44" t="str">
            <v>MAR</v>
          </cell>
          <cell r="D44">
            <v>83000</v>
          </cell>
          <cell r="H44">
            <v>2100</v>
          </cell>
        </row>
        <row r="46">
          <cell r="A46" t="str">
            <v>External vehicle accident with fire</v>
          </cell>
          <cell r="B46" t="str">
            <v>E17</v>
          </cell>
          <cell r="C46" t="str">
            <v/>
          </cell>
          <cell r="D46">
            <v>0</v>
          </cell>
          <cell r="E46" t="str">
            <v/>
          </cell>
          <cell r="F46" t="str">
            <v/>
          </cell>
          <cell r="G46" t="str">
            <v/>
          </cell>
          <cell r="H46">
            <v>1</v>
          </cell>
          <cell r="I46" t="str">
            <v/>
          </cell>
          <cell r="J46" t="str">
            <v/>
          </cell>
          <cell r="K46" t="str">
            <v/>
          </cell>
          <cell r="L46" t="str">
            <v/>
          </cell>
        </row>
        <row r="47">
          <cell r="A47" t="str">
            <v>Mitigated</v>
          </cell>
          <cell r="B47" t="str">
            <v>MAR</v>
          </cell>
          <cell r="D47">
            <v>0</v>
          </cell>
          <cell r="H47">
            <v>2100</v>
          </cell>
        </row>
        <row r="48">
          <cell r="A48" t="str">
            <v>Unmitigated</v>
          </cell>
          <cell r="B48" t="str">
            <v>MAR</v>
          </cell>
          <cell r="D48">
            <v>83000</v>
          </cell>
          <cell r="H48">
            <v>2100</v>
          </cell>
        </row>
        <row r="50">
          <cell r="A50" t="str">
            <v>External explosion</v>
          </cell>
          <cell r="B50" t="str">
            <v>E18</v>
          </cell>
          <cell r="C50" t="str">
            <v/>
          </cell>
          <cell r="D50">
            <v>0</v>
          </cell>
          <cell r="E50">
            <v>1</v>
          </cell>
          <cell r="F50">
            <v>1</v>
          </cell>
          <cell r="G50" t="str">
            <v/>
          </cell>
          <cell r="H50">
            <v>1</v>
          </cell>
          <cell r="I50">
            <v>1</v>
          </cell>
          <cell r="J50" t="str">
            <v/>
          </cell>
          <cell r="K50" t="str">
            <v/>
          </cell>
          <cell r="L50" t="str">
            <v/>
          </cell>
        </row>
        <row r="51">
          <cell r="A51" t="str">
            <v>Mitigated</v>
          </cell>
          <cell r="B51" t="str">
            <v>MAR</v>
          </cell>
          <cell r="D51">
            <v>0</v>
          </cell>
          <cell r="E51">
            <v>360</v>
          </cell>
          <cell r="F51">
            <v>2300</v>
          </cell>
          <cell r="H51">
            <v>360</v>
          </cell>
          <cell r="I51">
            <v>360</v>
          </cell>
        </row>
        <row r="52">
          <cell r="A52" t="str">
            <v>Unmitigated</v>
          </cell>
          <cell r="B52" t="str">
            <v>MAR</v>
          </cell>
          <cell r="D52">
            <v>2500</v>
          </cell>
          <cell r="E52">
            <v>360</v>
          </cell>
          <cell r="F52">
            <v>2300</v>
          </cell>
          <cell r="H52">
            <v>360</v>
          </cell>
          <cell r="I52">
            <v>360</v>
          </cell>
        </row>
        <row r="54">
          <cell r="A54" t="str">
            <v>External fire</v>
          </cell>
          <cell r="B54" t="str">
            <v>E19</v>
          </cell>
          <cell r="C54">
            <v>0.1</v>
          </cell>
          <cell r="D54">
            <v>0</v>
          </cell>
          <cell r="E54">
            <v>0.1</v>
          </cell>
          <cell r="F54" t="str">
            <v/>
          </cell>
          <cell r="G54" t="str">
            <v/>
          </cell>
          <cell r="H54">
            <v>0.1</v>
          </cell>
          <cell r="I54">
            <v>0.1</v>
          </cell>
          <cell r="J54" t="str">
            <v/>
          </cell>
          <cell r="K54" t="str">
            <v/>
          </cell>
          <cell r="L54" t="str">
            <v/>
          </cell>
        </row>
        <row r="55">
          <cell r="A55" t="str">
            <v>Mitigated</v>
          </cell>
          <cell r="B55" t="str">
            <v>MAR</v>
          </cell>
          <cell r="C55">
            <v>210</v>
          </cell>
          <cell r="D55">
            <v>0</v>
          </cell>
          <cell r="E55">
            <v>210</v>
          </cell>
          <cell r="H55">
            <v>210</v>
          </cell>
          <cell r="I55">
            <v>100</v>
          </cell>
        </row>
        <row r="56">
          <cell r="A56" t="str">
            <v>Unmitigated</v>
          </cell>
          <cell r="B56" t="str">
            <v>MAR</v>
          </cell>
          <cell r="C56">
            <v>2100</v>
          </cell>
          <cell r="D56">
            <v>83000</v>
          </cell>
          <cell r="E56">
            <v>2100</v>
          </cell>
          <cell r="H56">
            <v>2100</v>
          </cell>
          <cell r="I56">
            <v>1000</v>
          </cell>
        </row>
        <row r="57">
          <cell r="C57" t="str">
            <v>DR assumes that 10% of array is exposed to critical heat flux.</v>
          </cell>
          <cell r="E57" t="str">
            <v>DR assumes that 10% of array is exposed to critical heat flux.</v>
          </cell>
          <cell r="H57" t="str">
            <v>DR assumes that 10% of array is exposed to critical heat flux.</v>
          </cell>
          <cell r="I57" t="str">
            <v>DR assumes that 10% of array is exposed to critical heat flux.</v>
          </cell>
        </row>
        <row r="58">
          <cell r="A58" t="str">
            <v>Lightning</v>
          </cell>
          <cell r="B58" t="str">
            <v>E20</v>
          </cell>
          <cell r="C58" t="str">
            <v/>
          </cell>
          <cell r="D58">
            <v>0</v>
          </cell>
          <cell r="E58" t="str">
            <v/>
          </cell>
          <cell r="F58" t="str">
            <v/>
          </cell>
          <cell r="G58" t="str">
            <v/>
          </cell>
          <cell r="H58">
            <v>2.8000000000000001E-2</v>
          </cell>
          <cell r="I58" t="str">
            <v/>
          </cell>
          <cell r="J58" t="str">
            <v/>
          </cell>
          <cell r="K58" t="str">
            <v/>
          </cell>
          <cell r="L58" t="str">
            <v/>
          </cell>
        </row>
        <row r="59">
          <cell r="A59" t="str">
            <v>Mitigated</v>
          </cell>
          <cell r="B59" t="str">
            <v>MAR</v>
          </cell>
          <cell r="D59">
            <v>0</v>
          </cell>
          <cell r="H59">
            <v>10</v>
          </cell>
        </row>
        <row r="60">
          <cell r="A60" t="str">
            <v>Unmitigated</v>
          </cell>
          <cell r="B60" t="str">
            <v>MAR</v>
          </cell>
          <cell r="D60">
            <v>2500</v>
          </cell>
          <cell r="H60">
            <v>360</v>
          </cell>
        </row>
        <row r="61">
          <cell r="H61" t="str">
            <v>DR credits SAC that requires TRU waste containing &gt;10 PE-Ci be in containers capable of meeting SAC physical protection functional requirements.</v>
          </cell>
        </row>
        <row r="62">
          <cell r="A62" t="str">
            <v>High wind</v>
          </cell>
          <cell r="B62" t="str">
            <v>E21</v>
          </cell>
          <cell r="C62" t="str">
            <v/>
          </cell>
          <cell r="D62">
            <v>0</v>
          </cell>
          <cell r="E62" t="str">
            <v/>
          </cell>
          <cell r="F62" t="str">
            <v/>
          </cell>
          <cell r="G62" t="str">
            <v/>
          </cell>
          <cell r="H62">
            <v>1</v>
          </cell>
          <cell r="I62" t="str">
            <v/>
          </cell>
          <cell r="J62" t="str">
            <v/>
          </cell>
          <cell r="K62" t="str">
            <v/>
          </cell>
          <cell r="L62" t="str">
            <v/>
          </cell>
        </row>
        <row r="63">
          <cell r="A63" t="str">
            <v>Mitigated</v>
          </cell>
          <cell r="B63" t="str">
            <v>MAR</v>
          </cell>
          <cell r="D63">
            <v>0</v>
          </cell>
          <cell r="H63">
            <v>2100</v>
          </cell>
        </row>
        <row r="64">
          <cell r="A64" t="str">
            <v>Unmitigated</v>
          </cell>
          <cell r="B64" t="str">
            <v>MAR</v>
          </cell>
          <cell r="D64">
            <v>83000</v>
          </cell>
          <cell r="H64">
            <v>2100</v>
          </cell>
        </row>
        <row r="66">
          <cell r="A66" t="str">
            <v>Tornado</v>
          </cell>
          <cell r="B66" t="str">
            <v>E22</v>
          </cell>
          <cell r="C66">
            <v>0.18</v>
          </cell>
          <cell r="D66">
            <v>0</v>
          </cell>
          <cell r="E66">
            <v>0.18</v>
          </cell>
          <cell r="F66">
            <v>1</v>
          </cell>
          <cell r="G66">
            <v>1</v>
          </cell>
          <cell r="H66">
            <v>0.18</v>
          </cell>
          <cell r="I66">
            <v>1</v>
          </cell>
          <cell r="J66" t="str">
            <v/>
          </cell>
          <cell r="K66">
            <v>1</v>
          </cell>
          <cell r="L66">
            <v>1.2E-4</v>
          </cell>
        </row>
        <row r="67">
          <cell r="A67" t="str">
            <v>Mitigated</v>
          </cell>
          <cell r="B67" t="str">
            <v>MAR</v>
          </cell>
          <cell r="C67">
            <v>379</v>
          </cell>
          <cell r="D67">
            <v>0</v>
          </cell>
          <cell r="E67">
            <v>379</v>
          </cell>
          <cell r="F67">
            <v>2300</v>
          </cell>
          <cell r="G67">
            <v>360</v>
          </cell>
          <cell r="H67">
            <v>379</v>
          </cell>
          <cell r="I67">
            <v>360</v>
          </cell>
          <cell r="K67">
            <v>1500</v>
          </cell>
          <cell r="L67">
            <v>0.1</v>
          </cell>
        </row>
        <row r="68">
          <cell r="A68" t="str">
            <v>Unmitigated</v>
          </cell>
          <cell r="B68" t="str">
            <v>MAR</v>
          </cell>
          <cell r="C68">
            <v>2100</v>
          </cell>
          <cell r="D68">
            <v>83000</v>
          </cell>
          <cell r="E68">
            <v>2100</v>
          </cell>
          <cell r="F68">
            <v>2300</v>
          </cell>
          <cell r="G68">
            <v>360</v>
          </cell>
          <cell r="H68">
            <v>2100</v>
          </cell>
          <cell r="I68">
            <v>360</v>
          </cell>
          <cell r="K68">
            <v>1500</v>
          </cell>
          <cell r="L68">
            <v>850</v>
          </cell>
        </row>
        <row r="69">
          <cell r="C69" t="str">
            <v>Tornado borne missiles assumed to impact four TRU waste drums: max container and three at 99th percentile.</v>
          </cell>
          <cell r="E69" t="str">
            <v>Tornado borne missiles assumed to impact four TRU waste drums: max container and three at 99th percentile.</v>
          </cell>
          <cell r="H69" t="str">
            <v>Tornado borne missiles assumed to impact four TRU waste drums: max container and three at 99th percentile.</v>
          </cell>
          <cell r="L69" t="str">
            <v xml:space="preserve">DR reflects very low release rate expected for this event. (Estimated unmitigated source term from system &lt;1E-6 PE-Ci/day due to ACTIVE ventilation based on environmental release data and assumed HEPA filter efficiency of 99.99%.) </v>
          </cell>
        </row>
        <row r="70">
          <cell r="A70" t="str">
            <v>Snow and/or ice buildup</v>
          </cell>
          <cell r="B70" t="str">
            <v>E23</v>
          </cell>
          <cell r="C70" t="str">
            <v/>
          </cell>
          <cell r="D70" t="str">
            <v/>
          </cell>
          <cell r="E70" t="str">
            <v/>
          </cell>
          <cell r="F70" t="str">
            <v/>
          </cell>
          <cell r="G70" t="str">
            <v/>
          </cell>
          <cell r="H70">
            <v>1</v>
          </cell>
          <cell r="I70" t="str">
            <v/>
          </cell>
          <cell r="J70" t="str">
            <v/>
          </cell>
          <cell r="K70" t="str">
            <v/>
          </cell>
          <cell r="L70" t="str">
            <v/>
          </cell>
        </row>
        <row r="71">
          <cell r="A71" t="str">
            <v>Mitigated</v>
          </cell>
          <cell r="B71" t="str">
            <v>MAR</v>
          </cell>
          <cell r="H71">
            <v>2100</v>
          </cell>
        </row>
        <row r="72">
          <cell r="A72" t="str">
            <v>Unmitigated</v>
          </cell>
          <cell r="B72" t="str">
            <v>MAR</v>
          </cell>
          <cell r="H72">
            <v>2100</v>
          </cell>
        </row>
        <row r="74">
          <cell r="A74" t="str">
            <v>Seismic event</v>
          </cell>
          <cell r="B74" t="str">
            <v>E24</v>
          </cell>
          <cell r="C74">
            <v>1</v>
          </cell>
          <cell r="D74">
            <v>0</v>
          </cell>
          <cell r="E74">
            <v>1</v>
          </cell>
          <cell r="F74">
            <v>1</v>
          </cell>
          <cell r="G74">
            <v>1</v>
          </cell>
          <cell r="H74">
            <v>1</v>
          </cell>
          <cell r="I74">
            <v>1</v>
          </cell>
          <cell r="J74" t="str">
            <v/>
          </cell>
          <cell r="K74">
            <v>1</v>
          </cell>
          <cell r="L74">
            <v>1.2E-4</v>
          </cell>
        </row>
        <row r="75">
          <cell r="A75" t="str">
            <v>Mitigated</v>
          </cell>
          <cell r="B75" t="str">
            <v>MAR</v>
          </cell>
          <cell r="C75">
            <v>2100</v>
          </cell>
          <cell r="D75">
            <v>0</v>
          </cell>
          <cell r="E75">
            <v>2100</v>
          </cell>
          <cell r="F75">
            <v>2300</v>
          </cell>
          <cell r="G75">
            <v>360</v>
          </cell>
          <cell r="H75">
            <v>2100</v>
          </cell>
          <cell r="I75">
            <v>1000</v>
          </cell>
          <cell r="K75">
            <v>1500</v>
          </cell>
          <cell r="L75">
            <v>0.1</v>
          </cell>
        </row>
        <row r="76">
          <cell r="A76" t="str">
            <v>Unmitigated</v>
          </cell>
          <cell r="B76" t="str">
            <v>MAR</v>
          </cell>
          <cell r="C76">
            <v>2100</v>
          </cell>
          <cell r="D76">
            <v>83000</v>
          </cell>
          <cell r="E76">
            <v>2100</v>
          </cell>
          <cell r="F76">
            <v>2300</v>
          </cell>
          <cell r="G76">
            <v>360</v>
          </cell>
          <cell r="H76">
            <v>2100</v>
          </cell>
          <cell r="I76">
            <v>1000</v>
          </cell>
          <cell r="K76">
            <v>1500</v>
          </cell>
          <cell r="L76">
            <v>850</v>
          </cell>
        </row>
        <row r="77">
          <cell r="L77" t="str">
            <v xml:space="preserve">DR reflects very low release rate expected for this event. (Estimated unmitigated source term from system &lt;1E-6 PE-Ci/day due to ACTIVE ventilation based on environmental release data and assumed HEPA filter efficiency of 99.99%.) </v>
          </cell>
        </row>
        <row r="78">
          <cell r="A78" t="str">
            <v>Loss of airborne contamination confinement</v>
          </cell>
          <cell r="B78" t="str">
            <v>AER</v>
          </cell>
          <cell r="C78" t="str">
            <v/>
          </cell>
          <cell r="D78">
            <v>0</v>
          </cell>
          <cell r="E78">
            <v>1</v>
          </cell>
          <cell r="F78">
            <v>1</v>
          </cell>
          <cell r="G78">
            <v>1</v>
          </cell>
          <cell r="H78" t="str">
            <v/>
          </cell>
          <cell r="I78">
            <v>1</v>
          </cell>
          <cell r="J78" t="str">
            <v/>
          </cell>
          <cell r="K78">
            <v>1</v>
          </cell>
          <cell r="L78">
            <v>1.2E-4</v>
          </cell>
        </row>
        <row r="79">
          <cell r="A79" t="str">
            <v>Mitigated</v>
          </cell>
          <cell r="B79" t="str">
            <v>MAR</v>
          </cell>
          <cell r="D79">
            <v>0</v>
          </cell>
          <cell r="E79">
            <v>360</v>
          </cell>
          <cell r="F79">
            <v>2300</v>
          </cell>
          <cell r="G79">
            <v>360</v>
          </cell>
          <cell r="I79">
            <v>1000</v>
          </cell>
          <cell r="K79">
            <v>1500</v>
          </cell>
          <cell r="L79">
            <v>0.1</v>
          </cell>
        </row>
        <row r="80">
          <cell r="A80" t="str">
            <v>Unmitigated</v>
          </cell>
          <cell r="B80" t="str">
            <v>MAR</v>
          </cell>
          <cell r="D80">
            <v>2500</v>
          </cell>
          <cell r="E80">
            <v>360</v>
          </cell>
          <cell r="F80">
            <v>2300</v>
          </cell>
          <cell r="G80">
            <v>360</v>
          </cell>
          <cell r="I80">
            <v>1000</v>
          </cell>
          <cell r="K80">
            <v>1500</v>
          </cell>
          <cell r="L80">
            <v>850</v>
          </cell>
        </row>
        <row r="81">
          <cell r="L81" t="str">
            <v xml:space="preserve">DR reflects very low release rate expected for this event. (Estimated unmitigated source term from system &lt;1E-6 PE-Ci/day due to ACTIVE ventilation based on environmental release data and assumed HEPA filter efficiency of 99.99%.) </v>
          </cell>
        </row>
        <row r="82">
          <cell r="A82" t="str">
            <v>Localized explosion within facility</v>
          </cell>
          <cell r="B82" t="str">
            <v>ES</v>
          </cell>
          <cell r="C82" t="str">
            <v/>
          </cell>
          <cell r="D82" t="str">
            <v/>
          </cell>
          <cell r="E82" t="str">
            <v/>
          </cell>
          <cell r="F82">
            <v>1</v>
          </cell>
          <cell r="G82" t="str">
            <v/>
          </cell>
          <cell r="H82" t="str">
            <v/>
          </cell>
          <cell r="I82">
            <v>1</v>
          </cell>
          <cell r="J82" t="str">
            <v/>
          </cell>
          <cell r="K82">
            <v>1</v>
          </cell>
          <cell r="L82" t="str">
            <v/>
          </cell>
        </row>
        <row r="83">
          <cell r="A83" t="str">
            <v>Mitigated</v>
          </cell>
          <cell r="B83" t="str">
            <v>MAR</v>
          </cell>
          <cell r="F83">
            <v>360</v>
          </cell>
          <cell r="I83">
            <v>360</v>
          </cell>
          <cell r="K83">
            <v>360</v>
          </cell>
        </row>
        <row r="84">
          <cell r="A84" t="str">
            <v>Unmitigated</v>
          </cell>
          <cell r="B84" t="str">
            <v>MAR</v>
          </cell>
          <cell r="F84">
            <v>360</v>
          </cell>
          <cell r="I84">
            <v>360</v>
          </cell>
          <cell r="K84">
            <v>360</v>
          </cell>
        </row>
        <row r="86">
          <cell r="A86" t="str">
            <v>Loss of liquid contamination confinement</v>
          </cell>
          <cell r="B86" t="str">
            <v>FFS</v>
          </cell>
          <cell r="C86">
            <v>1</v>
          </cell>
          <cell r="D86" t="str">
            <v/>
          </cell>
          <cell r="E86">
            <v>1</v>
          </cell>
          <cell r="F86">
            <v>1</v>
          </cell>
          <cell r="G86">
            <v>1</v>
          </cell>
          <cell r="H86">
            <v>1</v>
          </cell>
          <cell r="I86">
            <v>1</v>
          </cell>
          <cell r="J86">
            <v>1</v>
          </cell>
          <cell r="K86">
            <v>1</v>
          </cell>
          <cell r="L86">
            <v>1</v>
          </cell>
        </row>
        <row r="87">
          <cell r="A87" t="str">
            <v>Mitigated</v>
          </cell>
          <cell r="B87" t="str">
            <v>MAR</v>
          </cell>
          <cell r="C87">
            <v>1</v>
          </cell>
          <cell r="E87">
            <v>1</v>
          </cell>
          <cell r="F87">
            <v>1</v>
          </cell>
          <cell r="G87">
            <v>1</v>
          </cell>
          <cell r="H87">
            <v>1</v>
          </cell>
          <cell r="I87">
            <v>1</v>
          </cell>
          <cell r="J87">
            <v>1</v>
          </cell>
          <cell r="K87">
            <v>1</v>
          </cell>
          <cell r="L87">
            <v>1</v>
          </cell>
        </row>
        <row r="88">
          <cell r="A88" t="str">
            <v>Unmitigated</v>
          </cell>
          <cell r="B88" t="str">
            <v>MAR</v>
          </cell>
          <cell r="C88">
            <v>1</v>
          </cell>
          <cell r="E88">
            <v>1</v>
          </cell>
          <cell r="F88">
            <v>1</v>
          </cell>
          <cell r="G88">
            <v>1</v>
          </cell>
          <cell r="H88">
            <v>1</v>
          </cell>
          <cell r="I88">
            <v>1</v>
          </cell>
          <cell r="J88">
            <v>1</v>
          </cell>
          <cell r="K88">
            <v>1</v>
          </cell>
          <cell r="L88">
            <v>1</v>
          </cell>
        </row>
        <row r="90">
          <cell r="A90" t="str">
            <v>Flood</v>
          </cell>
          <cell r="B90" t="str">
            <v>FLD</v>
          </cell>
          <cell r="C90">
            <v>1</v>
          </cell>
          <cell r="D90">
            <v>0</v>
          </cell>
          <cell r="E90">
            <v>1</v>
          </cell>
          <cell r="F90">
            <v>1</v>
          </cell>
          <cell r="G90">
            <v>1</v>
          </cell>
          <cell r="H90">
            <v>1</v>
          </cell>
          <cell r="I90">
            <v>1</v>
          </cell>
          <cell r="J90" t="str">
            <v/>
          </cell>
          <cell r="K90">
            <v>1</v>
          </cell>
          <cell r="L90" t="str">
            <v/>
          </cell>
        </row>
        <row r="91">
          <cell r="A91" t="str">
            <v>Mitigated</v>
          </cell>
          <cell r="B91" t="str">
            <v>MAR</v>
          </cell>
          <cell r="C91">
            <v>2100</v>
          </cell>
          <cell r="D91">
            <v>0</v>
          </cell>
          <cell r="E91">
            <v>2100</v>
          </cell>
          <cell r="F91">
            <v>2300</v>
          </cell>
          <cell r="G91">
            <v>360</v>
          </cell>
          <cell r="H91">
            <v>2100</v>
          </cell>
          <cell r="I91">
            <v>1000</v>
          </cell>
          <cell r="K91">
            <v>1500</v>
          </cell>
        </row>
        <row r="92">
          <cell r="A92" t="str">
            <v>Unmitigated</v>
          </cell>
          <cell r="B92" t="str">
            <v>MAR</v>
          </cell>
          <cell r="C92">
            <v>2100</v>
          </cell>
          <cell r="D92">
            <v>83000</v>
          </cell>
          <cell r="E92">
            <v>2100</v>
          </cell>
          <cell r="F92">
            <v>2300</v>
          </cell>
          <cell r="G92">
            <v>360</v>
          </cell>
          <cell r="H92">
            <v>2100</v>
          </cell>
          <cell r="I92">
            <v>1000</v>
          </cell>
          <cell r="K92">
            <v>1500</v>
          </cell>
        </row>
        <row r="94">
          <cell r="A94" t="str">
            <v>HEPA filter failure</v>
          </cell>
          <cell r="B94" t="str">
            <v>HB</v>
          </cell>
          <cell r="C94" t="str">
            <v/>
          </cell>
          <cell r="D94" t="str">
            <v/>
          </cell>
          <cell r="E94">
            <v>1</v>
          </cell>
          <cell r="F94">
            <v>1</v>
          </cell>
          <cell r="G94">
            <v>1</v>
          </cell>
          <cell r="H94" t="str">
            <v/>
          </cell>
          <cell r="I94">
            <v>1</v>
          </cell>
          <cell r="J94" t="str">
            <v/>
          </cell>
          <cell r="K94">
            <v>1</v>
          </cell>
          <cell r="L94">
            <v>1</v>
          </cell>
        </row>
        <row r="95">
          <cell r="A95" t="str">
            <v>Mitigated</v>
          </cell>
          <cell r="B95" t="str">
            <v>MAR</v>
          </cell>
          <cell r="E95">
            <v>1</v>
          </cell>
          <cell r="F95">
            <v>10</v>
          </cell>
          <cell r="G95">
            <v>1</v>
          </cell>
          <cell r="I95">
            <v>1</v>
          </cell>
          <cell r="K95">
            <v>1</v>
          </cell>
          <cell r="L95">
            <v>1</v>
          </cell>
        </row>
        <row r="96">
          <cell r="A96" t="str">
            <v>Unmitigated</v>
          </cell>
          <cell r="B96" t="str">
            <v>MAR</v>
          </cell>
          <cell r="E96">
            <v>1</v>
          </cell>
          <cell r="F96">
            <v>10</v>
          </cell>
          <cell r="G96">
            <v>1</v>
          </cell>
          <cell r="I96">
            <v>1</v>
          </cell>
          <cell r="K96">
            <v>1</v>
          </cell>
          <cell r="L96">
            <v>1</v>
          </cell>
        </row>
        <row r="98">
          <cell r="A98" t="str">
            <v>HEPA filter fire</v>
          </cell>
          <cell r="B98" t="str">
            <v>HF</v>
          </cell>
          <cell r="C98" t="str">
            <v/>
          </cell>
          <cell r="D98" t="str">
            <v/>
          </cell>
          <cell r="E98">
            <v>1</v>
          </cell>
          <cell r="F98">
            <v>1</v>
          </cell>
          <cell r="G98">
            <v>1</v>
          </cell>
          <cell r="H98" t="str">
            <v/>
          </cell>
          <cell r="I98">
            <v>1</v>
          </cell>
          <cell r="J98" t="str">
            <v/>
          </cell>
          <cell r="K98">
            <v>1</v>
          </cell>
          <cell r="L98">
            <v>1</v>
          </cell>
        </row>
        <row r="99">
          <cell r="A99" t="str">
            <v>Mitigated</v>
          </cell>
          <cell r="B99" t="str">
            <v>MAR</v>
          </cell>
          <cell r="E99">
            <v>1</v>
          </cell>
          <cell r="F99">
            <v>10</v>
          </cell>
          <cell r="G99">
            <v>1</v>
          </cell>
          <cell r="I99">
            <v>1</v>
          </cell>
          <cell r="K99">
            <v>1</v>
          </cell>
          <cell r="L99">
            <v>1</v>
          </cell>
        </row>
        <row r="100">
          <cell r="A100" t="str">
            <v>Unmitigated</v>
          </cell>
          <cell r="B100" t="str">
            <v>MAR</v>
          </cell>
          <cell r="E100">
            <v>1</v>
          </cell>
          <cell r="F100">
            <v>10</v>
          </cell>
          <cell r="G100">
            <v>1</v>
          </cell>
          <cell r="I100">
            <v>1</v>
          </cell>
          <cell r="K100">
            <v>1</v>
          </cell>
          <cell r="L100">
            <v>1</v>
          </cell>
        </row>
        <row r="102">
          <cell r="A102" t="str">
            <v>Stack failure</v>
          </cell>
          <cell r="B102" t="str">
            <v>IS</v>
          </cell>
          <cell r="C102" t="str">
            <v/>
          </cell>
          <cell r="D102" t="str">
            <v/>
          </cell>
          <cell r="E102" t="str">
            <v/>
          </cell>
          <cell r="F102">
            <v>1</v>
          </cell>
          <cell r="G102" t="str">
            <v/>
          </cell>
          <cell r="H102" t="str">
            <v/>
          </cell>
          <cell r="I102" t="str">
            <v/>
          </cell>
          <cell r="J102" t="str">
            <v/>
          </cell>
          <cell r="K102" t="str">
            <v/>
          </cell>
          <cell r="L102" t="str">
            <v/>
          </cell>
        </row>
        <row r="103">
          <cell r="B103" t="str">
            <v>Mitigated MAR</v>
          </cell>
          <cell r="F103">
            <v>10</v>
          </cell>
        </row>
        <row r="104">
          <cell r="B104" t="str">
            <v>Unmitigated MAR</v>
          </cell>
          <cell r="F104">
            <v>10</v>
          </cell>
        </row>
        <row r="106">
          <cell r="A106" t="str">
            <v>Corrosion</v>
          </cell>
          <cell r="B106" t="str">
            <v>HLW</v>
          </cell>
          <cell r="C106" t="str">
            <v/>
          </cell>
          <cell r="D106">
            <v>0</v>
          </cell>
          <cell r="E106" t="str">
            <v/>
          </cell>
          <cell r="F106" t="str">
            <v/>
          </cell>
          <cell r="G106" t="str">
            <v/>
          </cell>
          <cell r="H106" t="str">
            <v/>
          </cell>
          <cell r="I106" t="str">
            <v/>
          </cell>
          <cell r="J106" t="str">
            <v/>
          </cell>
          <cell r="K106" t="str">
            <v/>
          </cell>
          <cell r="L106" t="str">
            <v/>
          </cell>
        </row>
        <row r="107">
          <cell r="A107" t="str">
            <v>Mitigated</v>
          </cell>
          <cell r="B107" t="str">
            <v>MAR</v>
          </cell>
          <cell r="D107">
            <v>0</v>
          </cell>
        </row>
        <row r="108">
          <cell r="A108" t="str">
            <v>Unmitigated</v>
          </cell>
          <cell r="B108" t="str">
            <v>MAR</v>
          </cell>
          <cell r="D108">
            <v>2500</v>
          </cell>
        </row>
        <row r="110">
          <cell r="A110" t="str">
            <v>Locomotive/ loaded rail car impacts storage casks</v>
          </cell>
          <cell r="B110" t="str">
            <v>HLW</v>
          </cell>
          <cell r="C110" t="str">
            <v/>
          </cell>
          <cell r="D110">
            <v>0</v>
          </cell>
          <cell r="E110" t="str">
            <v/>
          </cell>
          <cell r="F110" t="str">
            <v/>
          </cell>
          <cell r="G110" t="str">
            <v/>
          </cell>
          <cell r="H110" t="str">
            <v/>
          </cell>
          <cell r="I110" t="str">
            <v/>
          </cell>
          <cell r="J110" t="str">
            <v/>
          </cell>
          <cell r="K110" t="str">
            <v/>
          </cell>
          <cell r="L110" t="str">
            <v/>
          </cell>
        </row>
        <row r="111">
          <cell r="A111" t="str">
            <v>Mitigated</v>
          </cell>
          <cell r="B111" t="str">
            <v>MAR</v>
          </cell>
          <cell r="D111">
            <v>0</v>
          </cell>
        </row>
        <row r="112">
          <cell r="A112" t="str">
            <v>Unmitigated</v>
          </cell>
          <cell r="B112" t="str">
            <v>MAR</v>
          </cell>
          <cell r="D112">
            <v>83000</v>
          </cell>
        </row>
        <row r="114">
          <cell r="A114" t="str">
            <v>Seismic event (tip over)</v>
          </cell>
          <cell r="B114" t="str">
            <v>HLW</v>
          </cell>
          <cell r="C114" t="str">
            <v/>
          </cell>
          <cell r="D114">
            <v>0</v>
          </cell>
          <cell r="E114" t="str">
            <v/>
          </cell>
          <cell r="F114" t="str">
            <v/>
          </cell>
          <cell r="G114" t="str">
            <v/>
          </cell>
          <cell r="H114" t="str">
            <v/>
          </cell>
          <cell r="I114" t="str">
            <v/>
          </cell>
          <cell r="J114" t="str">
            <v/>
          </cell>
          <cell r="K114" t="str">
            <v/>
          </cell>
          <cell r="L114" t="str">
            <v/>
          </cell>
        </row>
        <row r="115">
          <cell r="A115" t="str">
            <v>Mitigated</v>
          </cell>
          <cell r="B115" t="str">
            <v>MAR</v>
          </cell>
          <cell r="D115">
            <v>0</v>
          </cell>
        </row>
        <row r="116">
          <cell r="A116" t="str">
            <v>Unmitigated</v>
          </cell>
          <cell r="B116" t="str">
            <v>MAR</v>
          </cell>
          <cell r="D116">
            <v>2500</v>
          </cell>
        </row>
        <row r="118">
          <cell r="A118" t="str">
            <v>Severe environmental conditions</v>
          </cell>
          <cell r="B118" t="str">
            <v>HLW</v>
          </cell>
          <cell r="C118" t="str">
            <v/>
          </cell>
          <cell r="D118">
            <v>0</v>
          </cell>
          <cell r="E118" t="str">
            <v/>
          </cell>
          <cell r="F118" t="str">
            <v/>
          </cell>
          <cell r="G118" t="str">
            <v/>
          </cell>
          <cell r="H118" t="str">
            <v/>
          </cell>
          <cell r="I118" t="str">
            <v/>
          </cell>
          <cell r="J118" t="str">
            <v/>
          </cell>
          <cell r="K118" t="str">
            <v/>
          </cell>
          <cell r="L118" t="str">
            <v/>
          </cell>
        </row>
        <row r="119">
          <cell r="A119" t="str">
            <v>Mitigated</v>
          </cell>
          <cell r="B119" t="str">
            <v>MAR</v>
          </cell>
          <cell r="D119">
            <v>0</v>
          </cell>
        </row>
        <row r="120">
          <cell r="A120" t="str">
            <v>Unmitigated</v>
          </cell>
          <cell r="B120" t="str">
            <v>MAR</v>
          </cell>
          <cell r="D120">
            <v>2500</v>
          </cell>
        </row>
        <row r="122">
          <cell r="A122" t="str">
            <v>Storage cask tip-over due to transportation event</v>
          </cell>
          <cell r="B122" t="str">
            <v>HLW</v>
          </cell>
          <cell r="C122" t="str">
            <v/>
          </cell>
          <cell r="D122">
            <v>0</v>
          </cell>
          <cell r="E122" t="str">
            <v/>
          </cell>
          <cell r="F122" t="str">
            <v/>
          </cell>
          <cell r="G122" t="str">
            <v/>
          </cell>
          <cell r="H122" t="str">
            <v/>
          </cell>
          <cell r="I122" t="str">
            <v/>
          </cell>
          <cell r="J122" t="str">
            <v/>
          </cell>
          <cell r="K122" t="str">
            <v/>
          </cell>
          <cell r="L122" t="str">
            <v/>
          </cell>
        </row>
        <row r="123">
          <cell r="A123" t="str">
            <v>Mitigated</v>
          </cell>
          <cell r="B123" t="str">
            <v>MAR</v>
          </cell>
          <cell r="D123">
            <v>0</v>
          </cell>
        </row>
        <row r="124">
          <cell r="A124" t="str">
            <v>Unmitigated</v>
          </cell>
          <cell r="B124" t="str">
            <v>MAR</v>
          </cell>
          <cell r="D124">
            <v>2500</v>
          </cell>
        </row>
      </sheetData>
      <sheetData sheetId="8">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row>
        <row r="4">
          <cell r="A4" t="str">
            <v>Small combustible material fire</v>
          </cell>
          <cell r="B4" t="str">
            <v>E02</v>
          </cell>
        </row>
        <row r="6">
          <cell r="A6" t="str">
            <v>Large fire</v>
          </cell>
          <cell r="B6" t="str">
            <v>E04</v>
          </cell>
        </row>
        <row r="8">
          <cell r="A8" t="str">
            <v>Localized explosion external to container</v>
          </cell>
          <cell r="B8" t="str">
            <v>E05</v>
          </cell>
        </row>
        <row r="9">
          <cell r="F9" t="str">
            <v>•  Flammable material storage lockers
•  Compressed gas storage racks</v>
          </cell>
        </row>
        <row r="10">
          <cell r="A10" t="str">
            <v>Waste container deflagration</v>
          </cell>
          <cell r="B10" t="str">
            <v>E06</v>
          </cell>
        </row>
        <row r="11">
          <cell r="C11" t="str">
            <v>•  HEPA filter vents on waste containers
•  Non-sparking tools for containers suspected of containing high concentrations of flammable gas</v>
          </cell>
          <cell r="D11" t="str">
            <v>•  HEPA filter vents on waste containers</v>
          </cell>
          <cell r="F11" t="str">
            <v>•  HEPA filter vents on waste containers
•  Non-sparking tools for containers suspected of containing high concentrations of flammable gas</v>
          </cell>
          <cell r="G11" t="str">
            <v>•  HEPA filter vents on waste containers
•  Non-sparking tools for containers suspected of containing high concentrations of flammable gas</v>
          </cell>
          <cell r="H11" t="str">
            <v>•  HEPA filter vents on waste containers
•  Non-sparking tools for containers suspected of containing high concentrations of flammable gas</v>
          </cell>
          <cell r="I11" t="str">
            <v>•  HEPA filter vents on waste containers</v>
          </cell>
          <cell r="J11" t="str">
            <v>•  HEPA filter vents on waste containers
•  Non-sparking tools for containers suspected of containing high concentrations of flammable gas</v>
          </cell>
          <cell r="L11" t="str">
            <v>•  HEPA filter vents on waste containers
•  Non-sparking tools for containers suspected of containing high concentrations of flammable gas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row>
        <row r="17">
          <cell r="C17" t="str">
            <v>•  Physical barriers such as Jersey barriers or facility structure that protects waste containers from vehicle impacts</v>
          </cell>
          <cell r="D17" t="str">
            <v>•  Physical barriers such as Jersey barriers or facility structure that protects waste containers from vehicle impacts</v>
          </cell>
          <cell r="E17" t="str">
            <v xml:space="preserve">•  Design of MPC-WVDP storage system capable of withstanding significant impact stresses </v>
          </cell>
          <cell r="F17" t="str">
            <v>•  Physical barriers such as Jersey barriers or facility structure that protects waste containers from vehicle impacts</v>
          </cell>
          <cell r="H17" t="str">
            <v>•  Physical barriers such as Jersey barriers or facility structure that protects waste containers from vehicle impacts</v>
          </cell>
          <cell r="I17" t="str">
            <v>•  Physical barriers such as Jersey barriers or facility structure that protects waste containers from vehicle impacts</v>
          </cell>
          <cell r="J17" t="str">
            <v>•  Physical barriers such as Jersey barriers or facility structure that protects waste containers from vehicle impacts</v>
          </cell>
          <cell r="K17" t="str">
            <v>•  Physical barriers such as Jersey barriers or facility structure that protects waste containers from vehicle impacts</v>
          </cell>
        </row>
        <row r="18">
          <cell r="A18" t="str">
            <v>Drop/impact/spill</v>
          </cell>
          <cell r="B18" t="str">
            <v>E10</v>
          </cell>
        </row>
        <row r="19">
          <cell r="E19" t="str">
            <v>•  Cask lifting lugs and transporter lifting components designed with conservative safety factors
•  Transporter design that limits cask ground clearance to ≤ 6”</v>
          </cell>
        </row>
        <row r="20">
          <cell r="A20" t="str">
            <v>Collapse of stacked containers</v>
          </cell>
          <cell r="B20" t="str">
            <v>E11</v>
          </cell>
        </row>
        <row r="22">
          <cell r="A22" t="str">
            <v>Waste container over-pressurization</v>
          </cell>
          <cell r="B22" t="str">
            <v>E12</v>
          </cell>
        </row>
        <row r="23">
          <cell r="C23" t="str">
            <v>•  HEPA filter vents on waste containers</v>
          </cell>
          <cell r="D23" t="str">
            <v>•  HEPA filter vents on waste containers</v>
          </cell>
          <cell r="F23" t="str">
            <v>•  HEPA filter vents on waste containers</v>
          </cell>
          <cell r="G23" t="str">
            <v>•  HEPA filter vents on waste containers</v>
          </cell>
          <cell r="H23" t="str">
            <v>•  HEPA filter vents on waste containers</v>
          </cell>
          <cell r="I23" t="str">
            <v>•  HEPA filter vents on waste containers</v>
          </cell>
          <cell r="J23" t="str">
            <v>•  HEPA filter vents on waste containers</v>
          </cell>
          <cell r="L23" t="str">
            <v>•  HEPA filter vents on waste containers</v>
          </cell>
        </row>
        <row r="24">
          <cell r="A24" t="str">
            <v>Direct exposure to radiation</v>
          </cell>
          <cell r="B24" t="str">
            <v>E13</v>
          </cell>
        </row>
        <row r="25">
          <cell r="C25" t="str">
            <v>•  Engineered radiation shielding on high dose rate waste containers</v>
          </cell>
          <cell r="D25" t="str">
            <v>•  Engineered radiation shielding on high dose rate waste containers</v>
          </cell>
          <cell r="E25" t="str">
            <v>•  Heavily reinforced 19.75" thick concrete VSC
•  4" thick steel VSC shielding
•  Weld-sealed 3/8" thick steel MPC</v>
          </cell>
          <cell r="F25" t="str">
            <v>•  Engineered radiation shielding on high dose rate waste containers</v>
          </cell>
          <cell r="G25" t="str">
            <v>•  Engineered radiation shielding on high dose rate waste containers</v>
          </cell>
          <cell r="H25" t="str">
            <v>•  Engineered radiation shielding on high dose rate waste containers</v>
          </cell>
          <cell r="I25" t="str">
            <v>•  Engineered radiation shielding on high dose rate waste containers</v>
          </cell>
          <cell r="J25" t="str">
            <v>•  Engineered radiation shielding on high dose rate waste containers</v>
          </cell>
          <cell r="K25" t="str">
            <v>•  Engineered radiation shielding on high dose rate waste containers</v>
          </cell>
          <cell r="L25" t="str">
            <v>•  Engineered radiation shielding on high dose rate waste containers</v>
          </cell>
          <cell r="M25" t="str">
            <v>•  Engineered radiation shielding on high dose rate waste containers</v>
          </cell>
        </row>
        <row r="26">
          <cell r="A26" t="str">
            <v>Criticality</v>
          </cell>
          <cell r="B26" t="str">
            <v>E14</v>
          </cell>
          <cell r="C26" t="str">
            <v>• PSRs for fissile material storage container specifications</v>
          </cell>
          <cell r="D26" t="str">
            <v>• PSRs for fissile material storage container specifications</v>
          </cell>
          <cell r="E26" t="str">
            <v>• PSRs for fissile material storage container specifications</v>
          </cell>
          <cell r="F26" t="str">
            <v>• PSRs for fissile material storage container specifications</v>
          </cell>
          <cell r="G26" t="str">
            <v>• PSRs for fissile material storage container specifications</v>
          </cell>
          <cell r="H26" t="str">
            <v>• PSRs for fissile material storage container specifications</v>
          </cell>
          <cell r="I26" t="str">
            <v>• PSRs for fissile material storage container specifications</v>
          </cell>
          <cell r="J26" t="str">
            <v>• PSRs for fissile material storage container specifications</v>
          </cell>
          <cell r="K26" t="str">
            <v>• PSRs for fissile material storage container specifications</v>
          </cell>
          <cell r="L26" t="str">
            <v>• PSRs for fissile material storage container specifications</v>
          </cell>
        </row>
        <row r="27">
          <cell r="E27" t="str">
            <v>•  Low concentration of fissile material in HLW
•  Very low effective enrichment of U-235 in waste uranium
•  Significant amount of neutron absorbers in waste</v>
          </cell>
        </row>
        <row r="28">
          <cell r="A28" t="str">
            <v>Aircraft impact with fire</v>
          </cell>
          <cell r="B28" t="str">
            <v>E15</v>
          </cell>
        </row>
        <row r="30">
          <cell r="A30" t="str">
            <v>External vehicle accident</v>
          </cell>
          <cell r="B30" t="str">
            <v>E16</v>
          </cell>
        </row>
        <row r="31">
          <cell r="C31" t="str">
            <v>•  Physical barriers such as Jersey barriers to protect from vehicle impacts</v>
          </cell>
          <cell r="E31" t="str">
            <v>•  Physical barriers such as Jersey barriers to protect from vehicle impacts</v>
          </cell>
          <cell r="I31" t="str">
            <v>•  Physical barriers such as Jersey barriers to protect from vehicle impacts</v>
          </cell>
        </row>
        <row r="32">
          <cell r="A32" t="str">
            <v>External vehicle accident with fire</v>
          </cell>
          <cell r="B32" t="str">
            <v>E17</v>
          </cell>
        </row>
        <row r="33">
          <cell r="C33" t="str">
            <v>•  Physical barriers such as Jersey barriers to protect from vehicle impacts</v>
          </cell>
          <cell r="E33" t="str">
            <v>•  Physical barriers such as Jersey barriers to protect from vehicle impacts</v>
          </cell>
          <cell r="I33" t="str">
            <v>•  Physical barriers such as Jersey barriers to protect from vehicle impacts</v>
          </cell>
        </row>
        <row r="34">
          <cell r="A34" t="str">
            <v>External explosion</v>
          </cell>
          <cell r="B34" t="str">
            <v>E18</v>
          </cell>
        </row>
        <row r="36">
          <cell r="A36" t="str">
            <v>External fire</v>
          </cell>
          <cell r="B36" t="str">
            <v>E19</v>
          </cell>
        </row>
        <row r="38">
          <cell r="A38" t="str">
            <v>Lightning</v>
          </cell>
          <cell r="B38" t="str">
            <v>E20</v>
          </cell>
        </row>
        <row r="39">
          <cell r="E39" t="str">
            <v>•  VSCs located on storage pad are within 500 feet of 197-ft tall meteorological tower
•  Lighting/camera poles at each corner of storage pad</v>
          </cell>
        </row>
        <row r="40">
          <cell r="A40" t="str">
            <v>High wind</v>
          </cell>
          <cell r="B40" t="str">
            <v>E21</v>
          </cell>
        </row>
        <row r="41">
          <cell r="E41" t="str">
            <v>•  Cask construction details (reinforced concrete with 4-inch thick interior steel radial shield)
•  MPC design (welded steel confinement)</v>
          </cell>
        </row>
        <row r="42">
          <cell r="A42" t="str">
            <v>Tornado</v>
          </cell>
          <cell r="B42" t="str">
            <v>E22</v>
          </cell>
        </row>
        <row r="43">
          <cell r="E43"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row>
        <row r="44">
          <cell r="A44" t="str">
            <v>Snow and/or ice buildup</v>
          </cell>
          <cell r="B44" t="str">
            <v>E23</v>
          </cell>
        </row>
        <row r="46">
          <cell r="A46" t="str">
            <v>Seismic event</v>
          </cell>
          <cell r="B46" t="str">
            <v>E24</v>
          </cell>
        </row>
        <row r="47">
          <cell r="E47" t="str">
            <v>•  Cask construction details (reinforced concrete with 4-inch thick interior steel radial shield)
•  MPC design (welded steel confinement)
•  Seismically qualified storage pad
•  Low VSC center of gravity</v>
          </cell>
        </row>
        <row r="48">
          <cell r="A48" t="str">
            <v>Loss of airborne contamination confinement</v>
          </cell>
          <cell r="B48" t="str">
            <v>AER</v>
          </cell>
        </row>
        <row r="49">
          <cell r="C49" t="str">
            <v>•  Facility ventilation exhaust stack which continues to provide nominal facility negative via chimney effect</v>
          </cell>
          <cell r="E49" t="str">
            <v>•  Welded seals on HLW canister and MPC
•  HEPA filter vents on waste drums
•  Gasketed seals on waste drums on VSC</v>
          </cell>
          <cell r="G49" t="str">
            <v>•  Facility ventilation exhaust stack which continues to provide nominal facility negative via chimney effect</v>
          </cell>
          <cell r="J49" t="str">
            <v>•  Facility ventilation exhaust stack which continues to provide nominal facility negative via chimney effect</v>
          </cell>
          <cell r="L49" t="str">
            <v>•  Facility ventilation exhaust stack which continues to provide nominal facility negative via chimney effect</v>
          </cell>
          <cell r="M49" t="str">
            <v>•  Facility ventilation exhaust stack which continues to provide nominal facility negative via chimney effect</v>
          </cell>
        </row>
        <row r="50">
          <cell r="A50" t="str">
            <v>Localized explosion within facility</v>
          </cell>
          <cell r="B50" t="str">
            <v>ES</v>
          </cell>
        </row>
        <row r="52">
          <cell r="A52" t="str">
            <v>Loss of liquid contamination confinement</v>
          </cell>
          <cell r="B52" t="str">
            <v>FFS</v>
          </cell>
        </row>
        <row r="53">
          <cell r="C53" t="str">
            <v>•  Cell liners/sumps and/or area berms</v>
          </cell>
          <cell r="D53" t="str">
            <v>•  Cell liners/sumps and/or area berms</v>
          </cell>
          <cell r="F53" t="str">
            <v>•  Cell liners/sumps and/or area berms</v>
          </cell>
          <cell r="G53" t="str">
            <v>•  Cell liners/sumps and/or area berms</v>
          </cell>
          <cell r="H53" t="str">
            <v>•  Cell liners/sumps and/or area berms</v>
          </cell>
          <cell r="I53" t="str">
            <v>•  Cell liners/sumps and/or area berms</v>
          </cell>
          <cell r="J53" t="str">
            <v>•  Cell liners/sumps and/or area berms</v>
          </cell>
          <cell r="K53" t="str">
            <v>•  Cell liners/sumps and/or area berms</v>
          </cell>
          <cell r="L53" t="str">
            <v>•  Cell liners/sumps and/or area berms</v>
          </cell>
          <cell r="M53" t="str">
            <v>•  Cell liners/sumps and/or area berms</v>
          </cell>
        </row>
        <row r="54">
          <cell r="A54" t="str">
            <v>Flood</v>
          </cell>
          <cell r="B54" t="str">
            <v>FLD</v>
          </cell>
        </row>
        <row r="55">
          <cell r="C55" t="str">
            <v>•  Siting of storage array in area away from areas of anticipated flooding</v>
          </cell>
          <cell r="D55" t="str">
            <v>•  Siting of storage array in area away from areas of anticipated flooding</v>
          </cell>
          <cell r="E55" t="str">
            <v>•  Siting of storage array in area away from areas of anticipated flooding</v>
          </cell>
          <cell r="F55" t="str">
            <v>•  Siting of storage array in area away from areas of anticipated flooding</v>
          </cell>
          <cell r="G55" t="str">
            <v>•  Siting of storage array in area away from areas of anticipated flooding</v>
          </cell>
          <cell r="H55" t="str">
            <v>•  Siting of storage array in area away from areas of anticipated flooding</v>
          </cell>
          <cell r="I55" t="str">
            <v>•  Siting of storage array in area away from areas of anticipated flooding</v>
          </cell>
          <cell r="J55" t="str">
            <v>•  Siting of storage array in area away from areas of anticipated flooding</v>
          </cell>
          <cell r="L55" t="str">
            <v>•  Siting of storage array in area away from areas of anticipated flooding</v>
          </cell>
        </row>
        <row r="56">
          <cell r="A56" t="str">
            <v>HEPA filter failure</v>
          </cell>
          <cell r="B56" t="str">
            <v>HB</v>
          </cell>
        </row>
        <row r="57">
          <cell r="C57" t="str">
            <v>•  Instrumentation and controls to switch trains on high differential pressure
•  Instrumentation and controls to provide backup ventilation blower capability</v>
          </cell>
          <cell r="G57" t="str">
            <v>•  Instrumentation and controls to switch trains on high differential pressure
•  Instrumentation and controls to provide backup ventilation blower capability</v>
          </cell>
          <cell r="J57" t="str">
            <v>•  Instrumentation and controls to switch trains on high differential pressure
•  Instrumentation and controls to provide backup ventilation blower capability</v>
          </cell>
          <cell r="L57" t="str">
            <v>•  Instrumentation and controls to switch trains on high differential pressure
•  Instrumentation and controls to provide backup ventilation blower capability</v>
          </cell>
          <cell r="M57" t="str">
            <v>•  Instrumentation and controls to switch trains on high differential pressure
•  Instrumentation and controls to provide backup ventilation blower capability</v>
          </cell>
        </row>
        <row r="58">
          <cell r="A58" t="str">
            <v>HEPA filter fire</v>
          </cell>
          <cell r="B58" t="str">
            <v>HF</v>
          </cell>
        </row>
        <row r="59">
          <cell r="F59" t="str">
            <v>•  CSPF fire suppression system</v>
          </cell>
          <cell r="L59" t="str">
            <v>•  Spark arrestors on in-cell filters</v>
          </cell>
        </row>
        <row r="60">
          <cell r="A60" t="str">
            <v>Stack failure</v>
          </cell>
          <cell r="B60" t="str">
            <v>IS</v>
          </cell>
        </row>
        <row r="61">
          <cell r="G61" t="str">
            <v>•  Stack design capable of maintaining structural integrity following design basis events</v>
          </cell>
        </row>
        <row r="62">
          <cell r="A62" t="str">
            <v>Corrosion</v>
          </cell>
          <cell r="B62" t="str">
            <v>HLW</v>
          </cell>
        </row>
        <row r="63">
          <cell r="E63" t="str">
            <v>•  MPC and canister basket assembly constructed of corrosion resistant material
•  Dual elastomer seals provided at the lid of the storage cask to prevent precipitation infiltration</v>
          </cell>
        </row>
        <row r="64">
          <cell r="A64" t="str">
            <v>Locomotive/ loaded rail car impacts storage casks</v>
          </cell>
          <cell r="B64" t="str">
            <v>HLW</v>
          </cell>
        </row>
        <row r="66">
          <cell r="A66" t="str">
            <v>Seismic event (tip over)</v>
          </cell>
          <cell r="B66" t="str">
            <v>HLW</v>
          </cell>
        </row>
        <row r="68">
          <cell r="A68" t="str">
            <v>Severe environmental conditions</v>
          </cell>
          <cell r="B68" t="str">
            <v>HLW</v>
          </cell>
        </row>
        <row r="69">
          <cell r="E69" t="str">
            <v>•  Storage system designed for a temperature range of -40 to 100 degrees Fahrenheit</v>
          </cell>
        </row>
        <row r="70">
          <cell r="A70" t="str">
            <v>Storage cask tip-over due to transportation event</v>
          </cell>
          <cell r="B70" t="str">
            <v>HLW</v>
          </cell>
        </row>
        <row r="71">
          <cell r="E71" t="str">
            <v>•  Engineering design of haul path capable of supporting multiple transports in excess of cask load</v>
          </cell>
        </row>
      </sheetData>
      <sheetData sheetId="9">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SAC for TRU waste drum fire protection
•  SAC for TRU waste container physical protection</v>
          </cell>
          <cell r="D2" t="str">
            <v>•  SAC for TRU waste drum fire protection
•  SAC for TRU waste container physical protection</v>
          </cell>
          <cell r="E2" t="str">
            <v>•  SAC for TRU waste drum fire protection
•  SAC for TRU waste container physical protection</v>
          </cell>
          <cell r="F2" t="str">
            <v>•  SAC for TRU waste drum fire protection
•  SAC for TRU waste container physical protection</v>
          </cell>
          <cell r="H2" t="str">
            <v>•  SAC for TRU waste drum fire protection
•  SAC for TRU waste container physical protection</v>
          </cell>
          <cell r="I2" t="str">
            <v>• SAC for TRU waste drum fire protection
• SAC for TRU waste container physical protection
• SAC for TRU WASTE AREAS</v>
          </cell>
          <cell r="J2" t="str">
            <v>•  SAC for TRU waste drum fire protection
•  SAC for TRU waste container physical protection</v>
          </cell>
          <cell r="K2" t="str">
            <v>• SAC for TRU waste transportation</v>
          </cell>
        </row>
        <row r="3">
          <cell r="C3" t="str">
            <v xml:space="preserve">•  Quality Assurance Program
•  Fire Protection Program
•  Performance Based Training Program
•  Maintenance Program
•  Conduct of Operations
•  Waste Management Program </v>
          </cell>
          <cell r="D3" t="str">
            <v xml:space="preserve">•  Quality Assurance Program
•  Fire Protection Program
•  Performance Based Training Program
•  Maintenance Program
•  Conduct of Operations
•  Waste Management Program </v>
          </cell>
          <cell r="E3" t="str">
            <v xml:space="preserve">•  Quality Assurance Program
•  Fire Protection Program
•  Performance Based Training Program
•  Maintenance Program
•  Conduct of Operations
•  Waste Management Program </v>
          </cell>
          <cell r="F3" t="str">
            <v xml:space="preserve">•  Quality Assurance Program
•  Fire Protection Program
•  Performance Based Training Program
•  Maintenance Program
•  Conduct of Operations
•  Waste Management Program </v>
          </cell>
          <cell r="H3" t="str">
            <v xml:space="preserve">•  Quality Assurance Program
•  Fire Protection Program
•  Performance Based Training Program
•  Maintenance Program
•  Conduct of Operations
•  Waste Management Program </v>
          </cell>
          <cell r="I3" t="str">
            <v xml:space="preserve">•  Quality Assurance Program
•  Fire Protection Program
•  Performance Based Training Program
•  Maintenance Program
•  Conduct of Operations
•  Waste Management Program </v>
          </cell>
          <cell r="J3" t="str">
            <v xml:space="preserve">•  Quality Assurance Program
•  Fire Protection Program
•  Performance Based Training Program
•  Maintenance Program
•  Conduct of Operations
•  Waste Management Program </v>
          </cell>
          <cell r="K3" t="str">
            <v xml:space="preserve">•  Quality Assurance Program
•  Fire Protection Program
•  Performance Based Training Program
•  Maintenance Program
•  Conduct of Operations
•  Waste Management Program </v>
          </cell>
        </row>
        <row r="4">
          <cell r="A4" t="str">
            <v>Small combustible material fire</v>
          </cell>
          <cell r="B4" t="str">
            <v>E02</v>
          </cell>
        </row>
        <row r="5">
          <cell r="C5" t="str">
            <v xml:space="preserve">•  Quality Assurance Program
•  Fire Protection Program
-   “Hot work” controls
-   Combustible material control program
•  Performance Based Training Program
•  Maintenance Program
•  Conduct of Operations
•  Waste Management Program </v>
          </cell>
          <cell r="D5" t="str">
            <v xml:space="preserve">•  Quality Assurance Program
•  Fire Protection Program
-   “Hot work” controls
-   Combustible material control program
•  Performance Based Training Program
•  Maintenance Program
•  Conduct of Operations
•  Waste Management Program </v>
          </cell>
          <cell r="F5" t="str">
            <v xml:space="preserve">•  Quality Assurance Program
•  Fire Protection Program
-   “Hot work” controls
-   Combustible material control program
•  Performance Based Training Program
•  Maintenance Program
•  Conduct of Operations
•  Waste Management Program </v>
          </cell>
          <cell r="G5" t="str">
            <v xml:space="preserve">•  Quality Assurance Program
•  Fire Protection Program
-   “Hot work” controls
-   Combustible material control program
•  Performance Based Training Program
•  Maintenance Program
•  Conduct of Operations
•  Waste Management Program </v>
          </cell>
          <cell r="H5" t="str">
            <v xml:space="preserve">•  Quality Assurance Program
•  Fire Protection Program
-   “Hot work” controls
-   Combustible material control program
•  Performance Based Training Program
•  Maintenance Program
•  Conduct of Operations
•  Waste Management Program </v>
          </cell>
          <cell r="I5" t="str">
            <v xml:space="preserve">•  Quality Assurance Program
•  Fire Protection Program
-   “Hot work” controls
-   Combustible material control program
•  Performance Based Training Program
•  Maintenance Program
•  Conduct of Operations
•  Waste Management Program </v>
          </cell>
          <cell r="J5" t="str">
            <v xml:space="preserve">•  Quality Assurance Program
•  Fire Protection Program
-   “Hot work” controls
-   Combustible material control program
•  Performance Based Training Program
•  Maintenance Program
•  Conduct of Operations
•  Waste Management Program </v>
          </cell>
          <cell r="K5" t="str">
            <v xml:space="preserve">•  Quality Assurance Program
•  Performance Based Training Program
•  Waste Management Program </v>
          </cell>
          <cell r="L5" t="str">
            <v xml:space="preserve">•  Quality Assurance Program
•  Fire Protection Program
-   “Hot work” controls
-   Combustible material control program
•  Performance Based Training Program
•  Maintenance Program
•  Conduct of Operations
•  Waste Management Program </v>
          </cell>
          <cell r="M5" t="str">
            <v xml:space="preserve">•  Quality Assurance Program
•  Fire Protection Program
-   “Hot work” controls
-   Combustible material control program
•  Performance Based Training Program
•  Maintenance Program
•  Conduct of Operations
•  Waste Management Program </v>
          </cell>
        </row>
        <row r="6">
          <cell r="A6" t="str">
            <v>Large fire</v>
          </cell>
          <cell r="B6" t="str">
            <v>E04</v>
          </cell>
        </row>
        <row r="7">
          <cell r="C7" t="str">
            <v xml:space="preserve">•  Quality Assurance Program
•  Fire Protection Program
-   “Hot work” controls
-   Combustible material control program
•  Performance Based Training Program
•  Maintenance Program
•  Waste Management Program </v>
          </cell>
          <cell r="F7" t="str">
            <v xml:space="preserve">•  Quality Assurance Program
•  Fire Protection Program
-   “Hot work” controls
-   Combustible material control program
•  Performance Based Training Program
•  Maintenance Program
•  Waste Management Program </v>
          </cell>
          <cell r="G7" t="str">
            <v xml:space="preserve">•  Quality Assurance Program
•  Fire Protection Program
-   “Hot work” controls
-   Combustible material control program
•  Performance Based Training Program
•  Maintenance Program
•  Waste Management Program </v>
          </cell>
          <cell r="J7" t="str">
            <v xml:space="preserve">•  Quality Assurance Program
•  Fire Protection Program
-   “Hot work” controls
-   Combustible material control program
•  Performance Based Training Program
•  Maintenance Program
•  Waste Management Program </v>
          </cell>
          <cell r="L7" t="str">
            <v xml:space="preserve">•  Quality Assurance Program
•  Fire Protection Program
-   “Hot work” controls
-   Combustible material control program
•  Performance Based Training Program
•  Maintenance Program
•  Waste Management Program </v>
          </cell>
        </row>
        <row r="8">
          <cell r="A8" t="str">
            <v>Localized explosion external to container</v>
          </cell>
          <cell r="B8" t="str">
            <v>E05</v>
          </cell>
        </row>
        <row r="9">
          <cell r="C9" t="str">
            <v xml:space="preserve">•  Quality Assurance Program
•  Fire Protection Program
•  Performance Based Training Program
•  Maintenance Program
•  Waste Management Program </v>
          </cell>
          <cell r="D9" t="str">
            <v xml:space="preserve">•  Quality Assurance Program
•  Fire Protection Program
•  Performance Based Training Program
•  Maintenance Program
•  Waste Management Program </v>
          </cell>
          <cell r="E9" t="str">
            <v xml:space="preserve">•  Quality Assurance Program
•  Fire Protection Program
•  Performance Based Training Program
•  Maintenance Program
•  Waste Management Program </v>
          </cell>
          <cell r="F9" t="str">
            <v xml:space="preserve">•  Quality Assurance Program
•  Fire Protection Program
•  Performance Based Training Program
•  Maintenance Program
•  Waste Management Program </v>
          </cell>
          <cell r="H9" t="str">
            <v xml:space="preserve">•  Quality Assurance Program
•  Fire Protection Program
•  Performance Based Training Program
•  Maintenance Program
•  Waste Management Program </v>
          </cell>
          <cell r="I9" t="str">
            <v xml:space="preserve">•  Quality Assurance Program
•  Fire Protection Program
•  Performance Based Training Program
•  Maintenance Program
•  Waste Management Program </v>
          </cell>
          <cell r="J9" t="str">
            <v xml:space="preserve">•  Quality Assurance Program
•  Fire Protection Program
•  Performance Based Training Program
•  Maintenance Program
•  Waste Management Program </v>
          </cell>
          <cell r="K9" t="str">
            <v xml:space="preserve">•  Quality Assurance Program
•  Fire Protection Program
•  Performance Based Training Program
•  Maintenance Program
•  Waste Management Program </v>
          </cell>
        </row>
        <row r="10">
          <cell r="A10" t="str">
            <v>Waste container deflagration</v>
          </cell>
          <cell r="B10" t="str">
            <v>E06</v>
          </cell>
        </row>
        <row r="11">
          <cell r="C11" t="str">
            <v xml:space="preserve">•  Quality Assurance Program
•  Fire Protection Program
•  Performance Based Training Program
•  Maintenance Program
•  Waste Management Program </v>
          </cell>
          <cell r="D11" t="str">
            <v xml:space="preserve">•  Quality Assurance Program
•  Fire Protection Program
•  Performance Based Training Program
•  Maintenance Program
•  Waste Management Program </v>
          </cell>
          <cell r="F11" t="str">
            <v xml:space="preserve">•  Quality Assurance Program
•  Fire Protection Program
•  Performance Based Training Program
•  Maintenance Program
•  Waste Management Program </v>
          </cell>
          <cell r="G11" t="str">
            <v xml:space="preserve">•  Quality Assurance Program
•  Fire Protection Program
•  Performance Based Training Program
•  Maintenance Program
•  Waste Management Program </v>
          </cell>
          <cell r="H11" t="str">
            <v xml:space="preserve">•  Quality Assurance Program
•  Fire Protection Program
•  Performance Based Training Program
•  Maintenance Program
•  Waste Management Program </v>
          </cell>
          <cell r="I11" t="str">
            <v xml:space="preserve">•  Quality Assurance Program
•  Fire Protection Program
•  Performance Based Training Program
•  Maintenance Program
•  Waste Management Program </v>
          </cell>
          <cell r="J11" t="str">
            <v xml:space="preserve">•  Quality Assurance Program
•  Fire Protection Program
•  Performance Based Training Program
•  Maintenance Program
•  Waste Management Program </v>
          </cell>
          <cell r="L11" t="str">
            <v xml:space="preserve">•  Quality Assurance Program
•  Fire Protection Program
•  Performance Based Training Program
•  Maintenance Program
•  Waste Management Program </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C16" t="str">
            <v>• SAC for TRU waste container physical protection
• SAC for TRU waste transportation</v>
          </cell>
          <cell r="D16" t="str">
            <v>• SAC for TRU waste container physical protection
• SAC for TRU waste transportation</v>
          </cell>
          <cell r="E16" t="str">
            <v>• SAC for TRU waste container physical protection
• SAC for TRU waste transportation</v>
          </cell>
          <cell r="F16" t="str">
            <v>• SAC for TRU waste container physical protection
• SAC for TRU waste transportation</v>
          </cell>
          <cell r="I16" t="str">
            <v>• SAC for TRU waste container physical protection
• SAC for TRU WASTE AREAS</v>
          </cell>
          <cell r="K16" t="str">
            <v>• SAC for TRU waste transportation</v>
          </cell>
        </row>
        <row r="17">
          <cell r="C17" t="str">
            <v xml:space="preserve">•  Quality Assurance Program
•  Performance Based Training Program
•  Maintenance Program
•  Conduct of Operations
•  Waste Management Program </v>
          </cell>
          <cell r="D17" t="str">
            <v xml:space="preserve">•  Quality Assurance Program
•  Performance Based Training Program
•  Maintenance Program
•  Conduct of Operations
•  Waste Management Program </v>
          </cell>
          <cell r="E17" t="str">
            <v xml:space="preserve">•  Quality Assurance Program
•  Performance Based Training Program
•  Maintenance Program
•  Conduct of Operations
•  Waste Management Program </v>
          </cell>
          <cell r="F17" t="str">
            <v xml:space="preserve">•  Quality Assurance Program
•  Performance Based Training Program
•  Maintenance Program
•  Conduct of Operations
•  Waste Management Program </v>
          </cell>
          <cell r="H17" t="str">
            <v xml:space="preserve">•  Quality Assurance Program
•  Performance Based Training Program
•  Maintenance Program
•  Conduct of Operations
•  Waste Management Program </v>
          </cell>
          <cell r="I17" t="str">
            <v xml:space="preserve">•  Quality Assurance Program
•  Performance Based Training Program
•  Maintenance Program
•  Conduct of Operations
•  Waste Management Program </v>
          </cell>
          <cell r="J17" t="str">
            <v xml:space="preserve">•  Quality Assurance Program
•  Performance Based Training Program
•  Maintenance Program
•  Conduct of Operations
•  Waste Management Program </v>
          </cell>
          <cell r="K17" t="str">
            <v xml:space="preserve">•  Quality Assurance Program
•  Performance Based Training Program
•  Maintenance Program
•  Conduct of Operations
•  Waste Management Program </v>
          </cell>
        </row>
        <row r="18">
          <cell r="A18" t="str">
            <v>Drop/impact/spill</v>
          </cell>
          <cell r="B18" t="str">
            <v>E10</v>
          </cell>
        </row>
        <row r="19">
          <cell r="C19" t="str">
            <v xml:space="preserve">•  Quality Assurance Program
•  Performance Based Training Program
•  Maintenance Program
•  Conduct of Operations
•  Waste Management Program </v>
          </cell>
          <cell r="D19" t="str">
            <v xml:space="preserve">•  Quality Assurance Program
•  Performance Based Training Program
•  Maintenance Program
•  Conduct of Operations
•  Waste Management Program </v>
          </cell>
          <cell r="E19" t="str">
            <v xml:space="preserve">•  Quality Assurance Program
•  Performance Based Training Program
•  Maintenance Program
•  Conduct of Operations
•  Waste Management Program </v>
          </cell>
          <cell r="F19" t="str">
            <v xml:space="preserve">•  Quality Assurance Program
•  Performance Based Training Program
•  Maintenance Program
•  Conduct of Operations
•  Waste Management Program </v>
          </cell>
          <cell r="G19" t="str">
            <v xml:space="preserve">•  Quality Assurance Program
•  Performance Based Training Program
•  Maintenance Program
•  Conduct of Operations
•  Waste Management Program </v>
          </cell>
          <cell r="H19" t="str">
            <v xml:space="preserve">•  Quality Assurance Program
•  Performance Based Training Program
•  Maintenance Program
•  Conduct of Operations
•  Waste Management Program </v>
          </cell>
          <cell r="I19" t="str">
            <v xml:space="preserve">•  Quality Assurance Program
•  Performance Based Training Program
•  Maintenance Program
•  Conduct of Operations
•  Waste Management Program </v>
          </cell>
          <cell r="J19" t="str">
            <v xml:space="preserve">•  Quality Assurance Program
•  Performance Based Training Program
•  Maintenance Program
•  Conduct of Operations
•  Waste Management Program </v>
          </cell>
          <cell r="K19" t="str">
            <v xml:space="preserve">•  Quality Assurance Program
•  Performance Based Training Program
•  Maintenance Program
•  Conduct of Operations
•  Waste Management Program </v>
          </cell>
          <cell r="L19" t="str">
            <v xml:space="preserve">•  Quality Assurance Program
•  Performance Based Training Program
•  Maintenance Program
•  Conduct of Operations
•  Waste Management Program </v>
          </cell>
          <cell r="M19" t="str">
            <v xml:space="preserve">•  Quality Assurance Program
•  Performance Based Training Program
•  Maintenance Program
•  Conduct of Operations
•  Waste Management Program </v>
          </cell>
        </row>
        <row r="20">
          <cell r="A20" t="str">
            <v>Collapse of stacked containers</v>
          </cell>
          <cell r="B20" t="str">
            <v>E11</v>
          </cell>
        </row>
        <row r="21">
          <cell r="C21" t="str">
            <v xml:space="preserve">•  Quality Assurance Program
•  Performance Based Training Program
•  Maintenance Program
•  Waste Management Program </v>
          </cell>
          <cell r="D21" t="str">
            <v xml:space="preserve">•  Quality Assurance Program
•  Performance Based Training Program
•  Maintenance Program
•  Waste Management Program </v>
          </cell>
          <cell r="F21" t="str">
            <v xml:space="preserve">•  Quality Assurance Program
•  Performance Based Training Program
•  Maintenance Program
•  Waste Management Program </v>
          </cell>
          <cell r="I21" t="str">
            <v xml:space="preserve">•  Quality Assurance Program
•  Performance Based Training Program
•  Maintenance Program
•  Waste Management Program </v>
          </cell>
        </row>
        <row r="22">
          <cell r="A22" t="str">
            <v>Waste container over-pressurization</v>
          </cell>
          <cell r="B22" t="str">
            <v>E12</v>
          </cell>
        </row>
        <row r="23">
          <cell r="C23" t="str">
            <v xml:space="preserve">•  Quality Assurance Program
•  Performance Based Training Program
•  Waste Management Program </v>
          </cell>
          <cell r="D23" t="str">
            <v xml:space="preserve">•  Quality Assurance Program
•  Performance Based Training Program
•  Waste Management Program </v>
          </cell>
          <cell r="F23" t="str">
            <v xml:space="preserve">•  Quality Assurance Program
•  Performance Based Training Program
•  Waste Management Program </v>
          </cell>
          <cell r="G23" t="str">
            <v xml:space="preserve">•  Quality Assurance Program
•  Performance Based Training Program
•  Waste Management Program </v>
          </cell>
          <cell r="H23" t="str">
            <v xml:space="preserve">•  Quality Assurance Program
•  Performance Based Training Program
•  Waste Management Program </v>
          </cell>
          <cell r="I23" t="str">
            <v xml:space="preserve">•  Quality Assurance Program
•  Performance Based Training Program
•  Waste Management Program </v>
          </cell>
          <cell r="J23" t="str">
            <v xml:space="preserve">•  Quality Assurance Program
•  Performance Based Training Program
•  Waste Management Program </v>
          </cell>
          <cell r="L23" t="str">
            <v xml:space="preserve">•  Quality Assurance Program
•  Performance Based Training Program
•  Waste Management Program </v>
          </cell>
        </row>
        <row r="24">
          <cell r="A24" t="str">
            <v>Direct exposure to radiation</v>
          </cell>
          <cell r="B24" t="str">
            <v>E13</v>
          </cell>
        </row>
        <row r="25">
          <cell r="C25" t="str">
            <v xml:space="preserve">•  Radiological Protection Program
•  Quality Assurance Program
•  Performance Based Training Program
•  Conduct of Operations
•  Waste Management Program </v>
          </cell>
          <cell r="D25" t="str">
            <v xml:space="preserve">•  Radiological Protection Program
•  Quality Assurance Program
•  Performance Based Training Program
•  Conduct of Operations
•  Waste Management Program </v>
          </cell>
          <cell r="E25" t="str">
            <v xml:space="preserve">•  Radiological Protection Program
•  Quality Assurance Program
•  Performance Based Training Program
•  Conduct of Operations
•  Waste Management Program </v>
          </cell>
          <cell r="F25" t="str">
            <v xml:space="preserve">•  Radiological Protection Program
•  Quality Assurance Program
•  Performance Based Training Program
•  Conduct of Operations
•  Waste Management Program </v>
          </cell>
          <cell r="G25" t="str">
            <v xml:space="preserve">•  Radiological Protection Program
•  Quality Assurance Program
•  Performance Based Training Program
•  Conduct of Operations
•  Waste Management Program </v>
          </cell>
          <cell r="H25" t="str">
            <v xml:space="preserve">•  Radiological Protection Program
•  Quality Assurance Program
•  Performance Based Training Program
•  Conduct of Operations
•  Waste Management Program </v>
          </cell>
          <cell r="I25" t="str">
            <v xml:space="preserve">•  Radiological Protection Program
•  Quality Assurance Program
•  Performance Based Training Program
•  Conduct of Operations
•  Waste Management Program </v>
          </cell>
          <cell r="J25" t="str">
            <v xml:space="preserve">•  Radiological Protection Program
•  Quality Assurance Program
•  Performance Based Training Program
•  Conduct of Operations
•  Waste Management Program </v>
          </cell>
          <cell r="K25" t="str">
            <v xml:space="preserve">•  Radiological Protection Program
•  Quality Assurance Program
•  Performance Based Training Program
•  Conduct of Operations
•  Waste Management Program </v>
          </cell>
          <cell r="L25" t="str">
            <v xml:space="preserve">•  Radiological Protection Program
•  Quality Assurance Program
•  Performance Based Training Program
•  Conduct of Operations
•  Waste Management Program </v>
          </cell>
          <cell r="M25" t="str">
            <v xml:space="preserve">•  Radiological Protection Program
•  Quality Assurance Program
•  Performance Based Training Program
•  Conduct of Operations
•  Waste Management Program </v>
          </cell>
        </row>
        <row r="26">
          <cell r="A26" t="str">
            <v>Criticality</v>
          </cell>
          <cell r="B26" t="str">
            <v>E14</v>
          </cell>
          <cell r="C26" t="str">
            <v>• PSR limits on container fissile mass
• PSR for fissile material storage containers</v>
          </cell>
          <cell r="D26" t="str">
            <v>• PSR limits on container fissile mass
• PSR for fissile material storage containers</v>
          </cell>
          <cell r="E26" t="str">
            <v>• PSR limits on container fissile mass
• PSR for fissile material storage containers</v>
          </cell>
          <cell r="F26" t="str">
            <v>• PSR limits on container fissile mass
• PSR for fissile material storage containers</v>
          </cell>
          <cell r="G26" t="str">
            <v>• PSR limits on container fissile mass
• PSR for fissile material storage containers</v>
          </cell>
          <cell r="H26" t="str">
            <v>• PSR limits on container fissile mass
• PSR for fissile material storage containers</v>
          </cell>
          <cell r="I26" t="str">
            <v>• PSR limits on container fissile mass
• PSR for fissile material storage containers</v>
          </cell>
          <cell r="J26" t="str">
            <v>• PSR limits on container fissile mass
• PSR for fissile material storage containers</v>
          </cell>
          <cell r="K26" t="str">
            <v>• PSR limits on container fissile mass
• PSR for fissile material storage containers</v>
          </cell>
          <cell r="L26" t="str">
            <v>• PSR limits on container fissile mass
• PSR for fissile material storage containers</v>
          </cell>
          <cell r="M26" t="str">
            <v>• PSR limits on container fissile mass
• PSR for fissile material storage containers</v>
          </cell>
        </row>
        <row r="27">
          <cell r="C27" t="str">
            <v xml:space="preserve">•  Radiological Protection Program
•  Nuclear Criticality Safety Program
•  Quality Assurance Program
•  Performance Based Training Program
•  Conduct of Operations
•  Waste Management Program </v>
          </cell>
          <cell r="D27" t="str">
            <v xml:space="preserve">•  Radiological Protection Program
•  Nuclear Criticality Safety Program
•  Quality Assurance Program
•  Performance Based Training Program
•  Conduct of Operations
•  Waste Management Program </v>
          </cell>
          <cell r="E27" t="str">
            <v xml:space="preserve">•  Radiological Protection Program
•  Nuclear Criticality Safety Program
•  Quality Assurance Program
•  Performance Based Training Program
•  Conduct of Operations
•  Waste Management Program </v>
          </cell>
          <cell r="F27" t="str">
            <v xml:space="preserve">•  Radiological Protection Program
•  Nuclear Criticality Safety Program
•  Quality Assurance Program
•  Performance Based Training Program
•  Conduct of Operations
•  Waste Management Program </v>
          </cell>
          <cell r="G27" t="str">
            <v xml:space="preserve">•  Radiological Protection Program
•  Nuclear Criticality Safety Program
•  Quality Assurance Program
•  Performance Based Training Program
•  Conduct of Operations
•  Waste Management Program </v>
          </cell>
          <cell r="H27" t="str">
            <v xml:space="preserve">•  Radiological Protection Program
•  Nuclear Criticality Safety Program
•  Quality Assurance Program
•  Performance Based Training Program
•  Conduct of Operations
•  Waste Management Program </v>
          </cell>
          <cell r="I27" t="str">
            <v xml:space="preserve">•  Radiological Protection Program
•  Nuclear Criticality Safety Program
•  Quality Assurance Program
•  Performance Based Training Program
•  Conduct of Operations
•  Waste Management Program </v>
          </cell>
          <cell r="J27" t="str">
            <v xml:space="preserve">•  Radiological Protection Program
•  Nuclear Criticality Safety Program
•  Quality Assurance Program
•  Performance Based Training Program
•  Conduct of Operations
•  Waste Management Program </v>
          </cell>
          <cell r="K27" t="str">
            <v xml:space="preserve">•  Radiological Protection Program
•  Nuclear Criticality Safety Program
•  Quality Assurance Program
•  Performance Based Training Program
•  Conduct of Operations
•  Waste Management Program </v>
          </cell>
          <cell r="L27" t="str">
            <v xml:space="preserve">•  Radiological Protection Program
•  Nuclear Criticality Safety Program
•  Quality Assurance Program
•  Performance Based Training Program
•  Conduct of Operations
•  Waste Management Program </v>
          </cell>
          <cell r="M27" t="str">
            <v xml:space="preserve">•  Radiological Protection Program
•  Nuclear Criticality Safety Program
•  Quality Assurance Program
•  Performance Based Training Program
•  Conduct of Operations
•  Waste Management Program </v>
          </cell>
        </row>
        <row r="28">
          <cell r="A28" t="str">
            <v>Aircraft impact with fire</v>
          </cell>
          <cell r="B28" t="str">
            <v>E15</v>
          </cell>
        </row>
        <row r="30">
          <cell r="A30" t="str">
            <v>External vehicle accident</v>
          </cell>
          <cell r="B30" t="str">
            <v>E16</v>
          </cell>
          <cell r="C30" t="str">
            <v>• SAC for TRU waste drum fire protection
• SAC for TRU waste container physical protection</v>
          </cell>
          <cell r="E30" t="str">
            <v>• SAC for TRU waste drum fire protection
• SAC for TRU waste container physical protection</v>
          </cell>
          <cell r="I30" t="str">
            <v>• SAC for TRU waste drum fire protection
• SAC for TRU waste container physical protection</v>
          </cell>
        </row>
        <row r="31">
          <cell r="C31" t="str">
            <v xml:space="preserve">•  Quality Assurance Program
•  Performance Based Training Program
•  Waste Management Program </v>
          </cell>
          <cell r="E31" t="str">
            <v xml:space="preserve">•  Quality Assurance Program
•  Performance Based Training Program
•  Waste Management Program </v>
          </cell>
          <cell r="I31" t="str">
            <v xml:space="preserve">•  Quality Assurance Program
•  Performance Based Training Program
•  Waste Management Program </v>
          </cell>
        </row>
        <row r="32">
          <cell r="A32" t="str">
            <v>External vehicle accident with fire</v>
          </cell>
          <cell r="B32" t="str">
            <v>E17</v>
          </cell>
          <cell r="C32" t="str">
            <v>• SAC for TRU waste drum fire protection
• SAC for TRU waste container physical protection</v>
          </cell>
          <cell r="E32" t="str">
            <v>• SAC for TRU waste drum fire protection
• SAC for TRU waste container physical protection</v>
          </cell>
          <cell r="I32" t="str">
            <v>• SAC for TRU waste drum fire protection
• SAC for TRU waste container physical protection</v>
          </cell>
        </row>
        <row r="33">
          <cell r="C33" t="str">
            <v xml:space="preserve">•  Quality Assurance Program
•  Performance Based Training Program
•  Waste Management Program </v>
          </cell>
          <cell r="E33" t="str">
            <v xml:space="preserve">•  Quality Assurance Program
•  Performance Based Training Program
•  Waste Management Program </v>
          </cell>
          <cell r="I33" t="str">
            <v xml:space="preserve">•  Quality Assurance Program
•  Performance Based Training Program
•  Waste Management Program </v>
          </cell>
        </row>
        <row r="34">
          <cell r="A34" t="str">
            <v>External explosion</v>
          </cell>
          <cell r="B34" t="str">
            <v>E18</v>
          </cell>
          <cell r="C34" t="str">
            <v>• SAC for TRU waste container physical protection</v>
          </cell>
          <cell r="E34" t="str">
            <v>• SAC for TRU waste container physical protection</v>
          </cell>
          <cell r="F34" t="str">
            <v>• SAC for TRU waste container physical protection</v>
          </cell>
          <cell r="I34" t="str">
            <v>• SAC for TRU waste container physical protection</v>
          </cell>
          <cell r="J34" t="str">
            <v>• SAC for TRU waste container physical protection</v>
          </cell>
        </row>
        <row r="35">
          <cell r="C35" t="str">
            <v>•  Quality Assurance Program
•  Performance Based Training Program
•  Maintenance Program</v>
          </cell>
          <cell r="E35" t="str">
            <v>•  Quality Assurance Program
•  Performance Based Training Program
•  Maintenance Program</v>
          </cell>
          <cell r="F35" t="str">
            <v>•  Quality Assurance Program
•  Performance Based Training Program
•  Maintenance Program</v>
          </cell>
          <cell r="G35" t="str">
            <v>•  Quality Assurance Program
•  Performance Based Training Program
•  Maintenance Program</v>
          </cell>
          <cell r="I35" t="str">
            <v>•  Quality Assurance Program
•  Performance Based Training Program
•  Maintenance Program</v>
          </cell>
          <cell r="J35" t="str">
            <v>•  Quality Assurance Program
•  Performance Based Training Program
•  Maintenance Program</v>
          </cell>
        </row>
        <row r="36">
          <cell r="A36" t="str">
            <v>External fire</v>
          </cell>
          <cell r="B36" t="str">
            <v>E19</v>
          </cell>
          <cell r="C36" t="str">
            <v>• SAC for TRU waste container physical protection</v>
          </cell>
          <cell r="D36" t="str">
            <v>• SAC for TRU waste container physical protection</v>
          </cell>
          <cell r="E36" t="str">
            <v>• SAC for TRU waste container physical protection</v>
          </cell>
          <cell r="F36" t="str">
            <v>• SAC for TRU waste container physical protection</v>
          </cell>
          <cell r="I36" t="str">
            <v>• SAC for TRU waste container physical protection</v>
          </cell>
          <cell r="J36" t="str">
            <v>• SAC for TRU waste container physical protection</v>
          </cell>
        </row>
        <row r="37">
          <cell r="C37" t="str">
            <v>•  Fire Protection Program
•  Maintenance Program</v>
          </cell>
          <cell r="D37" t="str">
            <v>•  Fire Protection Program
•  Maintenance Program</v>
          </cell>
          <cell r="E37" t="str">
            <v>•  Fire Protection Program
•  Maintenance Program</v>
          </cell>
          <cell r="F37" t="str">
            <v>•  Fire Protection Program
•  Maintenance Program</v>
          </cell>
          <cell r="I37" t="str">
            <v>•  Fire Protection Program
•  Maintenance Program</v>
          </cell>
          <cell r="J37" t="str">
            <v>•  Fire Protection Program
•  Maintenance Program</v>
          </cell>
        </row>
        <row r="38">
          <cell r="A38" t="str">
            <v>Lightning</v>
          </cell>
          <cell r="B38" t="str">
            <v>E20</v>
          </cell>
        </row>
        <row r="39">
          <cell r="C39" t="str">
            <v xml:space="preserve">•  Quality Assurance Program
•  Waste Management Program </v>
          </cell>
          <cell r="E39" t="str">
            <v xml:space="preserve">•  Quality Assurance Program
•  Waste Management Program </v>
          </cell>
          <cell r="I39" t="str">
            <v xml:space="preserve">•  Quality Assurance Program
•  Waste Management Program </v>
          </cell>
        </row>
        <row r="40">
          <cell r="A40" t="str">
            <v>High wind</v>
          </cell>
          <cell r="B40" t="str">
            <v>E21</v>
          </cell>
        </row>
        <row r="41">
          <cell r="C41" t="str">
            <v xml:space="preserve">•  Quality Assurance Program
•  Performance Based Training Program
•  Waste Management Program </v>
          </cell>
          <cell r="E41" t="str">
            <v xml:space="preserve">•  Quality Assurance Program
•  Performance Based Training Program
•  Waste Management Program </v>
          </cell>
          <cell r="I41" t="str">
            <v xml:space="preserve">•  Quality Assurance Program
•  Performance Based Training Program
•  Waste Management Program </v>
          </cell>
        </row>
        <row r="42">
          <cell r="A42" t="str">
            <v>Tornado</v>
          </cell>
          <cell r="B42" t="str">
            <v>E22</v>
          </cell>
        </row>
        <row r="43">
          <cell r="M43">
            <v>0</v>
          </cell>
        </row>
        <row r="44">
          <cell r="A44" t="str">
            <v>Snow and/or ice buildup</v>
          </cell>
          <cell r="B44" t="str">
            <v>E23</v>
          </cell>
        </row>
        <row r="45">
          <cell r="C45" t="str">
            <v xml:space="preserve">•  Quality Assurance Program
•  Performance Based Training Program
•  Waste Management Program </v>
          </cell>
          <cell r="I45" t="str">
            <v xml:space="preserve">•  Quality Assurance Program
•  Performance Based Training Program
•  Waste Management Program </v>
          </cell>
        </row>
        <row r="46">
          <cell r="A46" t="str">
            <v>Seismic event</v>
          </cell>
          <cell r="B46" t="str">
            <v>E24</v>
          </cell>
        </row>
        <row r="47">
          <cell r="M47">
            <v>0</v>
          </cell>
        </row>
        <row r="48">
          <cell r="A48" t="str">
            <v>Loss of airborne contamination confinement</v>
          </cell>
          <cell r="B48" t="str">
            <v>AER</v>
          </cell>
        </row>
        <row r="49">
          <cell r="C49" t="str">
            <v>•  Quality Assurance Program
•  Fire Protection Program
•  Performance Based Training Program
•  Maintenance Program
•  Conduct of Operations</v>
          </cell>
          <cell r="E49" t="str">
            <v>•  Quality Assurance Program
•  Fire Protection Program
•  Performance Based Training Program
•  Maintenance Program
•  Conduct of Operations</v>
          </cell>
          <cell r="F49" t="str">
            <v>•  Quality Assurance Program
•  Fire Protection Program
•  Performance Based Training Program
•  Maintenance Program
•  Conduct of Operations</v>
          </cell>
          <cell r="G49" t="str">
            <v>•  Quality Assurance Program
•  Fire Protection Program
•  Performance Based Training Program
•  Maintenance Program
•  Conduct of Operations</v>
          </cell>
          <cell r="H49" t="str">
            <v>•  Quality Assurance Program
•  Fire Protection Program
•  Performance Based Training Program
•  Maintenance Program
•  Conduct of Operations</v>
          </cell>
          <cell r="J49" t="str">
            <v>•  Quality Assurance Program
•  Fire Protection Program
•  Performance Based Training Program
•  Maintenance Program
•  Conduct of Operations</v>
          </cell>
          <cell r="L49" t="str">
            <v>•  Quality Assurance Program
•  Fire Protection Program
•  Performance Based Training Program
•  Maintenance Program
•  Conduct of Operations</v>
          </cell>
          <cell r="M49" t="str">
            <v>•  Quality Assurance Program
•  Fire Protection Program
•  Performance Based Training Program
•  Maintenance Program
•  Conduct of Operations</v>
          </cell>
        </row>
        <row r="50">
          <cell r="A50" t="str">
            <v>Localized explosion within facility</v>
          </cell>
          <cell r="B50" t="str">
            <v>ES</v>
          </cell>
        </row>
        <row r="51">
          <cell r="C51" t="str">
            <v>•  Quality Assurance Program
•  Fire Protection Program
•  Performance Based Training Program
•  Maintenance Program
•  Conduct of Operations</v>
          </cell>
          <cell r="G51" t="str">
            <v>•  Quality Assurance Program
•  Fire Protection Program
•  Performance Based Training Program
•  Maintenance Program
•  Conduct of Operations</v>
          </cell>
          <cell r="J51" t="str">
            <v>•  Quality Assurance Program
•  Fire Protection Program
•  Performance Based Training Program
•  Maintenance Program
•  Conduct of Operations</v>
          </cell>
          <cell r="L51" t="str">
            <v>•  Quality Assurance Program
•  Fire Protection Program
•  Performance Based Training Program
•  Maintenance Program
•  Conduct of Operations</v>
          </cell>
        </row>
        <row r="52">
          <cell r="A52" t="str">
            <v>Loss of liquid contamination confinement</v>
          </cell>
          <cell r="B52" t="str">
            <v>FFS</v>
          </cell>
        </row>
        <row r="53">
          <cell r="C53" t="str">
            <v xml:space="preserve">•  Quality Assurance Program
•  Performance Based Training Program
•  Maintenance Program
•  Conduct of Operations
•  Waste Management Program </v>
          </cell>
          <cell r="D53" t="str">
            <v xml:space="preserve">•  Quality Assurance Program
•  Performance Based Training Program
•  Maintenance Program
•  Conduct of Operations
•  Waste Management Program </v>
          </cell>
          <cell r="F53" t="str">
            <v xml:space="preserve">•  Quality Assurance Program
•  Performance Based Training Program
•  Maintenance Program
•  Conduct of Operations
•  Waste Management Program </v>
          </cell>
          <cell r="G53" t="str">
            <v xml:space="preserve">•  Quality Assurance Program
•  Performance Based Training Program
•  Maintenance Program
•  Conduct of Operations
•  Waste Management Program </v>
          </cell>
          <cell r="H53" t="str">
            <v xml:space="preserve">•  Quality Assurance Program
•  Performance Based Training Program
•  Maintenance Program
•  Conduct of Operations
•  Waste Management Program </v>
          </cell>
          <cell r="I53" t="str">
            <v xml:space="preserve">•  Quality Assurance Program
•  Performance Based Training Program
•  Maintenance Program
•  Conduct of Operations
•  Waste Management Program </v>
          </cell>
          <cell r="J53" t="str">
            <v xml:space="preserve">•  Quality Assurance Program
•  Performance Based Training Program
•  Maintenance Program
•  Conduct of Operations
•  Waste Management Program </v>
          </cell>
          <cell r="K53" t="str">
            <v xml:space="preserve">•  Quality Assurance Program
•  Performance Based Training Program
•  Maintenance Program
•  Conduct of Operations
•  Waste Management Program </v>
          </cell>
          <cell r="L53" t="str">
            <v xml:space="preserve">•  Quality Assurance Program
•  Performance Based Training Program
•  Maintenance Program
•  Conduct of Operations
•  Waste Management Program </v>
          </cell>
          <cell r="M53" t="str">
            <v xml:space="preserve">•  Quality Assurance Program
•  Performance Based Training Program
•  Maintenance Program
•  Conduct of Operations
•  Waste Management Program </v>
          </cell>
        </row>
        <row r="54">
          <cell r="A54" t="str">
            <v>Flood</v>
          </cell>
          <cell r="B54" t="str">
            <v>FLD</v>
          </cell>
        </row>
        <row r="56">
          <cell r="A56" t="str">
            <v>HEPA filter failure</v>
          </cell>
          <cell r="B56" t="str">
            <v>HB</v>
          </cell>
        </row>
        <row r="57">
          <cell r="C57" t="str">
            <v>•  Quality Assurance Program
•  Fire Protection Program
•  Performance Based Training Program
•  Maintenance Program
•  Conduct of Operations</v>
          </cell>
          <cell r="F57" t="str">
            <v>•  Quality Assurance Program
•  Fire Protection Program
•  Performance Based Training Program
•  Maintenance Program
•  Conduct of Operations</v>
          </cell>
          <cell r="G57" t="str">
            <v>•  Quality Assurance Program
•  Fire Protection Program
•  Performance Based Training Program
•  Maintenance Program
•  Conduct of Operations</v>
          </cell>
          <cell r="H57" t="str">
            <v>•  Quality Assurance Program
•  Fire Protection Program
•  Performance Based Training Program
•  Maintenance Program
•  Conduct of Operations</v>
          </cell>
          <cell r="J57" t="str">
            <v>•  Quality Assurance Program
•  Fire Protection Program
•  Performance Based Training Program
•  Maintenance Program
•  Conduct of Operations</v>
          </cell>
          <cell r="L57" t="str">
            <v>•  Quality Assurance Program
•  Fire Protection Program
•  Performance Based Training Program
•  Maintenance Program
•  Conduct of Operations</v>
          </cell>
          <cell r="M57" t="str">
            <v>•  Quality Assurance Program
•  Fire Protection Program
•  Performance Based Training Program
•  Maintenance Program
•  Conduct of Operations</v>
          </cell>
        </row>
        <row r="58">
          <cell r="A58" t="str">
            <v>HEPA filter fire</v>
          </cell>
          <cell r="B58" t="str">
            <v>HF</v>
          </cell>
        </row>
        <row r="59">
          <cell r="C59" t="str">
            <v>•  Quality Assurance Program
•  Fire Protection Program
•  Performance Based Training Program
•  Maintenance Program
•  Conduct of Operations</v>
          </cell>
          <cell r="F59" t="str">
            <v>•  Quality Assurance Program
•  Fire Protection Program
•  Performance Based Training Program
•  Maintenance Program
•  Conduct of Operations</v>
          </cell>
          <cell r="G59" t="str">
            <v>•  Quality Assurance Program
•  Fire Protection Program
•  Performance Based Training Program
•  Maintenance Program
•  Conduct of Operations</v>
          </cell>
          <cell r="H59" t="str">
            <v>•  Quality Assurance Program
•  Fire Protection Program
•  Performance Based Training Program
•  Maintenance Program
•  Conduct of Operations</v>
          </cell>
          <cell r="J59" t="str">
            <v>•  Quality Assurance Program
•  Fire Protection Program
•  Performance Based Training Program
•  Maintenance Program
•  Conduct of Operations</v>
          </cell>
          <cell r="L59" t="str">
            <v>•  Quality Assurance Program
•  Fire Protection Program
•  Performance Based Training Program
•  Maintenance Program
•  Conduct of Operations</v>
          </cell>
          <cell r="M59" t="str">
            <v>•  Quality Assurance Program
•  Fire Protection Program
•  Performance Based Training Program
•  Maintenance Program
•  Conduct of Operations</v>
          </cell>
        </row>
        <row r="60">
          <cell r="A60" t="str">
            <v>Stack failure</v>
          </cell>
          <cell r="B60" t="str">
            <v>IS</v>
          </cell>
        </row>
        <row r="62">
          <cell r="A62" t="str">
            <v>Corrosion</v>
          </cell>
          <cell r="B62" t="str">
            <v>HLW</v>
          </cell>
        </row>
        <row r="63">
          <cell r="C63" t="str">
            <v xml:space="preserve">•  Quality Assurance Program
•  Performance Based Training Program
•  Maintenance Program
•  Conduct of Operations
•  Waste Management Program </v>
          </cell>
          <cell r="E63" t="str">
            <v xml:space="preserve">•  Quality Assurance Program
•  Performance Based Training Program
•  Maintenance Program
•  Conduct of Operations
•  Waste Management Program </v>
          </cell>
        </row>
        <row r="64">
          <cell r="A64" t="str">
            <v>Locomotive/ loaded rail car impacts storage casks</v>
          </cell>
          <cell r="B64" t="str">
            <v>HLW</v>
          </cell>
        </row>
        <row r="65">
          <cell r="C65" t="str">
            <v>•  Quality Assurance Program
•  Performance Based Training Program
•  Maintenance Program</v>
          </cell>
          <cell r="E65" t="str">
            <v>•  Quality Assurance Program
•  Performance Based Training Program
•  Maintenance Program</v>
          </cell>
        </row>
        <row r="66">
          <cell r="A66" t="str">
            <v>Seismic event (tip over)</v>
          </cell>
          <cell r="B66" t="str">
            <v>HLW</v>
          </cell>
        </row>
        <row r="68">
          <cell r="A68" t="str">
            <v>Severe environmental conditions</v>
          </cell>
          <cell r="B68" t="str">
            <v>HLW</v>
          </cell>
        </row>
        <row r="70">
          <cell r="A70" t="str">
            <v>Storage cask tip-over due to transportation event</v>
          </cell>
          <cell r="B70" t="str">
            <v>HLW</v>
          </cell>
        </row>
        <row r="71">
          <cell r="C71" t="str">
            <v>•  Quality Assurance Program
•  Performance Based Training Program
•  Maintenance Program
•  Conduct of Operations</v>
          </cell>
          <cell r="E71" t="str">
            <v>•  Quality Assurance Program
•  Performance Based Training Program
•  Maintenance Program
•  Conduct of Operations</v>
          </cell>
        </row>
      </sheetData>
      <sheetData sheetId="10">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APPROVED CONTAINERS used for TRU waste storage
•  TSR-compliant packaging for high activity TRU waste</v>
          </cell>
          <cell r="D2" t="str">
            <v>•  APPROVED CONTAINERS used for TRU waste storage
•  TSR-compliant packaging for high activity TRU waste</v>
          </cell>
          <cell r="F2" t="str">
            <v>•  APPROVED CONTAINERS used for TRU waste storage
•  TSR-compliant packaging for high activity TRU waste</v>
          </cell>
          <cell r="H2" t="str">
            <v>•  APPROVED CONTAINERS used for TRU waste storage
•  TSR-compliant packaging for high activity TRU waste</v>
          </cell>
          <cell r="I2" t="str">
            <v>•  APPROVED CONTAINERS used for TRU waste storage
•  TSR-compliant packaging for high activity TRU waste</v>
          </cell>
          <cell r="J2" t="str">
            <v>•  APPROVED CONTAINERS used for TRU waste storage
•  TSR-compliant packaging for high activity TRU waste</v>
          </cell>
          <cell r="K2" t="str">
            <v>•  APPROVED CONTAINERS used for TRU waste storage
•  TSR-compliant packaging for high activity TRU waste</v>
          </cell>
        </row>
        <row r="3">
          <cell r="C3" t="str">
            <v>•  Steel-deck pallets that limit direct flame impingement on TRU containers
•  Banding of drums on pallets</v>
          </cell>
          <cell r="D3" t="str">
            <v>•  Steel-deck pallets that limit direct flame impingement on TRU containers
•  Banding of drums on pallets</v>
          </cell>
          <cell r="E3" t="str">
            <v>•  Heavily reinforced 19.75" thick concrete VSC
•  4" thick steel VSC shielding
•  Weld-sealed 3/8" thick steel MPC
•  Weld-sealed steel HLW canister
•  Borosilicate waste matrix that inhibits waste release and retards biological uptake due to stable chemical form</v>
          </cell>
          <cell r="F3" t="str">
            <v>•  Steel-deck pallets that limit direct flame impingement on TRU containers
•  Banding of drums on pallets</v>
          </cell>
          <cell r="H3" t="str">
            <v>•  Steel-deck pallets that limit direct flame impingement on TRU containers</v>
          </cell>
          <cell r="I3" t="str">
            <v>•  Steel-deck pallets that limit direct flame impingement on TRU containers
•  Banding of drums on pallets</v>
          </cell>
          <cell r="J3" t="str">
            <v xml:space="preserve">•  Steel-deck pallets that limit direct flame impingement on TRU containers
•  Wet pipe sprinkler system in Receiving Area and Load Out
</v>
          </cell>
          <cell r="K3" t="str">
            <v>•  Steel-deck pallets that limit direct flame impingement on TRU containers</v>
          </cell>
        </row>
        <row r="4">
          <cell r="A4" t="str">
            <v>Small combustible material fire</v>
          </cell>
          <cell r="B4" t="str">
            <v>E02</v>
          </cell>
          <cell r="C4" t="str">
            <v>•  APPROVED CONTAINERS used for TRU waste storage
•  TSR-compliant packaging for high activity TRU waste</v>
          </cell>
          <cell r="D4" t="str">
            <v>•  APPROVED CONTAINERS used for TRU waste storage
•  TSR-compliant packaging for high activity TRU waste</v>
          </cell>
          <cell r="F4" t="str">
            <v>•  APPROVED CONTAINERS used for TRU waste storage
•  TSR-compliant packaging for high activity TRU waste</v>
          </cell>
          <cell r="H4" t="str">
            <v>•  APPROVED CONTAINERS used for TRU waste storage
•  TSR-compliant packaging for high activity TRU waste</v>
          </cell>
          <cell r="I4" t="str">
            <v>•  APPROVED CONTAINERS used for TRU waste storage
•  TSR-compliant packaging for high activity TRU waste</v>
          </cell>
          <cell r="K4" t="str">
            <v>•  APPROVED CONTAINERS used for TRU waste storage
•  TSR-compliant packaging for high activity TRU waste</v>
          </cell>
          <cell r="M4" t="str">
            <v>•  APPROVED CONTAINERS used for TRU waste storage
•  TSR-compliant packaging for high activity TRU waste</v>
          </cell>
        </row>
        <row r="5">
          <cell r="F5" t="str">
            <v>•  Automatic fixed FM-200 fire suppression system in CSPF</v>
          </cell>
          <cell r="G5" t="str">
            <v>•  Fire rated cell walls and shield doors</v>
          </cell>
          <cell r="H5" t="str">
            <v>•  Wet pipe sprinkler system in Load In Facility</v>
          </cell>
          <cell r="J5" t="str">
            <v>•  Wet pipe sprinkler system in Receiving Area and Load Out/Truck Bay</v>
          </cell>
          <cell r="L5" t="str">
            <v>•  Fire rated cell walls and shield doors</v>
          </cell>
          <cell r="M5" t="str">
            <v>•  Wet pipe sprinkler system in PVS Building
•  Dry pipe sprinkler system in STS Support Building</v>
          </cell>
        </row>
        <row r="6">
          <cell r="A6" t="str">
            <v>Large fire</v>
          </cell>
          <cell r="B6" t="str">
            <v>E04</v>
          </cell>
          <cell r="C6" t="str">
            <v>•   APPROVED CONTAINERS used for TRU waste storage
•   TSR-compliant packaging for high activity TRU waste</v>
          </cell>
          <cell r="F6" t="str">
            <v>•   APPROVED CONTAINERS used for TRU waste storage
•   TSR-compliant packaging for high activity TRU waste</v>
          </cell>
        </row>
        <row r="7">
          <cell r="F7" t="str">
            <v>•  Automatic fixed FM-200 fire suppression system in CSPF
•  Wet pipe sprinkler system in Shipping Depot</v>
          </cell>
          <cell r="G7" t="str">
            <v>•  Fire rated cell walls and shield doors</v>
          </cell>
          <cell r="J7" t="str">
            <v>•  Fire rated cell walls and shield doors</v>
          </cell>
          <cell r="L7" t="str">
            <v>•  Fire rated cell walls and shield doors</v>
          </cell>
        </row>
        <row r="8">
          <cell r="A8" t="str">
            <v>Localized explosion external to container</v>
          </cell>
          <cell r="B8" t="str">
            <v>E05</v>
          </cell>
          <cell r="C8" t="str">
            <v>•   APPROVED CONTAINERS used for TRU waste storage
•   TSR-compliant packaging for high activity TRU waste</v>
          </cell>
          <cell r="D8" t="str">
            <v>•   APPROVED CONTAINERS used for TRU waste storage
•   TSR-compliant packaging for high activity TRU waste</v>
          </cell>
          <cell r="F8" t="str">
            <v>•   APPROVED CONTAINERS used for TRU waste storage
•   TSR-compliant packaging for high activity TRU waste</v>
          </cell>
          <cell r="H8" t="str">
            <v>•   APPROVED CONTAINERS used for TRU waste storage
•   TSR-compliant packaging for high activity TRU waste</v>
          </cell>
          <cell r="I8" t="str">
            <v>•   APPROVED CONTAINERS used for TRU waste storage
•   TSR-compliant packaging for high activity TRU waste</v>
          </cell>
          <cell r="J8" t="str">
            <v>•   APPROVED CONTAINERS used for TRU waste storage
•   TSR-compliant packaging for high activity TRU waste</v>
          </cell>
          <cell r="K8" t="str">
            <v>•   APPROVED CONTAINERS used for TRU waste storage
•   TSR-compliant packaging for high activity TRU waste</v>
          </cell>
        </row>
        <row r="9">
          <cell r="E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10">
          <cell r="A10" t="str">
            <v>Waste container deflagration</v>
          </cell>
          <cell r="B10" t="str">
            <v>E06</v>
          </cell>
          <cell r="C10" t="str">
            <v>•   TSR-compliant packaging for high activity TRU waste</v>
          </cell>
          <cell r="D10" t="str">
            <v>•   TSR-compliant packaging for high activity TRU waste</v>
          </cell>
          <cell r="F10" t="str">
            <v>•   TSR-compliant packaging for high activity TRU waste</v>
          </cell>
          <cell r="H10" t="str">
            <v>•   TSR-compliant packaging for high activity TRU waste</v>
          </cell>
          <cell r="I10" t="str">
            <v>•   TSR-compliant packaging for high activity TRU waste</v>
          </cell>
          <cell r="J10" t="str">
            <v>•   TSR-compliant packaging for high activity TRU waste</v>
          </cell>
          <cell r="L10" t="str">
            <v>•   TSR-compliant packaging for high activity TRU waste</v>
          </cell>
        </row>
        <row r="11">
          <cell r="C11" t="str">
            <v>•  Confinement capability of cell structure
•  Fire rated cell walls and shield doors</v>
          </cell>
          <cell r="G11" t="str">
            <v>•  Confinement capability of cell structure
•  Fire rated cell walls and shield doors</v>
          </cell>
          <cell r="J11" t="str">
            <v>•  Confinement capability of cell structure
•  Fire rated cell walls and shield doors</v>
          </cell>
          <cell r="L11" t="str">
            <v>•  Confinement capability of cell structure
•  Fire rated cell walls and shield doors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C16" t="str">
            <v>•   TSR-compliant packaging for high activity TRU waste</v>
          </cell>
          <cell r="D16" t="str">
            <v>•   TSR-compliant packaging for high activity TRU waste</v>
          </cell>
          <cell r="F16" t="str">
            <v>•   TSR-compliant packaging for high activity TRU waste</v>
          </cell>
          <cell r="H16" t="str">
            <v>•   TSR-compliant packaging for high activity TRU waste</v>
          </cell>
          <cell r="I16" t="str">
            <v>•   TSR-compliant packaging for high activity TRU waste</v>
          </cell>
          <cell r="J16" t="str">
            <v>•   TSR-compliant packaging for high activity TRU waste</v>
          </cell>
          <cell r="K16" t="str">
            <v>•   TSR-compliant packaging for high activity TRU waste</v>
          </cell>
        </row>
        <row r="17">
          <cell r="E1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18">
          <cell r="A18" t="str">
            <v>Drop/impact/spill</v>
          </cell>
          <cell r="B18" t="str">
            <v>E10</v>
          </cell>
          <cell r="C18" t="str">
            <v>•   TSR-compliant packaging for high activity TRU waste</v>
          </cell>
          <cell r="D18" t="str">
            <v>•   TSR-compliant packaging for high activity TRU waste</v>
          </cell>
          <cell r="F18" t="str">
            <v>•   TSR-compliant packaging for high activity TRU waste</v>
          </cell>
          <cell r="H18" t="str">
            <v>•   TSR-compliant packaging for high activity TRU waste</v>
          </cell>
          <cell r="I18" t="str">
            <v>•   TSR-compliant packaging for high activity TRU waste</v>
          </cell>
          <cell r="J18" t="str">
            <v>•   TSR-compliant packaging for high activity TRU waste</v>
          </cell>
          <cell r="K18" t="str">
            <v>•   TSR-compliant packaging for high activity TRU waste</v>
          </cell>
        </row>
        <row r="19">
          <cell r="C19" t="str">
            <v>•  Confinement capability of cell structure</v>
          </cell>
          <cell r="E19"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G19" t="str">
            <v>•  Confinement capability of cell structure</v>
          </cell>
          <cell r="J19" t="str">
            <v>•  Confinement capability of cell structure</v>
          </cell>
          <cell r="L19" t="str">
            <v>•  Confinement capability of cell structure</v>
          </cell>
          <cell r="M19" t="str">
            <v>•  Confinement capability of tank/vault structure</v>
          </cell>
        </row>
        <row r="20">
          <cell r="A20" t="str">
            <v>Collapse of stacked containers</v>
          </cell>
          <cell r="B20" t="str">
            <v>E11</v>
          </cell>
          <cell r="C20" t="str">
            <v>•   APPROVED CONTAINERS used for TRU waste storage
•   TSR-compliant packaging for high activity TRU waste</v>
          </cell>
          <cell r="D20" t="str">
            <v>•   APPROVED CONTAINERS used for TRU waste storage
•   TSR-compliant packaging for high activity TRU waste</v>
          </cell>
          <cell r="F20" t="str">
            <v>•   APPROVED CONTAINERS used for TRU waste storage
•   TSR-compliant packaging for high activity TRU waste</v>
          </cell>
          <cell r="I20" t="str">
            <v>•   APPROVED CONTAINERS used for TRU waste storage
•   TSR-compliant packaging for high activity TRU waste</v>
          </cell>
        </row>
        <row r="21">
          <cell r="C21" t="str">
            <v>•  Steel pallets used for TRU waste storage arrays
•  Banding of drums on pallets</v>
          </cell>
          <cell r="D21" t="str">
            <v>•  Steel pallets used for TRU waste storage arrays
•  Banding of drums on pallets</v>
          </cell>
          <cell r="F21" t="str">
            <v>•  Steel pallets used for TRU waste storage arrays
•  Banding of drums on pallets</v>
          </cell>
          <cell r="I21" t="str">
            <v>•  Steel pallets used for TRU waste storage arrays
•  Banding of drums on pallets</v>
          </cell>
        </row>
        <row r="22">
          <cell r="A22" t="str">
            <v>Waste container over-pressurization</v>
          </cell>
          <cell r="B22" t="str">
            <v>E12</v>
          </cell>
        </row>
        <row r="23">
          <cell r="C23" t="str">
            <v>•  Lid restraining devices for bulging drums</v>
          </cell>
          <cell r="D23" t="str">
            <v>•  Lid restraining devices for bulging drums</v>
          </cell>
          <cell r="F23" t="str">
            <v>•  Lid restraining devices for bulging drums</v>
          </cell>
          <cell r="H23" t="str">
            <v>•  Lid restraining devices for bulging drums</v>
          </cell>
          <cell r="I23" t="str">
            <v>•  Lid restraining devices for bulging drums</v>
          </cell>
          <cell r="J23" t="str">
            <v>•  Lid restraining devices for bulging drums</v>
          </cell>
        </row>
        <row r="24">
          <cell r="A24" t="str">
            <v>Direct exposure to radiation</v>
          </cell>
          <cell r="B24" t="str">
            <v>E13</v>
          </cell>
        </row>
        <row r="26">
          <cell r="A26" t="str">
            <v>Criticality</v>
          </cell>
          <cell r="B26" t="str">
            <v>E14</v>
          </cell>
        </row>
        <row r="28">
          <cell r="A28" t="str">
            <v>Aircraft impact with fire</v>
          </cell>
          <cell r="B28" t="str">
            <v>E15</v>
          </cell>
          <cell r="C28" t="str">
            <v>•   APPROVED CONTAINERS used for TRU waste storage
•   TSR-compliant packaging for high activity TRU waste</v>
          </cell>
          <cell r="D28" t="str">
            <v>•   APPROVED CONTAINERS used for TRU waste storage
•   TSR-compliant packaging for high activity TRU waste</v>
          </cell>
          <cell r="F28" t="str">
            <v>•   APPROVED CONTAINERS used for TRU waste storage
•   TSR-compliant packaging for high activity TRU waste</v>
          </cell>
          <cell r="H28" t="str">
            <v>•   APPROVED CONTAINERS used for TRU waste storage
•   TSR-compliant packaging for high activity TRU waste</v>
          </cell>
          <cell r="I28" t="str">
            <v>•   APPROVED CONTAINERS used for TRU waste storage
•   TSR-compliant packaging for high activity TRU waste</v>
          </cell>
        </row>
        <row r="29">
          <cell r="E2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0">
          <cell r="A30" t="str">
            <v>External vehicle accident</v>
          </cell>
          <cell r="B30" t="str">
            <v>E16</v>
          </cell>
          <cell r="C30" t="str">
            <v>•   TSR-compliant packaging for high activity TRU waste</v>
          </cell>
          <cell r="I30" t="str">
            <v>•   TSR-compliant packaging for high activity TRU waste</v>
          </cell>
        </row>
        <row r="31">
          <cell r="E3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2">
          <cell r="A32" t="str">
            <v>External vehicle accident with fire</v>
          </cell>
          <cell r="B32" t="str">
            <v>E17</v>
          </cell>
          <cell r="C32" t="str">
            <v>•   APPROVED CONTAINERS used for TRU waste storage
•   TSR-compliant packaging for high activity TRU waste</v>
          </cell>
          <cell r="I32" t="str">
            <v>•   APPROVED CONTAINERS used for TRU waste storage
•   TSR-compliant packaging for high activity TRU waste</v>
          </cell>
        </row>
        <row r="33">
          <cell r="E3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4">
          <cell r="A34" t="str">
            <v>External explosion</v>
          </cell>
          <cell r="B34" t="str">
            <v>E18</v>
          </cell>
          <cell r="C34" t="str">
            <v>•   APPROVED CONTAINERS used for TRU waste storage
•   TSR-compliant packaging for high activity TRU waste</v>
          </cell>
          <cell r="F34" t="str">
            <v>•   APPROVED CONTAINERS used for TRU waste storage
•   TSR-compliant packaging for high activity TRU waste</v>
          </cell>
          <cell r="I34" t="str">
            <v>•   APPROVED CONTAINERS used for TRU waste storage
•   TSR-compliant packaging for high activity TRU waste</v>
          </cell>
          <cell r="J34" t="str">
            <v>•   APPROVED CONTAINERS used for TRU waste storage
•   TSR-compliant packaging for high activity TRU waste</v>
          </cell>
        </row>
        <row r="35">
          <cell r="E35"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6">
          <cell r="A36" t="str">
            <v>External fire</v>
          </cell>
          <cell r="B36" t="str">
            <v>E19</v>
          </cell>
          <cell r="C36" t="str">
            <v>•   APPROVED CONTAINERS used for TRU waste storage
•   TSR-compliant packaging for high activity TRU waste</v>
          </cell>
          <cell r="D36" t="str">
            <v>•   APPROVED CONTAINERS used for TRU waste storage
•   TSR-compliant packaging for high activity TRU waste</v>
          </cell>
          <cell r="F36" t="str">
            <v>•   APPROVED CONTAINERS used for TRU waste storage
•   TSR-compliant packaging for high activity TRU waste</v>
          </cell>
          <cell r="I36" t="str">
            <v>•   APPROVED CONTAINERS used for TRU waste storage
•   TSR-compliant packaging for high activity TRU waste</v>
          </cell>
          <cell r="J36" t="str">
            <v>•   APPROVED CONTAINERS used for TRU waste storage
•   TSR-compliant packaging for high activity TRU waste</v>
          </cell>
        </row>
        <row r="37">
          <cell r="C37" t="str">
            <v>•  Non-combustible facility sheathing/ exterior</v>
          </cell>
          <cell r="D37" t="str">
            <v>•  Non-combustible facility sheathing/ exterior</v>
          </cell>
          <cell r="E3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F37" t="str">
            <v>•  Non-combustible facility sheathing/ exterior</v>
          </cell>
          <cell r="I37" t="str">
            <v>•  Non-combustible facility sheathing/ exterior</v>
          </cell>
          <cell r="J37" t="str">
            <v>•  Non-combustible facility sheathing/ exterior</v>
          </cell>
        </row>
        <row r="38">
          <cell r="A38" t="str">
            <v>Lightning</v>
          </cell>
          <cell r="B38" t="str">
            <v>E20</v>
          </cell>
          <cell r="C38" t="str">
            <v>•   TSR-compliant packaging for high activity TRU waste</v>
          </cell>
        </row>
        <row r="39">
          <cell r="E39" t="str">
            <v>•  Weld-sealed 3/8" thick steel MPC
•  Weld-sealed steel HLW canister</v>
          </cell>
        </row>
        <row r="40">
          <cell r="A40" t="str">
            <v>High wind</v>
          </cell>
          <cell r="B40" t="str">
            <v>E21</v>
          </cell>
          <cell r="C40" t="str">
            <v>•   TSR-compliant packaging for high activity TRU waste</v>
          </cell>
          <cell r="I40" t="str">
            <v>•   TSR-compliant packaging for high activity TRU waste</v>
          </cell>
        </row>
        <row r="41">
          <cell r="E4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42">
          <cell r="A42" t="str">
            <v>Tornado</v>
          </cell>
          <cell r="B42" t="str">
            <v>E22</v>
          </cell>
          <cell r="C42" t="str">
            <v>•   TSR-compliant packaging for high activity TRU waste</v>
          </cell>
          <cell r="D42" t="str">
            <v>•   TSR-compliant packaging for high activity TRU waste</v>
          </cell>
          <cell r="F42" t="str">
            <v>•   TSR-compliant packaging for high activity TRU waste</v>
          </cell>
          <cell r="I42" t="str">
            <v>•   TSR-compliant packaging for high activity TRU waste</v>
          </cell>
        </row>
        <row r="43">
          <cell r="C43" t="str">
            <v>•  Facility design capable of maintaining confinement integrity following design basis events</v>
          </cell>
          <cell r="E4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G43" t="str">
            <v>•  Facility design capable of maintaining confinement integrity following design basis events</v>
          </cell>
          <cell r="H43" t="str">
            <v>•  Facility design capable of maintaining confinement integrity following design basis events</v>
          </cell>
          <cell r="J43" t="str">
            <v>•  Facility design capable of maintaining confinement integrity following design basis events</v>
          </cell>
          <cell r="L43" t="str">
            <v>•  Facility design capable of maintaining confinement integrity following design basis events</v>
          </cell>
          <cell r="M43" t="str">
            <v>•  Facility design capable of maintaining confinement integrity following design basis events</v>
          </cell>
        </row>
        <row r="44">
          <cell r="A44" t="str">
            <v>Snow and/or ice buildup</v>
          </cell>
          <cell r="B44" t="str">
            <v>E23</v>
          </cell>
        </row>
        <row r="46">
          <cell r="A46" t="str">
            <v>Seismic event</v>
          </cell>
          <cell r="B46" t="str">
            <v>E24</v>
          </cell>
          <cell r="C46" t="str">
            <v>•   APPROVED CONTAINERS used for TRU waste storage
•   TSR-compliant packaging for high activity TRU waste</v>
          </cell>
          <cell r="D46" t="str">
            <v>•   APPROVED CONTAINERS used for TRU waste storage
•   TSR-compliant packaging for high activity TRU waste</v>
          </cell>
          <cell r="F46" t="str">
            <v>•   APPROVED CONTAINERS used for TRU waste storage
•   TSR-compliant packaging for high activity TRU waste</v>
          </cell>
          <cell r="I46" t="str">
            <v>•   APPROVED CONTAINERS used for TRU waste storage
•   TSR-compliant packaging for high activity TRU waste</v>
          </cell>
        </row>
        <row r="47">
          <cell r="C47" t="str">
            <v>•  Facility design capable of maintaining confinement integrity following design basis events</v>
          </cell>
          <cell r="E4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G47" t="str">
            <v>•  Facility design capable of maintaining confinement integrity following design basis events</v>
          </cell>
          <cell r="H47" t="str">
            <v>•  Facility design capable of maintaining confinement integrity following design basis events</v>
          </cell>
          <cell r="J47" t="str">
            <v>•  Facility design capable of maintaining confinement integrity following design basis events</v>
          </cell>
          <cell r="L47" t="str">
            <v>•  Facility design capable of maintaining confinement integrity following design basis events</v>
          </cell>
          <cell r="M47" t="str">
            <v>•  Facility design capable of maintaining confinement integrity following design basis events</v>
          </cell>
        </row>
        <row r="48">
          <cell r="A48" t="str">
            <v>Loss of airborne contamination confinement</v>
          </cell>
          <cell r="B48" t="str">
            <v>AER</v>
          </cell>
        </row>
        <row r="49">
          <cell r="C49" t="str">
            <v>•  Confinement capability of facility envelope
•  Nominal facility negative maintained on facility even under loss of active ventilation through stack "chimney effect"</v>
          </cell>
          <cell r="E49" t="str">
            <v>•  Weld-sealed MPC
•  Weld-sealed steel HLW canister
•  Borosilicate waste matrix</v>
          </cell>
          <cell r="G49" t="str">
            <v>•  Confinement capability of facility envelope
•  Nominal facility negative maintained on facility even under loss of active ventilation through stack "chimney effect"</v>
          </cell>
          <cell r="J49" t="str">
            <v>•  Confinement capability of facility envelope
•  Nominal facility negative maintained on facility even under loss of active ventilation through stack "chimney effect"</v>
          </cell>
          <cell r="L49" t="str">
            <v>•  Confinement capability of facility envelope
•  Nominal facility negative maintained on facility even under loss of active ventilation through stack "chimney effect"</v>
          </cell>
          <cell r="M49" t="str">
            <v>•  Confinement capability of facility envelope
•  Nominal facility negative maintained on facility even under loss of active ventilation through stack "chimney effect"</v>
          </cell>
        </row>
        <row r="50">
          <cell r="A50" t="str">
            <v>Localized explosion within facility</v>
          </cell>
          <cell r="B50" t="str">
            <v>ES</v>
          </cell>
        </row>
        <row r="51">
          <cell r="C51" t="str">
            <v>•  Reinforced concrete shield walls</v>
          </cell>
          <cell r="G51" t="str">
            <v>•  Reinforced concrete shield walls</v>
          </cell>
          <cell r="J51" t="str">
            <v>•  Reinforced concrete shield walls</v>
          </cell>
          <cell r="L51" t="str">
            <v>•  Reinforced concrete shield walls</v>
          </cell>
        </row>
        <row r="52">
          <cell r="A52" t="str">
            <v>Loss of liquid contamination confinement</v>
          </cell>
          <cell r="B52" t="str">
            <v>FFS</v>
          </cell>
        </row>
        <row r="53">
          <cell r="F53" t="str">
            <v>•  Building berms</v>
          </cell>
          <cell r="G53" t="str">
            <v>•  Cell sumps/liners</v>
          </cell>
          <cell r="J53" t="str">
            <v>•  Cell sumps/liners</v>
          </cell>
          <cell r="L53" t="str">
            <v>•  Cell sumps/liners</v>
          </cell>
          <cell r="M53" t="str">
            <v>•  Tank pans/vault liners</v>
          </cell>
        </row>
        <row r="54">
          <cell r="A54" t="str">
            <v>Flood</v>
          </cell>
          <cell r="B54" t="str">
            <v>FLD</v>
          </cell>
        </row>
        <row r="55">
          <cell r="E55" t="str">
            <v>•  Heavily reinforced 19.75" thick concrete VSC
•  Weld-sealed 3/8" thick steel MPC
•  Weld-sealed steel HLW canister
•  Borosilicate waste matrix that inhibits waste release and retards biological uptake due to stable chemical form</v>
          </cell>
        </row>
        <row r="56">
          <cell r="A56" t="str">
            <v>HEPA filter failure</v>
          </cell>
          <cell r="B56" t="str">
            <v>HB</v>
          </cell>
        </row>
        <row r="57">
          <cell r="C57" t="str">
            <v>•  Redundant ventilation system filter trains and blowers</v>
          </cell>
          <cell r="G57" t="str">
            <v>•  Redundant ventilation system filter trains and blowers</v>
          </cell>
          <cell r="J57" t="str">
            <v>•  Redundant ventilation system filter trains and blowers</v>
          </cell>
          <cell r="L57" t="str">
            <v>•  Redundant ventilation system filter trains and blowers</v>
          </cell>
          <cell r="M57" t="str">
            <v>•  Redundant ventilation system filter trains and blowers</v>
          </cell>
        </row>
        <row r="58">
          <cell r="A58" t="str">
            <v>HEPA filter fire</v>
          </cell>
          <cell r="B58" t="str">
            <v>HF</v>
          </cell>
        </row>
        <row r="59">
          <cell r="C59" t="str">
            <v>•  Redundant ventilation system filter trains and blowers</v>
          </cell>
          <cell r="G59" t="str">
            <v>•  Redundant ventilation system filter trains and blowers</v>
          </cell>
          <cell r="J59" t="str">
            <v>•  Redundant ventilation system filter trains and blowers</v>
          </cell>
          <cell r="L59" t="str">
            <v>•  Redundant ventilation system filter trains and blowers</v>
          </cell>
          <cell r="M59" t="str">
            <v>•  Redundant ventilation system filter trains and blowers</v>
          </cell>
        </row>
        <row r="60">
          <cell r="A60" t="str">
            <v>Stack failure</v>
          </cell>
          <cell r="B60" t="str">
            <v>IS</v>
          </cell>
        </row>
        <row r="62">
          <cell r="A62" t="str">
            <v>Corrosion</v>
          </cell>
          <cell r="B62" t="str">
            <v>HLW</v>
          </cell>
        </row>
        <row r="63">
          <cell r="C63" t="str">
            <v>•  Stainless steel canister basket and MPC construction
•  Sacrificial plate between components of dissimilar composition</v>
          </cell>
          <cell r="E63" t="str">
            <v>•  Stainless steel canister basket and MPC construction
•  Sacrificial plate between components of dissimilar composition</v>
          </cell>
        </row>
        <row r="64">
          <cell r="A64" t="str">
            <v>Locomotive/ loaded rail car impacts storage casks</v>
          </cell>
          <cell r="B64" t="str">
            <v>HLW</v>
          </cell>
        </row>
        <row r="65">
          <cell r="E65"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66">
          <cell r="A66" t="str">
            <v>Seismic event (tip over)</v>
          </cell>
          <cell r="B66" t="str">
            <v>HLW</v>
          </cell>
        </row>
        <row r="67">
          <cell r="E67" t="str">
            <v>•  Heavily reinforced 19.75" thick concrete VSC
•  4" thick steel VSC shielding
•  Weld-sealed 3/8" thick steel MPC
•  Weld-sealed steel HLW canister
•  Borosilicate waste matrix that inhibits waste release and retards biological uptake due to stable chemical form</v>
          </cell>
        </row>
        <row r="68">
          <cell r="A68" t="str">
            <v>Severe environmental conditions</v>
          </cell>
          <cell r="B68" t="str">
            <v>HLW</v>
          </cell>
        </row>
        <row r="69">
          <cell r="E69" t="str">
            <v>•  Weld-sealed 3/8" thick steel MPC
•  Weld-sealed steel HLW canister
•  Borosilicate waste matrix that inhibits waste release and retards biological uptake due to stable chemical form</v>
          </cell>
        </row>
        <row r="70">
          <cell r="A70" t="str">
            <v>Storage cask tip-over due to transportation event</v>
          </cell>
          <cell r="B70" t="str">
            <v>HLW</v>
          </cell>
        </row>
        <row r="71">
          <cell r="E71" t="str">
            <v>•  Heavily reinforced 19.75" thick concrete VSC
•  4" thick steel VSC shielding
•  Weld-sealed 3/8" thick steel MPC
•  Weld-sealed steel HLW canister
•  Borosilicate waste matrix that inhibits waste release and retards biological uptake due to stable chemical form</v>
          </cell>
        </row>
      </sheetData>
      <sheetData sheetId="11">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SAC for APPROVED CONTAINER use
•  SAC for facility inventory control</v>
          </cell>
          <cell r="D2" t="str">
            <v>•  SAC for APPROVED CONTAINER use
•  SAC for facility inventory control</v>
          </cell>
          <cell r="F2" t="str">
            <v>•  SAC for APPROVED CONTAINER use
•  SAC for facility inventory control</v>
          </cell>
          <cell r="H2" t="str">
            <v>•  SAC for APPROVED CONTAINER use
•  SAC for facility inventory control</v>
          </cell>
          <cell r="I2" t="str">
            <v>•  SAC for APPROVED CONTAINER use
•  SAC for facility inventory control
• SAC for TRU WASTE AREAS</v>
          </cell>
          <cell r="J2" t="str">
            <v>•  SAC for APPROVED CONTAINER use
•  SAC for facility inventory control</v>
          </cell>
          <cell r="K2" t="str">
            <v>•  SAC for APPROVED CONTAINER use
•  SAC for facility inventory control</v>
          </cell>
        </row>
        <row r="3">
          <cell r="C3" t="str">
            <v>•  Radiological Protection Program
•  Emergency Response Program
•  Fire Protection Program
•  Performance Based Training Program
•  Conduct of Operations</v>
          </cell>
          <cell r="D3" t="str">
            <v>•  Radiological Protection Program
•  Emergency Response Program
•  Fire Protection Program
•  Performance Based Training Program
•  Conduct of Operations</v>
          </cell>
          <cell r="F3" t="str">
            <v>•  Radiological Protection Program
•  Emergency Response Program
•  Fire Protection Program
•  Performance Based Training Program
•  Conduct of Operations</v>
          </cell>
          <cell r="H3" t="str">
            <v>•  Radiological Protection Program
•  Emergency Response Program
•  Fire Protection Program
•  Performance Based Training Program
•  Conduct of Operations</v>
          </cell>
          <cell r="I3" t="str">
            <v>•  Radiological Protection Program
•  Emergency Response Program
•  Fire Protection Program
•  Performance Based Training Program
•  Conduct of Operations</v>
          </cell>
          <cell r="J3" t="str">
            <v>•  Radiological Protection Program
•  Emergency Response Program
•  Fire Protection Program
•  Performance Based Training Program
•  Conduct of Operations</v>
          </cell>
          <cell r="K3" t="str">
            <v>•  Radiological Protection Program
•  Emergency Response Program
•  Fire Protection Program
•  Performance Based Training Program
•  Conduct of Operations</v>
          </cell>
        </row>
        <row r="4">
          <cell r="A4" t="str">
            <v>Small combustible material fire</v>
          </cell>
          <cell r="B4" t="str">
            <v>E02</v>
          </cell>
          <cell r="C4" t="str">
            <v>•  SAC for APPROVED CONTAINER use
•  SAC for facility inventory control</v>
          </cell>
          <cell r="D4" t="str">
            <v>•  SAC for APPROVED CONTAINER use
•  SAC for facility inventory control</v>
          </cell>
          <cell r="F4" t="str">
            <v>•  SAC for APPROVED CONTAINER use
•  SAC for facility inventory control</v>
          </cell>
          <cell r="H4" t="str">
            <v>•  SAC for APPROVED CONTAINER use
•  SAC for facility inventory control</v>
          </cell>
          <cell r="I4" t="str">
            <v>•  SAC for APPROVED CONTAINER use
•  SAC for facility inventory control
• SAC for TRU WASTE AREAS</v>
          </cell>
          <cell r="J4" t="str">
            <v>•  SAC for APPROVED CONTAINER use
•  SAC for facility inventory control</v>
          </cell>
          <cell r="K4" t="str">
            <v>•  SAC for APPROVED CONTAINER use
•  SAC for facility inventory control</v>
          </cell>
        </row>
        <row r="5">
          <cell r="C5" t="str">
            <v>•  Radiological Protection Program
•  Emergency Response Program
•  Fire Protection Program
•  Performance Based Training Program
•  Conduct of Operations</v>
          </cell>
          <cell r="D5" t="str">
            <v>•  Radiological Protection Program
•  Emergency Response Program
•  Fire Protection Program
•  Performance Based Training Program
•  Conduct of Operations</v>
          </cell>
          <cell r="F5" t="str">
            <v>•  Radiological Protection Program
•  Emergency Response Program
•  Fire Protection Program
•  Performance Based Training Program
•  Conduct of Operations</v>
          </cell>
          <cell r="G5" t="str">
            <v>•  Radiological Protection Program
•  Emergency Response Program
•  Fire Protection Program
•  Performance Based Training Program
•  Conduct of Operations</v>
          </cell>
          <cell r="H5" t="str">
            <v>•  Radiological Protection Program
•  Emergency Response Program
•  Fire Protection Program
•  Performance Based Training Program
•  Conduct of Operations</v>
          </cell>
          <cell r="I5" t="str">
            <v>•  Radiological Protection Program
•  Emergency Response Program
•  Fire Protection Program
•  Performance Based Training Program
•  Conduct of Operations</v>
          </cell>
          <cell r="J5" t="str">
            <v>•  Radiological Protection Program
•  Emergency Response Program
•  Fire Protection Program
•  Performance Based Training Program
•  Conduct of Operations</v>
          </cell>
          <cell r="K5" t="str">
            <v>•  Radiological Protection Program
•  Emergency Response Program
•  Fire Protection Program
•  Performance Based Training Program
•  Conduct of Operations</v>
          </cell>
          <cell r="L5" t="str">
            <v>•  Radiological Protection Program
•  Emergency Response Program
•  Fire Protection Program
•  Performance Based Training Program
•  Conduct of Operations</v>
          </cell>
          <cell r="M5" t="str">
            <v>•  Radiological Protection Program
•  Emergency Response Program
•  Fire Protection Program
•  Performance Based Training Program
•  Conduct of Operations</v>
          </cell>
        </row>
        <row r="6">
          <cell r="A6" t="str">
            <v>Large fire</v>
          </cell>
          <cell r="B6" t="str">
            <v>E04</v>
          </cell>
          <cell r="C6" t="str">
            <v>•  SAC for APPROVED CONTAINER use
•  SAC for facility inventory control</v>
          </cell>
          <cell r="F6" t="str">
            <v>•  SAC for APPROVED CONTAINER use
•  SAC for facility inventory control</v>
          </cell>
          <cell r="J6" t="str">
            <v>•  SAC for APPROVED CONTAINER use
•  SAC for facility inventory control</v>
          </cell>
        </row>
        <row r="7">
          <cell r="C7" t="str">
            <v>•  Radiological Protection Program
•  Emergency Response Program
•  Fire Protection Program
•  Performance Based Training Program
•  Conduct of Operations</v>
          </cell>
          <cell r="F7" t="str">
            <v>•  Radiological Protection Program
•  Emergency Response Program
•  Fire Protection Program
•  Performance Based Training Program
•  Conduct of Operations</v>
          </cell>
          <cell r="G7" t="str">
            <v>•  Radiological Protection Program
•  Emergency Response Program
•  Fire Protection Program
•  Performance Based Training Program
•  Conduct of Operations</v>
          </cell>
          <cell r="J7" t="str">
            <v>•  Radiological Protection Program
•  Emergency Response Program
•  Fire Protection Program
•  Performance Based Training Program
•  Conduct of Operations</v>
          </cell>
          <cell r="L7" t="str">
            <v>•  Radiological Protection Program
•  Emergency Response Program
•  Fire Protection Program
•  Performance Based Training Program
•  Conduct of Operations</v>
          </cell>
        </row>
        <row r="8">
          <cell r="A8" t="str">
            <v>Localized explosion external to container</v>
          </cell>
          <cell r="B8" t="str">
            <v>E05</v>
          </cell>
          <cell r="C8" t="str">
            <v>•  SAC for APPROVED CONTAINER use
•  SAC for facility inventory control</v>
          </cell>
          <cell r="D8" t="str">
            <v>•  SAC for APPROVED CONTAINER use
•  SAC for facility inventory control</v>
          </cell>
          <cell r="F8" t="str">
            <v>•  SAC for APPROVED CONTAINER use
•  SAC for facility inventory control</v>
          </cell>
          <cell r="H8" t="str">
            <v>•  SAC for APPROVED CONTAINER use
•  SAC for facility inventory control</v>
          </cell>
          <cell r="I8" t="str">
            <v>•  SAC for APPROVED CONTAINER use
•  SAC for facility inventory control</v>
          </cell>
          <cell r="K8" t="str">
            <v>•  SAC for APPROVED CONTAINER use
•  SAC for facility inventory control</v>
          </cell>
        </row>
        <row r="9">
          <cell r="C9" t="str">
            <v>•  Radiological Protection Program
•  Emergency Response Program
•  Fire Protection Program
•  Performance Based Training Program
•  Conduct of Operations</v>
          </cell>
          <cell r="D9" t="str">
            <v>•  Radiological Protection Program
•  Emergency Response Program
•  Fire Protection Program
•  Performance Based Training Program
•  Conduct of Operations</v>
          </cell>
          <cell r="E9" t="str">
            <v>•  Radiological Protection Program
•  Emergency Response Program
•  Fire Protection Program
•  Performance Based Training Program
•  Conduct of Operations</v>
          </cell>
          <cell r="F9" t="str">
            <v>•  Radiological Protection Program
•  Emergency Response Program
•  Fire Protection Program
•  Performance Based Training Program
•  Conduct of Operations</v>
          </cell>
          <cell r="H9" t="str">
            <v>•  Radiological Protection Program
•  Emergency Response Program
•  Fire Protection Program
•  Performance Based Training Program
•  Conduct of Operations</v>
          </cell>
          <cell r="I9" t="str">
            <v>•  Radiological Protection Program
•  Emergency Response Program
•  Fire Protection Program
•  Performance Based Training Program
•  Conduct of Operations</v>
          </cell>
          <cell r="J9" t="str">
            <v>•  Radiological Protection Program
•  Emergency Response Program
•  Fire Protection Program
•  Performance Based Training Program
•  Conduct of Operations</v>
          </cell>
          <cell r="K9" t="str">
            <v>•  Radiological Protection Program
•  Emergency Response Program
•  Fire Protection Program
•  Performance Based Training Program
•  Conduct of Operations</v>
          </cell>
        </row>
        <row r="10">
          <cell r="A10" t="str">
            <v>Waste container deflagration</v>
          </cell>
          <cell r="B10" t="str">
            <v>E06</v>
          </cell>
          <cell r="C10" t="str">
            <v>•  SAC for APPROVED CONTAINER use
•  SAC for facility inventory control</v>
          </cell>
          <cell r="D10" t="str">
            <v>•  SAC for APPROVED CONTAINER use
•  SAC for facility inventory control</v>
          </cell>
          <cell r="F10" t="str">
            <v>•  SAC for APPROVED CONTAINER use
•  SAC for facility inventory control</v>
          </cell>
          <cell r="H10" t="str">
            <v>•  SAC for APPROVED CONTAINER use
•  SAC for facility inventory control</v>
          </cell>
          <cell r="I10" t="str">
            <v>•  SAC for APPROVED CONTAINER use
•  SAC for facility inventory control</v>
          </cell>
        </row>
        <row r="11">
          <cell r="C11" t="str">
            <v>•  Radiological Protection Program
•  Emergency Response Program
•  Fire Protection Program
•  Performance Based Training Program
•  Conduct of Operations</v>
          </cell>
          <cell r="D11" t="str">
            <v>•  Radiological Protection Program
•  Emergency Response Program
•  Fire Protection Program
•  Performance Based Training Program
•  Conduct of Operations</v>
          </cell>
          <cell r="F11" t="str">
            <v>•  Radiological Protection Program
•  Emergency Response Program
•  Fire Protection Program
•  Performance Based Training Program
•  Conduct of Operations</v>
          </cell>
          <cell r="G11" t="str">
            <v>•  Radiological Protection Program
•  Emergency Response Program
•  Fire Protection Program
•  Performance Based Training Program
•  Conduct of Operations</v>
          </cell>
          <cell r="H11" t="str">
            <v>•  Radiological Protection Program
•  Emergency Response Program
•  Fire Protection Program
•  Performance Based Training Program
•  Conduct of Operations</v>
          </cell>
          <cell r="I11" t="str">
            <v>•  Radiological Protection Program
•  Emergency Response Program
•  Fire Protection Program
•  Performance Based Training Program
•  Conduct of Operations</v>
          </cell>
          <cell r="J11" t="str">
            <v>•  Radiological Protection Program
•  Emergency Response Program
•  Fire Protection Program
•  Performance Based Training Program
•  Conduct of Operations</v>
          </cell>
          <cell r="L11" t="str">
            <v>•  Radiological Protection Program
•  Emergency Response Program
•  Fire Protection Program
•  Performance Based Training Program
•  Conduct of Operations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I16" t="str">
            <v>• SAC for TRU WASTE AREAS</v>
          </cell>
        </row>
        <row r="17">
          <cell r="C17" t="str">
            <v>•  Radiological Protection Program
•  Emergency Response Program
•  Performance Based Training Program
•  Conduct of Operations</v>
          </cell>
          <cell r="D17" t="str">
            <v>•  Radiological Protection Program
•  Emergency Response Program
•  Performance Based Training Program
•  Conduct of Operations</v>
          </cell>
          <cell r="E17" t="str">
            <v>•  Radiological Protection Program
•  Emergency Response Program
•  Performance Based Training Program
•  Conduct of Operations</v>
          </cell>
          <cell r="F17" t="str">
            <v>•  Radiological Protection Program
•  Emergency Response Program
•  Performance Based Training Program
•  Conduct of Operations</v>
          </cell>
          <cell r="H17" t="str">
            <v>•  Radiological Protection Program
•  Emergency Response Program
•  Performance Based Training Program
•  Conduct of Operations</v>
          </cell>
          <cell r="I17" t="str">
            <v>•  Radiological Protection Program
•  Emergency Response Program
•  Performance Based Training Program
•  Conduct of Operations</v>
          </cell>
          <cell r="J17" t="str">
            <v>•  Radiological Protection Program
•  Emergency Response Program
•  Performance Based Training Program
•  Conduct of Operations</v>
          </cell>
          <cell r="K17" t="str">
            <v>•  Radiological Protection Program
•  Emergency Response Program
•  Performance Based Training Program
•  Conduct of Operations</v>
          </cell>
        </row>
        <row r="18">
          <cell r="A18" t="str">
            <v>Drop/impact/spill</v>
          </cell>
          <cell r="B18" t="str">
            <v>E10</v>
          </cell>
          <cell r="I18" t="str">
            <v>• SAC for TRU WASTE AREAS</v>
          </cell>
        </row>
        <row r="19">
          <cell r="C19" t="str">
            <v>•  Radiological Protection Program
•  Emergency Response Program
•  Performance Based Training Program
•  Conduct of Operations</v>
          </cell>
          <cell r="D19" t="str">
            <v>•  Radiological Protection Program
•  Emergency Response Program
•  Performance Based Training Program
•  Conduct of Operations</v>
          </cell>
          <cell r="E19" t="str">
            <v>•  Radiological Protection Program
•  Emergency Response Program
•  Performance Based Training Program
•  Conduct of Operations</v>
          </cell>
          <cell r="F19" t="str">
            <v>•  Radiological Protection Program
•  Emergency Response Program
•  Performance Based Training Program
•  Conduct of Operations</v>
          </cell>
          <cell r="G19" t="str">
            <v>•  Radiological Protection Program
•  Emergency Response Program
•  Performance Based Training Program
•  Conduct of Operations</v>
          </cell>
          <cell r="H19" t="str">
            <v>•  Radiological Protection Program
•  Emergency Response Program
•  Performance Based Training Program
•  Conduct of Operations</v>
          </cell>
          <cell r="I19" t="str">
            <v>•  Radiological Protection Program
•  Emergency Response Program
•  Performance Based Training Program
•  Conduct of Operations</v>
          </cell>
          <cell r="J19" t="str">
            <v>•  Radiological Protection Program
•  Emergency Response Program
•  Performance Based Training Program
•  Conduct of Operations</v>
          </cell>
          <cell r="K19" t="str">
            <v>•  Radiological Protection Program
•  Emergency Response Program
•  Performance Based Training Program
•  Conduct of Operations</v>
          </cell>
          <cell r="L19" t="str">
            <v>•  Radiological Protection Program
•  Emergency Response Program
•  Performance Based Training Program
•  Conduct of Operations</v>
          </cell>
          <cell r="M19" t="str">
            <v>•  Radiological Protection Program
•  Emergency Response Program
•  Performance Based Training Program
•  Conduct of Operations</v>
          </cell>
        </row>
        <row r="20">
          <cell r="A20" t="str">
            <v>Collapse of stacked containers</v>
          </cell>
          <cell r="B20" t="str">
            <v>E11</v>
          </cell>
        </row>
        <row r="21">
          <cell r="C21" t="str">
            <v>•  Radiological Protection Program
•  Emergency Response Program
•  Performance Based Training Program
•  Conduct of Operations</v>
          </cell>
          <cell r="D21" t="str">
            <v>•  Radiological Protection Program
•  Emergency Response Program
•  Performance Based Training Program
•  Conduct of Operations</v>
          </cell>
          <cell r="F21" t="str">
            <v>•  Radiological Protection Program
•  Emergency Response Program
•  Performance Based Training Program
•  Conduct of Operations</v>
          </cell>
          <cell r="I21" t="str">
            <v>•  Radiological Protection Program
•  Emergency Response Program
•  Performance Based Training Program
•  Conduct of Operations</v>
          </cell>
        </row>
        <row r="22">
          <cell r="A22" t="str">
            <v>Waste container over-pressurization</v>
          </cell>
          <cell r="B22" t="str">
            <v>E12</v>
          </cell>
          <cell r="I22" t="str">
            <v>• SAC for TRU WASTE AREAS</v>
          </cell>
        </row>
        <row r="23">
          <cell r="C23" t="str">
            <v>•  Radiological Protection Program
•  Emergency Response Program
•  Performance Based Training Program
•  Conduct of Operations</v>
          </cell>
          <cell r="D23" t="str">
            <v>•  Radiological Protection Program
•  Emergency Response Program
•  Performance Based Training Program
•  Conduct of Operations</v>
          </cell>
          <cell r="F23" t="str">
            <v>•  Radiological Protection Program
•  Emergency Response Program
•  Performance Based Training Program
•  Conduct of Operations</v>
          </cell>
          <cell r="G23" t="str">
            <v>•  Radiological Protection Program
•  Emergency Response Program
•  Performance Based Training Program
•  Conduct of Operations</v>
          </cell>
          <cell r="H23" t="str">
            <v>•  Radiological Protection Program
•  Emergency Response Program
•  Performance Based Training Program
•  Conduct of Operations</v>
          </cell>
          <cell r="I23" t="str">
            <v>•  Radiological Protection Program
•  Emergency Response Program
•  Performance Based Training Program
•  Conduct of Operations</v>
          </cell>
          <cell r="J23" t="str">
            <v>•  Radiological Protection Program
•  Emergency Response Program
•  Performance Based Training Program
•  Conduct of Operations</v>
          </cell>
          <cell r="L23" t="str">
            <v>•  Radiological Protection Program
•  Emergency Response Program
•  Performance Based Training Program
•  Conduct of Operations</v>
          </cell>
        </row>
        <row r="24">
          <cell r="A24" t="str">
            <v>Direct exposure to radiation</v>
          </cell>
          <cell r="B24" t="str">
            <v>E13</v>
          </cell>
        </row>
        <row r="25">
          <cell r="C25" t="str">
            <v>•  Radiological Protection Program
•  Performance Based Training Program
•  Conduct of Operations</v>
          </cell>
          <cell r="D25" t="str">
            <v>•  Radiological Protection Program
•  Performance Based Training Program
•  Conduct of Operations</v>
          </cell>
          <cell r="E25" t="str">
            <v>•  Radiological Protection Program
•  Performance Based Training Program
•  Conduct of Operations</v>
          </cell>
          <cell r="F25" t="str">
            <v>•  Radiological Protection Program
•  Performance Based Training Program
•  Conduct of Operations</v>
          </cell>
          <cell r="G25" t="str">
            <v>•  Radiological Protection Program
•  Performance Based Training Program
•  Conduct of Operations</v>
          </cell>
          <cell r="H25" t="str">
            <v>•  Radiological Protection Program
•  Performance Based Training Program
•  Conduct of Operations</v>
          </cell>
          <cell r="I25" t="str">
            <v>•  Radiological Protection Program
•  Performance Based Training Program
•  Conduct of Operations</v>
          </cell>
          <cell r="J25" t="str">
            <v>•  Radiological Protection Program
•  Performance Based Training Program
•  Conduct of Operations</v>
          </cell>
          <cell r="K25" t="str">
            <v>•  Radiological Protection Program
•  Performance Based Training Program
•  Conduct of Operations</v>
          </cell>
          <cell r="L25" t="str">
            <v>•  Radiological Protection Program
•  Performance Based Training Program
•  Conduct of Operations</v>
          </cell>
          <cell r="M25" t="str">
            <v>•  Radiological Protection Program
•  Performance Based Training Program
•  Conduct of Operations</v>
          </cell>
        </row>
        <row r="26">
          <cell r="A26" t="str">
            <v>Criticality</v>
          </cell>
          <cell r="B26" t="str">
            <v>E14</v>
          </cell>
        </row>
        <row r="27">
          <cell r="C27" t="str">
            <v>•  Radiological Protection Program
•  Nuclear Criticality Safety Program
•  Emergency Response Program
•  Performance Based Training Program
•  Conduct of Operations</v>
          </cell>
          <cell r="D27" t="str">
            <v>•  Radiological Protection Program
•  Nuclear Criticality Safety Program
•  Emergency Response Program
•  Performance Based Training Program
•  Conduct of Operations</v>
          </cell>
          <cell r="E27" t="str">
            <v>•  Radiological Protection Program
•  Nuclear Criticality Safety Program
•  Emergency Response Program
•  Performance Based Training Program
•  Conduct of Operations</v>
          </cell>
          <cell r="F27" t="str">
            <v>•  Radiological Protection Program
•  Nuclear Criticality Safety Program
•  Emergency Response Program
•  Performance Based Training Program
•  Conduct of Operations</v>
          </cell>
          <cell r="G27" t="str">
            <v>•  Radiological Protection Program
•  Nuclear Criticality Safety Program
•  Emergency Response Program
•  Performance Based Training Program
•  Conduct of Operations</v>
          </cell>
          <cell r="H27" t="str">
            <v>•  Radiological Protection Program
•  Nuclear Criticality Safety Program
•  Emergency Response Program
•  Performance Based Training Program
•  Conduct of Operations</v>
          </cell>
          <cell r="I27" t="str">
            <v>•  Radiological Protection Program
•  Nuclear Criticality Safety Program
•  Emergency Response Program
•  Performance Based Training Program
•  Conduct of Operations</v>
          </cell>
          <cell r="J27" t="str">
            <v>•  Radiological Protection Program
•  Nuclear Criticality Safety Program
•  Emergency Response Program
•  Performance Based Training Program
•  Conduct of Operations</v>
          </cell>
          <cell r="K27" t="str">
            <v>•  Radiological Protection Program
•  Nuclear Criticality Safety Program
•  Emergency Response Program
•  Performance Based Training Program
•  Conduct of Operations</v>
          </cell>
          <cell r="L27" t="str">
            <v>•  Radiological Protection Program
•  Nuclear Criticality Safety Program
•  Emergency Response Program
•  Performance Based Training Program
•  Conduct of Operations</v>
          </cell>
          <cell r="M27" t="str">
            <v>•  Radiological Protection Program
•  Nuclear Criticality Safety Program
•  Emergency Response Program
•  Performance Based Training Program
•  Conduct of Operations</v>
          </cell>
        </row>
        <row r="28">
          <cell r="A28" t="str">
            <v>Aircraft impact with fire</v>
          </cell>
          <cell r="B28" t="str">
            <v>E15</v>
          </cell>
          <cell r="C28" t="str">
            <v>• SAC for APPROVED CONTAINER use</v>
          </cell>
          <cell r="D28" t="str">
            <v>• SAC for APPROVED CONTAINER use</v>
          </cell>
          <cell r="E28" t="str">
            <v>• SAC for APPROVED CONTAINER use</v>
          </cell>
          <cell r="F28" t="str">
            <v>• SAC for APPROVED CONTAINER use</v>
          </cell>
          <cell r="G28" t="str">
            <v>• SAC for APPROVED CONTAINER use</v>
          </cell>
          <cell r="H28" t="str">
            <v>• SAC for APPROVED CONTAINER use</v>
          </cell>
          <cell r="I28" t="str">
            <v>• SAC for APPROVED CONTAINER use
• SAC for TRU WASTE AREAS</v>
          </cell>
          <cell r="J28" t="str">
            <v>• SAC for APPROVED CONTAINER use</v>
          </cell>
          <cell r="L28" t="str">
            <v>• SAC for APPROVED CONTAINER use</v>
          </cell>
        </row>
        <row r="29">
          <cell r="C29" t="str">
            <v>•  Radiological Protection Program
•  Emergency Response Program
•  Fire Protection Program
•  Performance Based Training Program
•  Conduct of Operations</v>
          </cell>
          <cell r="D29" t="str">
            <v>•  Radiological Protection Program
•  Emergency Response Program
•  Fire Protection Program
•  Performance Based Training Program
•  Conduct of Operations</v>
          </cell>
          <cell r="E29" t="str">
            <v>•  Radiological Protection Program
•  Emergency Response Program
•  Fire Protection Program
•  Performance Based Training Program
•  Conduct of Operations</v>
          </cell>
          <cell r="F29" t="str">
            <v>•  Radiological Protection Program
•  Emergency Response Program
•  Fire Protection Program
•  Performance Based Training Program
•  Conduct of Operations</v>
          </cell>
          <cell r="G29" t="str">
            <v>•  Radiological Protection Program
•  Emergency Response Program
•  Fire Protection Program
•  Performance Based Training Program
•  Conduct of Operations</v>
          </cell>
          <cell r="H29" t="str">
            <v>•  Radiological Protection Program
•  Emergency Response Program
•  Fire Protection Program
•  Performance Based Training Program
•  Conduct of Operations</v>
          </cell>
          <cell r="I29" t="str">
            <v>•  Radiological Protection Program
•  Emergency Response Program
•  Fire Protection Program
•  Performance Based Training Program
•  Conduct of Operations</v>
          </cell>
          <cell r="J29" t="str">
            <v>•  Radiological Protection Program
•  Emergency Response Program
•  Fire Protection Program
•  Performance Based Training Program
•  Conduct of Operations</v>
          </cell>
          <cell r="L29" t="str">
            <v>•  Radiological Protection Program
•  Emergency Response Program
•  Fire Protection Program
•  Performance Based Training Program
•  Conduct of Operations</v>
          </cell>
        </row>
        <row r="30">
          <cell r="A30" t="str">
            <v>External vehicle accident</v>
          </cell>
          <cell r="B30" t="str">
            <v>E16</v>
          </cell>
          <cell r="I30" t="str">
            <v>• SAC for TRU WASTE AREAS</v>
          </cell>
        </row>
        <row r="31">
          <cell r="C31" t="str">
            <v>•  Emergency Response Program
•  Radiological Protection Program</v>
          </cell>
          <cell r="E31" t="str">
            <v>•  Emergency Response Program
•  Radiological Protection Program</v>
          </cell>
          <cell r="I31" t="str">
            <v>•  Emergency Response Program
•  Radiological Protection Program</v>
          </cell>
        </row>
        <row r="32">
          <cell r="A32" t="str">
            <v>External vehicle accident with fire</v>
          </cell>
          <cell r="B32" t="str">
            <v>E17</v>
          </cell>
          <cell r="C32" t="str">
            <v>• SAC for APPROVED CONTAINER use</v>
          </cell>
          <cell r="I32" t="str">
            <v>• SAC for APPROVED CONTAINER use</v>
          </cell>
        </row>
        <row r="33">
          <cell r="C33" t="str">
            <v>•  Radiological Protection Program
•  Emergency Response Program
•  Fire Protection Program
•  Performance Based Training Program
•  Conduct of Operations</v>
          </cell>
          <cell r="E33" t="str">
            <v>•  Radiological Protection Program
•  Emergency Response Program
•  Fire Protection Program
•  Performance Based Training Program
•  Conduct of Operations</v>
          </cell>
          <cell r="I33" t="str">
            <v>•  Radiological Protection Program
•  Emergency Response Program
•  Fire Protection Program
•  Performance Based Training Program
•  Conduct of Operations</v>
          </cell>
        </row>
        <row r="34">
          <cell r="A34" t="str">
            <v>External explosion</v>
          </cell>
          <cell r="B34" t="str">
            <v>E18</v>
          </cell>
          <cell r="C34" t="str">
            <v>• SAC for APPROVED CONTAINER use</v>
          </cell>
          <cell r="F34" t="str">
            <v>• SAC for APPROVED CONTAINER use</v>
          </cell>
          <cell r="I34" t="str">
            <v>• SAC for APPROVED CONTAINER use</v>
          </cell>
          <cell r="J34" t="str">
            <v>• SAC for APPROVED CONTAINER use</v>
          </cell>
        </row>
        <row r="35">
          <cell r="C35" t="str">
            <v>•  Radiological Protection Program
•  Emergency Response Program
•  Fire Protection Program
•  Performance Based Training Program
•  Conduct of Operations</v>
          </cell>
          <cell r="E35" t="str">
            <v>•  Radiological Protection Program
•  Emergency Response Program
•  Fire Protection Program
•  Performance Based Training Program
•  Conduct of Operations</v>
          </cell>
          <cell r="F35" t="str">
            <v>•  Radiological Protection Program
•  Emergency Response Program
•  Fire Protection Program
•  Performance Based Training Program
•  Conduct of Operations</v>
          </cell>
          <cell r="G35" t="str">
            <v>•  Radiological Protection Program
•  Emergency Response Program
•  Fire Protection Program
•  Performance Based Training Program
•  Conduct of Operations</v>
          </cell>
          <cell r="I35" t="str">
            <v>•  Radiological Protection Program
•  Emergency Response Program
•  Fire Protection Program
•  Performance Based Training Program
•  Conduct of Operations</v>
          </cell>
          <cell r="J35" t="str">
            <v>•  Radiological Protection Program
•  Emergency Response Program
•  Fire Protection Program
•  Performance Based Training Program
•  Conduct of Operations</v>
          </cell>
        </row>
        <row r="36">
          <cell r="A36" t="str">
            <v>External fire</v>
          </cell>
          <cell r="B36" t="str">
            <v>E19</v>
          </cell>
          <cell r="C36" t="str">
            <v>• SAC for APPROVED CONTAINER use</v>
          </cell>
          <cell r="D36" t="str">
            <v>• SAC for APPROVED CONTAINER use</v>
          </cell>
          <cell r="F36" t="str">
            <v>• SAC for APPROVED CONTAINER use</v>
          </cell>
          <cell r="I36" t="str">
            <v>• SAC for APPROVED CONTAINER use</v>
          </cell>
          <cell r="J36" t="str">
            <v>• SAC for APPROVED CONTAINER use</v>
          </cell>
        </row>
        <row r="37">
          <cell r="C37" t="str">
            <v>•  Emergency Response Program
•  Fire Protection Program
•  Radiological Protection Program</v>
          </cell>
          <cell r="D37" t="str">
            <v>•  Emergency Response Program
•  Fire Protection Program
•  Radiological Protection Program</v>
          </cell>
          <cell r="E37" t="str">
            <v>•  Emergency Response Program
•  Fire Protection Program
•  Radiological Protection Program</v>
          </cell>
          <cell r="F37" t="str">
            <v>•  Emergency Response Program
•  Fire Protection Program
•  Radiological Protection Program</v>
          </cell>
          <cell r="I37" t="str">
            <v>•  Emergency Response Program
•  Fire Protection Program
•  Radiological Protection Program</v>
          </cell>
          <cell r="J37" t="str">
            <v>•  Emergency Response Program
•  Fire Protection Program
•  Radiological Protection Program</v>
          </cell>
        </row>
        <row r="38">
          <cell r="A38" t="str">
            <v>Lightning</v>
          </cell>
          <cell r="B38" t="str">
            <v>E20</v>
          </cell>
        </row>
        <row r="39">
          <cell r="C39" t="str">
            <v>•  Radiological Protection Program
•  Emergency Response Program
•  Fire Protection Program
•  Performance Based Training Program
•  Conduct of Operations</v>
          </cell>
          <cell r="E39" t="str">
            <v>•  Radiological Protection Program
•  Emergency Response Program
•  Fire Protection Program
•  Performance Based Training Program
•  Conduct of Operations</v>
          </cell>
          <cell r="I39" t="str">
            <v>•  Radiological Protection Program
•  Emergency Response Program
•  Fire Protection Program
•  Performance Based Training Program
•  Conduct of Operations</v>
          </cell>
        </row>
        <row r="40">
          <cell r="A40" t="str">
            <v>High wind</v>
          </cell>
          <cell r="B40" t="str">
            <v>E21</v>
          </cell>
        </row>
        <row r="41">
          <cell r="C41" t="str">
            <v>•  Radiological Protection Program
•  Emergency Response Program
•  Performance Based Training Program
•  Conduct of Operations</v>
          </cell>
          <cell r="E41" t="str">
            <v>•  Radiological Protection Program
•  Emergency Response Program
•  Performance Based Training Program
•  Conduct of Operations</v>
          </cell>
          <cell r="I41" t="str">
            <v>•  Radiological Protection Program
•  Emergency Response Program
•  Performance Based Training Program
•  Conduct of Operations</v>
          </cell>
        </row>
        <row r="42">
          <cell r="A42" t="str">
            <v>Tornado</v>
          </cell>
          <cell r="B42" t="str">
            <v>E22</v>
          </cell>
        </row>
        <row r="43">
          <cell r="C43" t="str">
            <v>•  Radiological Protection Program
•  Emergency Response Program
•  Performance Based Training Program
•  Conduct of Operations</v>
          </cell>
          <cell r="D43" t="str">
            <v>•  Radiological Protection Program
•  Emergency Response Program
•  Performance Based Training Program
•  Conduct of Operations</v>
          </cell>
          <cell r="E43" t="str">
            <v>•  Radiological Protection Program
•  Emergency Response Program
•  Performance Based Training Program
•  Conduct of Operations</v>
          </cell>
          <cell r="F43" t="str">
            <v>•  Radiological Protection Program
•  Emergency Response Program
•  Performance Based Training Program
•  Conduct of Operations</v>
          </cell>
          <cell r="G43" t="str">
            <v>•  Radiological Protection Program
•  Emergency Response Program
•  Performance Based Training Program
•  Conduct of Operations</v>
          </cell>
          <cell r="H43" t="str">
            <v>•  Radiological Protection Program
•  Emergency Response Program
•  Performance Based Training Program
•  Conduct of Operations</v>
          </cell>
          <cell r="I43" t="str">
            <v>•  Radiological Protection Program
•  Emergency Response Program
•  Performance Based Training Program
•  Conduct of Operations</v>
          </cell>
          <cell r="J43" t="str">
            <v>•  Radiological Protection Program
•  Emergency Response Program
•  Performance Based Training Program
•  Conduct of Operations</v>
          </cell>
          <cell r="L43" t="str">
            <v>•  Radiological Protection Program
•  Emergency Response Program
•  Performance Based Training Program
•  Conduct of Operations</v>
          </cell>
          <cell r="M43" t="str">
            <v>•  Radiological Protection Program
•  Emergency Response Program
•  Performance Based Training Program
•  Conduct of Operations</v>
          </cell>
        </row>
        <row r="44">
          <cell r="A44" t="str">
            <v>Snow and/or ice buildup</v>
          </cell>
          <cell r="B44" t="str">
            <v>E23</v>
          </cell>
        </row>
        <row r="45">
          <cell r="C45" t="str">
            <v>•  Radiological Protection Program
•  Performance Based Training Program
•  Conduct of Operations</v>
          </cell>
          <cell r="I45" t="str">
            <v>•  Radiological Protection Program
•  Performance Based Training Program
•  Conduct of Operations</v>
          </cell>
        </row>
        <row r="46">
          <cell r="A46" t="str">
            <v>Seismic event</v>
          </cell>
          <cell r="B46" t="str">
            <v>E24</v>
          </cell>
        </row>
        <row r="47">
          <cell r="C47" t="str">
            <v>•  Radiological Protection Program
•  Emergency Response Program
•  Performance Based Training Program
•  Conduct of Operations</v>
          </cell>
          <cell r="D47" t="str">
            <v>•  Radiological Protection Program
•  Emergency Response Program
•  Performance Based Training Program
•  Conduct of Operations</v>
          </cell>
          <cell r="E47" t="str">
            <v>•  Radiological Protection Program
•  Emergency Response Program
•  Performance Based Training Program
•  Conduct of Operations</v>
          </cell>
          <cell r="F47" t="str">
            <v>•  Radiological Protection Program
•  Emergency Response Program
•  Performance Based Training Program
•  Conduct of Operations</v>
          </cell>
          <cell r="G47" t="str">
            <v>•  Radiological Protection Program
•  Emergency Response Program
•  Performance Based Training Program
•  Conduct of Operations</v>
          </cell>
          <cell r="H47" t="str">
            <v>•  Radiological Protection Program
•  Emergency Response Program
•  Performance Based Training Program
•  Conduct of Operations</v>
          </cell>
          <cell r="I47" t="str">
            <v>•  Radiological Protection Program
•  Emergency Response Program
•  Performance Based Training Program
•  Conduct of Operations</v>
          </cell>
          <cell r="J47" t="str">
            <v>•  Radiological Protection Program
•  Emergency Response Program
•  Performance Based Training Program
•  Conduct of Operations</v>
          </cell>
          <cell r="L47" t="str">
            <v>•  Radiological Protection Program
•  Emergency Response Program
•  Performance Based Training Program
•  Conduct of Operations</v>
          </cell>
          <cell r="M47" t="str">
            <v>•  Radiological Protection Program
•  Emergency Response Program
•  Performance Based Training Program
•  Conduct of Operations</v>
          </cell>
        </row>
        <row r="48">
          <cell r="A48" t="str">
            <v>Loss of airborne contamination confinement</v>
          </cell>
          <cell r="B48" t="str">
            <v>AER</v>
          </cell>
        </row>
        <row r="49">
          <cell r="C49" t="str">
            <v>•  Radiological Protection Program
•  Performance Based Training Program
•  Conduct of Operations</v>
          </cell>
          <cell r="E49" t="str">
            <v>•  Radiological Protection Program
•  Performance Based Training Program
•  Conduct of Operations</v>
          </cell>
          <cell r="G49" t="str">
            <v>•  Radiological Protection Program
•  Performance Based Training Program
•  Conduct of Operations</v>
          </cell>
          <cell r="J49" t="str">
            <v>•  Radiological Protection Program
•  Performance Based Training Program
•  Conduct of Operations</v>
          </cell>
          <cell r="L49" t="str">
            <v>•  Radiological Protection Program
•  Performance Based Training Program
•  Conduct of Operations</v>
          </cell>
          <cell r="M49" t="str">
            <v>•  Radiological Protection Program
•  Performance Based Training Program
•  Conduct of Operations</v>
          </cell>
        </row>
        <row r="50">
          <cell r="A50" t="str">
            <v>Localized explosion within facility</v>
          </cell>
          <cell r="B50" t="str">
            <v>ES</v>
          </cell>
        </row>
        <row r="51">
          <cell r="C51" t="str">
            <v>•  Radiological Protection Program
•  Emergency Response Program
•  Fire Protection Program
•  Performance Based Training Program
•  Conduct of Operations</v>
          </cell>
          <cell r="G51" t="str">
            <v>•  Radiological Protection Program
•  Emergency Response Program
•  Fire Protection Program
•  Performance Based Training Program
•  Conduct of Operations</v>
          </cell>
          <cell r="J51" t="str">
            <v>•  Radiological Protection Program
•  Emergency Response Program
•  Fire Protection Program
•  Performance Based Training Program
•  Conduct of Operations</v>
          </cell>
          <cell r="L51" t="str">
            <v>•  Radiological Protection Program
•  Emergency Response Program
•  Fire Protection Program
•  Performance Based Training Program
•  Conduct of Operations</v>
          </cell>
        </row>
        <row r="52">
          <cell r="A52" t="str">
            <v>Loss of liquid contamination confinement</v>
          </cell>
          <cell r="B52" t="str">
            <v>FFS</v>
          </cell>
        </row>
        <row r="53">
          <cell r="C53" t="str">
            <v>•  Radiological Protection Program
•  Performance Based Training Program
•  Conduct of Operations</v>
          </cell>
          <cell r="D53" t="str">
            <v>•  Radiological Protection Program
•  Performance Based Training Program
•  Conduct of Operations</v>
          </cell>
          <cell r="F53" t="str">
            <v>•  Radiological Protection Program
•  Performance Based Training Program
•  Conduct of Operations</v>
          </cell>
          <cell r="G53" t="str">
            <v>•  Radiological Protection Program
•  Performance Based Training Program
•  Conduct of Operations</v>
          </cell>
          <cell r="H53" t="str">
            <v>•  Radiological Protection Program
•  Performance Based Training Program
•  Conduct of Operations</v>
          </cell>
          <cell r="I53" t="str">
            <v>•  Radiological Protection Program
•  Performance Based Training Program
•  Conduct of Operations</v>
          </cell>
          <cell r="J53" t="str">
            <v>•  Radiological Protection Program
•  Performance Based Training Program
•  Conduct of Operations</v>
          </cell>
          <cell r="K53" t="str">
            <v>•  Radiological Protection Program
•  Performance Based Training Program
•  Conduct of Operations</v>
          </cell>
          <cell r="L53" t="str">
            <v>•  Radiological Protection Program
•  Performance Based Training Program
•  Conduct of Operations</v>
          </cell>
          <cell r="M53" t="str">
            <v>•  Radiological Protection Program
•  Performance Based Training Program
•  Conduct of Operations</v>
          </cell>
        </row>
        <row r="54">
          <cell r="A54" t="str">
            <v>Flood</v>
          </cell>
          <cell r="B54" t="str">
            <v>FLD</v>
          </cell>
        </row>
        <row r="55">
          <cell r="C55" t="str">
            <v>•  Radiological Protection Program
•  Performance Based Training Program
•  Conduct of Operations</v>
          </cell>
          <cell r="D55" t="str">
            <v>•  Radiological Protection Program
•  Performance Based Training Program
•  Conduct of Operations</v>
          </cell>
          <cell r="E55" t="str">
            <v>•  Radiological Protection Program
•  Performance Based Training Program
•  Conduct of Operations</v>
          </cell>
          <cell r="F55" t="str">
            <v>•  Radiological Protection Program
•  Performance Based Training Program
•  Conduct of Operations</v>
          </cell>
          <cell r="G55" t="str">
            <v>•  Radiological Protection Program
•  Performance Based Training Program
•  Conduct of Operations</v>
          </cell>
          <cell r="H55" t="str">
            <v>•  Radiological Protection Program
•  Performance Based Training Program
•  Conduct of Operations</v>
          </cell>
          <cell r="I55" t="str">
            <v>•  Radiological Protection Program
•  Performance Based Training Program
•  Conduct of Operations</v>
          </cell>
          <cell r="J55" t="str">
            <v>•  Radiological Protection Program
•  Performance Based Training Program
•  Conduct of Operations</v>
          </cell>
          <cell r="L55" t="str">
            <v>•  Radiological Protection Program
•  Performance Based Training Program
•  Conduct of Operations</v>
          </cell>
        </row>
        <row r="56">
          <cell r="A56" t="str">
            <v>HEPA filter failure</v>
          </cell>
          <cell r="B56" t="str">
            <v>HB</v>
          </cell>
        </row>
        <row r="57">
          <cell r="C57" t="str">
            <v>•  Radiological Protection Program
•  Emergency Response Program
•  Performance Based Training Program
•  Conduct of Operations</v>
          </cell>
          <cell r="F57" t="str">
            <v>•  Radiological Protection Program
•  Emergency Response Program
•  Performance Based Training Program
•  Conduct of Operations</v>
          </cell>
          <cell r="G57" t="str">
            <v>•  Radiological Protection Program
•  Emergency Response Program
•  Performance Based Training Program
•  Conduct of Operations</v>
          </cell>
          <cell r="H57" t="str">
            <v>•  Radiological Protection Program
•  Emergency Response Program
•  Performance Based Training Program
•  Conduct of Operations</v>
          </cell>
          <cell r="J57" t="str">
            <v>•  Radiological Protection Program
•  Emergency Response Program
•  Performance Based Training Program
•  Conduct of Operations</v>
          </cell>
          <cell r="L57" t="str">
            <v>•  Radiological Protection Program
•  Emergency Response Program
•  Performance Based Training Program
•  Conduct of Operations</v>
          </cell>
          <cell r="M57" t="str">
            <v>•  Radiological Protection Program
•  Emergency Response Program
•  Performance Based Training Program
•  Conduct of Operations</v>
          </cell>
        </row>
        <row r="58">
          <cell r="A58" t="str">
            <v>HEPA filter fire</v>
          </cell>
          <cell r="B58" t="str">
            <v>HF</v>
          </cell>
        </row>
        <row r="59">
          <cell r="C59" t="str">
            <v>•  Radiological Protection Program
•  Emergency Response Program
•  Fire Protection Program
•  Performance Based Training Program
•  Conduct of Operations</v>
          </cell>
          <cell r="F59" t="str">
            <v>•  Radiological Protection Program
•  Emergency Response Program
•  Fire Protection Program
•  Performance Based Training Program
•  Conduct of Operations</v>
          </cell>
          <cell r="G59" t="str">
            <v>•  Radiological Protection Program
•  Emergency Response Program
•  Fire Protection Program
•  Performance Based Training Program
•  Conduct of Operations</v>
          </cell>
          <cell r="H59" t="str">
            <v>•  Radiological Protection Program
•  Emergency Response Program
•  Fire Protection Program
•  Performance Based Training Program
•  Conduct of Operations</v>
          </cell>
          <cell r="J59" t="str">
            <v>•  Radiological Protection Program
•  Emergency Response Program
•  Fire Protection Program
•  Performance Based Training Program
•  Conduct of Operations</v>
          </cell>
          <cell r="L59" t="str">
            <v>•  Radiological Protection Program
•  Emergency Response Program
•  Fire Protection Program
•  Performance Based Training Program
•  Conduct of Operations</v>
          </cell>
          <cell r="M59" t="str">
            <v>•  Radiological Protection Program
•  Emergency Response Program
•  Fire Protection Program
•  Performance Based Training Program
•  Conduct of Operations</v>
          </cell>
        </row>
        <row r="60">
          <cell r="A60" t="str">
            <v>Stack failure</v>
          </cell>
          <cell r="B60" t="str">
            <v>IS</v>
          </cell>
        </row>
        <row r="61">
          <cell r="C61" t="str">
            <v>•  Radiological Protection Program
•  Emergency Response Program
•  Performance Based Training Program
•  Conduct of Operations</v>
          </cell>
          <cell r="G61" t="str">
            <v>•  Radiological Protection Program
•  Emergency Response Program
•  Performance Based Training Program
•  Conduct of Operations</v>
          </cell>
        </row>
        <row r="62">
          <cell r="A62" t="str">
            <v>Corrosion</v>
          </cell>
          <cell r="B62" t="str">
            <v>HLW</v>
          </cell>
        </row>
        <row r="64">
          <cell r="A64" t="str">
            <v>Locomotive/ loaded rail car impacts storage casks</v>
          </cell>
          <cell r="B64" t="str">
            <v>HLW</v>
          </cell>
        </row>
        <row r="65">
          <cell r="C65" t="str">
            <v>•  Radiological Protection Program
•  Emergency Response Program
•  Performance Based Training Program
•  Conduct of Operations</v>
          </cell>
          <cell r="E65" t="str">
            <v>•  Radiological Protection Program
•  Emergency Response Program
•  Performance Based Training Program
•  Conduct of Operations</v>
          </cell>
        </row>
        <row r="66">
          <cell r="A66" t="str">
            <v>Seismic event (tip over)</v>
          </cell>
          <cell r="B66" t="str">
            <v>HLW</v>
          </cell>
        </row>
        <row r="67">
          <cell r="C67" t="str">
            <v>•  Radiological Protection Program
•  Emergency Response Program
•  Performance Based Training Program
•  Conduct of Operations</v>
          </cell>
          <cell r="E67" t="str">
            <v>•  Radiological Protection Program
•  Emergency Response Program
•  Performance Based Training Program
•  Conduct of Operations</v>
          </cell>
        </row>
        <row r="68">
          <cell r="A68" t="str">
            <v>Severe environmental conditions</v>
          </cell>
          <cell r="B68" t="str">
            <v>HLW</v>
          </cell>
        </row>
        <row r="70">
          <cell r="A70" t="str">
            <v>Storage cask tip-over due to transportation event</v>
          </cell>
          <cell r="B70" t="str">
            <v>HLW</v>
          </cell>
        </row>
        <row r="71">
          <cell r="C71" t="str">
            <v>•  Radiological Protection Program
•  Emergency Response Program
•  Performance Based Training Program
•  Conduct of Operations</v>
          </cell>
          <cell r="E71" t="str">
            <v>•  Radiological Protection Program
•  Emergency Response Program
•  Performance Based Training Program
•  Conduct of Operations</v>
          </cell>
        </row>
      </sheetData>
      <sheetData sheetId="12" refreshError="1"/>
      <sheetData sheetId="13"/>
      <sheetData sheetId="14" refreshError="1"/>
      <sheetData sheetId="15" refreshError="1"/>
      <sheetData sheetId="16" refreshError="1"/>
      <sheetData sheetId="17" refreshError="1"/>
    </sheetDataSet>
  </externalBook>
</externalLink>
</file>

<file path=xl/queryTables/queryTable1.xml><?xml version="1.0" encoding="utf-8"?>
<queryTable xmlns="http://schemas.openxmlformats.org/spreadsheetml/2006/main" name="Table_A11"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Table_A11" connectionId="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I72_Ing_1" connectionId="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I72_Inh_2"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mailto:=@ln(2)/(109.77*Conversions!B11)" TargetMode="External"/><Relationship Id="rId1" Type="http://schemas.openxmlformats.org/officeDocument/2006/relationships/hyperlink" Target="mailto:=@ln(2)/39864960" TargetMode="Externa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79"/>
  <sheetViews>
    <sheetView topLeftCell="H1" workbookViewId="0">
      <pane ySplit="1" topLeftCell="A98" activePane="bottomLeft" state="frozen"/>
      <selection pane="bottomLeft" activeCell="O120" sqref="O120"/>
    </sheetView>
  </sheetViews>
  <sheetFormatPr defaultRowHeight="15" x14ac:dyDescent="0.25"/>
  <cols>
    <col min="2" max="2" width="25" bestFit="1" customWidth="1"/>
    <col min="3" max="15" width="18.7109375" customWidth="1"/>
    <col min="18" max="18" width="9.140625" style="3"/>
  </cols>
  <sheetData>
    <row r="1" spans="1:19" x14ac:dyDescent="0.25">
      <c r="A1" t="s">
        <v>0</v>
      </c>
      <c r="B1" s="5" t="s">
        <v>139</v>
      </c>
      <c r="C1" t="s">
        <v>1219</v>
      </c>
      <c r="D1" t="s">
        <v>1220</v>
      </c>
      <c r="E1" t="s">
        <v>1221</v>
      </c>
      <c r="F1" t="s">
        <v>1222</v>
      </c>
      <c r="G1" t="s">
        <v>1223</v>
      </c>
      <c r="H1" t="s">
        <v>1224</v>
      </c>
      <c r="I1" t="s">
        <v>1225</v>
      </c>
      <c r="J1" t="s">
        <v>1226</v>
      </c>
      <c r="K1" t="s">
        <v>1227</v>
      </c>
      <c r="L1" t="s">
        <v>1228</v>
      </c>
      <c r="M1" t="s">
        <v>1229</v>
      </c>
      <c r="N1" t="s">
        <v>2084</v>
      </c>
      <c r="O1" t="s">
        <v>2085</v>
      </c>
      <c r="P1" s="5" t="s">
        <v>140</v>
      </c>
      <c r="Q1" s="5" t="s">
        <v>141</v>
      </c>
      <c r="R1" s="3" t="s">
        <v>584</v>
      </c>
      <c r="S1" s="5" t="s">
        <v>150</v>
      </c>
    </row>
    <row r="2" spans="1:19" x14ac:dyDescent="0.25">
      <c r="A2" t="s">
        <v>138</v>
      </c>
      <c r="B2" s="1">
        <v>4.6676577815484531E-12</v>
      </c>
      <c r="C2" s="2">
        <f t="shared" ref="C2:H11" si="0">IF(ISNA(VLOOKUP($A2,_68inh,COLUMN(C2)-1,FALSE)),-1,VLOOKUP($A2,_68inh,COLUMN(C2)-1,FALSE))</f>
        <v>-1</v>
      </c>
      <c r="D2" s="2">
        <f t="shared" si="0"/>
        <v>-1</v>
      </c>
      <c r="E2" s="2">
        <f t="shared" si="0"/>
        <v>4.0000000000000003E-5</v>
      </c>
      <c r="F2" s="2">
        <f t="shared" si="0"/>
        <v>2.6999999999999999E-5</v>
      </c>
      <c r="G2" s="2">
        <f t="shared" si="0"/>
        <v>-1</v>
      </c>
      <c r="H2" s="2">
        <f t="shared" si="0"/>
        <v>-1</v>
      </c>
      <c r="I2" s="2">
        <f t="shared" ref="I2:I34" si="1">IF(ISNA(VLOOKUP(A2,_68ing,2,FALSE)),-1,VLOOKUP(A2,_68ing,2,FALSE))</f>
        <v>2.1E-7</v>
      </c>
      <c r="J2" s="2">
        <f t="shared" ref="J2:J21" si="2">IF(ISNA(VLOOKUP($A2,_72inh,2,FALSE)),-1,VLOOKUP($A2,_72inh,2,FALSE))</f>
        <v>9.7999999999999997E-5</v>
      </c>
      <c r="K2" s="2">
        <f t="shared" ref="K2:K34" si="3">IF(ISNA(VLOOKUP($A2,_72inh,2,FALSE)),-1,VLOOKUP($A2,_72inh,3,FALSE))</f>
        <v>4.1999999999999998E-5</v>
      </c>
      <c r="L2" s="2">
        <f t="shared" ref="L2:L34" si="4">IF(ISNA(VLOOKUP($A2,_72inh,2,FALSE)),-1,VLOOKUP($A2,_72inh,4,FALSE))</f>
        <v>1.5999999999999999E-5</v>
      </c>
      <c r="M2" s="2">
        <f t="shared" ref="M2:M34" si="5">IF(ISNA(VLOOKUP(A2,_72ing,2,FALSE)),-1,VLOOKUP(A2,_72ing,2,FALSE))</f>
        <v>2.1E-7</v>
      </c>
      <c r="N2" s="2">
        <f t="shared" ref="N2:N33" si="6">VLOOKUP($A2,A1A2,2,FALSE)</f>
        <v>9</v>
      </c>
      <c r="O2" s="2">
        <f t="shared" ref="O2:O33" si="7">VLOOKUP($A2,A1A2,3,FALSE)</f>
        <v>9.0000000000000008E-4</v>
      </c>
      <c r="P2" t="s">
        <v>133</v>
      </c>
      <c r="Q2">
        <v>0.99973699999999999</v>
      </c>
      <c r="R2" s="4">
        <f t="shared" ref="R2:R34" si="8">VALUE(IF(RIGHT(RIGHT(A2,SEARCH("-",A2)),1)="M", RIGHT(LEFT(A2,LEN(A2)-1),LEN(LEFT(A2,LEN(A2)-1))-SEARCH("-",A2)),RIGHT(A2,LEN(A2)-SEARCH("-",A2))))</f>
        <v>246</v>
      </c>
      <c r="S2">
        <v>1</v>
      </c>
    </row>
    <row r="3" spans="1:19" x14ac:dyDescent="0.25">
      <c r="A3" t="s">
        <v>133</v>
      </c>
      <c r="B3" s="1">
        <v>5.8592322955194024E-14</v>
      </c>
      <c r="C3" s="2">
        <f t="shared" si="0"/>
        <v>-1</v>
      </c>
      <c r="D3" s="2">
        <f t="shared" si="0"/>
        <v>-1</v>
      </c>
      <c r="E3" s="2">
        <f t="shared" si="0"/>
        <v>4.3999999999999999E-5</v>
      </c>
      <c r="F3" s="2">
        <f t="shared" si="0"/>
        <v>3.1000000000000001E-5</v>
      </c>
      <c r="G3" s="2">
        <f t="shared" si="0"/>
        <v>1.4E-5</v>
      </c>
      <c r="H3" s="2">
        <f t="shared" si="0"/>
        <v>7.7000000000000008E-6</v>
      </c>
      <c r="I3" s="2">
        <f t="shared" si="1"/>
        <v>2.3999999999999998E-7</v>
      </c>
      <c r="J3" s="2">
        <f t="shared" si="2"/>
        <v>1.1E-4</v>
      </c>
      <c r="K3" s="2">
        <f t="shared" si="3"/>
        <v>4.8000000000000001E-5</v>
      </c>
      <c r="L3" s="2">
        <f t="shared" si="4"/>
        <v>1.5E-5</v>
      </c>
      <c r="M3" s="2">
        <f t="shared" si="5"/>
        <v>2.3999999999999998E-7</v>
      </c>
      <c r="N3" s="2">
        <f t="shared" si="6"/>
        <v>10</v>
      </c>
      <c r="O3" s="2">
        <f t="shared" si="7"/>
        <v>1E-3</v>
      </c>
      <c r="P3" t="s">
        <v>98</v>
      </c>
      <c r="Q3">
        <v>1</v>
      </c>
      <c r="R3" s="4">
        <f t="shared" si="8"/>
        <v>242</v>
      </c>
      <c r="S3">
        <v>2</v>
      </c>
    </row>
    <row r="4" spans="1:19" x14ac:dyDescent="0.25">
      <c r="A4" t="s">
        <v>98</v>
      </c>
      <c r="B4" s="1">
        <v>4.9159598759243801E-18</v>
      </c>
      <c r="C4" s="2">
        <f t="shared" si="0"/>
        <v>4.8999999999999997E-7</v>
      </c>
      <c r="D4" s="2">
        <f t="shared" si="0"/>
        <v>5.7999999999999995E-7</v>
      </c>
      <c r="E4" s="2">
        <f t="shared" si="0"/>
        <v>2.6000000000000001E-6</v>
      </c>
      <c r="F4" s="2">
        <f t="shared" si="0"/>
        <v>1.5999999999999999E-6</v>
      </c>
      <c r="G4" s="2">
        <f t="shared" si="0"/>
        <v>7.3000000000000004E-6</v>
      </c>
      <c r="H4" s="2">
        <f t="shared" si="0"/>
        <v>5.6999999999999996E-6</v>
      </c>
      <c r="I4" s="2">
        <f t="shared" si="1"/>
        <v>4.3999999999999997E-8</v>
      </c>
      <c r="J4" s="2">
        <f t="shared" si="2"/>
        <v>4.9999999999999998E-7</v>
      </c>
      <c r="K4" s="2">
        <f t="shared" si="3"/>
        <v>2.9000000000000002E-6</v>
      </c>
      <c r="L4" s="2">
        <f t="shared" si="4"/>
        <v>7.9999999999999996E-6</v>
      </c>
      <c r="M4" s="2">
        <f t="shared" si="5"/>
        <v>4.4999999999999999E-8</v>
      </c>
      <c r="N4" s="2">
        <f t="shared" si="6"/>
        <v>-1</v>
      </c>
      <c r="O4" s="2">
        <f t="shared" si="7"/>
        <v>-1</v>
      </c>
      <c r="P4" t="s">
        <v>92</v>
      </c>
      <c r="Q4">
        <v>1</v>
      </c>
      <c r="R4" s="4">
        <f t="shared" si="8"/>
        <v>238</v>
      </c>
      <c r="S4">
        <v>3</v>
      </c>
    </row>
    <row r="5" spans="1:19" x14ac:dyDescent="0.25">
      <c r="A5" t="s">
        <v>92</v>
      </c>
      <c r="B5" s="1">
        <v>3.32885344897776E-7</v>
      </c>
      <c r="C5" s="2">
        <f t="shared" si="0"/>
        <v>-1</v>
      </c>
      <c r="D5" s="2">
        <f t="shared" si="0"/>
        <v>-1</v>
      </c>
      <c r="E5" s="2">
        <f t="shared" si="0"/>
        <v>6.3000000000000002E-9</v>
      </c>
      <c r="F5" s="2">
        <f t="shared" si="0"/>
        <v>5.3000000000000003E-9</v>
      </c>
      <c r="G5" s="2">
        <f t="shared" si="0"/>
        <v>7.3E-9</v>
      </c>
      <c r="H5" s="2">
        <f t="shared" si="0"/>
        <v>5.7999999999999998E-9</v>
      </c>
      <c r="I5" s="2">
        <f t="shared" si="1"/>
        <v>3.3999999999999998E-9</v>
      </c>
      <c r="J5" s="2">
        <f t="shared" si="2"/>
        <v>2.5000000000000001E-9</v>
      </c>
      <c r="K5" s="2">
        <f t="shared" si="3"/>
        <v>6.6000000000000004E-9</v>
      </c>
      <c r="L5" s="2">
        <f t="shared" si="4"/>
        <v>7.6999999999999995E-9</v>
      </c>
      <c r="M5" s="2">
        <f t="shared" si="5"/>
        <v>3.3999999999999998E-9</v>
      </c>
      <c r="N5" s="2">
        <f t="shared" si="6"/>
        <v>0.30000000000000004</v>
      </c>
      <c r="O5" s="2">
        <f t="shared" si="7"/>
        <v>0.30000000000000004</v>
      </c>
      <c r="P5" t="s">
        <v>91</v>
      </c>
      <c r="Q5">
        <v>1</v>
      </c>
      <c r="R5" s="4">
        <f t="shared" si="8"/>
        <v>234</v>
      </c>
      <c r="S5">
        <v>4</v>
      </c>
    </row>
    <row r="6" spans="1:19" x14ac:dyDescent="0.25">
      <c r="A6" t="s">
        <v>91</v>
      </c>
      <c r="B6" s="1">
        <v>9.9676039769908704E-3</v>
      </c>
      <c r="C6" s="2">
        <f t="shared" si="0"/>
        <v>-1</v>
      </c>
      <c r="D6" s="2">
        <f t="shared" si="0"/>
        <v>-1</v>
      </c>
      <c r="E6" s="2">
        <f t="shared" si="0"/>
        <v>-1</v>
      </c>
      <c r="F6" s="2">
        <f t="shared" si="0"/>
        <v>-1</v>
      </c>
      <c r="G6" s="2">
        <f t="shared" si="0"/>
        <v>-1</v>
      </c>
      <c r="H6" s="2">
        <f t="shared" si="0"/>
        <v>-1</v>
      </c>
      <c r="I6" s="2">
        <f t="shared" si="1"/>
        <v>-1</v>
      </c>
      <c r="J6" s="2">
        <f t="shared" si="2"/>
        <v>-1</v>
      </c>
      <c r="K6" s="2">
        <f t="shared" si="3"/>
        <v>-1</v>
      </c>
      <c r="L6" s="2">
        <f t="shared" si="4"/>
        <v>-1</v>
      </c>
      <c r="M6" s="2">
        <f t="shared" si="5"/>
        <v>-1</v>
      </c>
      <c r="N6" s="2">
        <f t="shared" si="6"/>
        <v>0</v>
      </c>
      <c r="O6" s="2">
        <f t="shared" si="7"/>
        <v>0</v>
      </c>
      <c r="P6" t="s">
        <v>89</v>
      </c>
      <c r="Q6">
        <v>0.99839999999999995</v>
      </c>
      <c r="R6" s="4">
        <f t="shared" si="8"/>
        <v>234</v>
      </c>
      <c r="S6">
        <v>5</v>
      </c>
    </row>
    <row r="7" spans="1:19" x14ac:dyDescent="0.25">
      <c r="A7" t="s">
        <v>91</v>
      </c>
      <c r="B7" s="1">
        <v>9.9676039769908704E-3</v>
      </c>
      <c r="C7" s="2">
        <f t="shared" si="0"/>
        <v>-1</v>
      </c>
      <c r="D7" s="2">
        <f t="shared" si="0"/>
        <v>-1</v>
      </c>
      <c r="E7" s="2">
        <f t="shared" si="0"/>
        <v>-1</v>
      </c>
      <c r="F7" s="2">
        <f t="shared" si="0"/>
        <v>-1</v>
      </c>
      <c r="G7" s="2">
        <f t="shared" si="0"/>
        <v>-1</v>
      </c>
      <c r="H7" s="2">
        <f t="shared" si="0"/>
        <v>-1</v>
      </c>
      <c r="I7" s="2">
        <f t="shared" si="1"/>
        <v>-1</v>
      </c>
      <c r="J7" s="2">
        <f t="shared" si="2"/>
        <v>-1</v>
      </c>
      <c r="K7" s="2">
        <f t="shared" si="3"/>
        <v>-1</v>
      </c>
      <c r="L7" s="2">
        <f t="shared" si="4"/>
        <v>-1</v>
      </c>
      <c r="M7" s="2">
        <f t="shared" si="5"/>
        <v>-1</v>
      </c>
      <c r="N7" s="2">
        <f t="shared" si="6"/>
        <v>0</v>
      </c>
      <c r="O7" s="2">
        <f t="shared" si="7"/>
        <v>0</v>
      </c>
      <c r="P7" t="s">
        <v>90</v>
      </c>
      <c r="Q7">
        <v>1.6000000000000001E-3</v>
      </c>
      <c r="R7" s="4">
        <f t="shared" si="8"/>
        <v>234</v>
      </c>
      <c r="S7">
        <v>6</v>
      </c>
    </row>
    <row r="8" spans="1:19" x14ac:dyDescent="0.25">
      <c r="A8" t="s">
        <v>89</v>
      </c>
      <c r="B8" s="1">
        <v>8.9468467314175696E-14</v>
      </c>
      <c r="C8" s="2">
        <f t="shared" si="0"/>
        <v>5.5000000000000003E-7</v>
      </c>
      <c r="D8" s="2">
        <f t="shared" si="0"/>
        <v>6.4000000000000001E-7</v>
      </c>
      <c r="E8" s="2">
        <f t="shared" si="0"/>
        <v>3.1E-6</v>
      </c>
      <c r="F8" s="2">
        <f t="shared" si="0"/>
        <v>2.0999999999999998E-6</v>
      </c>
      <c r="G8" s="2">
        <f t="shared" si="0"/>
        <v>8.4999999999999999E-6</v>
      </c>
      <c r="H8" s="2">
        <f t="shared" si="0"/>
        <v>6.8000000000000001E-6</v>
      </c>
      <c r="I8" s="2">
        <f t="shared" si="1"/>
        <v>4.9000000000000002E-8</v>
      </c>
      <c r="J8" s="2">
        <f t="shared" si="2"/>
        <v>5.6000000000000004E-7</v>
      </c>
      <c r="K8" s="2">
        <f t="shared" si="3"/>
        <v>3.4999999999999999E-6</v>
      </c>
      <c r="L8" s="2">
        <f t="shared" si="4"/>
        <v>9.3999999999999998E-6</v>
      </c>
      <c r="M8" s="2">
        <f t="shared" si="5"/>
        <v>4.9000000000000002E-8</v>
      </c>
      <c r="N8" s="2">
        <f t="shared" si="6"/>
        <v>40</v>
      </c>
      <c r="O8" s="2">
        <f t="shared" si="7"/>
        <v>6.0000000000000001E-3</v>
      </c>
      <c r="P8" t="s">
        <v>83</v>
      </c>
      <c r="Q8">
        <v>1</v>
      </c>
      <c r="R8" s="4">
        <f t="shared" si="8"/>
        <v>234</v>
      </c>
      <c r="S8">
        <v>7</v>
      </c>
    </row>
    <row r="9" spans="1:19" x14ac:dyDescent="0.25">
      <c r="A9" t="s">
        <v>83</v>
      </c>
      <c r="B9" s="1">
        <v>2.9130648177228301E-13</v>
      </c>
      <c r="C9" s="2">
        <f t="shared" si="0"/>
        <v>-1</v>
      </c>
      <c r="D9" s="2">
        <f t="shared" si="0"/>
        <v>-1</v>
      </c>
      <c r="E9" s="2">
        <f t="shared" si="0"/>
        <v>4.0000000000000003E-5</v>
      </c>
      <c r="F9" s="2">
        <f t="shared" si="0"/>
        <v>2.8E-5</v>
      </c>
      <c r="G9" s="2">
        <f t="shared" si="0"/>
        <v>1.2999999999999999E-5</v>
      </c>
      <c r="H9" s="2">
        <f t="shared" si="0"/>
        <v>7.1999999999999997E-6</v>
      </c>
      <c r="I9" s="2">
        <f t="shared" si="1"/>
        <v>2.1E-7</v>
      </c>
      <c r="J9" s="2">
        <f t="shared" si="2"/>
        <v>1E-4</v>
      </c>
      <c r="K9" s="2">
        <f t="shared" si="3"/>
        <v>4.3000000000000002E-5</v>
      </c>
      <c r="L9" s="2">
        <f t="shared" si="4"/>
        <v>1.4E-5</v>
      </c>
      <c r="M9" s="2">
        <f t="shared" si="5"/>
        <v>2.1E-7</v>
      </c>
      <c r="N9" s="2">
        <f t="shared" si="6"/>
        <v>10</v>
      </c>
      <c r="O9" s="2">
        <f t="shared" si="7"/>
        <v>1E-3</v>
      </c>
      <c r="P9" t="s">
        <v>76</v>
      </c>
      <c r="Q9">
        <v>1</v>
      </c>
      <c r="R9" s="4">
        <f t="shared" si="8"/>
        <v>230</v>
      </c>
      <c r="S9">
        <v>8</v>
      </c>
    </row>
    <row r="10" spans="1:19" x14ac:dyDescent="0.25">
      <c r="A10" t="s">
        <v>76</v>
      </c>
      <c r="B10" s="1">
        <v>1.37278179535188E-11</v>
      </c>
      <c r="C10" s="2">
        <f t="shared" si="0"/>
        <v>-1</v>
      </c>
      <c r="D10" s="2">
        <f t="shared" si="0"/>
        <v>-1</v>
      </c>
      <c r="E10" s="2">
        <f t="shared" si="0"/>
        <v>3.1999999999999999E-6</v>
      </c>
      <c r="F10" s="2">
        <f t="shared" si="0"/>
        <v>2.2000000000000001E-6</v>
      </c>
      <c r="G10" s="2">
        <f t="shared" si="0"/>
        <v>-1</v>
      </c>
      <c r="H10" s="2">
        <f t="shared" si="0"/>
        <v>-1</v>
      </c>
      <c r="I10" s="2">
        <f t="shared" si="1"/>
        <v>2.8000000000000002E-7</v>
      </c>
      <c r="J10" s="2">
        <f t="shared" si="2"/>
        <v>3.5999999999999999E-7</v>
      </c>
      <c r="K10" s="2">
        <f t="shared" si="3"/>
        <v>3.4999999999999999E-6</v>
      </c>
      <c r="L10" s="2">
        <f t="shared" si="4"/>
        <v>9.5000000000000005E-6</v>
      </c>
      <c r="M10" s="2">
        <f t="shared" si="5"/>
        <v>2.8000000000000002E-7</v>
      </c>
      <c r="N10" s="2">
        <f t="shared" si="6"/>
        <v>0.2</v>
      </c>
      <c r="O10" s="2">
        <f t="shared" si="7"/>
        <v>3.0000000000000001E-3</v>
      </c>
      <c r="P10" t="s">
        <v>70</v>
      </c>
      <c r="Q10">
        <v>1</v>
      </c>
      <c r="R10" s="4">
        <f t="shared" si="8"/>
        <v>226</v>
      </c>
      <c r="S10">
        <v>9</v>
      </c>
    </row>
    <row r="11" spans="1:19" x14ac:dyDescent="0.25">
      <c r="A11" t="s">
        <v>70</v>
      </c>
      <c r="B11" s="1">
        <v>2.0982180755947202E-6</v>
      </c>
      <c r="C11" s="2">
        <f t="shared" si="0"/>
        <v>-1</v>
      </c>
      <c r="D11" s="2">
        <f t="shared" si="0"/>
        <v>-1</v>
      </c>
      <c r="E11" s="2">
        <f t="shared" si="0"/>
        <v>-1</v>
      </c>
      <c r="F11" s="2">
        <f t="shared" si="0"/>
        <v>-1</v>
      </c>
      <c r="G11" s="2">
        <f t="shared" si="0"/>
        <v>-1</v>
      </c>
      <c r="H11" s="2">
        <f t="shared" si="0"/>
        <v>-1</v>
      </c>
      <c r="I11" s="2">
        <f t="shared" si="1"/>
        <v>-1</v>
      </c>
      <c r="J11" s="2">
        <f t="shared" si="2"/>
        <v>-1</v>
      </c>
      <c r="K11" s="2">
        <f t="shared" si="3"/>
        <v>-1</v>
      </c>
      <c r="L11" s="2">
        <f t="shared" si="4"/>
        <v>-1</v>
      </c>
      <c r="M11" s="2">
        <f t="shared" si="5"/>
        <v>-1</v>
      </c>
      <c r="N11" s="2">
        <f t="shared" si="6"/>
        <v>0.30000000000000004</v>
      </c>
      <c r="O11" s="2">
        <f t="shared" si="7"/>
        <v>4.0000000000000001E-3</v>
      </c>
      <c r="P11" t="s">
        <v>65</v>
      </c>
      <c r="Q11">
        <v>1</v>
      </c>
      <c r="R11" s="4">
        <f t="shared" si="8"/>
        <v>222</v>
      </c>
      <c r="S11">
        <v>10</v>
      </c>
    </row>
    <row r="12" spans="1:19" x14ac:dyDescent="0.25">
      <c r="A12" t="s">
        <v>65</v>
      </c>
      <c r="B12" s="1">
        <v>3.7290035536902601E-3</v>
      </c>
      <c r="C12" s="2">
        <f t="shared" ref="C12:H21" si="9">IF(ISNA(VLOOKUP($A12,_68inh,COLUMN(C12)-1,FALSE)),-1,VLOOKUP($A12,_68inh,COLUMN(C12)-1,FALSE))</f>
        <v>-1</v>
      </c>
      <c r="D12" s="2">
        <f t="shared" si="9"/>
        <v>-1</v>
      </c>
      <c r="E12" s="2">
        <f t="shared" si="9"/>
        <v>-1</v>
      </c>
      <c r="F12" s="2">
        <f t="shared" si="9"/>
        <v>-1</v>
      </c>
      <c r="G12" s="2">
        <f t="shared" si="9"/>
        <v>-1</v>
      </c>
      <c r="H12" s="2">
        <f t="shared" si="9"/>
        <v>-1</v>
      </c>
      <c r="I12" s="2">
        <f t="shared" si="1"/>
        <v>-1</v>
      </c>
      <c r="J12" s="2">
        <f t="shared" si="2"/>
        <v>-1</v>
      </c>
      <c r="K12" s="2">
        <f t="shared" si="3"/>
        <v>-1</v>
      </c>
      <c r="L12" s="2">
        <f t="shared" si="4"/>
        <v>-1</v>
      </c>
      <c r="M12" s="2">
        <f t="shared" si="5"/>
        <v>-1</v>
      </c>
      <c r="N12" s="2">
        <f t="shared" si="6"/>
        <v>0</v>
      </c>
      <c r="O12" s="2">
        <f t="shared" si="7"/>
        <v>0</v>
      </c>
      <c r="P12" t="s">
        <v>56</v>
      </c>
      <c r="Q12">
        <v>0.99980000000000002</v>
      </c>
      <c r="R12" s="4">
        <f t="shared" si="8"/>
        <v>218</v>
      </c>
      <c r="S12">
        <v>11</v>
      </c>
    </row>
    <row r="13" spans="1:19" x14ac:dyDescent="0.25">
      <c r="A13" t="s">
        <v>65</v>
      </c>
      <c r="B13" s="1">
        <v>3.7290035536902601E-3</v>
      </c>
      <c r="C13" s="2">
        <f t="shared" si="9"/>
        <v>-1</v>
      </c>
      <c r="D13" s="2">
        <f t="shared" si="9"/>
        <v>-1</v>
      </c>
      <c r="E13" s="2">
        <f t="shared" si="9"/>
        <v>-1</v>
      </c>
      <c r="F13" s="2">
        <f t="shared" si="9"/>
        <v>-1</v>
      </c>
      <c r="G13" s="2">
        <f t="shared" si="9"/>
        <v>-1</v>
      </c>
      <c r="H13" s="2">
        <f t="shared" si="9"/>
        <v>-1</v>
      </c>
      <c r="I13" s="2">
        <f t="shared" si="1"/>
        <v>-1</v>
      </c>
      <c r="J13" s="2">
        <f t="shared" si="2"/>
        <v>-1</v>
      </c>
      <c r="K13" s="2">
        <f t="shared" si="3"/>
        <v>-1</v>
      </c>
      <c r="L13" s="2">
        <f t="shared" si="4"/>
        <v>-1</v>
      </c>
      <c r="M13" s="2">
        <f t="shared" si="5"/>
        <v>-1</v>
      </c>
      <c r="N13" s="2">
        <f t="shared" si="6"/>
        <v>0</v>
      </c>
      <c r="O13" s="2">
        <f t="shared" si="7"/>
        <v>0</v>
      </c>
      <c r="P13" t="s">
        <v>64</v>
      </c>
      <c r="Q13">
        <v>2.0000000000000001E-4</v>
      </c>
      <c r="R13" s="4">
        <f t="shared" si="8"/>
        <v>218</v>
      </c>
      <c r="S13">
        <v>12</v>
      </c>
    </row>
    <row r="14" spans="1:19" x14ac:dyDescent="0.25">
      <c r="A14" t="s">
        <v>56</v>
      </c>
      <c r="B14" s="1">
        <v>4.31061679452702E-4</v>
      </c>
      <c r="C14" s="2">
        <f t="shared" si="9"/>
        <v>2.8999999999999999E-9</v>
      </c>
      <c r="D14" s="2">
        <f t="shared" si="9"/>
        <v>4.8E-9</v>
      </c>
      <c r="E14" s="2">
        <f t="shared" si="9"/>
        <v>-1</v>
      </c>
      <c r="F14" s="2">
        <f t="shared" si="9"/>
        <v>-1</v>
      </c>
      <c r="G14" s="2">
        <f t="shared" si="9"/>
        <v>-1</v>
      </c>
      <c r="H14" s="2">
        <f t="shared" si="9"/>
        <v>-1</v>
      </c>
      <c r="I14" s="2">
        <f t="shared" si="1"/>
        <v>1.4000000000000001E-10</v>
      </c>
      <c r="J14" s="2">
        <f t="shared" si="2"/>
        <v>2.7999999999999998E-9</v>
      </c>
      <c r="K14" s="2">
        <f t="shared" si="3"/>
        <v>1.4E-8</v>
      </c>
      <c r="L14" s="2">
        <f t="shared" si="4"/>
        <v>1.4999999999999999E-8</v>
      </c>
      <c r="M14" s="2">
        <f t="shared" si="5"/>
        <v>1.4000000000000001E-10</v>
      </c>
      <c r="N14" s="2">
        <f t="shared" si="6"/>
        <v>0</v>
      </c>
      <c r="O14" s="2">
        <f t="shared" si="7"/>
        <v>0</v>
      </c>
      <c r="P14" t="s">
        <v>55</v>
      </c>
      <c r="Q14">
        <v>1</v>
      </c>
      <c r="R14" s="4">
        <f t="shared" si="8"/>
        <v>214</v>
      </c>
      <c r="S14">
        <v>13</v>
      </c>
    </row>
    <row r="15" spans="1:19" x14ac:dyDescent="0.25">
      <c r="A15" t="s">
        <v>55</v>
      </c>
      <c r="B15" s="1">
        <v>5.8052527685087505E-4</v>
      </c>
      <c r="C15" s="2">
        <f t="shared" si="9"/>
        <v>7.2E-9</v>
      </c>
      <c r="D15" s="2">
        <f t="shared" si="9"/>
        <v>1.2E-8</v>
      </c>
      <c r="E15" s="2">
        <f t="shared" si="9"/>
        <v>1.4E-8</v>
      </c>
      <c r="F15" s="2">
        <f t="shared" si="9"/>
        <v>2.0999999999999999E-8</v>
      </c>
      <c r="G15" s="2">
        <f t="shared" si="9"/>
        <v>-1</v>
      </c>
      <c r="H15" s="2">
        <f t="shared" si="9"/>
        <v>-1</v>
      </c>
      <c r="I15" s="2">
        <f t="shared" si="1"/>
        <v>1.0999999999999999E-10</v>
      </c>
      <c r="J15" s="2">
        <f t="shared" si="2"/>
        <v>7.0999999999999999E-9</v>
      </c>
      <c r="K15" s="2">
        <f t="shared" si="3"/>
        <v>1.4E-8</v>
      </c>
      <c r="L15" s="2">
        <f t="shared" si="4"/>
        <v>-1</v>
      </c>
      <c r="M15" s="2">
        <f t="shared" si="5"/>
        <v>1.0999999999999999E-10</v>
      </c>
      <c r="N15" s="2">
        <f t="shared" si="6"/>
        <v>0</v>
      </c>
      <c r="O15" s="2">
        <f t="shared" si="7"/>
        <v>0</v>
      </c>
      <c r="P15" t="s">
        <v>54</v>
      </c>
      <c r="Q15">
        <v>0.99790000000000001</v>
      </c>
      <c r="R15" s="4">
        <f t="shared" si="8"/>
        <v>214</v>
      </c>
      <c r="S15">
        <v>14</v>
      </c>
    </row>
    <row r="16" spans="1:19" x14ac:dyDescent="0.25">
      <c r="A16" t="s">
        <v>55</v>
      </c>
      <c r="B16" s="1">
        <v>5.8052527685087505E-4</v>
      </c>
      <c r="C16" s="2">
        <f t="shared" si="9"/>
        <v>7.2E-9</v>
      </c>
      <c r="D16" s="2">
        <f t="shared" si="9"/>
        <v>1.2E-8</v>
      </c>
      <c r="E16" s="2">
        <f t="shared" si="9"/>
        <v>1.4E-8</v>
      </c>
      <c r="F16" s="2">
        <f t="shared" si="9"/>
        <v>2.0999999999999999E-8</v>
      </c>
      <c r="G16" s="2">
        <f t="shared" si="9"/>
        <v>-1</v>
      </c>
      <c r="H16" s="2">
        <f t="shared" si="9"/>
        <v>-1</v>
      </c>
      <c r="I16" s="2">
        <f t="shared" si="1"/>
        <v>1.0999999999999999E-10</v>
      </c>
      <c r="J16" s="2">
        <f t="shared" si="2"/>
        <v>7.0999999999999999E-9</v>
      </c>
      <c r="K16" s="2">
        <f t="shared" si="3"/>
        <v>1.4E-8</v>
      </c>
      <c r="L16" s="2">
        <f t="shared" si="4"/>
        <v>-1</v>
      </c>
      <c r="M16" s="2">
        <f t="shared" si="5"/>
        <v>1.0999999999999999E-10</v>
      </c>
      <c r="N16" s="2">
        <f t="shared" si="6"/>
        <v>0</v>
      </c>
      <c r="O16" s="2">
        <f t="shared" si="7"/>
        <v>0</v>
      </c>
      <c r="P16" t="s">
        <v>45</v>
      </c>
      <c r="Q16">
        <v>2.0999999999999899E-3</v>
      </c>
      <c r="R16" s="4">
        <f t="shared" si="8"/>
        <v>214</v>
      </c>
      <c r="S16">
        <v>15</v>
      </c>
    </row>
    <row r="17" spans="1:19" x14ac:dyDescent="0.25">
      <c r="A17" t="s">
        <v>54</v>
      </c>
      <c r="B17" s="1">
        <v>4218.7898999387999</v>
      </c>
      <c r="C17" s="2">
        <f t="shared" si="9"/>
        <v>-1</v>
      </c>
      <c r="D17" s="2">
        <f t="shared" si="9"/>
        <v>-1</v>
      </c>
      <c r="E17" s="2">
        <f t="shared" si="9"/>
        <v>-1</v>
      </c>
      <c r="F17" s="2">
        <f t="shared" si="9"/>
        <v>-1</v>
      </c>
      <c r="G17" s="2">
        <f t="shared" si="9"/>
        <v>-1</v>
      </c>
      <c r="H17" s="2">
        <f t="shared" si="9"/>
        <v>-1</v>
      </c>
      <c r="I17" s="2">
        <f t="shared" si="1"/>
        <v>-1</v>
      </c>
      <c r="J17" s="2">
        <f t="shared" si="2"/>
        <v>-1</v>
      </c>
      <c r="K17" s="2">
        <f t="shared" si="3"/>
        <v>-1</v>
      </c>
      <c r="L17" s="2">
        <f t="shared" si="4"/>
        <v>-1</v>
      </c>
      <c r="M17" s="2">
        <f t="shared" si="5"/>
        <v>-1</v>
      </c>
      <c r="N17" s="2">
        <f t="shared" si="6"/>
        <v>0</v>
      </c>
      <c r="O17" s="2">
        <f t="shared" si="7"/>
        <v>0</v>
      </c>
      <c r="P17" t="s">
        <v>44</v>
      </c>
      <c r="Q17">
        <v>1</v>
      </c>
      <c r="R17" s="4">
        <f t="shared" si="8"/>
        <v>214</v>
      </c>
      <c r="S17">
        <v>16</v>
      </c>
    </row>
    <row r="18" spans="1:19" x14ac:dyDescent="0.25">
      <c r="A18" t="s">
        <v>44</v>
      </c>
      <c r="B18" s="1">
        <v>9.8939228493829396E-10</v>
      </c>
      <c r="C18" s="2">
        <f t="shared" si="9"/>
        <v>8.8999999999999995E-7</v>
      </c>
      <c r="D18" s="2">
        <f t="shared" si="9"/>
        <v>1.1000000000000001E-6</v>
      </c>
      <c r="E18" s="2">
        <f t="shared" si="9"/>
        <v>-1</v>
      </c>
      <c r="F18" s="2">
        <f t="shared" si="9"/>
        <v>-1</v>
      </c>
      <c r="G18" s="2">
        <f t="shared" si="9"/>
        <v>-1</v>
      </c>
      <c r="H18" s="2">
        <f t="shared" si="9"/>
        <v>-1</v>
      </c>
      <c r="I18" s="2">
        <f t="shared" si="1"/>
        <v>6.7999999999999995E-7</v>
      </c>
      <c r="J18" s="2">
        <f t="shared" si="2"/>
        <v>8.9999999999999996E-7</v>
      </c>
      <c r="K18" s="2">
        <f t="shared" si="3"/>
        <v>1.1000000000000001E-6</v>
      </c>
      <c r="L18" s="2">
        <f t="shared" si="4"/>
        <v>5.5999999999999997E-6</v>
      </c>
      <c r="M18" s="2">
        <f t="shared" si="5"/>
        <v>6.8999999999999996E-7</v>
      </c>
      <c r="N18" s="2">
        <f t="shared" si="6"/>
        <v>1</v>
      </c>
      <c r="O18" s="2">
        <f t="shared" si="7"/>
        <v>0.05</v>
      </c>
      <c r="P18" t="s">
        <v>43</v>
      </c>
      <c r="Q18">
        <v>1</v>
      </c>
      <c r="R18" s="4">
        <f t="shared" si="8"/>
        <v>210</v>
      </c>
      <c r="S18">
        <v>17</v>
      </c>
    </row>
    <row r="19" spans="1:19" x14ac:dyDescent="0.25">
      <c r="A19" t="s">
        <v>43</v>
      </c>
      <c r="B19" s="1">
        <v>1.60066576457231E-6</v>
      </c>
      <c r="C19" s="2">
        <f t="shared" si="9"/>
        <v>1.0999999999999999E-9</v>
      </c>
      <c r="D19" s="2">
        <f t="shared" si="9"/>
        <v>1.3999999999999999E-9</v>
      </c>
      <c r="E19" s="2">
        <f t="shared" si="9"/>
        <v>8.3999999999999998E-8</v>
      </c>
      <c r="F19" s="2">
        <f t="shared" si="9"/>
        <v>5.9999999999999995E-8</v>
      </c>
      <c r="G19" s="2">
        <f t="shared" si="9"/>
        <v>-1</v>
      </c>
      <c r="H19" s="2">
        <f t="shared" si="9"/>
        <v>-1</v>
      </c>
      <c r="I19" s="2">
        <f t="shared" si="1"/>
        <v>1.3000000000000001E-9</v>
      </c>
      <c r="J19" s="2">
        <f t="shared" si="2"/>
        <v>1.0999999999999999E-9</v>
      </c>
      <c r="K19" s="2">
        <f t="shared" si="3"/>
        <v>9.2999999999999999E-8</v>
      </c>
      <c r="L19" s="2">
        <f t="shared" si="4"/>
        <v>-1</v>
      </c>
      <c r="M19" s="2">
        <f t="shared" si="5"/>
        <v>1.3000000000000001E-9</v>
      </c>
      <c r="N19" s="2">
        <f t="shared" si="6"/>
        <v>1</v>
      </c>
      <c r="O19" s="2">
        <f t="shared" si="7"/>
        <v>0.60000000000000009</v>
      </c>
      <c r="P19" t="s">
        <v>42</v>
      </c>
      <c r="Q19">
        <v>0.99999868000000003</v>
      </c>
      <c r="R19" s="4">
        <f t="shared" si="8"/>
        <v>210</v>
      </c>
      <c r="S19">
        <v>18</v>
      </c>
    </row>
    <row r="20" spans="1:19" x14ac:dyDescent="0.25">
      <c r="A20" t="s">
        <v>43</v>
      </c>
      <c r="B20" s="1">
        <v>1.60066576457231E-6</v>
      </c>
      <c r="C20" s="2">
        <f t="shared" si="9"/>
        <v>1.0999999999999999E-9</v>
      </c>
      <c r="D20" s="2">
        <f t="shared" si="9"/>
        <v>1.3999999999999999E-9</v>
      </c>
      <c r="E20" s="2">
        <f t="shared" si="9"/>
        <v>8.3999999999999998E-8</v>
      </c>
      <c r="F20" s="2">
        <f t="shared" si="9"/>
        <v>5.9999999999999995E-8</v>
      </c>
      <c r="G20" s="2">
        <f t="shared" si="9"/>
        <v>-1</v>
      </c>
      <c r="H20" s="2">
        <f t="shared" si="9"/>
        <v>-1</v>
      </c>
      <c r="I20" s="2">
        <f t="shared" si="1"/>
        <v>1.3000000000000001E-9</v>
      </c>
      <c r="J20" s="2">
        <f t="shared" si="2"/>
        <v>1.0999999999999999E-9</v>
      </c>
      <c r="K20" s="2">
        <f t="shared" si="3"/>
        <v>9.2999999999999999E-8</v>
      </c>
      <c r="L20" s="2">
        <f t="shared" si="4"/>
        <v>-1</v>
      </c>
      <c r="M20" s="2">
        <f t="shared" si="5"/>
        <v>1.3000000000000001E-9</v>
      </c>
      <c r="N20" s="2">
        <f t="shared" si="6"/>
        <v>1</v>
      </c>
      <c r="O20" s="2">
        <f t="shared" si="7"/>
        <v>0.60000000000000009</v>
      </c>
      <c r="P20" t="s">
        <v>37</v>
      </c>
      <c r="Q20">
        <v>1.3E-6</v>
      </c>
      <c r="R20" s="4">
        <f t="shared" si="8"/>
        <v>210</v>
      </c>
      <c r="S20">
        <v>19</v>
      </c>
    </row>
    <row r="21" spans="1:19" x14ac:dyDescent="0.25">
      <c r="A21" t="s">
        <v>42</v>
      </c>
      <c r="B21" s="1">
        <v>5.7976360149421897E-8</v>
      </c>
      <c r="C21" s="2">
        <f t="shared" si="9"/>
        <v>5.9999999999999997E-7</v>
      </c>
      <c r="D21" s="2">
        <f t="shared" si="9"/>
        <v>7.0999999999999998E-7</v>
      </c>
      <c r="E21" s="2">
        <f t="shared" si="9"/>
        <v>3.0000000000000001E-6</v>
      </c>
      <c r="F21" s="2">
        <f t="shared" si="9"/>
        <v>2.2000000000000001E-6</v>
      </c>
      <c r="G21" s="2">
        <f t="shared" si="9"/>
        <v>-1</v>
      </c>
      <c r="H21" s="2">
        <f t="shared" si="9"/>
        <v>-1</v>
      </c>
      <c r="I21" s="2">
        <f t="shared" si="1"/>
        <v>2.3999999999999998E-7</v>
      </c>
      <c r="J21" s="2">
        <f t="shared" si="2"/>
        <v>6.0999999999999998E-7</v>
      </c>
      <c r="K21" s="2">
        <f t="shared" si="3"/>
        <v>3.3000000000000002E-6</v>
      </c>
      <c r="L21" s="2">
        <f t="shared" si="4"/>
        <v>4.3000000000000003E-6</v>
      </c>
      <c r="M21" s="2">
        <f t="shared" si="5"/>
        <v>1.1999999999999999E-6</v>
      </c>
      <c r="N21" s="2">
        <f t="shared" si="6"/>
        <v>40</v>
      </c>
      <c r="O21" s="2">
        <f t="shared" si="7"/>
        <v>0.02</v>
      </c>
      <c r="P21" t="s">
        <v>142</v>
      </c>
      <c r="Q21">
        <v>1</v>
      </c>
      <c r="R21" s="4">
        <f t="shared" si="8"/>
        <v>210</v>
      </c>
      <c r="S21">
        <v>20</v>
      </c>
    </row>
    <row r="22" spans="1:19" x14ac:dyDescent="0.25">
      <c r="A22" t="s">
        <v>90</v>
      </c>
      <c r="B22" s="1">
        <v>2.8737445296846799E-5</v>
      </c>
      <c r="C22" s="2">
        <f t="shared" ref="C22:H32" si="10">IF(ISNA(VLOOKUP($A22,_68inh,COLUMN(C22)-1,FALSE)),-1,VLOOKUP($A22,_68inh,COLUMN(C22)-1,FALSE))</f>
        <v>-1</v>
      </c>
      <c r="D22" s="2">
        <f t="shared" si="10"/>
        <v>-1</v>
      </c>
      <c r="E22" s="2">
        <f t="shared" si="10"/>
        <v>3.7999999999999998E-10</v>
      </c>
      <c r="F22" s="2">
        <f t="shared" si="10"/>
        <v>5.4999999999999996E-10</v>
      </c>
      <c r="G22" s="2">
        <f t="shared" si="10"/>
        <v>4.0000000000000001E-10</v>
      </c>
      <c r="H22" s="2">
        <f t="shared" si="10"/>
        <v>5.7999999999999996E-10</v>
      </c>
      <c r="I22" s="2">
        <f t="shared" si="1"/>
        <v>5.1E-10</v>
      </c>
      <c r="J22" s="2">
        <f t="shared" ref="J22:J89" si="11">IF(ISNA(VLOOKUP($A22,_72inh,2,FALSE)),-1,VLOOKUP($A22,_72inh,2,FALSE))</f>
        <v>-1</v>
      </c>
      <c r="K22" s="2">
        <f t="shared" si="3"/>
        <v>3.7999999999999998E-10</v>
      </c>
      <c r="L22" s="2">
        <f t="shared" si="4"/>
        <v>4.0000000000000001E-10</v>
      </c>
      <c r="M22" s="2">
        <f t="shared" si="5"/>
        <v>5.1E-10</v>
      </c>
      <c r="N22" s="2">
        <f t="shared" si="6"/>
        <v>0</v>
      </c>
      <c r="O22" s="2">
        <f t="shared" si="7"/>
        <v>0</v>
      </c>
      <c r="P22" t="s">
        <v>89</v>
      </c>
      <c r="Q22">
        <v>1</v>
      </c>
      <c r="R22" s="4">
        <f t="shared" si="8"/>
        <v>234</v>
      </c>
      <c r="S22">
        <v>21</v>
      </c>
    </row>
    <row r="23" spans="1:19" x14ac:dyDescent="0.25">
      <c r="A23" t="s">
        <v>64</v>
      </c>
      <c r="B23" s="1">
        <v>0.46209812037329701</v>
      </c>
      <c r="C23" s="2">
        <f t="shared" si="10"/>
        <v>-1</v>
      </c>
      <c r="D23" s="2">
        <f t="shared" si="10"/>
        <v>-1</v>
      </c>
      <c r="E23" s="2">
        <f t="shared" si="10"/>
        <v>-1</v>
      </c>
      <c r="F23" s="2">
        <f t="shared" si="10"/>
        <v>-1</v>
      </c>
      <c r="G23" s="2">
        <f t="shared" si="10"/>
        <v>-1</v>
      </c>
      <c r="H23" s="2">
        <f t="shared" si="10"/>
        <v>-1</v>
      </c>
      <c r="I23" s="2">
        <f t="shared" si="1"/>
        <v>-1</v>
      </c>
      <c r="J23" s="2">
        <f t="shared" si="11"/>
        <v>-1</v>
      </c>
      <c r="K23" s="2">
        <f t="shared" si="3"/>
        <v>-1</v>
      </c>
      <c r="L23" s="2">
        <f t="shared" si="4"/>
        <v>-1</v>
      </c>
      <c r="M23" s="2">
        <f t="shared" si="5"/>
        <v>-1</v>
      </c>
      <c r="N23" s="2">
        <f t="shared" si="6"/>
        <v>0</v>
      </c>
      <c r="O23" s="2">
        <f t="shared" si="7"/>
        <v>0</v>
      </c>
      <c r="P23" t="s">
        <v>55</v>
      </c>
      <c r="Q23">
        <v>0.999</v>
      </c>
      <c r="R23" s="4">
        <f t="shared" si="8"/>
        <v>218</v>
      </c>
      <c r="S23">
        <v>22</v>
      </c>
    </row>
    <row r="24" spans="1:19" x14ac:dyDescent="0.25">
      <c r="A24" t="s">
        <v>64</v>
      </c>
      <c r="B24" s="1">
        <v>0.46209812037329701</v>
      </c>
      <c r="C24" s="2">
        <f t="shared" si="10"/>
        <v>-1</v>
      </c>
      <c r="D24" s="2">
        <f t="shared" si="10"/>
        <v>-1</v>
      </c>
      <c r="E24" s="2">
        <f t="shared" si="10"/>
        <v>-1</v>
      </c>
      <c r="F24" s="2">
        <f t="shared" si="10"/>
        <v>-1</v>
      </c>
      <c r="G24" s="2">
        <f t="shared" si="10"/>
        <v>-1</v>
      </c>
      <c r="H24" s="2">
        <f t="shared" si="10"/>
        <v>-1</v>
      </c>
      <c r="I24" s="2">
        <f t="shared" si="1"/>
        <v>-1</v>
      </c>
      <c r="J24" s="2">
        <f t="shared" si="11"/>
        <v>-1</v>
      </c>
      <c r="K24" s="2">
        <f t="shared" si="3"/>
        <v>-1</v>
      </c>
      <c r="L24" s="2">
        <f t="shared" si="4"/>
        <v>-1</v>
      </c>
      <c r="M24" s="2">
        <f t="shared" si="5"/>
        <v>-1</v>
      </c>
      <c r="N24" s="2">
        <f t="shared" si="6"/>
        <v>0</v>
      </c>
      <c r="O24" s="2">
        <f t="shared" si="7"/>
        <v>0</v>
      </c>
      <c r="P24" t="s">
        <v>63</v>
      </c>
      <c r="Q24">
        <v>1E-3</v>
      </c>
      <c r="R24" s="4">
        <f t="shared" si="8"/>
        <v>218</v>
      </c>
      <c r="S24">
        <v>23</v>
      </c>
    </row>
    <row r="25" spans="1:19" x14ac:dyDescent="0.25">
      <c r="A25" t="s">
        <v>63</v>
      </c>
      <c r="B25" s="1">
        <v>19.804205158855599</v>
      </c>
      <c r="C25" s="2">
        <f t="shared" si="10"/>
        <v>-1</v>
      </c>
      <c r="D25" s="2">
        <f t="shared" si="10"/>
        <v>-1</v>
      </c>
      <c r="E25" s="2">
        <f t="shared" si="10"/>
        <v>-1</v>
      </c>
      <c r="F25" s="2">
        <f t="shared" si="10"/>
        <v>-1</v>
      </c>
      <c r="G25" s="2">
        <f t="shared" si="10"/>
        <v>-1</v>
      </c>
      <c r="H25" s="2">
        <f t="shared" si="10"/>
        <v>-1</v>
      </c>
      <c r="I25" s="2">
        <f t="shared" si="1"/>
        <v>-1</v>
      </c>
      <c r="J25" s="2">
        <f t="shared" si="11"/>
        <v>-1</v>
      </c>
      <c r="K25" s="2">
        <f t="shared" si="3"/>
        <v>-1</v>
      </c>
      <c r="L25" s="2">
        <f t="shared" si="4"/>
        <v>-1</v>
      </c>
      <c r="M25" s="2">
        <f t="shared" si="5"/>
        <v>-1</v>
      </c>
      <c r="N25" s="2">
        <f t="shared" si="6"/>
        <v>0</v>
      </c>
      <c r="O25" s="2">
        <f t="shared" si="7"/>
        <v>0</v>
      </c>
      <c r="P25" t="s">
        <v>54</v>
      </c>
      <c r="Q25">
        <v>1</v>
      </c>
      <c r="R25" s="4">
        <f t="shared" si="8"/>
        <v>218</v>
      </c>
      <c r="S25">
        <v>24</v>
      </c>
    </row>
    <row r="26" spans="1:19" x14ac:dyDescent="0.25">
      <c r="A26" t="s">
        <v>45</v>
      </c>
      <c r="B26" s="1">
        <v>8.8865023148710903E-3</v>
      </c>
      <c r="C26" s="2">
        <f t="shared" si="10"/>
        <v>-1</v>
      </c>
      <c r="D26" s="2">
        <f t="shared" si="10"/>
        <v>-1</v>
      </c>
      <c r="E26" s="2">
        <f t="shared" si="10"/>
        <v>-1</v>
      </c>
      <c r="F26" s="2">
        <f t="shared" si="10"/>
        <v>-1</v>
      </c>
      <c r="G26" s="2">
        <f t="shared" si="10"/>
        <v>-1</v>
      </c>
      <c r="H26" s="2">
        <f t="shared" si="10"/>
        <v>-1</v>
      </c>
      <c r="I26" s="2">
        <f t="shared" si="1"/>
        <v>-1</v>
      </c>
      <c r="J26" s="2">
        <f t="shared" si="11"/>
        <v>-1</v>
      </c>
      <c r="K26" s="2">
        <f t="shared" si="3"/>
        <v>-1</v>
      </c>
      <c r="L26" s="2">
        <f t="shared" si="4"/>
        <v>-1</v>
      </c>
      <c r="M26" s="2">
        <f t="shared" si="5"/>
        <v>-1</v>
      </c>
      <c r="N26" s="2">
        <f t="shared" si="6"/>
        <v>0</v>
      </c>
      <c r="O26" s="2">
        <f t="shared" si="7"/>
        <v>0</v>
      </c>
      <c r="P26" t="s">
        <v>44</v>
      </c>
      <c r="Q26">
        <v>1</v>
      </c>
      <c r="R26" s="4">
        <f t="shared" si="8"/>
        <v>210</v>
      </c>
      <c r="S26">
        <v>25</v>
      </c>
    </row>
    <row r="27" spans="1:19" x14ac:dyDescent="0.25">
      <c r="A27" t="s">
        <v>37</v>
      </c>
      <c r="B27" s="1">
        <v>2.7492748713308902E-3</v>
      </c>
      <c r="C27" s="2">
        <f t="shared" si="10"/>
        <v>-1</v>
      </c>
      <c r="D27" s="2">
        <f t="shared" si="10"/>
        <v>-1</v>
      </c>
      <c r="E27" s="2">
        <f t="shared" si="10"/>
        <v>-1</v>
      </c>
      <c r="F27" s="2">
        <f t="shared" si="10"/>
        <v>-1</v>
      </c>
      <c r="G27" s="2">
        <f t="shared" si="10"/>
        <v>-1</v>
      </c>
      <c r="H27" s="2">
        <f t="shared" si="10"/>
        <v>-1</v>
      </c>
      <c r="I27" s="2">
        <f t="shared" si="1"/>
        <v>-1</v>
      </c>
      <c r="J27" s="2">
        <f t="shared" si="11"/>
        <v>-1</v>
      </c>
      <c r="K27" s="2">
        <f t="shared" si="3"/>
        <v>-1</v>
      </c>
      <c r="L27" s="2">
        <f t="shared" si="4"/>
        <v>-1</v>
      </c>
      <c r="M27" s="2">
        <f t="shared" si="5"/>
        <v>-1</v>
      </c>
      <c r="N27" s="2">
        <f t="shared" si="6"/>
        <v>0</v>
      </c>
      <c r="O27" s="2">
        <f t="shared" si="7"/>
        <v>0</v>
      </c>
      <c r="P27" t="s">
        <v>142</v>
      </c>
      <c r="Q27">
        <v>1</v>
      </c>
      <c r="R27" s="4">
        <f t="shared" si="8"/>
        <v>206</v>
      </c>
      <c r="S27">
        <v>26</v>
      </c>
    </row>
    <row r="28" spans="1:19" x14ac:dyDescent="0.25">
      <c r="A28" t="s">
        <v>138</v>
      </c>
      <c r="B28" s="1">
        <v>4.6676577815484531E-12</v>
      </c>
      <c r="C28" s="2">
        <f t="shared" si="10"/>
        <v>-1</v>
      </c>
      <c r="D28" s="2">
        <f t="shared" si="10"/>
        <v>-1</v>
      </c>
      <c r="E28" s="2">
        <f t="shared" si="10"/>
        <v>4.0000000000000003E-5</v>
      </c>
      <c r="F28" s="2">
        <f t="shared" si="10"/>
        <v>2.6999999999999999E-5</v>
      </c>
      <c r="G28" s="2">
        <f t="shared" si="10"/>
        <v>-1</v>
      </c>
      <c r="H28" s="2">
        <f t="shared" si="10"/>
        <v>-1</v>
      </c>
      <c r="I28" s="2">
        <f t="shared" si="1"/>
        <v>2.1E-7</v>
      </c>
      <c r="J28" s="2">
        <f t="shared" si="11"/>
        <v>9.7999999999999997E-5</v>
      </c>
      <c r="K28" s="2">
        <f t="shared" si="3"/>
        <v>4.1999999999999998E-5</v>
      </c>
      <c r="L28" s="2">
        <f t="shared" si="4"/>
        <v>1.5999999999999999E-5</v>
      </c>
      <c r="M28" s="2">
        <f t="shared" si="5"/>
        <v>2.1E-7</v>
      </c>
      <c r="N28" s="2">
        <f t="shared" si="6"/>
        <v>9</v>
      </c>
      <c r="O28" s="2">
        <f t="shared" si="7"/>
        <v>9.0000000000000008E-4</v>
      </c>
      <c r="P28" t="s">
        <v>142</v>
      </c>
      <c r="Q28">
        <v>2.63E-2</v>
      </c>
      <c r="R28" s="4">
        <f t="shared" si="8"/>
        <v>246</v>
      </c>
      <c r="S28">
        <v>27</v>
      </c>
    </row>
    <row r="29" spans="1:19" x14ac:dyDescent="0.25">
      <c r="A29" t="s">
        <v>732</v>
      </c>
      <c r="B29" s="1">
        <v>6.2576947936268165E-11</v>
      </c>
      <c r="C29" s="2">
        <f t="shared" si="10"/>
        <v>-1</v>
      </c>
      <c r="D29" s="2">
        <f t="shared" si="10"/>
        <v>-1</v>
      </c>
      <c r="E29" s="2">
        <f t="shared" si="10"/>
        <v>6.6000000000000005E-5</v>
      </c>
      <c r="F29" s="2">
        <f t="shared" si="10"/>
        <v>4.5000000000000003E-5</v>
      </c>
      <c r="G29" s="2">
        <f t="shared" si="10"/>
        <v>-1</v>
      </c>
      <c r="H29" s="2">
        <f t="shared" si="10"/>
        <v>-1</v>
      </c>
      <c r="I29" s="2">
        <f t="shared" ref="I29" si="12">IF(ISNA(VLOOKUP(A29,_68ing,2,FALSE)),-1,VLOOKUP(A29,_68ing,2,FALSE))</f>
        <v>3.4999999999999998E-7</v>
      </c>
      <c r="J29" s="2">
        <f t="shared" si="11"/>
        <v>-1</v>
      </c>
      <c r="K29" s="2">
        <f t="shared" si="3"/>
        <v>6.9999999999999994E-5</v>
      </c>
      <c r="L29" s="2">
        <f t="shared" si="4"/>
        <v>-1</v>
      </c>
      <c r="M29" s="2">
        <f t="shared" ref="M29" si="13">IF(ISNA(VLOOKUP(A29,_72ing,2,FALSE)),-1,VLOOKUP(A29,_72ing,2,FALSE))</f>
        <v>3.4999999999999998E-7</v>
      </c>
      <c r="N29" s="2">
        <f t="shared" si="6"/>
        <v>3</v>
      </c>
      <c r="O29" s="2">
        <f t="shared" si="7"/>
        <v>8.0000000000000004E-4</v>
      </c>
      <c r="P29" t="s">
        <v>137</v>
      </c>
      <c r="Q29">
        <v>1</v>
      </c>
      <c r="R29" s="4">
        <f t="shared" si="8"/>
        <v>249</v>
      </c>
      <c r="S29">
        <v>28</v>
      </c>
    </row>
    <row r="30" spans="1:19" x14ac:dyDescent="0.25">
      <c r="A30" t="s">
        <v>137</v>
      </c>
      <c r="B30" s="1">
        <v>2.6077772030095759E-12</v>
      </c>
      <c r="C30" s="2">
        <f t="shared" si="10"/>
        <v>-1</v>
      </c>
      <c r="D30" s="2">
        <f t="shared" si="10"/>
        <v>-1</v>
      </c>
      <c r="E30" s="2">
        <f t="shared" si="10"/>
        <v>4.0000000000000003E-5</v>
      </c>
      <c r="F30" s="2">
        <f t="shared" si="10"/>
        <v>2.6999999999999999E-5</v>
      </c>
      <c r="G30" s="2">
        <f t="shared" si="10"/>
        <v>-1</v>
      </c>
      <c r="H30" s="2">
        <f t="shared" si="10"/>
        <v>-1</v>
      </c>
      <c r="I30" s="2">
        <f t="shared" si="1"/>
        <v>2.1E-7</v>
      </c>
      <c r="J30" s="2">
        <f t="shared" si="11"/>
        <v>9.8999999999999994E-5</v>
      </c>
      <c r="K30" s="2">
        <f t="shared" si="3"/>
        <v>4.1999999999999998E-5</v>
      </c>
      <c r="L30" s="2">
        <f t="shared" si="4"/>
        <v>1.5999999999999999E-5</v>
      </c>
      <c r="M30" s="2">
        <f t="shared" si="5"/>
        <v>2.1E-7</v>
      </c>
      <c r="N30" s="2">
        <f t="shared" si="6"/>
        <v>9</v>
      </c>
      <c r="O30" s="2">
        <f t="shared" si="7"/>
        <v>9.0000000000000008E-4</v>
      </c>
      <c r="P30" t="s">
        <v>103</v>
      </c>
      <c r="Q30">
        <v>1</v>
      </c>
      <c r="R30" s="4">
        <f t="shared" si="8"/>
        <v>245</v>
      </c>
      <c r="S30">
        <v>29</v>
      </c>
    </row>
    <row r="31" spans="1:19" x14ac:dyDescent="0.25">
      <c r="A31" t="s">
        <v>103</v>
      </c>
      <c r="B31" s="1">
        <v>1.5332990384384E-9</v>
      </c>
      <c r="C31" s="2">
        <f t="shared" si="10"/>
        <v>-1</v>
      </c>
      <c r="D31" s="2">
        <f t="shared" si="10"/>
        <v>-1</v>
      </c>
      <c r="E31" s="2">
        <f t="shared" si="10"/>
        <v>8.5000000000000001E-7</v>
      </c>
      <c r="F31" s="2">
        <f t="shared" si="10"/>
        <v>5.7999999999999995E-7</v>
      </c>
      <c r="G31" s="2">
        <f t="shared" si="10"/>
        <v>1.6E-7</v>
      </c>
      <c r="H31" s="2">
        <f t="shared" si="10"/>
        <v>8.3999999999999998E-8</v>
      </c>
      <c r="I31" s="2">
        <f t="shared" si="1"/>
        <v>4.6999999999999999E-9</v>
      </c>
      <c r="J31" s="2">
        <f t="shared" si="11"/>
        <v>2.3E-6</v>
      </c>
      <c r="K31" s="2">
        <f t="shared" si="3"/>
        <v>8.9999999999999996E-7</v>
      </c>
      <c r="L31" s="2">
        <f t="shared" si="4"/>
        <v>1.6999999999999999E-7</v>
      </c>
      <c r="M31" s="2">
        <f t="shared" si="5"/>
        <v>4.8E-9</v>
      </c>
      <c r="N31" s="2">
        <f t="shared" si="6"/>
        <v>40</v>
      </c>
      <c r="O31" s="2">
        <f t="shared" si="7"/>
        <v>0.06</v>
      </c>
      <c r="P31" t="s">
        <v>102</v>
      </c>
      <c r="Q31">
        <v>0.99997499999999995</v>
      </c>
      <c r="R31" s="4">
        <f t="shared" si="8"/>
        <v>241</v>
      </c>
      <c r="S31">
        <v>30</v>
      </c>
    </row>
    <row r="32" spans="1:19" x14ac:dyDescent="0.25">
      <c r="A32" t="s">
        <v>103</v>
      </c>
      <c r="B32" s="1">
        <v>1.5332990384384E-9</v>
      </c>
      <c r="C32" s="2">
        <f t="shared" si="10"/>
        <v>-1</v>
      </c>
      <c r="D32" s="2">
        <f t="shared" si="10"/>
        <v>-1</v>
      </c>
      <c r="E32" s="2">
        <f t="shared" si="10"/>
        <v>8.5000000000000001E-7</v>
      </c>
      <c r="F32" s="2">
        <f t="shared" si="10"/>
        <v>5.7999999999999995E-7</v>
      </c>
      <c r="G32" s="2">
        <f t="shared" si="10"/>
        <v>1.6E-7</v>
      </c>
      <c r="H32" s="2">
        <f t="shared" si="10"/>
        <v>8.3999999999999998E-8</v>
      </c>
      <c r="I32" s="2">
        <f t="shared" si="1"/>
        <v>4.6999999999999999E-9</v>
      </c>
      <c r="J32" s="2">
        <f t="shared" si="11"/>
        <v>2.3E-6</v>
      </c>
      <c r="K32" s="2">
        <f t="shared" si="3"/>
        <v>8.9999999999999996E-7</v>
      </c>
      <c r="L32" s="2">
        <f t="shared" si="4"/>
        <v>1.6999999999999999E-7</v>
      </c>
      <c r="M32" s="2">
        <f t="shared" si="5"/>
        <v>4.8E-9</v>
      </c>
      <c r="N32" s="2">
        <f t="shared" si="6"/>
        <v>40</v>
      </c>
      <c r="O32" s="2">
        <f t="shared" si="7"/>
        <v>0.06</v>
      </c>
      <c r="P32" t="s">
        <v>96</v>
      </c>
      <c r="Q32">
        <v>2.4499999999999999E-5</v>
      </c>
      <c r="R32" s="4">
        <f t="shared" si="8"/>
        <v>241</v>
      </c>
      <c r="S32">
        <v>31</v>
      </c>
    </row>
    <row r="33" spans="1:19" x14ac:dyDescent="0.25">
      <c r="A33" t="s">
        <v>102</v>
      </c>
      <c r="B33" s="1">
        <v>5.07732517929499E-11</v>
      </c>
      <c r="C33" s="2">
        <f t="shared" ref="C33:H42" si="14">IF(ISNA(VLOOKUP($A33,_68inh,COLUMN(C33)-1,FALSE)),-1,VLOOKUP($A33,_68inh,COLUMN(C33)-1,FALSE))</f>
        <v>-1</v>
      </c>
      <c r="D33" s="2">
        <f t="shared" si="14"/>
        <v>-1</v>
      </c>
      <c r="E33" s="2">
        <f t="shared" si="14"/>
        <v>3.8999999999999999E-5</v>
      </c>
      <c r="F33" s="2">
        <f t="shared" si="14"/>
        <v>2.6999999999999999E-5</v>
      </c>
      <c r="G33" s="2">
        <f t="shared" si="14"/>
        <v>-1</v>
      </c>
      <c r="H33" s="2">
        <f t="shared" si="14"/>
        <v>-1</v>
      </c>
      <c r="I33" s="2">
        <f t="shared" si="1"/>
        <v>1.9999999999999999E-7</v>
      </c>
      <c r="J33" s="2">
        <f t="shared" si="11"/>
        <v>9.6000000000000002E-5</v>
      </c>
      <c r="K33" s="2">
        <f t="shared" si="3"/>
        <v>4.1999999999999998E-5</v>
      </c>
      <c r="L33" s="2">
        <f t="shared" si="4"/>
        <v>1.5999999999999999E-5</v>
      </c>
      <c r="M33" s="2">
        <f t="shared" si="5"/>
        <v>1.9999999999999999E-7</v>
      </c>
      <c r="N33" s="2">
        <f t="shared" si="6"/>
        <v>10</v>
      </c>
      <c r="O33" s="2">
        <f t="shared" si="7"/>
        <v>1E-3</v>
      </c>
      <c r="P33" t="s">
        <v>95</v>
      </c>
      <c r="Q33">
        <v>1</v>
      </c>
      <c r="R33" s="4">
        <f t="shared" si="8"/>
        <v>241</v>
      </c>
      <c r="S33">
        <v>32</v>
      </c>
    </row>
    <row r="34" spans="1:19" x14ac:dyDescent="0.25">
      <c r="A34" t="s">
        <v>95</v>
      </c>
      <c r="B34" s="1">
        <v>1.024464026382E-14</v>
      </c>
      <c r="C34" s="2">
        <f t="shared" si="14"/>
        <v>-1</v>
      </c>
      <c r="D34" s="2">
        <f t="shared" si="14"/>
        <v>-1</v>
      </c>
      <c r="E34" s="2">
        <f t="shared" si="14"/>
        <v>2.0999999999999999E-5</v>
      </c>
      <c r="F34" s="2">
        <f t="shared" si="14"/>
        <v>1.5E-5</v>
      </c>
      <c r="G34" s="2">
        <f t="shared" si="14"/>
        <v>-1</v>
      </c>
      <c r="H34" s="2">
        <f t="shared" si="14"/>
        <v>-1</v>
      </c>
      <c r="I34" s="2">
        <f t="shared" si="1"/>
        <v>1.1000000000000001E-7</v>
      </c>
      <c r="J34" s="2">
        <f t="shared" si="11"/>
        <v>5.0000000000000002E-5</v>
      </c>
      <c r="K34" s="2">
        <f t="shared" si="3"/>
        <v>2.3E-5</v>
      </c>
      <c r="L34" s="2">
        <f t="shared" si="4"/>
        <v>1.2E-5</v>
      </c>
      <c r="M34" s="2">
        <f t="shared" si="5"/>
        <v>1.1000000000000001E-7</v>
      </c>
      <c r="N34" s="2">
        <f t="shared" ref="N34:N65" si="15">VLOOKUP($A34,A1A2,2,FALSE)</f>
        <v>20</v>
      </c>
      <c r="O34" s="2">
        <f t="shared" ref="O34:O65" si="16">VLOOKUP($A34,A1A2,3,FALSE)</f>
        <v>2E-3</v>
      </c>
      <c r="P34" t="s">
        <v>88</v>
      </c>
      <c r="Q34">
        <v>1</v>
      </c>
      <c r="R34" s="4">
        <f t="shared" si="8"/>
        <v>237</v>
      </c>
      <c r="S34">
        <v>33</v>
      </c>
    </row>
    <row r="35" spans="1:19" x14ac:dyDescent="0.25">
      <c r="A35" t="s">
        <v>88</v>
      </c>
      <c r="B35" s="1">
        <v>2.9740636930626199E-7</v>
      </c>
      <c r="C35" s="2">
        <f t="shared" si="14"/>
        <v>-1</v>
      </c>
      <c r="D35" s="2">
        <f t="shared" si="14"/>
        <v>-1</v>
      </c>
      <c r="E35" s="2">
        <f t="shared" si="14"/>
        <v>3.1E-9</v>
      </c>
      <c r="F35" s="2">
        <f t="shared" si="14"/>
        <v>2.7999999999999998E-9</v>
      </c>
      <c r="G35" s="2">
        <f t="shared" si="14"/>
        <v>3.7E-9</v>
      </c>
      <c r="H35" s="2">
        <f t="shared" si="14"/>
        <v>3.2000000000000001E-9</v>
      </c>
      <c r="I35" s="2">
        <f t="shared" ref="I35:I69" si="17">IF(ISNA(VLOOKUP(A35,_68ing,2,FALSE)),-1,VLOOKUP(A35,_68ing,2,FALSE))</f>
        <v>8.6999999999999999E-10</v>
      </c>
      <c r="J35" s="2">
        <f t="shared" si="11"/>
        <v>-1</v>
      </c>
      <c r="K35" s="2">
        <f t="shared" ref="K35:K69" si="18">IF(ISNA(VLOOKUP($A35,_72inh,2,FALSE)),-1,VLOOKUP($A35,_72inh,3,FALSE))</f>
        <v>3.3000000000000002E-9</v>
      </c>
      <c r="L35" s="2">
        <f t="shared" ref="L35:L69" si="19">IF(ISNA(VLOOKUP($A35,_72inh,2,FALSE)),-1,VLOOKUP($A35,_72inh,4,FALSE))</f>
        <v>3.9000000000000002E-9</v>
      </c>
      <c r="M35" s="2">
        <f t="shared" ref="M35:M69" si="20">IF(ISNA(VLOOKUP(A35,_72ing,2,FALSE)),-1,VLOOKUP(A35,_72ing,2,FALSE))</f>
        <v>8.6999999999999999E-10</v>
      </c>
      <c r="N35" s="2">
        <f t="shared" si="15"/>
        <v>5</v>
      </c>
      <c r="O35" s="2">
        <f t="shared" si="16"/>
        <v>0.70000000000000007</v>
      </c>
      <c r="P35" t="s">
        <v>87</v>
      </c>
      <c r="Q35">
        <v>1</v>
      </c>
      <c r="R35" s="4">
        <f t="shared" ref="R35:R69" si="21">VALUE(IF(RIGHT(RIGHT(A35,SEARCH("-",A35)),1)="M", RIGHT(LEFT(A35,LEN(A35)-1),LEN(LEFT(A35,LEN(A35)-1))-SEARCH("-",A35)),RIGHT(A35,LEN(A35)-SEARCH("-",A35))))</f>
        <v>233</v>
      </c>
      <c r="S35">
        <v>34</v>
      </c>
    </row>
    <row r="36" spans="1:19" x14ac:dyDescent="0.25">
      <c r="A36" t="s">
        <v>87</v>
      </c>
      <c r="B36" s="1">
        <v>1.3796801963335499E-13</v>
      </c>
      <c r="C36" s="2">
        <f t="shared" si="14"/>
        <v>5.7000000000000005E-7</v>
      </c>
      <c r="D36" s="2">
        <f t="shared" si="14"/>
        <v>6.6000000000000003E-7</v>
      </c>
      <c r="E36" s="2">
        <f t="shared" si="14"/>
        <v>3.1999999999999999E-6</v>
      </c>
      <c r="F36" s="2">
        <f t="shared" si="14"/>
        <v>2.2000000000000001E-6</v>
      </c>
      <c r="G36" s="2">
        <f t="shared" si="14"/>
        <v>8.6999999999999997E-6</v>
      </c>
      <c r="H36" s="2">
        <f t="shared" si="14"/>
        <v>6.9E-6</v>
      </c>
      <c r="I36" s="2">
        <f t="shared" si="17"/>
        <v>4.9999999999999998E-8</v>
      </c>
      <c r="J36" s="2">
        <f t="shared" si="11"/>
        <v>5.7999999999999995E-7</v>
      </c>
      <c r="K36" s="2">
        <f t="shared" si="18"/>
        <v>3.5999999999999998E-6</v>
      </c>
      <c r="L36" s="2">
        <f t="shared" si="19"/>
        <v>9.5999999999999996E-6</v>
      </c>
      <c r="M36" s="2">
        <f t="shared" si="20"/>
        <v>5.1E-8</v>
      </c>
      <c r="N36" s="2">
        <f t="shared" si="15"/>
        <v>40</v>
      </c>
      <c r="O36" s="2">
        <f t="shared" si="16"/>
        <v>6.0000000000000001E-3</v>
      </c>
      <c r="P36" t="s">
        <v>82</v>
      </c>
      <c r="Q36">
        <v>1</v>
      </c>
      <c r="R36" s="4">
        <f t="shared" si="21"/>
        <v>233</v>
      </c>
      <c r="S36">
        <v>35</v>
      </c>
    </row>
    <row r="37" spans="1:19" x14ac:dyDescent="0.25">
      <c r="A37" t="s">
        <v>82</v>
      </c>
      <c r="B37" s="1">
        <v>2.7691009487682999E-12</v>
      </c>
      <c r="C37" s="2">
        <f t="shared" si="14"/>
        <v>-1</v>
      </c>
      <c r="D37" s="2">
        <f t="shared" si="14"/>
        <v>-1</v>
      </c>
      <c r="E37" s="2">
        <f t="shared" si="14"/>
        <v>9.8999999999999994E-5</v>
      </c>
      <c r="F37" s="2">
        <f t="shared" si="14"/>
        <v>6.8999999999999997E-5</v>
      </c>
      <c r="G37" s="2">
        <f t="shared" si="14"/>
        <v>6.4999999999999994E-5</v>
      </c>
      <c r="H37" s="2">
        <f t="shared" si="14"/>
        <v>4.8000000000000001E-5</v>
      </c>
      <c r="I37" s="2">
        <f t="shared" si="17"/>
        <v>4.7999999999999996E-7</v>
      </c>
      <c r="J37" s="2">
        <f t="shared" si="11"/>
        <v>2.4000000000000001E-4</v>
      </c>
      <c r="K37" s="2">
        <f t="shared" si="18"/>
        <v>1.1E-4</v>
      </c>
      <c r="L37" s="2">
        <f t="shared" si="19"/>
        <v>7.1000000000000005E-5</v>
      </c>
      <c r="M37" s="2">
        <f t="shared" si="20"/>
        <v>4.8999999999999997E-7</v>
      </c>
      <c r="N37" s="2">
        <f t="shared" si="15"/>
        <v>5</v>
      </c>
      <c r="O37" s="2">
        <f t="shared" si="16"/>
        <v>5.0000000000000001E-4</v>
      </c>
      <c r="P37" t="s">
        <v>75</v>
      </c>
      <c r="Q37">
        <v>1</v>
      </c>
      <c r="R37" s="4">
        <f t="shared" si="21"/>
        <v>229</v>
      </c>
      <c r="S37">
        <v>36</v>
      </c>
    </row>
    <row r="38" spans="1:19" x14ac:dyDescent="0.25">
      <c r="A38" t="s">
        <v>75</v>
      </c>
      <c r="B38" s="1">
        <v>5.3842528939841597E-7</v>
      </c>
      <c r="C38" s="2">
        <f t="shared" si="14"/>
        <v>-1</v>
      </c>
      <c r="D38" s="2">
        <f t="shared" si="14"/>
        <v>-1</v>
      </c>
      <c r="E38" s="2">
        <f t="shared" si="14"/>
        <v>5.8000000000000004E-6</v>
      </c>
      <c r="F38" s="2">
        <f t="shared" si="14"/>
        <v>4.7999999999999998E-6</v>
      </c>
      <c r="G38" s="2">
        <f t="shared" si="14"/>
        <v>-1</v>
      </c>
      <c r="H38" s="2">
        <f t="shared" si="14"/>
        <v>-1</v>
      </c>
      <c r="I38" s="2">
        <f t="shared" si="17"/>
        <v>9.5000000000000004E-8</v>
      </c>
      <c r="J38" s="2">
        <f t="shared" si="11"/>
        <v>1.3E-7</v>
      </c>
      <c r="K38" s="2">
        <f t="shared" si="18"/>
        <v>6.2999999999999998E-6</v>
      </c>
      <c r="L38" s="2">
        <f t="shared" si="19"/>
        <v>7.7000000000000008E-6</v>
      </c>
      <c r="M38" s="2">
        <f t="shared" si="20"/>
        <v>9.9E-8</v>
      </c>
      <c r="N38" s="2">
        <f t="shared" si="15"/>
        <v>0.2</v>
      </c>
      <c r="O38" s="2">
        <f t="shared" si="16"/>
        <v>4.0000000000000001E-3</v>
      </c>
      <c r="P38" t="s">
        <v>74</v>
      </c>
      <c r="Q38">
        <v>1</v>
      </c>
      <c r="R38" s="4">
        <f t="shared" si="21"/>
        <v>225</v>
      </c>
      <c r="S38">
        <v>37</v>
      </c>
    </row>
    <row r="39" spans="1:19" x14ac:dyDescent="0.25">
      <c r="A39" t="s">
        <v>74</v>
      </c>
      <c r="B39" s="1">
        <v>8.0225368120363999E-7</v>
      </c>
      <c r="C39" s="2">
        <f t="shared" si="14"/>
        <v>8.7000000000000003E-7</v>
      </c>
      <c r="D39" s="2">
        <f t="shared" si="14"/>
        <v>9.9999999999999995E-7</v>
      </c>
      <c r="E39" s="2">
        <f t="shared" si="14"/>
        <v>6.9E-6</v>
      </c>
      <c r="F39" s="2">
        <f t="shared" si="14"/>
        <v>5.6999999999999996E-6</v>
      </c>
      <c r="G39" s="2">
        <f t="shared" si="14"/>
        <v>7.9000000000000006E-6</v>
      </c>
      <c r="H39" s="2">
        <f t="shared" si="14"/>
        <v>6.4999999999999996E-6</v>
      </c>
      <c r="I39" s="2">
        <f t="shared" si="17"/>
        <v>2.4E-8</v>
      </c>
      <c r="J39" s="2">
        <f t="shared" si="11"/>
        <v>8.8000000000000004E-7</v>
      </c>
      <c r="K39" s="2">
        <f t="shared" si="18"/>
        <v>7.4000000000000003E-6</v>
      </c>
      <c r="L39" s="2">
        <f t="shared" si="19"/>
        <v>8.4999999999999999E-6</v>
      </c>
      <c r="M39" s="2">
        <f t="shared" si="20"/>
        <v>2.4E-8</v>
      </c>
      <c r="N39" s="2">
        <f t="shared" si="15"/>
        <v>0.8</v>
      </c>
      <c r="O39" s="2">
        <f t="shared" si="16"/>
        <v>6.0000000000000001E-3</v>
      </c>
      <c r="P39" t="s">
        <v>69</v>
      </c>
      <c r="Q39">
        <v>1</v>
      </c>
      <c r="R39" s="4">
        <f t="shared" si="21"/>
        <v>225</v>
      </c>
      <c r="S39">
        <v>38</v>
      </c>
    </row>
    <row r="40" spans="1:19" x14ac:dyDescent="0.25">
      <c r="A40" t="s">
        <v>69</v>
      </c>
      <c r="B40" s="1">
        <v>2.4227444269833802E-3</v>
      </c>
      <c r="C40" s="2">
        <f t="shared" si="14"/>
        <v>-1</v>
      </c>
      <c r="D40" s="2">
        <f t="shared" si="14"/>
        <v>-1</v>
      </c>
      <c r="E40" s="2">
        <f t="shared" si="14"/>
        <v>-1</v>
      </c>
      <c r="F40" s="2">
        <f t="shared" si="14"/>
        <v>-1</v>
      </c>
      <c r="G40" s="2">
        <f t="shared" si="14"/>
        <v>-1</v>
      </c>
      <c r="H40" s="2">
        <f t="shared" si="14"/>
        <v>-1</v>
      </c>
      <c r="I40" s="2">
        <f t="shared" si="17"/>
        <v>-1</v>
      </c>
      <c r="J40" s="2">
        <f t="shared" si="11"/>
        <v>-1</v>
      </c>
      <c r="K40" s="2">
        <f t="shared" si="18"/>
        <v>-1</v>
      </c>
      <c r="L40" s="2">
        <f t="shared" si="19"/>
        <v>-1</v>
      </c>
      <c r="M40" s="2">
        <f t="shared" si="20"/>
        <v>-1</v>
      </c>
      <c r="N40" s="2">
        <f t="shared" si="15"/>
        <v>0</v>
      </c>
      <c r="O40" s="2">
        <f t="shared" si="16"/>
        <v>0</v>
      </c>
      <c r="P40" t="s">
        <v>62</v>
      </c>
      <c r="Q40">
        <v>1</v>
      </c>
      <c r="R40" s="4">
        <f t="shared" si="21"/>
        <v>221</v>
      </c>
      <c r="S40">
        <v>39</v>
      </c>
    </row>
    <row r="41" spans="1:19" x14ac:dyDescent="0.25">
      <c r="A41" t="s">
        <v>62</v>
      </c>
      <c r="B41" s="1">
        <v>21.4596650328156</v>
      </c>
      <c r="C41" s="2">
        <f t="shared" si="14"/>
        <v>-1</v>
      </c>
      <c r="D41" s="2">
        <f t="shared" si="14"/>
        <v>-1</v>
      </c>
      <c r="E41" s="2">
        <f t="shared" si="14"/>
        <v>-1</v>
      </c>
      <c r="F41" s="2">
        <f t="shared" si="14"/>
        <v>-1</v>
      </c>
      <c r="G41" s="2">
        <f t="shared" si="14"/>
        <v>-1</v>
      </c>
      <c r="H41" s="2">
        <f t="shared" si="14"/>
        <v>-1</v>
      </c>
      <c r="I41" s="2">
        <f t="shared" si="17"/>
        <v>-1</v>
      </c>
      <c r="J41" s="2">
        <f t="shared" si="11"/>
        <v>-1</v>
      </c>
      <c r="K41" s="2">
        <f t="shared" si="18"/>
        <v>-1</v>
      </c>
      <c r="L41" s="2">
        <f t="shared" si="19"/>
        <v>-1</v>
      </c>
      <c r="M41" s="2">
        <f t="shared" si="20"/>
        <v>-1</v>
      </c>
      <c r="N41" s="2">
        <f t="shared" si="15"/>
        <v>0</v>
      </c>
      <c r="O41" s="2">
        <f t="shared" si="16"/>
        <v>0</v>
      </c>
      <c r="P41" t="s">
        <v>53</v>
      </c>
      <c r="Q41">
        <v>0.99992999999999999</v>
      </c>
      <c r="R41" s="4">
        <f t="shared" si="21"/>
        <v>217</v>
      </c>
      <c r="S41">
        <v>40</v>
      </c>
    </row>
    <row r="42" spans="1:19" x14ac:dyDescent="0.25">
      <c r="A42" t="s">
        <v>62</v>
      </c>
      <c r="B42" s="1">
        <v>21.4596650328156</v>
      </c>
      <c r="C42" s="2">
        <f t="shared" si="14"/>
        <v>-1</v>
      </c>
      <c r="D42" s="2">
        <f t="shared" si="14"/>
        <v>-1</v>
      </c>
      <c r="E42" s="2">
        <f t="shared" si="14"/>
        <v>-1</v>
      </c>
      <c r="F42" s="2">
        <f t="shared" si="14"/>
        <v>-1</v>
      </c>
      <c r="G42" s="2">
        <f t="shared" si="14"/>
        <v>-1</v>
      </c>
      <c r="H42" s="2">
        <f t="shared" si="14"/>
        <v>-1</v>
      </c>
      <c r="I42" s="2">
        <f t="shared" si="17"/>
        <v>-1</v>
      </c>
      <c r="J42" s="2">
        <f t="shared" si="11"/>
        <v>-1</v>
      </c>
      <c r="K42" s="2">
        <f t="shared" si="18"/>
        <v>-1</v>
      </c>
      <c r="L42" s="2">
        <f t="shared" si="19"/>
        <v>-1</v>
      </c>
      <c r="M42" s="2">
        <f t="shared" si="20"/>
        <v>-1</v>
      </c>
      <c r="N42" s="2">
        <f t="shared" si="15"/>
        <v>0</v>
      </c>
      <c r="O42" s="2">
        <f t="shared" si="16"/>
        <v>0</v>
      </c>
      <c r="P42" t="s">
        <v>61</v>
      </c>
      <c r="Q42">
        <v>6.9999999999999994E-5</v>
      </c>
      <c r="R42" s="4">
        <f t="shared" si="21"/>
        <v>217</v>
      </c>
      <c r="S42">
        <v>41</v>
      </c>
    </row>
    <row r="43" spans="1:19" x14ac:dyDescent="0.25">
      <c r="A43" t="s">
        <v>53</v>
      </c>
      <c r="B43" s="1">
        <v>2.5339883766905901E-4</v>
      </c>
      <c r="C43" s="2">
        <f t="shared" ref="C43:H52" si="22">IF(ISNA(VLOOKUP($A43,_68inh,COLUMN(C43)-1,FALSE)),-1,VLOOKUP($A43,_68inh,COLUMN(C43)-1,FALSE))</f>
        <v>1.0999999999999999E-8</v>
      </c>
      <c r="D43" s="2">
        <f t="shared" si="22"/>
        <v>1.7999999999999999E-8</v>
      </c>
      <c r="E43" s="2">
        <f t="shared" si="22"/>
        <v>2.9000000000000002E-8</v>
      </c>
      <c r="F43" s="2">
        <f t="shared" si="22"/>
        <v>4.1000000000000003E-8</v>
      </c>
      <c r="G43" s="2">
        <f t="shared" si="22"/>
        <v>-1</v>
      </c>
      <c r="H43" s="2">
        <f t="shared" si="22"/>
        <v>-1</v>
      </c>
      <c r="I43" s="2">
        <f t="shared" si="17"/>
        <v>2.0000000000000001E-10</v>
      </c>
      <c r="J43" s="2">
        <f t="shared" si="11"/>
        <v>1E-8</v>
      </c>
      <c r="K43" s="2">
        <f t="shared" si="18"/>
        <v>2.9999999999999997E-8</v>
      </c>
      <c r="L43" s="2">
        <f t="shared" si="19"/>
        <v>-1</v>
      </c>
      <c r="M43" s="2">
        <f t="shared" si="20"/>
        <v>2.0000000000000001E-10</v>
      </c>
      <c r="N43" s="2">
        <f t="shared" si="15"/>
        <v>0</v>
      </c>
      <c r="O43" s="2">
        <f t="shared" si="16"/>
        <v>0</v>
      </c>
      <c r="P43" t="s">
        <v>52</v>
      </c>
      <c r="Q43">
        <v>0.97799999999999998</v>
      </c>
      <c r="R43" s="4">
        <f t="shared" si="21"/>
        <v>213</v>
      </c>
      <c r="S43">
        <v>42</v>
      </c>
    </row>
    <row r="44" spans="1:19" x14ac:dyDescent="0.25">
      <c r="A44" t="s">
        <v>41</v>
      </c>
      <c r="B44" s="1">
        <v>5.3458829288905198E-3</v>
      </c>
      <c r="C44" s="2">
        <f t="shared" si="22"/>
        <v>-1</v>
      </c>
      <c r="D44" s="2">
        <f t="shared" si="22"/>
        <v>-1</v>
      </c>
      <c r="E44" s="2">
        <f t="shared" si="22"/>
        <v>-1</v>
      </c>
      <c r="F44" s="2">
        <f t="shared" si="22"/>
        <v>-1</v>
      </c>
      <c r="G44" s="2">
        <f t="shared" si="22"/>
        <v>-1</v>
      </c>
      <c r="H44" s="2">
        <f t="shared" si="22"/>
        <v>-1</v>
      </c>
      <c r="I44" s="2">
        <f t="shared" si="17"/>
        <v>-1</v>
      </c>
      <c r="J44" s="2">
        <f t="shared" si="11"/>
        <v>-1</v>
      </c>
      <c r="K44" s="2">
        <f t="shared" si="18"/>
        <v>-1</v>
      </c>
      <c r="L44" s="2">
        <f t="shared" si="19"/>
        <v>-1</v>
      </c>
      <c r="M44" s="2">
        <f t="shared" si="20"/>
        <v>-1</v>
      </c>
      <c r="N44" s="2">
        <f t="shared" si="15"/>
        <v>0</v>
      </c>
      <c r="O44" s="2">
        <f t="shared" si="16"/>
        <v>0</v>
      </c>
      <c r="P44" t="s">
        <v>40</v>
      </c>
      <c r="Q44">
        <v>1</v>
      </c>
      <c r="R44" s="4">
        <f t="shared" si="21"/>
        <v>209</v>
      </c>
      <c r="S44">
        <v>43</v>
      </c>
    </row>
    <row r="45" spans="1:19" x14ac:dyDescent="0.25">
      <c r="A45" t="s">
        <v>40</v>
      </c>
      <c r="B45" s="1">
        <v>5.9188713030701997E-5</v>
      </c>
      <c r="C45" s="2">
        <f t="shared" si="22"/>
        <v>1.7999999999999999E-11</v>
      </c>
      <c r="D45" s="2">
        <f t="shared" si="22"/>
        <v>3.1999999999999999E-11</v>
      </c>
      <c r="E45" s="2">
        <f t="shared" si="22"/>
        <v>-1</v>
      </c>
      <c r="F45" s="2">
        <f t="shared" si="22"/>
        <v>-1</v>
      </c>
      <c r="G45" s="2">
        <f t="shared" si="22"/>
        <v>-1</v>
      </c>
      <c r="H45" s="2">
        <f t="shared" si="22"/>
        <v>-1</v>
      </c>
      <c r="I45" s="2">
        <f t="shared" si="17"/>
        <v>5.6999999999999997E-11</v>
      </c>
      <c r="J45" s="2">
        <f t="shared" si="11"/>
        <v>1.6999999999999999E-11</v>
      </c>
      <c r="K45" s="2">
        <f t="shared" si="18"/>
        <v>5.6E-11</v>
      </c>
      <c r="L45" s="2">
        <f t="shared" si="19"/>
        <v>6.0999999999999996E-11</v>
      </c>
      <c r="M45" s="2">
        <f t="shared" si="20"/>
        <v>5.6999999999999997E-11</v>
      </c>
      <c r="N45" s="2">
        <f t="shared" si="15"/>
        <v>0</v>
      </c>
      <c r="O45" s="2">
        <f t="shared" si="16"/>
        <v>0</v>
      </c>
      <c r="P45" t="s">
        <v>142</v>
      </c>
      <c r="Q45">
        <v>1</v>
      </c>
      <c r="R45" s="4">
        <f t="shared" si="21"/>
        <v>209</v>
      </c>
      <c r="S45">
        <v>44</v>
      </c>
    </row>
    <row r="46" spans="1:19" x14ac:dyDescent="0.25">
      <c r="A46" t="s">
        <v>96</v>
      </c>
      <c r="B46" s="1">
        <v>1.18852397215354E-6</v>
      </c>
      <c r="C46" s="2">
        <f t="shared" si="22"/>
        <v>1.8999999999999999E-10</v>
      </c>
      <c r="D46" s="2">
        <f t="shared" si="22"/>
        <v>3.3E-10</v>
      </c>
      <c r="E46" s="2">
        <f t="shared" si="22"/>
        <v>1.6000000000000001E-9</v>
      </c>
      <c r="F46" s="2">
        <f t="shared" si="22"/>
        <v>1.5E-9</v>
      </c>
      <c r="G46" s="2">
        <f t="shared" si="22"/>
        <v>1.8E-9</v>
      </c>
      <c r="H46" s="2">
        <f t="shared" si="22"/>
        <v>1.6999999999999999E-9</v>
      </c>
      <c r="I46" s="2">
        <f t="shared" si="17"/>
        <v>7.7000000000000003E-10</v>
      </c>
      <c r="J46" s="2">
        <f t="shared" si="11"/>
        <v>1.8E-10</v>
      </c>
      <c r="K46" s="2">
        <f t="shared" si="18"/>
        <v>1.6999999999999999E-9</v>
      </c>
      <c r="L46" s="2">
        <f t="shared" si="19"/>
        <v>1.9000000000000001E-9</v>
      </c>
      <c r="M46" s="2">
        <f t="shared" si="20"/>
        <v>7.5999999999999996E-10</v>
      </c>
      <c r="N46" s="2">
        <f t="shared" si="15"/>
        <v>0</v>
      </c>
      <c r="O46" s="2">
        <f t="shared" si="16"/>
        <v>0</v>
      </c>
      <c r="P46" t="s">
        <v>95</v>
      </c>
      <c r="Q46">
        <v>1</v>
      </c>
      <c r="R46" s="4">
        <f t="shared" si="21"/>
        <v>237</v>
      </c>
      <c r="S46">
        <v>45</v>
      </c>
    </row>
    <row r="47" spans="1:19" x14ac:dyDescent="0.25">
      <c r="A47" t="s">
        <v>61</v>
      </c>
      <c r="B47" s="1">
        <v>1283.6058899258201</v>
      </c>
      <c r="C47" s="2">
        <f t="shared" si="22"/>
        <v>-1</v>
      </c>
      <c r="D47" s="2">
        <f t="shared" si="22"/>
        <v>-1</v>
      </c>
      <c r="E47" s="2">
        <f t="shared" si="22"/>
        <v>-1</v>
      </c>
      <c r="F47" s="2">
        <f t="shared" si="22"/>
        <v>-1</v>
      </c>
      <c r="G47" s="2">
        <f t="shared" si="22"/>
        <v>-1</v>
      </c>
      <c r="H47" s="2">
        <f t="shared" si="22"/>
        <v>-1</v>
      </c>
      <c r="I47" s="2">
        <f t="shared" si="17"/>
        <v>-1</v>
      </c>
      <c r="J47" s="2">
        <f t="shared" si="11"/>
        <v>-1</v>
      </c>
      <c r="K47" s="2">
        <f t="shared" si="18"/>
        <v>-1</v>
      </c>
      <c r="L47" s="2">
        <f t="shared" si="19"/>
        <v>-1</v>
      </c>
      <c r="M47" s="2">
        <f t="shared" si="20"/>
        <v>-1</v>
      </c>
      <c r="N47" s="2">
        <f t="shared" si="15"/>
        <v>0</v>
      </c>
      <c r="O47" s="2">
        <f t="shared" si="16"/>
        <v>0</v>
      </c>
      <c r="P47" t="s">
        <v>52</v>
      </c>
      <c r="Q47">
        <v>1</v>
      </c>
      <c r="R47" s="4">
        <f t="shared" si="21"/>
        <v>217</v>
      </c>
      <c r="S47">
        <v>46</v>
      </c>
    </row>
    <row r="48" spans="1:19" x14ac:dyDescent="0.25">
      <c r="A48" t="s">
        <v>52</v>
      </c>
      <c r="B48" s="1">
        <v>186329.88724729701</v>
      </c>
      <c r="C48" s="2">
        <f t="shared" si="22"/>
        <v>-1</v>
      </c>
      <c r="D48" s="2">
        <f t="shared" si="22"/>
        <v>-1</v>
      </c>
      <c r="E48" s="2">
        <f t="shared" si="22"/>
        <v>-1</v>
      </c>
      <c r="F48" s="2">
        <f t="shared" si="22"/>
        <v>-1</v>
      </c>
      <c r="G48" s="2">
        <f t="shared" si="22"/>
        <v>-1</v>
      </c>
      <c r="H48" s="2">
        <f t="shared" si="22"/>
        <v>-1</v>
      </c>
      <c r="I48" s="2">
        <f t="shared" si="17"/>
        <v>-1</v>
      </c>
      <c r="J48" s="2">
        <f t="shared" si="11"/>
        <v>-1</v>
      </c>
      <c r="K48" s="2">
        <f t="shared" si="18"/>
        <v>-1</v>
      </c>
      <c r="L48" s="2">
        <f t="shared" si="19"/>
        <v>-1</v>
      </c>
      <c r="M48" s="2">
        <f t="shared" si="20"/>
        <v>-1</v>
      </c>
      <c r="N48" s="2">
        <f t="shared" si="15"/>
        <v>0</v>
      </c>
      <c r="O48" s="2">
        <f t="shared" si="16"/>
        <v>0</v>
      </c>
      <c r="P48" t="s">
        <v>40</v>
      </c>
      <c r="Q48">
        <v>1</v>
      </c>
      <c r="R48" s="4">
        <f t="shared" si="21"/>
        <v>213</v>
      </c>
      <c r="S48">
        <v>47</v>
      </c>
    </row>
    <row r="49" spans="1:19" x14ac:dyDescent="0.25">
      <c r="A49" t="s">
        <v>106</v>
      </c>
      <c r="B49" s="1">
        <v>1.2135087693718299E-9</v>
      </c>
      <c r="C49" s="2">
        <f t="shared" si="22"/>
        <v>-1</v>
      </c>
      <c r="D49" s="2">
        <f t="shared" si="22"/>
        <v>-1</v>
      </c>
      <c r="E49" s="2">
        <f t="shared" si="22"/>
        <v>2.5000000000000001E-5</v>
      </c>
      <c r="F49" s="2">
        <f t="shared" si="22"/>
        <v>1.7E-5</v>
      </c>
      <c r="G49" s="2">
        <f t="shared" si="22"/>
        <v>-1</v>
      </c>
      <c r="H49" s="2">
        <f t="shared" si="22"/>
        <v>-1</v>
      </c>
      <c r="I49" s="2">
        <f t="shared" si="17"/>
        <v>1.1999999999999999E-7</v>
      </c>
      <c r="J49" s="2">
        <f t="shared" si="11"/>
        <v>5.7000000000000003E-5</v>
      </c>
      <c r="K49" s="2">
        <f t="shared" si="18"/>
        <v>2.6999999999999999E-5</v>
      </c>
      <c r="L49" s="2">
        <f t="shared" si="19"/>
        <v>1.2999999999999999E-5</v>
      </c>
      <c r="M49" s="2">
        <f t="shared" si="20"/>
        <v>1.1999999999999999E-7</v>
      </c>
      <c r="N49" s="2">
        <f t="shared" si="15"/>
        <v>20</v>
      </c>
      <c r="O49" s="2">
        <f t="shared" si="16"/>
        <v>2E-3</v>
      </c>
      <c r="P49" t="s">
        <v>101</v>
      </c>
      <c r="Q49">
        <v>1</v>
      </c>
      <c r="R49" s="4">
        <f t="shared" si="21"/>
        <v>244</v>
      </c>
      <c r="S49">
        <v>48</v>
      </c>
    </row>
    <row r="50" spans="1:19" x14ac:dyDescent="0.25">
      <c r="A50" t="s">
        <v>101</v>
      </c>
      <c r="B50" s="1">
        <v>3.3477379554382101E-12</v>
      </c>
      <c r="C50" s="2">
        <f t="shared" si="22"/>
        <v>-1</v>
      </c>
      <c r="D50" s="2">
        <f t="shared" si="22"/>
        <v>-1</v>
      </c>
      <c r="E50" s="2">
        <f t="shared" si="22"/>
        <v>4.6999999999999997E-5</v>
      </c>
      <c r="F50" s="2">
        <f t="shared" si="22"/>
        <v>3.1999999999999999E-5</v>
      </c>
      <c r="G50" s="2">
        <f t="shared" si="22"/>
        <v>1.5E-5</v>
      </c>
      <c r="H50" s="2">
        <f t="shared" si="22"/>
        <v>8.3000000000000002E-6</v>
      </c>
      <c r="I50" s="2">
        <f t="shared" si="17"/>
        <v>2.4999999999999999E-7</v>
      </c>
      <c r="J50" s="2">
        <f t="shared" si="11"/>
        <v>1.2E-4</v>
      </c>
      <c r="K50" s="2">
        <f t="shared" si="18"/>
        <v>5.0000000000000002E-5</v>
      </c>
      <c r="L50" s="2">
        <f t="shared" si="19"/>
        <v>1.5999999999999999E-5</v>
      </c>
      <c r="M50" s="2">
        <f t="shared" si="20"/>
        <v>2.4999999999999999E-7</v>
      </c>
      <c r="N50" s="2">
        <f t="shared" si="15"/>
        <v>10</v>
      </c>
      <c r="O50" s="2">
        <f t="shared" si="16"/>
        <v>1E-3</v>
      </c>
      <c r="P50" t="s">
        <v>94</v>
      </c>
      <c r="Q50">
        <v>1</v>
      </c>
      <c r="R50" s="4">
        <f t="shared" si="21"/>
        <v>240</v>
      </c>
      <c r="S50">
        <v>49</v>
      </c>
    </row>
    <row r="51" spans="1:19" x14ac:dyDescent="0.25">
      <c r="A51" t="s">
        <v>94</v>
      </c>
      <c r="B51" s="1">
        <v>9.3785263559479596E-16</v>
      </c>
      <c r="C51" s="2">
        <f t="shared" si="22"/>
        <v>5.2E-7</v>
      </c>
      <c r="D51" s="2">
        <f t="shared" si="22"/>
        <v>6.0999999999999998E-7</v>
      </c>
      <c r="E51" s="2">
        <f t="shared" si="22"/>
        <v>2.9000000000000002E-6</v>
      </c>
      <c r="F51" s="2">
        <f t="shared" si="22"/>
        <v>1.9E-6</v>
      </c>
      <c r="G51" s="2">
        <f t="shared" si="22"/>
        <v>7.9000000000000006E-6</v>
      </c>
      <c r="H51" s="2">
        <f t="shared" si="22"/>
        <v>6.2999999999999998E-6</v>
      </c>
      <c r="I51" s="2">
        <f t="shared" si="17"/>
        <v>4.6000000000000002E-8</v>
      </c>
      <c r="J51" s="2">
        <f t="shared" si="11"/>
        <v>5.3000000000000001E-7</v>
      </c>
      <c r="K51" s="2">
        <f t="shared" si="18"/>
        <v>3.1999999999999999E-6</v>
      </c>
      <c r="L51" s="2">
        <f t="shared" si="19"/>
        <v>8.6999999999999997E-6</v>
      </c>
      <c r="M51" s="2">
        <f t="shared" si="20"/>
        <v>4.6999999999999997E-8</v>
      </c>
      <c r="N51" s="2">
        <f t="shared" si="15"/>
        <v>40</v>
      </c>
      <c r="O51" s="2">
        <f t="shared" si="16"/>
        <v>6.0000000000000001E-3</v>
      </c>
      <c r="P51" t="s">
        <v>86</v>
      </c>
      <c r="Q51">
        <v>1</v>
      </c>
      <c r="R51" s="4">
        <f t="shared" si="21"/>
        <v>236</v>
      </c>
      <c r="S51">
        <v>50</v>
      </c>
    </row>
    <row r="52" spans="1:19" x14ac:dyDescent="0.25">
      <c r="A52" t="s">
        <v>86</v>
      </c>
      <c r="B52" s="1">
        <v>1.5688934804021501E-18</v>
      </c>
      <c r="C52" s="2">
        <f t="shared" si="22"/>
        <v>-1</v>
      </c>
      <c r="D52" s="2">
        <f t="shared" si="22"/>
        <v>-1</v>
      </c>
      <c r="E52" s="2">
        <f t="shared" si="22"/>
        <v>4.1999999999999998E-5</v>
      </c>
      <c r="F52" s="2">
        <f t="shared" si="22"/>
        <v>2.9E-5</v>
      </c>
      <c r="G52" s="2">
        <f t="shared" si="22"/>
        <v>2.3E-5</v>
      </c>
      <c r="H52" s="2">
        <f t="shared" si="22"/>
        <v>1.2E-5</v>
      </c>
      <c r="I52" s="2">
        <f t="shared" si="17"/>
        <v>2.2000000000000001E-7</v>
      </c>
      <c r="J52" s="2">
        <f t="shared" si="11"/>
        <v>1.1E-4</v>
      </c>
      <c r="K52" s="2">
        <f t="shared" si="18"/>
        <v>4.5000000000000003E-5</v>
      </c>
      <c r="L52" s="2">
        <f t="shared" si="19"/>
        <v>2.5000000000000001E-5</v>
      </c>
      <c r="M52" s="2">
        <f t="shared" si="20"/>
        <v>2.2999999999999999E-7</v>
      </c>
      <c r="N52" s="2">
        <f t="shared" si="15"/>
        <v>-1</v>
      </c>
      <c r="O52" s="2">
        <f t="shared" si="16"/>
        <v>-1</v>
      </c>
      <c r="P52" t="s">
        <v>81</v>
      </c>
      <c r="Q52">
        <v>1</v>
      </c>
      <c r="R52" s="4">
        <f t="shared" si="21"/>
        <v>232</v>
      </c>
      <c r="S52">
        <v>51</v>
      </c>
    </row>
    <row r="53" spans="1:19" x14ac:dyDescent="0.25">
      <c r="A53" t="s">
        <v>81</v>
      </c>
      <c r="B53" s="1">
        <v>3.8199145609791498E-9</v>
      </c>
      <c r="C53" s="2">
        <f t="shared" ref="C53:H62" si="23">IF(ISNA(VLOOKUP($A53,_68inh,COLUMN(C53)-1,FALSE)),-1,VLOOKUP($A53,_68inh,COLUMN(C53)-1,FALSE))</f>
        <v>-1</v>
      </c>
      <c r="D53" s="2">
        <f t="shared" si="23"/>
        <v>-1</v>
      </c>
      <c r="E53" s="2">
        <f t="shared" si="23"/>
        <v>2.6000000000000001E-6</v>
      </c>
      <c r="F53" s="2">
        <f t="shared" si="23"/>
        <v>1.7E-6</v>
      </c>
      <c r="G53" s="2">
        <f t="shared" si="23"/>
        <v>-1</v>
      </c>
      <c r="H53" s="2">
        <f t="shared" si="23"/>
        <v>-1</v>
      </c>
      <c r="I53" s="2">
        <f t="shared" si="17"/>
        <v>6.7000000000000004E-7</v>
      </c>
      <c r="J53" s="2">
        <f t="shared" si="11"/>
        <v>8.9999999999999996E-7</v>
      </c>
      <c r="K53" s="2">
        <f t="shared" si="18"/>
        <v>2.6000000000000001E-6</v>
      </c>
      <c r="L53" s="2">
        <f t="shared" si="19"/>
        <v>1.5999999999999999E-5</v>
      </c>
      <c r="M53" s="2">
        <f t="shared" si="20"/>
        <v>6.8999999999999996E-7</v>
      </c>
      <c r="N53" s="2">
        <f t="shared" si="15"/>
        <v>0.60000000000000009</v>
      </c>
      <c r="O53" s="2">
        <f t="shared" si="16"/>
        <v>0.02</v>
      </c>
      <c r="P53" t="s">
        <v>80</v>
      </c>
      <c r="Q53">
        <v>1</v>
      </c>
      <c r="R53" s="4">
        <f t="shared" si="21"/>
        <v>228</v>
      </c>
      <c r="S53">
        <v>52</v>
      </c>
    </row>
    <row r="54" spans="1:19" x14ac:dyDescent="0.25">
      <c r="A54" t="s">
        <v>80</v>
      </c>
      <c r="B54" s="1">
        <v>3.13074607298982E-5</v>
      </c>
      <c r="C54" s="2">
        <f t="shared" si="23"/>
        <v>2.4999999999999999E-8</v>
      </c>
      <c r="D54" s="2">
        <f t="shared" si="23"/>
        <v>2.9000000000000002E-8</v>
      </c>
      <c r="E54" s="2">
        <f t="shared" si="23"/>
        <v>1.6000000000000001E-8</v>
      </c>
      <c r="F54" s="2">
        <f t="shared" si="23"/>
        <v>1.2E-8</v>
      </c>
      <c r="G54" s="2">
        <f t="shared" si="23"/>
        <v>1.4E-8</v>
      </c>
      <c r="H54" s="2">
        <f t="shared" si="23"/>
        <v>1.2E-8</v>
      </c>
      <c r="I54" s="2">
        <f t="shared" si="17"/>
        <v>4.3000000000000001E-10</v>
      </c>
      <c r="J54" s="2">
        <f t="shared" si="11"/>
        <v>2.4999999999999999E-8</v>
      </c>
      <c r="K54" s="2">
        <f t="shared" si="18"/>
        <v>1.7E-8</v>
      </c>
      <c r="L54" s="2">
        <f t="shared" si="19"/>
        <v>1.6000000000000001E-8</v>
      </c>
      <c r="M54" s="2">
        <f t="shared" si="20"/>
        <v>4.3000000000000001E-10</v>
      </c>
      <c r="N54" s="2">
        <f t="shared" si="15"/>
        <v>0.60000000000000009</v>
      </c>
      <c r="O54" s="2">
        <f t="shared" si="16"/>
        <v>0.5</v>
      </c>
      <c r="P54" t="s">
        <v>79</v>
      </c>
      <c r="Q54">
        <v>1</v>
      </c>
      <c r="R54" s="4">
        <f t="shared" si="21"/>
        <v>228</v>
      </c>
      <c r="S54">
        <v>53</v>
      </c>
    </row>
    <row r="55" spans="1:19" x14ac:dyDescent="0.25">
      <c r="A55" t="s">
        <v>79</v>
      </c>
      <c r="B55" s="1">
        <v>1.1490117558919299E-8</v>
      </c>
      <c r="C55" s="2">
        <f t="shared" si="23"/>
        <v>-1</v>
      </c>
      <c r="D55" s="2">
        <f t="shared" si="23"/>
        <v>-1</v>
      </c>
      <c r="E55" s="2">
        <f t="shared" si="23"/>
        <v>3.0000000000000001E-5</v>
      </c>
      <c r="F55" s="2">
        <f t="shared" si="23"/>
        <v>2.1999999999999999E-5</v>
      </c>
      <c r="G55" s="2">
        <f t="shared" si="23"/>
        <v>3.6999999999999998E-5</v>
      </c>
      <c r="H55" s="2">
        <f t="shared" si="23"/>
        <v>2.5000000000000001E-5</v>
      </c>
      <c r="I55" s="2">
        <f t="shared" si="17"/>
        <v>7.1999999999999996E-8</v>
      </c>
      <c r="J55" s="2">
        <f t="shared" si="11"/>
        <v>3.0000000000000001E-5</v>
      </c>
      <c r="K55" s="2">
        <f t="shared" si="18"/>
        <v>3.1999999999999999E-5</v>
      </c>
      <c r="L55" s="2">
        <f t="shared" si="19"/>
        <v>4.0000000000000003E-5</v>
      </c>
      <c r="M55" s="2">
        <f t="shared" si="20"/>
        <v>7.1999999999999996E-8</v>
      </c>
      <c r="N55" s="2">
        <f t="shared" si="15"/>
        <v>0.5</v>
      </c>
      <c r="O55" s="2">
        <f t="shared" si="16"/>
        <v>1E-3</v>
      </c>
      <c r="P55" t="s">
        <v>73</v>
      </c>
      <c r="Q55">
        <v>1</v>
      </c>
      <c r="R55" s="4">
        <f t="shared" si="21"/>
        <v>228</v>
      </c>
      <c r="S55">
        <v>54</v>
      </c>
    </row>
    <row r="56" spans="1:19" x14ac:dyDescent="0.25">
      <c r="A56" t="s">
        <v>73</v>
      </c>
      <c r="B56" s="1">
        <v>2.20890905918015E-6</v>
      </c>
      <c r="C56" s="2">
        <f t="shared" si="23"/>
        <v>-1</v>
      </c>
      <c r="D56" s="2">
        <f t="shared" si="23"/>
        <v>-1</v>
      </c>
      <c r="E56" s="2">
        <f t="shared" si="23"/>
        <v>2.9000000000000002E-6</v>
      </c>
      <c r="F56" s="2">
        <f t="shared" si="23"/>
        <v>2.3999999999999999E-6</v>
      </c>
      <c r="G56" s="2">
        <f t="shared" si="23"/>
        <v>-1</v>
      </c>
      <c r="H56" s="2">
        <f t="shared" si="23"/>
        <v>-1</v>
      </c>
      <c r="I56" s="2">
        <f t="shared" si="17"/>
        <v>6.5E-8</v>
      </c>
      <c r="J56" s="2">
        <f t="shared" si="11"/>
        <v>7.4999999999999997E-8</v>
      </c>
      <c r="K56" s="2">
        <f t="shared" si="18"/>
        <v>3.0000000000000001E-6</v>
      </c>
      <c r="L56" s="2">
        <f t="shared" si="19"/>
        <v>3.4000000000000001E-6</v>
      </c>
      <c r="M56" s="2">
        <f t="shared" si="20"/>
        <v>6.5E-8</v>
      </c>
      <c r="N56" s="2">
        <f t="shared" si="15"/>
        <v>0.4</v>
      </c>
      <c r="O56" s="2">
        <f t="shared" si="16"/>
        <v>0.02</v>
      </c>
      <c r="P56" t="s">
        <v>68</v>
      </c>
      <c r="Q56">
        <v>1</v>
      </c>
      <c r="R56" s="4">
        <f t="shared" si="21"/>
        <v>224</v>
      </c>
      <c r="S56">
        <v>55</v>
      </c>
    </row>
    <row r="57" spans="1:19" x14ac:dyDescent="0.25">
      <c r="A57" t="s">
        <v>68</v>
      </c>
      <c r="B57" s="1">
        <v>1.24666759093515E-2</v>
      </c>
      <c r="C57" s="2">
        <f t="shared" si="23"/>
        <v>-1</v>
      </c>
      <c r="D57" s="2">
        <f t="shared" si="23"/>
        <v>-1</v>
      </c>
      <c r="E57" s="2">
        <f t="shared" si="23"/>
        <v>-1</v>
      </c>
      <c r="F57" s="2">
        <f t="shared" si="23"/>
        <v>-1</v>
      </c>
      <c r="G57" s="2">
        <f t="shared" si="23"/>
        <v>-1</v>
      </c>
      <c r="H57" s="2">
        <f t="shared" si="23"/>
        <v>-1</v>
      </c>
      <c r="I57" s="2">
        <f t="shared" si="17"/>
        <v>-1</v>
      </c>
      <c r="J57" s="2">
        <f t="shared" si="11"/>
        <v>-1</v>
      </c>
      <c r="K57" s="2">
        <f t="shared" si="18"/>
        <v>-1</v>
      </c>
      <c r="L57" s="2">
        <f t="shared" si="19"/>
        <v>-1</v>
      </c>
      <c r="M57" s="2">
        <f t="shared" si="20"/>
        <v>-1</v>
      </c>
      <c r="N57" s="2">
        <f t="shared" si="15"/>
        <v>0</v>
      </c>
      <c r="O57" s="2">
        <f t="shared" si="16"/>
        <v>0</v>
      </c>
      <c r="P57" t="s">
        <v>60</v>
      </c>
      <c r="Q57">
        <v>1</v>
      </c>
      <c r="R57" s="4">
        <f t="shared" si="21"/>
        <v>220</v>
      </c>
      <c r="S57">
        <v>56</v>
      </c>
    </row>
    <row r="58" spans="1:19" x14ac:dyDescent="0.25">
      <c r="A58" t="s">
        <v>60</v>
      </c>
      <c r="B58" s="1">
        <v>4.7803253831720403</v>
      </c>
      <c r="C58" s="2">
        <f t="shared" si="23"/>
        <v>-1</v>
      </c>
      <c r="D58" s="2">
        <f t="shared" si="23"/>
        <v>-1</v>
      </c>
      <c r="E58" s="2">
        <f t="shared" si="23"/>
        <v>-1</v>
      </c>
      <c r="F58" s="2">
        <f t="shared" si="23"/>
        <v>-1</v>
      </c>
      <c r="G58" s="2">
        <f t="shared" si="23"/>
        <v>-1</v>
      </c>
      <c r="H58" s="2">
        <f t="shared" si="23"/>
        <v>-1</v>
      </c>
      <c r="I58" s="2">
        <f t="shared" si="17"/>
        <v>-1</v>
      </c>
      <c r="J58" s="2">
        <f t="shared" si="11"/>
        <v>-1</v>
      </c>
      <c r="K58" s="2">
        <f t="shared" si="18"/>
        <v>-1</v>
      </c>
      <c r="L58" s="2">
        <f t="shared" si="19"/>
        <v>-1</v>
      </c>
      <c r="M58" s="2">
        <f t="shared" si="20"/>
        <v>-1</v>
      </c>
      <c r="N58" s="2">
        <f t="shared" si="15"/>
        <v>0</v>
      </c>
      <c r="O58" s="2">
        <f t="shared" si="16"/>
        <v>0</v>
      </c>
      <c r="P58" t="s">
        <v>51</v>
      </c>
      <c r="Q58">
        <v>1</v>
      </c>
      <c r="R58" s="4">
        <f t="shared" si="21"/>
        <v>216</v>
      </c>
      <c r="S58">
        <v>57</v>
      </c>
    </row>
    <row r="59" spans="1:19" x14ac:dyDescent="0.25">
      <c r="A59" t="s">
        <v>51</v>
      </c>
      <c r="B59" s="1">
        <v>1.8095947696322698E-5</v>
      </c>
      <c r="C59" s="2">
        <f t="shared" si="23"/>
        <v>1.9000000000000001E-8</v>
      </c>
      <c r="D59" s="2">
        <f t="shared" si="23"/>
        <v>3.2999999999999998E-8</v>
      </c>
      <c r="E59" s="2">
        <f t="shared" si="23"/>
        <v>-1</v>
      </c>
      <c r="F59" s="2">
        <f t="shared" si="23"/>
        <v>-1</v>
      </c>
      <c r="G59" s="2">
        <f t="shared" si="23"/>
        <v>-1</v>
      </c>
      <c r="H59" s="2">
        <f t="shared" si="23"/>
        <v>-1</v>
      </c>
      <c r="I59" s="2">
        <f t="shared" si="17"/>
        <v>5.8999999999999999E-9</v>
      </c>
      <c r="J59" s="2">
        <f t="shared" si="11"/>
        <v>1.7999999999999999E-8</v>
      </c>
      <c r="K59" s="2">
        <f t="shared" si="18"/>
        <v>1.6999999999999999E-7</v>
      </c>
      <c r="L59" s="2">
        <f t="shared" si="19"/>
        <v>1.9000000000000001E-7</v>
      </c>
      <c r="M59" s="2">
        <f t="shared" si="20"/>
        <v>6E-9</v>
      </c>
      <c r="N59" s="2">
        <f t="shared" si="15"/>
        <v>0.70000000000000007</v>
      </c>
      <c r="O59" s="2">
        <f t="shared" si="16"/>
        <v>0.2</v>
      </c>
      <c r="P59" t="s">
        <v>50</v>
      </c>
      <c r="Q59">
        <v>1</v>
      </c>
      <c r="R59" s="4">
        <f t="shared" si="21"/>
        <v>212</v>
      </c>
      <c r="S59">
        <v>58</v>
      </c>
    </row>
    <row r="60" spans="1:19" x14ac:dyDescent="0.25">
      <c r="A60" t="s">
        <v>50</v>
      </c>
      <c r="B60" s="1">
        <v>1.9079195721440799E-4</v>
      </c>
      <c r="C60" s="2">
        <f t="shared" si="23"/>
        <v>9.3000000000000006E-9</v>
      </c>
      <c r="D60" s="2">
        <f t="shared" si="23"/>
        <v>1.4999999999999999E-8</v>
      </c>
      <c r="E60" s="2">
        <f t="shared" si="23"/>
        <v>2.9999999999999997E-8</v>
      </c>
      <c r="F60" s="2">
        <f t="shared" si="23"/>
        <v>3.8999999999999998E-8</v>
      </c>
      <c r="G60" s="2">
        <f t="shared" si="23"/>
        <v>-1</v>
      </c>
      <c r="H60" s="2">
        <f t="shared" si="23"/>
        <v>-1</v>
      </c>
      <c r="I60" s="2">
        <f t="shared" si="17"/>
        <v>2.5999999999999998E-10</v>
      </c>
      <c r="J60" s="2">
        <f t="shared" si="11"/>
        <v>9.1000000000000004E-9</v>
      </c>
      <c r="K60" s="2">
        <f t="shared" si="18"/>
        <v>3.1E-8</v>
      </c>
      <c r="L60" s="2">
        <f t="shared" si="19"/>
        <v>-1</v>
      </c>
      <c r="M60" s="2">
        <f t="shared" si="20"/>
        <v>2.5999999999999998E-10</v>
      </c>
      <c r="N60" s="2">
        <f t="shared" si="15"/>
        <v>0.70000000000000007</v>
      </c>
      <c r="O60" s="2">
        <f t="shared" si="16"/>
        <v>0.60000000000000009</v>
      </c>
      <c r="P60" t="s">
        <v>49</v>
      </c>
      <c r="Q60">
        <v>0.64059999999999995</v>
      </c>
      <c r="R60" s="4">
        <f t="shared" si="21"/>
        <v>212</v>
      </c>
      <c r="S60">
        <v>59</v>
      </c>
    </row>
    <row r="61" spans="1:19" x14ac:dyDescent="0.25">
      <c r="A61" t="s">
        <v>50</v>
      </c>
      <c r="B61" s="1">
        <v>1.9079195721440799E-4</v>
      </c>
      <c r="C61" s="2">
        <f t="shared" si="23"/>
        <v>9.3000000000000006E-9</v>
      </c>
      <c r="D61" s="2">
        <f t="shared" si="23"/>
        <v>1.4999999999999999E-8</v>
      </c>
      <c r="E61" s="2">
        <f t="shared" si="23"/>
        <v>2.9999999999999997E-8</v>
      </c>
      <c r="F61" s="2">
        <f t="shared" si="23"/>
        <v>3.8999999999999998E-8</v>
      </c>
      <c r="G61" s="2">
        <f t="shared" si="23"/>
        <v>-1</v>
      </c>
      <c r="H61" s="2">
        <f t="shared" si="23"/>
        <v>-1</v>
      </c>
      <c r="I61" s="2">
        <f t="shared" si="17"/>
        <v>2.5999999999999998E-10</v>
      </c>
      <c r="J61" s="2">
        <f t="shared" si="11"/>
        <v>9.1000000000000004E-9</v>
      </c>
      <c r="K61" s="2">
        <f t="shared" si="18"/>
        <v>3.1E-8</v>
      </c>
      <c r="L61" s="2">
        <f t="shared" si="19"/>
        <v>-1</v>
      </c>
      <c r="M61" s="2">
        <f t="shared" si="20"/>
        <v>2.5999999999999998E-10</v>
      </c>
      <c r="N61" s="2">
        <f t="shared" si="15"/>
        <v>0.70000000000000007</v>
      </c>
      <c r="O61" s="2">
        <f t="shared" si="16"/>
        <v>0.60000000000000009</v>
      </c>
      <c r="P61" t="s">
        <v>39</v>
      </c>
      <c r="Q61">
        <v>0.3594</v>
      </c>
      <c r="R61" s="4">
        <f t="shared" si="21"/>
        <v>212</v>
      </c>
      <c r="S61">
        <v>60</v>
      </c>
    </row>
    <row r="62" spans="1:19" x14ac:dyDescent="0.25">
      <c r="A62" t="s">
        <v>49</v>
      </c>
      <c r="B62" s="1">
        <v>2318217.9951837598</v>
      </c>
      <c r="C62" s="2">
        <f t="shared" si="23"/>
        <v>-1</v>
      </c>
      <c r="D62" s="2">
        <f t="shared" si="23"/>
        <v>-1</v>
      </c>
      <c r="E62" s="2">
        <f t="shared" si="23"/>
        <v>-1</v>
      </c>
      <c r="F62" s="2">
        <f t="shared" si="23"/>
        <v>-1</v>
      </c>
      <c r="G62" s="2">
        <f t="shared" si="23"/>
        <v>-1</v>
      </c>
      <c r="H62" s="2">
        <f t="shared" si="23"/>
        <v>-1</v>
      </c>
      <c r="I62" s="2">
        <f t="shared" si="17"/>
        <v>-1</v>
      </c>
      <c r="J62" s="2">
        <f t="shared" si="11"/>
        <v>-1</v>
      </c>
      <c r="K62" s="2">
        <f t="shared" si="18"/>
        <v>-1</v>
      </c>
      <c r="L62" s="2">
        <f t="shared" si="19"/>
        <v>-1</v>
      </c>
      <c r="M62" s="2">
        <f t="shared" si="20"/>
        <v>-1</v>
      </c>
      <c r="N62" s="2">
        <f t="shared" si="15"/>
        <v>0</v>
      </c>
      <c r="O62" s="2">
        <f t="shared" si="16"/>
        <v>0</v>
      </c>
      <c r="P62" t="s">
        <v>142</v>
      </c>
      <c r="Q62">
        <v>1</v>
      </c>
      <c r="R62" s="4">
        <f t="shared" si="21"/>
        <v>212</v>
      </c>
      <c r="S62">
        <v>61</v>
      </c>
    </row>
    <row r="63" spans="1:19" x14ac:dyDescent="0.25">
      <c r="A63" t="s">
        <v>39</v>
      </c>
      <c r="B63" s="1">
        <v>3.7839675759359401E-3</v>
      </c>
      <c r="C63" s="2">
        <f t="shared" ref="C63:H75" si="24">IF(ISNA(VLOOKUP($A63,_68inh,COLUMN(C63)-1,FALSE)),-1,VLOOKUP($A63,_68inh,COLUMN(C63)-1,FALSE))</f>
        <v>-1</v>
      </c>
      <c r="D63" s="2">
        <f t="shared" si="24"/>
        <v>-1</v>
      </c>
      <c r="E63" s="2">
        <f t="shared" si="24"/>
        <v>-1</v>
      </c>
      <c r="F63" s="2">
        <f t="shared" si="24"/>
        <v>-1</v>
      </c>
      <c r="G63" s="2">
        <f t="shared" si="24"/>
        <v>-1</v>
      </c>
      <c r="H63" s="2">
        <f t="shared" si="24"/>
        <v>-1</v>
      </c>
      <c r="I63" s="2">
        <f t="shared" si="17"/>
        <v>-1</v>
      </c>
      <c r="J63" s="2">
        <f t="shared" si="11"/>
        <v>-1</v>
      </c>
      <c r="K63" s="2">
        <f t="shared" si="18"/>
        <v>-1</v>
      </c>
      <c r="L63" s="2">
        <f t="shared" si="19"/>
        <v>-1</v>
      </c>
      <c r="M63" s="2">
        <f t="shared" si="20"/>
        <v>-1</v>
      </c>
      <c r="N63" s="2">
        <f t="shared" si="15"/>
        <v>0</v>
      </c>
      <c r="O63" s="2">
        <f t="shared" si="16"/>
        <v>0</v>
      </c>
      <c r="P63" t="s">
        <v>142</v>
      </c>
      <c r="Q63">
        <v>1</v>
      </c>
      <c r="R63" s="4">
        <f t="shared" si="21"/>
        <v>208</v>
      </c>
      <c r="S63">
        <v>62</v>
      </c>
    </row>
    <row r="64" spans="1:19" x14ac:dyDescent="0.25">
      <c r="A64" t="s">
        <v>734</v>
      </c>
      <c r="B64" s="1">
        <v>2.4459363837004597E-11</v>
      </c>
      <c r="C64" s="2">
        <f t="shared" si="24"/>
        <v>-1</v>
      </c>
      <c r="D64" s="2">
        <f t="shared" si="24"/>
        <v>-1</v>
      </c>
      <c r="E64" s="2">
        <f t="shared" si="24"/>
        <v>6.7000000000000002E-5</v>
      </c>
      <c r="F64" s="2">
        <f t="shared" si="24"/>
        <v>4.6E-5</v>
      </c>
      <c r="G64" s="2">
        <f t="shared" si="24"/>
        <v>-1</v>
      </c>
      <c r="H64" s="2">
        <f t="shared" si="24"/>
        <v>-1</v>
      </c>
      <c r="I64" s="2">
        <f t="shared" ref="I64:I66" si="25">IF(ISNA(VLOOKUP(A64,_68ing,2,FALSE)),-1,VLOOKUP(A64,_68ing,2,FALSE))</f>
        <v>3.5999999999999999E-7</v>
      </c>
      <c r="J64" s="2">
        <f t="shared" si="11"/>
        <v>-1</v>
      </c>
      <c r="K64" s="2">
        <f t="shared" si="18"/>
        <v>7.1000000000000005E-5</v>
      </c>
      <c r="L64" s="2">
        <f t="shared" si="19"/>
        <v>-1</v>
      </c>
      <c r="M64" s="2">
        <f t="shared" ref="M64:M66" si="26">IF(ISNA(VLOOKUP(A64,_72ing,2,FALSE)),-1,VLOOKUP(A64,_72ing,2,FALSE))</f>
        <v>3.5999999999999999E-7</v>
      </c>
      <c r="N64" s="2">
        <f t="shared" si="15"/>
        <v>7</v>
      </c>
      <c r="O64" s="2">
        <f t="shared" si="16"/>
        <v>6.9999999999999999E-4</v>
      </c>
      <c r="P64" t="s">
        <v>743</v>
      </c>
      <c r="Q64">
        <v>1</v>
      </c>
      <c r="R64" s="4">
        <f t="shared" si="21"/>
        <v>251</v>
      </c>
      <c r="S64">
        <v>63</v>
      </c>
    </row>
    <row r="65" spans="1:19" x14ac:dyDescent="0.25">
      <c r="A65" t="s">
        <v>743</v>
      </c>
      <c r="B65" s="1">
        <v>1.4079813285660337E-15</v>
      </c>
      <c r="C65" s="2">
        <f t="shared" si="24"/>
        <v>-1</v>
      </c>
      <c r="D65" s="2">
        <f t="shared" si="24"/>
        <v>-1</v>
      </c>
      <c r="E65" s="2">
        <f t="shared" si="24"/>
        <v>3.6000000000000001E-5</v>
      </c>
      <c r="F65" s="2">
        <f t="shared" si="24"/>
        <v>2.5000000000000001E-5</v>
      </c>
      <c r="G65" s="2">
        <f t="shared" si="24"/>
        <v>-1</v>
      </c>
      <c r="H65" s="2">
        <f t="shared" si="24"/>
        <v>-1</v>
      </c>
      <c r="I65" s="2">
        <f t="shared" si="25"/>
        <v>1.9000000000000001E-7</v>
      </c>
      <c r="J65" s="2">
        <f t="shared" si="11"/>
        <v>9.0000000000000006E-5</v>
      </c>
      <c r="K65" s="2">
        <f t="shared" si="18"/>
        <v>3.8999999999999999E-5</v>
      </c>
      <c r="L65" s="2">
        <f t="shared" si="19"/>
        <v>1.4E-5</v>
      </c>
      <c r="M65" s="2">
        <f t="shared" si="26"/>
        <v>1.9000000000000001E-7</v>
      </c>
      <c r="N65" s="2">
        <f t="shared" si="15"/>
        <v>3</v>
      </c>
      <c r="O65" s="2">
        <f t="shared" si="16"/>
        <v>1E-3</v>
      </c>
      <c r="P65" t="s">
        <v>1018</v>
      </c>
      <c r="Q65">
        <v>1</v>
      </c>
      <c r="R65" s="4">
        <f t="shared" si="21"/>
        <v>247</v>
      </c>
      <c r="S65">
        <v>64</v>
      </c>
    </row>
    <row r="66" spans="1:19" x14ac:dyDescent="0.25">
      <c r="A66" t="s">
        <v>1018</v>
      </c>
      <c r="B66" s="1">
        <v>3.8850057201144811E-5</v>
      </c>
      <c r="C66" s="2">
        <f t="shared" si="24"/>
        <v>-1</v>
      </c>
      <c r="D66" s="2">
        <f t="shared" si="24"/>
        <v>-1</v>
      </c>
      <c r="E66" s="2">
        <f t="shared" si="24"/>
        <v>8.2000000000000001E-11</v>
      </c>
      <c r="F66" s="2">
        <f t="shared" si="24"/>
        <v>1.0999999999999999E-10</v>
      </c>
      <c r="G66" s="2">
        <f t="shared" si="24"/>
        <v>8.5000000000000004E-11</v>
      </c>
      <c r="H66" s="2">
        <f t="shared" si="24"/>
        <v>1.0999999999999999E-10</v>
      </c>
      <c r="I66" s="2">
        <f t="shared" si="25"/>
        <v>8.5000000000000004E-11</v>
      </c>
      <c r="J66" s="2">
        <f t="shared" si="11"/>
        <v>3.1999999999999999E-11</v>
      </c>
      <c r="K66" s="2">
        <f t="shared" si="18"/>
        <v>8.2999999999999998E-11</v>
      </c>
      <c r="L66" s="2">
        <f t="shared" si="19"/>
        <v>8.6E-11</v>
      </c>
      <c r="M66" s="2">
        <f t="shared" si="26"/>
        <v>8.5000000000000004E-11</v>
      </c>
      <c r="N66" s="2">
        <f t="shared" ref="N66:N97" si="27">VLOOKUP($A66,A1A2,2,FALSE)</f>
        <v>0</v>
      </c>
      <c r="O66" s="2">
        <f t="shared" ref="O66:O97" si="28">VLOOKUP($A66,A1A2,3,FALSE)</f>
        <v>0</v>
      </c>
      <c r="P66" t="s">
        <v>104</v>
      </c>
      <c r="Q66">
        <v>1</v>
      </c>
      <c r="R66" s="4">
        <f t="shared" si="21"/>
        <v>243</v>
      </c>
      <c r="S66">
        <v>65</v>
      </c>
    </row>
    <row r="67" spans="1:19" x14ac:dyDescent="0.25">
      <c r="A67" t="s">
        <v>104</v>
      </c>
      <c r="B67" s="1">
        <v>2.9802589858385499E-12</v>
      </c>
      <c r="C67" s="2">
        <f t="shared" si="24"/>
        <v>-1</v>
      </c>
      <c r="D67" s="2">
        <f t="shared" si="24"/>
        <v>-1</v>
      </c>
      <c r="E67" s="2">
        <f t="shared" si="24"/>
        <v>3.8999999999999999E-5</v>
      </c>
      <c r="F67" s="2">
        <f t="shared" si="24"/>
        <v>2.6999999999999999E-5</v>
      </c>
      <c r="G67" s="2">
        <f t="shared" si="24"/>
        <v>-1</v>
      </c>
      <c r="H67" s="2">
        <f t="shared" si="24"/>
        <v>-1</v>
      </c>
      <c r="I67" s="2">
        <f t="shared" si="17"/>
        <v>1.9999999999999999E-7</v>
      </c>
      <c r="J67" s="2">
        <f t="shared" si="11"/>
        <v>9.6000000000000002E-5</v>
      </c>
      <c r="K67" s="2">
        <f t="shared" si="18"/>
        <v>4.1E-5</v>
      </c>
      <c r="L67" s="2">
        <f t="shared" si="19"/>
        <v>1.5E-5</v>
      </c>
      <c r="M67" s="2">
        <f t="shared" si="20"/>
        <v>1.9999999999999999E-7</v>
      </c>
      <c r="N67" s="2">
        <f t="shared" si="27"/>
        <v>5</v>
      </c>
      <c r="O67" s="2">
        <f t="shared" si="28"/>
        <v>1E-3</v>
      </c>
      <c r="P67" t="s">
        <v>100</v>
      </c>
      <c r="Q67">
        <v>1</v>
      </c>
      <c r="R67" s="4">
        <f t="shared" si="21"/>
        <v>243</v>
      </c>
      <c r="S67">
        <v>66</v>
      </c>
    </row>
    <row r="68" spans="1:19" x14ac:dyDescent="0.25">
      <c r="A68" t="s">
        <v>100</v>
      </c>
      <c r="B68" s="1">
        <v>3.4051514482327698E-6</v>
      </c>
      <c r="C68" s="2">
        <f t="shared" si="24"/>
        <v>-1</v>
      </c>
      <c r="D68" s="2">
        <f t="shared" si="24"/>
        <v>-1</v>
      </c>
      <c r="E68" s="2">
        <f t="shared" si="24"/>
        <v>8.9999999999999999E-10</v>
      </c>
      <c r="F68" s="2">
        <f t="shared" si="24"/>
        <v>1.0999999999999999E-9</v>
      </c>
      <c r="G68" s="2">
        <f t="shared" si="24"/>
        <v>-1</v>
      </c>
      <c r="H68" s="2">
        <f t="shared" si="24"/>
        <v>-1</v>
      </c>
      <c r="I68" s="2">
        <f t="shared" si="17"/>
        <v>8.0000000000000003E-10</v>
      </c>
      <c r="J68" s="2">
        <f t="shared" si="11"/>
        <v>1.7000000000000001E-10</v>
      </c>
      <c r="K68" s="2">
        <f t="shared" si="18"/>
        <v>9.2999999999999999E-10</v>
      </c>
      <c r="L68" s="2">
        <f t="shared" si="19"/>
        <v>1.0000000000000001E-9</v>
      </c>
      <c r="M68" s="2">
        <f t="shared" si="20"/>
        <v>8.0000000000000003E-10</v>
      </c>
      <c r="N68" s="2">
        <f t="shared" si="27"/>
        <v>7</v>
      </c>
      <c r="O68" s="2">
        <f t="shared" si="28"/>
        <v>0.4</v>
      </c>
      <c r="P68" t="s">
        <v>99</v>
      </c>
      <c r="Q68">
        <v>1</v>
      </c>
      <c r="R68" s="4">
        <f t="shared" si="21"/>
        <v>239</v>
      </c>
      <c r="S68">
        <v>67</v>
      </c>
    </row>
    <row r="69" spans="1:19" x14ac:dyDescent="0.25">
      <c r="A69" t="s">
        <v>99</v>
      </c>
      <c r="B69" s="1">
        <v>9.1101239011323596E-13</v>
      </c>
      <c r="C69" s="2">
        <f t="shared" si="24"/>
        <v>-1</v>
      </c>
      <c r="D69" s="2">
        <f t="shared" si="24"/>
        <v>-1</v>
      </c>
      <c r="E69" s="2">
        <f t="shared" si="24"/>
        <v>4.6999999999999997E-5</v>
      </c>
      <c r="F69" s="2">
        <f t="shared" si="24"/>
        <v>3.1999999999999999E-5</v>
      </c>
      <c r="G69" s="2">
        <f t="shared" si="24"/>
        <v>1.5E-5</v>
      </c>
      <c r="H69" s="2">
        <f t="shared" si="24"/>
        <v>8.3000000000000002E-6</v>
      </c>
      <c r="I69" s="2">
        <f t="shared" si="17"/>
        <v>2.4999999999999999E-7</v>
      </c>
      <c r="J69" s="2">
        <f t="shared" si="11"/>
        <v>1.2E-4</v>
      </c>
      <c r="K69" s="2">
        <f t="shared" si="18"/>
        <v>5.0000000000000002E-5</v>
      </c>
      <c r="L69" s="2">
        <f t="shared" si="19"/>
        <v>1.5999999999999999E-5</v>
      </c>
      <c r="M69" s="2">
        <f t="shared" si="20"/>
        <v>2.4999999999999999E-7</v>
      </c>
      <c r="N69" s="2">
        <f t="shared" si="27"/>
        <v>10</v>
      </c>
      <c r="O69" s="2">
        <f t="shared" si="28"/>
        <v>1E-3</v>
      </c>
      <c r="P69" t="s">
        <v>93</v>
      </c>
      <c r="Q69">
        <v>1</v>
      </c>
      <c r="R69" s="4">
        <f t="shared" si="21"/>
        <v>239</v>
      </c>
      <c r="S69">
        <v>68</v>
      </c>
    </row>
    <row r="70" spans="1:19" x14ac:dyDescent="0.25">
      <c r="A70" t="s">
        <v>93</v>
      </c>
      <c r="B70" s="1">
        <v>3.11995862579973E-17</v>
      </c>
      <c r="C70" s="2">
        <f t="shared" si="24"/>
        <v>5.0999999999999999E-7</v>
      </c>
      <c r="D70" s="2">
        <f t="shared" si="24"/>
        <v>5.9999999999999997E-7</v>
      </c>
      <c r="E70" s="2">
        <f t="shared" si="24"/>
        <v>2.7999999999999999E-6</v>
      </c>
      <c r="F70" s="2">
        <f t="shared" si="24"/>
        <v>1.7999999999999999E-6</v>
      </c>
      <c r="G70" s="2">
        <f t="shared" si="24"/>
        <v>7.7000000000000008E-6</v>
      </c>
      <c r="H70" s="2">
        <f t="shared" si="24"/>
        <v>6.1E-6</v>
      </c>
      <c r="I70" s="2">
        <f t="shared" ref="I70:I101" si="29">IF(ISNA(VLOOKUP(A70,_68ing,2,FALSE)),-1,VLOOKUP(A70,_68ing,2,FALSE))</f>
        <v>4.6000000000000002E-8</v>
      </c>
      <c r="J70" s="2">
        <f t="shared" si="11"/>
        <v>5.2E-7</v>
      </c>
      <c r="K70" s="2">
        <f t="shared" ref="K70:K101" si="30">IF(ISNA(VLOOKUP($A70,_72inh,2,FALSE)),-1,VLOOKUP($A70,_72inh,3,FALSE))</f>
        <v>3.1E-6</v>
      </c>
      <c r="L70" s="2">
        <f t="shared" ref="L70:L101" si="31">IF(ISNA(VLOOKUP($A70,_72inh,2,FALSE)),-1,VLOOKUP($A70,_72inh,4,FALSE))</f>
        <v>8.4999999999999999E-6</v>
      </c>
      <c r="M70" s="2">
        <f t="shared" ref="M70:M101" si="32">IF(ISNA(VLOOKUP(A70,_72ing,2,FALSE)),-1,VLOOKUP(A70,_72ing,2,FALSE))</f>
        <v>4.6999999999999997E-8</v>
      </c>
      <c r="N70" s="2">
        <f t="shared" si="27"/>
        <v>-1</v>
      </c>
      <c r="O70" s="2">
        <f t="shared" si="28"/>
        <v>-1</v>
      </c>
      <c r="P70" t="s">
        <v>85</v>
      </c>
      <c r="Q70">
        <v>1</v>
      </c>
      <c r="R70" s="4">
        <f t="shared" ref="R70:R101" si="33">VALUE(IF(RIGHT(RIGHT(A70,SEARCH("-",A70)),1)="M", RIGHT(LEFT(A70,LEN(A70)-1),LEN(LEFT(A70,LEN(A70)-1))-SEARCH("-",A70)),RIGHT(A70,LEN(A70)-SEARCH("-",A70))))</f>
        <v>235</v>
      </c>
      <c r="S70">
        <v>69</v>
      </c>
    </row>
    <row r="71" spans="1:19" x14ac:dyDescent="0.25">
      <c r="A71" t="s">
        <v>85</v>
      </c>
      <c r="B71" s="1">
        <v>7.5447054658649602E-6</v>
      </c>
      <c r="C71" s="2">
        <f t="shared" si="24"/>
        <v>-1</v>
      </c>
      <c r="D71" s="2">
        <f t="shared" si="24"/>
        <v>-1</v>
      </c>
      <c r="E71" s="2">
        <f t="shared" si="24"/>
        <v>2.8999999999999998E-10</v>
      </c>
      <c r="F71" s="2">
        <f t="shared" si="24"/>
        <v>3.7000000000000001E-10</v>
      </c>
      <c r="G71" s="2">
        <f t="shared" si="24"/>
        <v>3.1999999999999998E-10</v>
      </c>
      <c r="H71" s="2">
        <f t="shared" si="24"/>
        <v>4.0000000000000001E-10</v>
      </c>
      <c r="I71" s="2">
        <f t="shared" si="29"/>
        <v>3.4000000000000001E-10</v>
      </c>
      <c r="J71" s="2">
        <f t="shared" si="11"/>
        <v>7.8000000000000002E-11</v>
      </c>
      <c r="K71" s="2">
        <f t="shared" si="30"/>
        <v>3.1000000000000002E-10</v>
      </c>
      <c r="L71" s="2">
        <f t="shared" si="31"/>
        <v>3.3E-10</v>
      </c>
      <c r="M71" s="2">
        <f t="shared" si="32"/>
        <v>3.4000000000000001E-10</v>
      </c>
      <c r="N71" s="2">
        <f t="shared" si="27"/>
        <v>40</v>
      </c>
      <c r="O71" s="2">
        <f t="shared" si="28"/>
        <v>0.02</v>
      </c>
      <c r="P71" t="s">
        <v>84</v>
      </c>
      <c r="Q71">
        <v>1</v>
      </c>
      <c r="R71" s="4">
        <f t="shared" si="33"/>
        <v>231</v>
      </c>
      <c r="S71">
        <v>70</v>
      </c>
    </row>
    <row r="72" spans="1:19" x14ac:dyDescent="0.25">
      <c r="A72" t="s">
        <v>84</v>
      </c>
      <c r="B72" s="1">
        <v>6.70467299317159E-13</v>
      </c>
      <c r="C72" s="2">
        <f t="shared" si="24"/>
        <v>-1</v>
      </c>
      <c r="D72" s="2">
        <f t="shared" si="24"/>
        <v>-1</v>
      </c>
      <c r="E72" s="2">
        <f t="shared" si="24"/>
        <v>1.2999999999999999E-4</v>
      </c>
      <c r="F72" s="2">
        <f t="shared" si="24"/>
        <v>8.8999999999999995E-5</v>
      </c>
      <c r="G72" s="2">
        <f t="shared" si="24"/>
        <v>3.1999999999999999E-5</v>
      </c>
      <c r="H72" s="2">
        <f t="shared" si="24"/>
        <v>1.7E-5</v>
      </c>
      <c r="I72" s="2">
        <f t="shared" si="29"/>
        <v>7.0999999999999998E-7</v>
      </c>
      <c r="J72" s="2">
        <f t="shared" si="11"/>
        <v>-1</v>
      </c>
      <c r="K72" s="2">
        <f t="shared" si="30"/>
        <v>1.3999999999999999E-4</v>
      </c>
      <c r="L72" s="2">
        <f t="shared" si="31"/>
        <v>3.4E-5</v>
      </c>
      <c r="M72" s="2">
        <f t="shared" si="32"/>
        <v>7.0999999999999998E-7</v>
      </c>
      <c r="N72" s="2">
        <f t="shared" si="27"/>
        <v>4</v>
      </c>
      <c r="O72" s="2">
        <f t="shared" si="28"/>
        <v>4.0000000000000002E-4</v>
      </c>
      <c r="P72" t="s">
        <v>78</v>
      </c>
      <c r="Q72">
        <v>1</v>
      </c>
      <c r="R72" s="4">
        <f t="shared" si="33"/>
        <v>231</v>
      </c>
      <c r="S72">
        <v>71</v>
      </c>
    </row>
    <row r="73" spans="1:19" x14ac:dyDescent="0.25">
      <c r="A73" t="s">
        <v>78</v>
      </c>
      <c r="B73" s="1">
        <v>1.00884203222626E-9</v>
      </c>
      <c r="C73" s="2">
        <f t="shared" si="24"/>
        <v>5.4000000000000001E-4</v>
      </c>
      <c r="D73" s="2">
        <f t="shared" si="24"/>
        <v>6.3000000000000003E-4</v>
      </c>
      <c r="E73" s="2">
        <f t="shared" si="24"/>
        <v>2.1000000000000001E-4</v>
      </c>
      <c r="F73" s="2">
        <f t="shared" si="24"/>
        <v>1.4999999999999999E-4</v>
      </c>
      <c r="G73" s="2">
        <f t="shared" si="24"/>
        <v>6.6000000000000005E-5</v>
      </c>
      <c r="H73" s="2">
        <f t="shared" si="24"/>
        <v>4.6999999999999997E-5</v>
      </c>
      <c r="I73" s="2">
        <f t="shared" si="29"/>
        <v>1.1000000000000001E-6</v>
      </c>
      <c r="J73" s="2">
        <f t="shared" si="11"/>
        <v>5.5000000000000003E-4</v>
      </c>
      <c r="K73" s="2">
        <f t="shared" si="30"/>
        <v>2.2000000000000001E-4</v>
      </c>
      <c r="L73" s="2">
        <f t="shared" si="31"/>
        <v>7.2000000000000002E-5</v>
      </c>
      <c r="M73" s="2">
        <f t="shared" si="32"/>
        <v>1.1000000000000001E-6</v>
      </c>
      <c r="N73" s="2">
        <f t="shared" si="27"/>
        <v>0.9</v>
      </c>
      <c r="O73" s="2">
        <f t="shared" si="28"/>
        <v>9.0000000000000006E-5</v>
      </c>
      <c r="P73" t="s">
        <v>77</v>
      </c>
      <c r="Q73">
        <v>0.98619999999999997</v>
      </c>
      <c r="R73" s="4">
        <f t="shared" si="33"/>
        <v>227</v>
      </c>
      <c r="S73">
        <v>72</v>
      </c>
    </row>
    <row r="74" spans="1:19" x14ac:dyDescent="0.25">
      <c r="A74" t="s">
        <v>78</v>
      </c>
      <c r="B74" s="1">
        <v>1.00884203222626E-9</v>
      </c>
      <c r="C74" s="2">
        <f t="shared" si="24"/>
        <v>5.4000000000000001E-4</v>
      </c>
      <c r="D74" s="2">
        <f t="shared" si="24"/>
        <v>6.3000000000000003E-4</v>
      </c>
      <c r="E74" s="2">
        <f t="shared" si="24"/>
        <v>2.1000000000000001E-4</v>
      </c>
      <c r="F74" s="2">
        <f t="shared" si="24"/>
        <v>1.4999999999999999E-4</v>
      </c>
      <c r="G74" s="2">
        <f t="shared" si="24"/>
        <v>6.6000000000000005E-5</v>
      </c>
      <c r="H74" s="2">
        <f t="shared" si="24"/>
        <v>4.6999999999999997E-5</v>
      </c>
      <c r="I74" s="2">
        <f t="shared" si="29"/>
        <v>1.1000000000000001E-6</v>
      </c>
      <c r="J74" s="2">
        <f t="shared" si="11"/>
        <v>5.5000000000000003E-4</v>
      </c>
      <c r="K74" s="2">
        <f t="shared" si="30"/>
        <v>2.2000000000000001E-4</v>
      </c>
      <c r="L74" s="2">
        <f t="shared" si="31"/>
        <v>7.2000000000000002E-5</v>
      </c>
      <c r="M74" s="2">
        <f t="shared" si="32"/>
        <v>1.1000000000000001E-6</v>
      </c>
      <c r="N74" s="2">
        <f t="shared" si="27"/>
        <v>0.9</v>
      </c>
      <c r="O74" s="2">
        <f t="shared" si="28"/>
        <v>9.0000000000000006E-5</v>
      </c>
      <c r="P74" t="s">
        <v>72</v>
      </c>
      <c r="Q74">
        <v>1.38E-2</v>
      </c>
      <c r="R74" s="4">
        <f t="shared" si="33"/>
        <v>227</v>
      </c>
      <c r="S74">
        <v>73</v>
      </c>
    </row>
    <row r="75" spans="1:19" x14ac:dyDescent="0.25">
      <c r="A75" t="s">
        <v>77</v>
      </c>
      <c r="B75" s="1">
        <v>4.2947199207903698E-7</v>
      </c>
      <c r="C75" s="2">
        <f t="shared" si="24"/>
        <v>-1</v>
      </c>
      <c r="D75" s="2">
        <f t="shared" si="24"/>
        <v>-1</v>
      </c>
      <c r="E75" s="2">
        <f t="shared" si="24"/>
        <v>7.7999999999999999E-6</v>
      </c>
      <c r="F75" s="2">
        <f t="shared" si="24"/>
        <v>6.1999999999999999E-6</v>
      </c>
      <c r="G75" s="2">
        <f t="shared" si="24"/>
        <v>9.5999999999999996E-6</v>
      </c>
      <c r="H75" s="2">
        <f t="shared" si="24"/>
        <v>7.6000000000000001E-6</v>
      </c>
      <c r="I75" s="2">
        <f t="shared" si="29"/>
        <v>8.9000000000000003E-9</v>
      </c>
      <c r="J75" s="2">
        <f t="shared" si="11"/>
        <v>6.7000000000000004E-7</v>
      </c>
      <c r="K75" s="2">
        <f t="shared" si="30"/>
        <v>8.4999999999999999E-6</v>
      </c>
      <c r="L75" s="2">
        <f t="shared" si="31"/>
        <v>1.0000000000000001E-5</v>
      </c>
      <c r="M75" s="2">
        <f t="shared" si="32"/>
        <v>8.7999999999999994E-9</v>
      </c>
      <c r="N75" s="2">
        <f t="shared" si="27"/>
        <v>10</v>
      </c>
      <c r="O75" s="2">
        <f t="shared" si="28"/>
        <v>5.0000000000000001E-3</v>
      </c>
      <c r="P75" t="s">
        <v>71</v>
      </c>
      <c r="Q75">
        <v>1</v>
      </c>
      <c r="R75" s="4">
        <f t="shared" si="33"/>
        <v>227</v>
      </c>
      <c r="S75">
        <v>74</v>
      </c>
    </row>
    <row r="76" spans="1:19" x14ac:dyDescent="0.25">
      <c r="A76" t="s">
        <v>71</v>
      </c>
      <c r="B76" s="1">
        <v>7.0188423552374503E-7</v>
      </c>
      <c r="C76" s="2">
        <f t="shared" ref="C76:H85" si="34">IF(ISNA(VLOOKUP($A76,_68inh,COLUMN(C76)-1,FALSE)),-1,VLOOKUP($A76,_68inh,COLUMN(C76)-1,FALSE))</f>
        <v>-1</v>
      </c>
      <c r="D76" s="2">
        <f t="shared" si="34"/>
        <v>-1</v>
      </c>
      <c r="E76" s="2">
        <f t="shared" si="34"/>
        <v>6.9E-6</v>
      </c>
      <c r="F76" s="2">
        <f t="shared" si="34"/>
        <v>5.6999999999999996E-6</v>
      </c>
      <c r="G76" s="2">
        <f t="shared" si="34"/>
        <v>-1</v>
      </c>
      <c r="H76" s="2">
        <f t="shared" si="34"/>
        <v>-1</v>
      </c>
      <c r="I76" s="2">
        <f t="shared" si="29"/>
        <v>9.9999999999999995E-8</v>
      </c>
      <c r="J76" s="2">
        <f t="shared" si="11"/>
        <v>1.1999999999999999E-7</v>
      </c>
      <c r="K76" s="2">
        <f t="shared" si="30"/>
        <v>7.4000000000000003E-6</v>
      </c>
      <c r="L76" s="2">
        <f t="shared" si="31"/>
        <v>8.6999999999999997E-6</v>
      </c>
      <c r="M76" s="2">
        <f t="shared" si="32"/>
        <v>9.9999999999999995E-8</v>
      </c>
      <c r="N76" s="2">
        <f t="shared" si="27"/>
        <v>0.4</v>
      </c>
      <c r="O76" s="2">
        <f t="shared" si="28"/>
        <v>7.0000000000000001E-3</v>
      </c>
      <c r="P76" t="s">
        <v>66</v>
      </c>
      <c r="Q76">
        <v>1</v>
      </c>
      <c r="R76" s="4">
        <f t="shared" si="33"/>
        <v>223</v>
      </c>
      <c r="S76">
        <v>75</v>
      </c>
    </row>
    <row r="77" spans="1:19" x14ac:dyDescent="0.25">
      <c r="A77" t="s">
        <v>66</v>
      </c>
      <c r="B77" s="1">
        <v>0.175037166808067</v>
      </c>
      <c r="C77" s="2">
        <f t="shared" si="34"/>
        <v>-1</v>
      </c>
      <c r="D77" s="2">
        <f t="shared" si="34"/>
        <v>-1</v>
      </c>
      <c r="E77" s="2">
        <f t="shared" si="34"/>
        <v>-1</v>
      </c>
      <c r="F77" s="2">
        <f t="shared" si="34"/>
        <v>-1</v>
      </c>
      <c r="G77" s="2">
        <f t="shared" si="34"/>
        <v>-1</v>
      </c>
      <c r="H77" s="2">
        <f t="shared" si="34"/>
        <v>-1</v>
      </c>
      <c r="I77" s="2">
        <f t="shared" si="29"/>
        <v>-1</v>
      </c>
      <c r="J77" s="2">
        <f t="shared" si="11"/>
        <v>-1</v>
      </c>
      <c r="K77" s="2">
        <f t="shared" si="30"/>
        <v>-1</v>
      </c>
      <c r="L77" s="2">
        <f t="shared" si="31"/>
        <v>-1</v>
      </c>
      <c r="M77" s="2">
        <f t="shared" si="32"/>
        <v>-1</v>
      </c>
      <c r="N77" s="2">
        <f t="shared" si="27"/>
        <v>0</v>
      </c>
      <c r="O77" s="2">
        <f t="shared" si="28"/>
        <v>0</v>
      </c>
      <c r="P77" t="s">
        <v>58</v>
      </c>
      <c r="Q77">
        <v>1</v>
      </c>
      <c r="R77" s="4">
        <f t="shared" si="33"/>
        <v>219</v>
      </c>
      <c r="S77">
        <v>76</v>
      </c>
    </row>
    <row r="78" spans="1:19" x14ac:dyDescent="0.25">
      <c r="A78" t="s">
        <v>58</v>
      </c>
      <c r="B78" s="1">
        <v>389.18988240311398</v>
      </c>
      <c r="C78" s="2">
        <f t="shared" si="34"/>
        <v>-1</v>
      </c>
      <c r="D78" s="2">
        <f t="shared" si="34"/>
        <v>-1</v>
      </c>
      <c r="E78" s="2">
        <f t="shared" si="34"/>
        <v>-1</v>
      </c>
      <c r="F78" s="2">
        <f t="shared" si="34"/>
        <v>-1</v>
      </c>
      <c r="G78" s="2">
        <f t="shared" si="34"/>
        <v>-1</v>
      </c>
      <c r="H78" s="2">
        <f t="shared" si="34"/>
        <v>-1</v>
      </c>
      <c r="I78" s="2">
        <f t="shared" si="29"/>
        <v>-1</v>
      </c>
      <c r="J78" s="2">
        <f t="shared" si="11"/>
        <v>-1</v>
      </c>
      <c r="K78" s="2">
        <f t="shared" si="30"/>
        <v>-1</v>
      </c>
      <c r="L78" s="2">
        <f t="shared" si="31"/>
        <v>-1</v>
      </c>
      <c r="M78" s="2">
        <f t="shared" si="32"/>
        <v>-1</v>
      </c>
      <c r="N78" s="2">
        <f t="shared" si="27"/>
        <v>0</v>
      </c>
      <c r="O78" s="2">
        <f t="shared" si="28"/>
        <v>0</v>
      </c>
      <c r="P78" t="s">
        <v>48</v>
      </c>
      <c r="Q78">
        <v>0.99999769999999999</v>
      </c>
      <c r="R78" s="4">
        <f t="shared" si="33"/>
        <v>215</v>
      </c>
      <c r="S78">
        <v>77</v>
      </c>
    </row>
    <row r="79" spans="1:19" x14ac:dyDescent="0.25">
      <c r="A79" t="s">
        <v>58</v>
      </c>
      <c r="B79" s="1">
        <v>389.18988240311398</v>
      </c>
      <c r="C79" s="2">
        <f t="shared" si="34"/>
        <v>-1</v>
      </c>
      <c r="D79" s="2">
        <f t="shared" si="34"/>
        <v>-1</v>
      </c>
      <c r="E79" s="2">
        <f t="shared" si="34"/>
        <v>-1</v>
      </c>
      <c r="F79" s="2">
        <f t="shared" si="34"/>
        <v>-1</v>
      </c>
      <c r="G79" s="2">
        <f t="shared" si="34"/>
        <v>-1</v>
      </c>
      <c r="H79" s="2">
        <f t="shared" si="34"/>
        <v>-1</v>
      </c>
      <c r="I79" s="2">
        <f t="shared" si="29"/>
        <v>-1</v>
      </c>
      <c r="J79" s="2">
        <f t="shared" si="11"/>
        <v>-1</v>
      </c>
      <c r="K79" s="2">
        <f t="shared" si="30"/>
        <v>-1</v>
      </c>
      <c r="L79" s="2">
        <f t="shared" si="31"/>
        <v>-1</v>
      </c>
      <c r="M79" s="2">
        <f t="shared" si="32"/>
        <v>-1</v>
      </c>
      <c r="N79" s="2">
        <f t="shared" si="27"/>
        <v>0</v>
      </c>
      <c r="O79" s="2">
        <f t="shared" si="28"/>
        <v>0</v>
      </c>
      <c r="P79" t="s">
        <v>57</v>
      </c>
      <c r="Q79">
        <v>2.3000000000106298E-6</v>
      </c>
      <c r="R79" s="4">
        <f t="shared" si="33"/>
        <v>215</v>
      </c>
      <c r="S79">
        <v>78</v>
      </c>
    </row>
    <row r="80" spans="1:19" x14ac:dyDescent="0.25">
      <c r="A80" t="s">
        <v>48</v>
      </c>
      <c r="B80" s="1">
        <v>3.2001254873497E-4</v>
      </c>
      <c r="C80" s="2">
        <f t="shared" si="34"/>
        <v>3.9000000000000002E-9</v>
      </c>
      <c r="D80" s="2">
        <f t="shared" si="34"/>
        <v>5.5999999999999997E-9</v>
      </c>
      <c r="E80" s="2">
        <f t="shared" si="34"/>
        <v>-1</v>
      </c>
      <c r="F80" s="2">
        <f t="shared" si="34"/>
        <v>-1</v>
      </c>
      <c r="G80" s="2">
        <f t="shared" si="34"/>
        <v>-1</v>
      </c>
      <c r="H80" s="2">
        <f t="shared" si="34"/>
        <v>-1</v>
      </c>
      <c r="I80" s="2">
        <f t="shared" si="29"/>
        <v>1.8E-10</v>
      </c>
      <c r="J80" s="2">
        <f t="shared" si="11"/>
        <v>3.9000000000000002E-9</v>
      </c>
      <c r="K80" s="2">
        <f t="shared" si="30"/>
        <v>1.0999999999999999E-8</v>
      </c>
      <c r="L80" s="2">
        <f t="shared" si="31"/>
        <v>1.2E-8</v>
      </c>
      <c r="M80" s="2">
        <f t="shared" si="32"/>
        <v>1.8E-10</v>
      </c>
      <c r="N80" s="2">
        <f t="shared" si="27"/>
        <v>0</v>
      </c>
      <c r="O80" s="2">
        <f t="shared" si="28"/>
        <v>0</v>
      </c>
      <c r="P80" t="s">
        <v>47</v>
      </c>
      <c r="Q80">
        <v>1</v>
      </c>
      <c r="R80" s="4">
        <f t="shared" si="33"/>
        <v>211</v>
      </c>
      <c r="S80">
        <v>79</v>
      </c>
    </row>
    <row r="81" spans="1:19" x14ac:dyDescent="0.25">
      <c r="A81" t="s">
        <v>47</v>
      </c>
      <c r="B81" s="1">
        <v>5.3983425277254297E-3</v>
      </c>
      <c r="C81" s="2">
        <f t="shared" si="34"/>
        <v>-1</v>
      </c>
      <c r="D81" s="2">
        <f t="shared" si="34"/>
        <v>-1</v>
      </c>
      <c r="E81" s="2">
        <f t="shared" si="34"/>
        <v>-1</v>
      </c>
      <c r="F81" s="2">
        <f t="shared" si="34"/>
        <v>-1</v>
      </c>
      <c r="G81" s="2">
        <f t="shared" si="34"/>
        <v>-1</v>
      </c>
      <c r="H81" s="2">
        <f t="shared" si="34"/>
        <v>-1</v>
      </c>
      <c r="I81" s="2">
        <f t="shared" si="29"/>
        <v>-1</v>
      </c>
      <c r="J81" s="2">
        <f t="shared" si="11"/>
        <v>-1</v>
      </c>
      <c r="K81" s="2">
        <f t="shared" si="30"/>
        <v>-1</v>
      </c>
      <c r="L81" s="2">
        <f t="shared" si="31"/>
        <v>-1</v>
      </c>
      <c r="M81" s="2">
        <f t="shared" si="32"/>
        <v>-1</v>
      </c>
      <c r="N81" s="2">
        <f t="shared" si="27"/>
        <v>0</v>
      </c>
      <c r="O81" s="2">
        <f t="shared" si="28"/>
        <v>0</v>
      </c>
      <c r="P81" t="s">
        <v>38</v>
      </c>
      <c r="Q81">
        <v>0.99724000000000002</v>
      </c>
      <c r="R81" s="4">
        <f t="shared" si="33"/>
        <v>211</v>
      </c>
      <c r="S81">
        <v>80</v>
      </c>
    </row>
    <row r="82" spans="1:19" x14ac:dyDescent="0.25">
      <c r="A82" t="s">
        <v>47</v>
      </c>
      <c r="B82" s="1">
        <v>5.3983425277254297E-3</v>
      </c>
      <c r="C82" s="2">
        <f t="shared" si="34"/>
        <v>-1</v>
      </c>
      <c r="D82" s="2">
        <f t="shared" si="34"/>
        <v>-1</v>
      </c>
      <c r="E82" s="2">
        <f t="shared" si="34"/>
        <v>-1</v>
      </c>
      <c r="F82" s="2">
        <f t="shared" si="34"/>
        <v>-1</v>
      </c>
      <c r="G82" s="2">
        <f t="shared" si="34"/>
        <v>-1</v>
      </c>
      <c r="H82" s="2">
        <f t="shared" si="34"/>
        <v>-1</v>
      </c>
      <c r="I82" s="2">
        <f t="shared" si="29"/>
        <v>-1</v>
      </c>
      <c r="J82" s="2">
        <f t="shared" si="11"/>
        <v>-1</v>
      </c>
      <c r="K82" s="2">
        <f t="shared" si="30"/>
        <v>-1</v>
      </c>
      <c r="L82" s="2">
        <f t="shared" si="31"/>
        <v>-1</v>
      </c>
      <c r="M82" s="2">
        <f t="shared" si="32"/>
        <v>-1</v>
      </c>
      <c r="N82" s="2">
        <f t="shared" si="27"/>
        <v>0</v>
      </c>
      <c r="O82" s="2">
        <f t="shared" si="28"/>
        <v>0</v>
      </c>
      <c r="P82" t="s">
        <v>46</v>
      </c>
      <c r="Q82">
        <v>2.7599999999999799E-3</v>
      </c>
      <c r="R82" s="4">
        <f t="shared" si="33"/>
        <v>211</v>
      </c>
      <c r="S82">
        <v>81</v>
      </c>
    </row>
    <row r="83" spans="1:19" x14ac:dyDescent="0.25">
      <c r="A83" t="s">
        <v>38</v>
      </c>
      <c r="B83" s="1">
        <v>2.42189790552042E-3</v>
      </c>
      <c r="C83" s="2">
        <f t="shared" si="34"/>
        <v>-1</v>
      </c>
      <c r="D83" s="2">
        <f t="shared" si="34"/>
        <v>-1</v>
      </c>
      <c r="E83" s="2">
        <f t="shared" si="34"/>
        <v>-1</v>
      </c>
      <c r="F83" s="2">
        <f t="shared" si="34"/>
        <v>-1</v>
      </c>
      <c r="G83" s="2">
        <f t="shared" si="34"/>
        <v>-1</v>
      </c>
      <c r="H83" s="2">
        <f t="shared" si="34"/>
        <v>-1</v>
      </c>
      <c r="I83" s="2">
        <f t="shared" si="29"/>
        <v>-1</v>
      </c>
      <c r="J83" s="2">
        <f t="shared" si="11"/>
        <v>-1</v>
      </c>
      <c r="K83" s="2">
        <f t="shared" si="30"/>
        <v>-1</v>
      </c>
      <c r="L83" s="2">
        <f t="shared" si="31"/>
        <v>-1</v>
      </c>
      <c r="M83" s="2">
        <f t="shared" si="32"/>
        <v>-1</v>
      </c>
      <c r="N83" s="2">
        <f t="shared" si="27"/>
        <v>0</v>
      </c>
      <c r="O83" s="2">
        <f t="shared" si="28"/>
        <v>0</v>
      </c>
      <c r="P83" t="s">
        <v>142</v>
      </c>
      <c r="Q83">
        <v>1</v>
      </c>
      <c r="R83" s="4">
        <f t="shared" si="33"/>
        <v>207</v>
      </c>
      <c r="S83">
        <v>82</v>
      </c>
    </row>
    <row r="84" spans="1:19" x14ac:dyDescent="0.25">
      <c r="A84" t="s">
        <v>72</v>
      </c>
      <c r="B84" s="1">
        <v>5.2511150042420097E-4</v>
      </c>
      <c r="C84" s="2">
        <f t="shared" si="34"/>
        <v>9.0999999999999996E-10</v>
      </c>
      <c r="D84" s="2">
        <f t="shared" si="34"/>
        <v>1.3000000000000001E-9</v>
      </c>
      <c r="E84" s="2">
        <f t="shared" si="34"/>
        <v>-1</v>
      </c>
      <c r="F84" s="2">
        <f t="shared" si="34"/>
        <v>-1</v>
      </c>
      <c r="G84" s="2">
        <f t="shared" si="34"/>
        <v>-1</v>
      </c>
      <c r="H84" s="2">
        <f t="shared" si="34"/>
        <v>-1</v>
      </c>
      <c r="I84" s="2">
        <f t="shared" si="29"/>
        <v>2.2999999999999999E-9</v>
      </c>
      <c r="J84" s="2">
        <f t="shared" si="11"/>
        <v>8.9000000000000003E-10</v>
      </c>
      <c r="K84" s="2">
        <f t="shared" si="30"/>
        <v>-1</v>
      </c>
      <c r="L84" s="2">
        <f t="shared" si="31"/>
        <v>-1</v>
      </c>
      <c r="M84" s="2">
        <f t="shared" si="32"/>
        <v>2.4E-9</v>
      </c>
      <c r="N84" s="2">
        <f t="shared" si="27"/>
        <v>0</v>
      </c>
      <c r="O84" s="2">
        <f t="shared" si="28"/>
        <v>0</v>
      </c>
      <c r="P84" t="s">
        <v>67</v>
      </c>
      <c r="Q84">
        <v>5.9999999999949003E-5</v>
      </c>
      <c r="R84" s="4">
        <f t="shared" si="33"/>
        <v>223</v>
      </c>
      <c r="S84">
        <v>83</v>
      </c>
    </row>
    <row r="85" spans="1:19" x14ac:dyDescent="0.25">
      <c r="A85" t="s">
        <v>57</v>
      </c>
      <c r="B85" s="1">
        <v>6931.4718055994499</v>
      </c>
      <c r="C85" s="2">
        <f t="shared" si="34"/>
        <v>-1</v>
      </c>
      <c r="D85" s="2">
        <f t="shared" si="34"/>
        <v>-1</v>
      </c>
      <c r="E85" s="2">
        <f t="shared" si="34"/>
        <v>-1</v>
      </c>
      <c r="F85" s="2">
        <f t="shared" si="34"/>
        <v>-1</v>
      </c>
      <c r="G85" s="2">
        <f t="shared" si="34"/>
        <v>-1</v>
      </c>
      <c r="H85" s="2">
        <f t="shared" si="34"/>
        <v>-1</v>
      </c>
      <c r="I85" s="2">
        <f t="shared" si="29"/>
        <v>-1</v>
      </c>
      <c r="J85" s="2">
        <f t="shared" si="11"/>
        <v>-1</v>
      </c>
      <c r="K85" s="2">
        <f t="shared" si="30"/>
        <v>-1</v>
      </c>
      <c r="L85" s="2">
        <f t="shared" si="31"/>
        <v>-1</v>
      </c>
      <c r="M85" s="2">
        <f t="shared" si="32"/>
        <v>-1</v>
      </c>
      <c r="N85" s="2">
        <f t="shared" si="27"/>
        <v>0</v>
      </c>
      <c r="O85" s="2">
        <f t="shared" si="28"/>
        <v>0</v>
      </c>
      <c r="P85" t="s">
        <v>47</v>
      </c>
      <c r="Q85">
        <v>1</v>
      </c>
      <c r="R85" s="4">
        <f t="shared" si="33"/>
        <v>215</v>
      </c>
      <c r="S85">
        <v>84</v>
      </c>
    </row>
    <row r="86" spans="1:19" x14ac:dyDescent="0.25">
      <c r="A86" t="s">
        <v>46</v>
      </c>
      <c r="B86" s="1">
        <v>1.34330848945726</v>
      </c>
      <c r="C86" s="2">
        <f t="shared" ref="C86:H95" si="35">IF(ISNA(VLOOKUP($A86,_68inh,COLUMN(C86)-1,FALSE)),-1,VLOOKUP($A86,_68inh,COLUMN(C86)-1,FALSE))</f>
        <v>-1</v>
      </c>
      <c r="D86" s="2">
        <f t="shared" si="35"/>
        <v>-1</v>
      </c>
      <c r="E86" s="2">
        <f t="shared" si="35"/>
        <v>-1</v>
      </c>
      <c r="F86" s="2">
        <f t="shared" si="35"/>
        <v>-1</v>
      </c>
      <c r="G86" s="2">
        <f t="shared" si="35"/>
        <v>-1</v>
      </c>
      <c r="H86" s="2">
        <f t="shared" si="35"/>
        <v>-1</v>
      </c>
      <c r="I86" s="2">
        <f t="shared" si="29"/>
        <v>-1</v>
      </c>
      <c r="J86" s="2">
        <f t="shared" si="11"/>
        <v>-1</v>
      </c>
      <c r="K86" s="2">
        <f t="shared" si="30"/>
        <v>-1</v>
      </c>
      <c r="L86" s="2">
        <f t="shared" si="31"/>
        <v>-1</v>
      </c>
      <c r="M86" s="2">
        <f t="shared" si="32"/>
        <v>-1</v>
      </c>
      <c r="N86" s="2">
        <f t="shared" si="27"/>
        <v>0</v>
      </c>
      <c r="O86" s="2">
        <f t="shared" si="28"/>
        <v>0</v>
      </c>
      <c r="P86" t="s">
        <v>142</v>
      </c>
      <c r="Q86">
        <v>1</v>
      </c>
      <c r="R86" s="4">
        <f t="shared" si="33"/>
        <v>211</v>
      </c>
      <c r="S86">
        <v>85</v>
      </c>
    </row>
    <row r="87" spans="1:19" x14ac:dyDescent="0.25">
      <c r="A87" t="s">
        <v>105</v>
      </c>
      <c r="B87" s="1">
        <v>7.5479411428282196E-10</v>
      </c>
      <c r="C87" s="2">
        <f t="shared" si="35"/>
        <v>-1</v>
      </c>
      <c r="D87" s="2">
        <f t="shared" si="35"/>
        <v>-1</v>
      </c>
      <c r="E87" s="2">
        <f t="shared" si="35"/>
        <v>2.9E-5</v>
      </c>
      <c r="F87" s="2">
        <f t="shared" si="35"/>
        <v>2.0000000000000002E-5</v>
      </c>
      <c r="G87" s="2">
        <f t="shared" si="35"/>
        <v>-1</v>
      </c>
      <c r="H87" s="2">
        <f t="shared" si="35"/>
        <v>-1</v>
      </c>
      <c r="I87" s="2">
        <f t="shared" si="29"/>
        <v>1.4999999999999999E-7</v>
      </c>
      <c r="J87" s="2">
        <f t="shared" si="11"/>
        <v>6.8999999999999997E-5</v>
      </c>
      <c r="K87" s="2">
        <f t="shared" si="30"/>
        <v>3.1000000000000001E-5</v>
      </c>
      <c r="L87" s="2">
        <f t="shared" si="31"/>
        <v>1.5E-5</v>
      </c>
      <c r="M87" s="2">
        <f t="shared" si="32"/>
        <v>1.4999999999999999E-7</v>
      </c>
      <c r="N87" s="2">
        <f t="shared" si="27"/>
        <v>9</v>
      </c>
      <c r="O87" s="2">
        <f t="shared" si="28"/>
        <v>1E-3</v>
      </c>
      <c r="P87" t="s">
        <v>99</v>
      </c>
      <c r="Q87">
        <v>0.99709999999999999</v>
      </c>
      <c r="R87" s="4">
        <f t="shared" si="33"/>
        <v>243</v>
      </c>
      <c r="S87">
        <v>86</v>
      </c>
    </row>
    <row r="88" spans="1:19" x14ac:dyDescent="0.25">
      <c r="A88" t="s">
        <v>105</v>
      </c>
      <c r="B88" s="1">
        <v>7.5479411428282196E-10</v>
      </c>
      <c r="C88" s="2">
        <f t="shared" si="35"/>
        <v>-1</v>
      </c>
      <c r="D88" s="2">
        <f t="shared" si="35"/>
        <v>-1</v>
      </c>
      <c r="E88" s="2">
        <f t="shared" si="35"/>
        <v>2.9E-5</v>
      </c>
      <c r="F88" s="2">
        <f t="shared" si="35"/>
        <v>2.0000000000000002E-5</v>
      </c>
      <c r="G88" s="2">
        <f t="shared" si="35"/>
        <v>-1</v>
      </c>
      <c r="H88" s="2">
        <f t="shared" si="35"/>
        <v>-1</v>
      </c>
      <c r="I88" s="2">
        <f t="shared" si="29"/>
        <v>1.4999999999999999E-7</v>
      </c>
      <c r="J88" s="2">
        <f t="shared" si="11"/>
        <v>6.8999999999999997E-5</v>
      </c>
      <c r="K88" s="2">
        <f t="shared" si="30"/>
        <v>3.1000000000000001E-5</v>
      </c>
      <c r="L88" s="2">
        <f t="shared" si="31"/>
        <v>1.5E-5</v>
      </c>
      <c r="M88" s="2">
        <f t="shared" si="32"/>
        <v>1.4999999999999999E-7</v>
      </c>
      <c r="N88" s="2">
        <f t="shared" si="27"/>
        <v>9</v>
      </c>
      <c r="O88" s="2">
        <f t="shared" si="28"/>
        <v>1E-3</v>
      </c>
      <c r="P88" t="s">
        <v>104</v>
      </c>
      <c r="Q88">
        <v>2.9000000000000102E-3</v>
      </c>
      <c r="R88" s="4">
        <f t="shared" si="33"/>
        <v>243</v>
      </c>
      <c r="S88">
        <v>87</v>
      </c>
    </row>
    <row r="89" spans="1:19" x14ac:dyDescent="0.25">
      <c r="A89" t="s">
        <v>134</v>
      </c>
      <c r="B89" s="1">
        <v>1.2018781740878508E-5</v>
      </c>
      <c r="C89" s="2">
        <f t="shared" si="35"/>
        <v>-1</v>
      </c>
      <c r="D89" s="2">
        <f t="shared" si="35"/>
        <v>-1</v>
      </c>
      <c r="E89" s="2">
        <f t="shared" si="35"/>
        <v>1.6000000000000001E-8</v>
      </c>
      <c r="F89" s="2">
        <f t="shared" si="35"/>
        <v>1.2E-8</v>
      </c>
      <c r="G89" s="2">
        <f t="shared" si="35"/>
        <v>-1</v>
      </c>
      <c r="H89" s="2">
        <f t="shared" si="35"/>
        <v>-1</v>
      </c>
      <c r="I89" s="2">
        <f t="shared" si="29"/>
        <v>3E-10</v>
      </c>
      <c r="J89" s="2">
        <f t="shared" si="11"/>
        <v>1.0999999999999999E-8</v>
      </c>
      <c r="K89" s="2">
        <f t="shared" si="30"/>
        <v>1.7E-8</v>
      </c>
      <c r="L89" s="2">
        <f t="shared" si="31"/>
        <v>2E-8</v>
      </c>
      <c r="M89" s="2">
        <f t="shared" si="32"/>
        <v>3E-10</v>
      </c>
      <c r="N89" s="2">
        <f t="shared" si="27"/>
        <v>0</v>
      </c>
      <c r="O89" s="2">
        <f t="shared" si="28"/>
        <v>0</v>
      </c>
      <c r="P89" t="s">
        <v>136</v>
      </c>
      <c r="Q89">
        <v>0.82699999999999996</v>
      </c>
      <c r="R89" s="4">
        <f t="shared" si="33"/>
        <v>242</v>
      </c>
      <c r="S89">
        <v>88</v>
      </c>
    </row>
    <row r="90" spans="1:19" x14ac:dyDescent="0.25">
      <c r="A90" t="s">
        <v>134</v>
      </c>
      <c r="B90" s="1">
        <v>1.2018781740878508E-5</v>
      </c>
      <c r="C90" s="2">
        <f t="shared" si="35"/>
        <v>-1</v>
      </c>
      <c r="D90" s="2">
        <f t="shared" si="35"/>
        <v>-1</v>
      </c>
      <c r="E90" s="2">
        <f t="shared" si="35"/>
        <v>1.6000000000000001E-8</v>
      </c>
      <c r="F90" s="2">
        <f t="shared" si="35"/>
        <v>1.2E-8</v>
      </c>
      <c r="G90" s="2">
        <f t="shared" si="35"/>
        <v>-1</v>
      </c>
      <c r="H90" s="2">
        <f t="shared" si="35"/>
        <v>-1</v>
      </c>
      <c r="I90" s="2">
        <f t="shared" si="29"/>
        <v>3E-10</v>
      </c>
      <c r="J90" s="2">
        <f t="shared" ref="J90:J153" si="36">IF(ISNA(VLOOKUP($A90,_72inh,2,FALSE)),-1,VLOOKUP($A90,_72inh,2,FALSE))</f>
        <v>1.0999999999999999E-8</v>
      </c>
      <c r="K90" s="2">
        <f t="shared" si="30"/>
        <v>1.7E-8</v>
      </c>
      <c r="L90" s="2">
        <f t="shared" si="31"/>
        <v>2E-8</v>
      </c>
      <c r="M90" s="2">
        <f t="shared" si="32"/>
        <v>3E-10</v>
      </c>
      <c r="N90" s="2">
        <f t="shared" si="27"/>
        <v>0</v>
      </c>
      <c r="O90" s="2">
        <f t="shared" si="28"/>
        <v>0</v>
      </c>
      <c r="P90" t="s">
        <v>133</v>
      </c>
      <c r="Q90">
        <v>0.17299999999999999</v>
      </c>
      <c r="R90" s="4">
        <f t="shared" si="33"/>
        <v>242</v>
      </c>
      <c r="S90">
        <v>89</v>
      </c>
    </row>
    <row r="91" spans="1:19" x14ac:dyDescent="0.25">
      <c r="A91" t="s">
        <v>136</v>
      </c>
      <c r="B91" s="1">
        <v>4.9264191937451691E-8</v>
      </c>
      <c r="C91" s="2">
        <f t="shared" si="35"/>
        <v>-1</v>
      </c>
      <c r="D91" s="2">
        <f t="shared" si="35"/>
        <v>-1</v>
      </c>
      <c r="E91" s="2">
        <f t="shared" si="35"/>
        <v>4.7999999999999998E-6</v>
      </c>
      <c r="F91" s="2">
        <f t="shared" si="35"/>
        <v>3.7000000000000002E-6</v>
      </c>
      <c r="G91" s="2">
        <f t="shared" si="35"/>
        <v>-1</v>
      </c>
      <c r="H91" s="2">
        <f t="shared" si="35"/>
        <v>-1</v>
      </c>
      <c r="I91" s="2">
        <f t="shared" si="29"/>
        <v>1.2E-8</v>
      </c>
      <c r="J91" s="2">
        <f t="shared" si="36"/>
        <v>3.3000000000000002E-6</v>
      </c>
      <c r="K91" s="2">
        <f t="shared" si="30"/>
        <v>5.2000000000000002E-6</v>
      </c>
      <c r="L91" s="2">
        <f t="shared" si="31"/>
        <v>5.9000000000000003E-6</v>
      </c>
      <c r="M91" s="2">
        <f t="shared" si="32"/>
        <v>1.2E-8</v>
      </c>
      <c r="N91" s="2">
        <f t="shared" si="27"/>
        <v>40</v>
      </c>
      <c r="O91" s="2">
        <f t="shared" si="28"/>
        <v>0.01</v>
      </c>
      <c r="P91" t="s">
        <v>97</v>
      </c>
      <c r="Q91">
        <v>1</v>
      </c>
      <c r="R91" s="4">
        <f t="shared" si="33"/>
        <v>242</v>
      </c>
      <c r="S91">
        <v>90</v>
      </c>
    </row>
    <row r="92" spans="1:19" x14ac:dyDescent="0.25">
      <c r="A92" t="s">
        <v>97</v>
      </c>
      <c r="B92" s="1">
        <v>2.5045049858187101E-10</v>
      </c>
      <c r="C92" s="2">
        <f t="shared" si="35"/>
        <v>-1</v>
      </c>
      <c r="D92" s="2">
        <f t="shared" si="35"/>
        <v>-1</v>
      </c>
      <c r="E92" s="2">
        <f t="shared" si="35"/>
        <v>4.3000000000000002E-5</v>
      </c>
      <c r="F92" s="2">
        <f t="shared" si="35"/>
        <v>3.0000000000000001E-5</v>
      </c>
      <c r="G92" s="2">
        <f t="shared" si="35"/>
        <v>1.5E-5</v>
      </c>
      <c r="H92" s="2">
        <f t="shared" si="35"/>
        <v>1.1E-5</v>
      </c>
      <c r="I92" s="2">
        <f t="shared" si="29"/>
        <v>2.2999999999999999E-7</v>
      </c>
      <c r="J92" s="2">
        <f t="shared" si="36"/>
        <v>1.1E-4</v>
      </c>
      <c r="K92" s="2">
        <f t="shared" si="30"/>
        <v>4.6E-5</v>
      </c>
      <c r="L92" s="2">
        <f t="shared" si="31"/>
        <v>1.5999999999999999E-5</v>
      </c>
      <c r="M92" s="2">
        <f t="shared" si="32"/>
        <v>2.2999999999999999E-7</v>
      </c>
      <c r="N92" s="2">
        <f t="shared" si="27"/>
        <v>10</v>
      </c>
      <c r="O92" s="2">
        <f t="shared" si="28"/>
        <v>1E-3</v>
      </c>
      <c r="P92" t="s">
        <v>89</v>
      </c>
      <c r="Q92">
        <v>1</v>
      </c>
      <c r="R92" s="4">
        <f t="shared" si="33"/>
        <v>238</v>
      </c>
      <c r="S92">
        <v>91</v>
      </c>
    </row>
    <row r="93" spans="1:19" x14ac:dyDescent="0.25">
      <c r="A93" t="s">
        <v>135</v>
      </c>
      <c r="B93" s="1">
        <v>1.5576341136178546E-10</v>
      </c>
      <c r="C93" s="2">
        <f t="shared" si="35"/>
        <v>-1</v>
      </c>
      <c r="D93" s="2">
        <f t="shared" si="35"/>
        <v>-1</v>
      </c>
      <c r="E93" s="2">
        <f t="shared" si="35"/>
        <v>3.4999999999999997E-5</v>
      </c>
      <c r="F93" s="2">
        <f t="shared" si="35"/>
        <v>2.4000000000000001E-5</v>
      </c>
      <c r="G93" s="2">
        <f t="shared" si="35"/>
        <v>-1</v>
      </c>
      <c r="H93" s="2">
        <f t="shared" si="35"/>
        <v>-1</v>
      </c>
      <c r="I93" s="2">
        <f t="shared" si="29"/>
        <v>1.9000000000000001E-7</v>
      </c>
      <c r="J93" s="2">
        <f t="shared" si="36"/>
        <v>9.2E-5</v>
      </c>
      <c r="K93" s="2">
        <f t="shared" si="30"/>
        <v>3.6999999999999998E-5</v>
      </c>
      <c r="L93" s="2">
        <f t="shared" si="31"/>
        <v>1.1E-5</v>
      </c>
      <c r="M93" s="2">
        <f t="shared" si="32"/>
        <v>1.9000000000000001E-7</v>
      </c>
      <c r="N93" s="2">
        <f t="shared" si="27"/>
        <v>10</v>
      </c>
      <c r="O93" s="2">
        <f t="shared" si="28"/>
        <v>1E-3</v>
      </c>
      <c r="P93" t="s">
        <v>134</v>
      </c>
      <c r="Q93">
        <v>0.99541000000000002</v>
      </c>
      <c r="R93" s="4">
        <f t="shared" si="33"/>
        <v>242</v>
      </c>
      <c r="S93">
        <v>92</v>
      </c>
    </row>
    <row r="94" spans="1:19" x14ac:dyDescent="0.25">
      <c r="A94" t="s">
        <v>135</v>
      </c>
      <c r="B94" s="1">
        <v>1.5576341136178546E-10</v>
      </c>
      <c r="C94" s="2">
        <f t="shared" si="35"/>
        <v>-1</v>
      </c>
      <c r="D94" s="2">
        <f t="shared" si="35"/>
        <v>-1</v>
      </c>
      <c r="E94" s="2">
        <f t="shared" si="35"/>
        <v>3.4999999999999997E-5</v>
      </c>
      <c r="F94" s="2">
        <f t="shared" si="35"/>
        <v>2.4000000000000001E-5</v>
      </c>
      <c r="G94" s="2">
        <f t="shared" si="35"/>
        <v>-1</v>
      </c>
      <c r="H94" s="2">
        <f t="shared" si="35"/>
        <v>-1</v>
      </c>
      <c r="I94" s="2">
        <f t="shared" si="29"/>
        <v>1.9000000000000001E-7</v>
      </c>
      <c r="J94" s="2">
        <f t="shared" si="36"/>
        <v>9.2E-5</v>
      </c>
      <c r="K94" s="2">
        <f t="shared" si="30"/>
        <v>3.6999999999999998E-5</v>
      </c>
      <c r="L94" s="2">
        <f t="shared" si="31"/>
        <v>1.1E-5</v>
      </c>
      <c r="M94" s="2">
        <f t="shared" si="32"/>
        <v>1.9000000000000001E-7</v>
      </c>
      <c r="N94" s="2">
        <f t="shared" si="27"/>
        <v>10</v>
      </c>
      <c r="O94" s="2">
        <f t="shared" si="28"/>
        <v>1E-3</v>
      </c>
      <c r="P94" t="s">
        <v>149</v>
      </c>
      <c r="Q94">
        <v>0.45900000000000002</v>
      </c>
      <c r="R94" s="4">
        <f t="shared" si="33"/>
        <v>242</v>
      </c>
      <c r="S94">
        <v>93</v>
      </c>
    </row>
    <row r="95" spans="1:19" x14ac:dyDescent="0.25">
      <c r="A95" t="s">
        <v>149</v>
      </c>
      <c r="B95" s="1">
        <v>3.7895780878773757E-6</v>
      </c>
      <c r="C95" s="2">
        <f t="shared" si="35"/>
        <v>-1</v>
      </c>
      <c r="D95" s="2">
        <f t="shared" si="35"/>
        <v>-1</v>
      </c>
      <c r="E95" s="2">
        <f t="shared" si="35"/>
        <v>2.0000000000000001E-9</v>
      </c>
      <c r="F95" s="2">
        <f t="shared" si="35"/>
        <v>1.6999999999999999E-9</v>
      </c>
      <c r="G95" s="2">
        <f t="shared" si="35"/>
        <v>-1</v>
      </c>
      <c r="H95" s="2">
        <f t="shared" si="35"/>
        <v>-1</v>
      </c>
      <c r="I95" s="2">
        <f t="shared" si="29"/>
        <v>9.0999999999999996E-10</v>
      </c>
      <c r="J95" s="2">
        <f t="shared" si="36"/>
        <v>3.4999999999999999E-9</v>
      </c>
      <c r="K95" s="2">
        <f t="shared" si="30"/>
        <v>2.1000000000000002E-9</v>
      </c>
      <c r="L95" s="2">
        <f t="shared" si="31"/>
        <v>1.5E-9</v>
      </c>
      <c r="M95" s="2">
        <f t="shared" si="32"/>
        <v>9.0999999999999996E-10</v>
      </c>
      <c r="N95" s="2">
        <f t="shared" si="27"/>
        <v>0</v>
      </c>
      <c r="O95" s="2">
        <f t="shared" si="28"/>
        <v>0</v>
      </c>
      <c r="P95" t="s">
        <v>97</v>
      </c>
      <c r="Q95">
        <v>1</v>
      </c>
      <c r="R95" s="4">
        <f t="shared" si="33"/>
        <v>238</v>
      </c>
      <c r="S95">
        <v>94</v>
      </c>
    </row>
    <row r="96" spans="1:19" x14ac:dyDescent="0.25">
      <c r="A96" t="s">
        <v>131</v>
      </c>
      <c r="B96" s="1">
        <v>1.4356818155756944E-13</v>
      </c>
      <c r="C96" s="2">
        <f t="shared" ref="C96:H105" si="37">IF(ISNA(VLOOKUP($A96,_68inh,COLUMN(C96)-1,FALSE)),-1,VLOOKUP($A96,_68inh,COLUMN(C96)-1,FALSE))</f>
        <v>-1</v>
      </c>
      <c r="D96" s="2">
        <f t="shared" si="37"/>
        <v>-1</v>
      </c>
      <c r="E96" s="2">
        <f t="shared" si="37"/>
        <v>3.0000000000000001E-6</v>
      </c>
      <c r="F96" s="2">
        <f t="shared" si="37"/>
        <v>1.9999999999999999E-6</v>
      </c>
      <c r="G96" s="2">
        <f t="shared" si="37"/>
        <v>-1</v>
      </c>
      <c r="H96" s="2">
        <f t="shared" si="37"/>
        <v>-1</v>
      </c>
      <c r="I96" s="2">
        <f t="shared" si="29"/>
        <v>1.7E-8</v>
      </c>
      <c r="J96" s="2">
        <f t="shared" si="36"/>
        <v>7.9999999999999996E-6</v>
      </c>
      <c r="K96" s="2">
        <f t="shared" si="30"/>
        <v>3.1999999999999999E-6</v>
      </c>
      <c r="L96" s="2">
        <f t="shared" si="31"/>
        <v>9.9999999999999995E-7</v>
      </c>
      <c r="M96" s="2">
        <f t="shared" si="32"/>
        <v>1.7E-8</v>
      </c>
      <c r="N96" s="2">
        <f t="shared" si="27"/>
        <v>9</v>
      </c>
      <c r="O96" s="2">
        <f t="shared" si="28"/>
        <v>0.02</v>
      </c>
      <c r="P96" t="s">
        <v>94</v>
      </c>
      <c r="Q96">
        <v>0.873</v>
      </c>
      <c r="R96" s="4">
        <f t="shared" si="33"/>
        <v>236</v>
      </c>
      <c r="S96">
        <v>95</v>
      </c>
    </row>
    <row r="97" spans="1:19" x14ac:dyDescent="0.25">
      <c r="A97" t="s">
        <v>131</v>
      </c>
      <c r="B97" s="1">
        <v>1.4356818155756944E-13</v>
      </c>
      <c r="C97" s="2">
        <f t="shared" si="37"/>
        <v>-1</v>
      </c>
      <c r="D97" s="2">
        <f t="shared" si="37"/>
        <v>-1</v>
      </c>
      <c r="E97" s="2">
        <f t="shared" si="37"/>
        <v>3.0000000000000001E-6</v>
      </c>
      <c r="F97" s="2">
        <f t="shared" si="37"/>
        <v>1.9999999999999999E-6</v>
      </c>
      <c r="G97" s="2">
        <f t="shared" si="37"/>
        <v>-1</v>
      </c>
      <c r="H97" s="2">
        <f t="shared" si="37"/>
        <v>-1</v>
      </c>
      <c r="I97" s="2">
        <f t="shared" si="29"/>
        <v>1.7E-8</v>
      </c>
      <c r="J97" s="2">
        <f t="shared" si="36"/>
        <v>7.9999999999999996E-6</v>
      </c>
      <c r="K97" s="2">
        <f t="shared" si="30"/>
        <v>3.1999999999999999E-6</v>
      </c>
      <c r="L97" s="2">
        <f t="shared" si="31"/>
        <v>9.9999999999999995E-7</v>
      </c>
      <c r="M97" s="2">
        <f t="shared" si="32"/>
        <v>1.7E-8</v>
      </c>
      <c r="N97" s="2">
        <f t="shared" si="27"/>
        <v>9</v>
      </c>
      <c r="O97" s="2">
        <f t="shared" si="28"/>
        <v>0.02</v>
      </c>
      <c r="P97" t="s">
        <v>132</v>
      </c>
      <c r="Q97">
        <v>0.125</v>
      </c>
      <c r="R97" s="4">
        <f t="shared" si="33"/>
        <v>236</v>
      </c>
      <c r="S97">
        <v>96</v>
      </c>
    </row>
    <row r="98" spans="1:19" x14ac:dyDescent="0.25">
      <c r="A98" t="s">
        <v>132</v>
      </c>
      <c r="B98" s="1">
        <v>7.6852401605457838E-9</v>
      </c>
      <c r="C98" s="2">
        <f t="shared" si="37"/>
        <v>-1</v>
      </c>
      <c r="D98" s="2">
        <f t="shared" si="37"/>
        <v>-1</v>
      </c>
      <c r="E98" s="2">
        <f t="shared" si="37"/>
        <v>1.8E-5</v>
      </c>
      <c r="F98" s="2">
        <f t="shared" si="37"/>
        <v>1.2999999999999999E-5</v>
      </c>
      <c r="G98" s="2">
        <f t="shared" si="37"/>
        <v>9.5999999999999996E-6</v>
      </c>
      <c r="H98" s="2">
        <f t="shared" si="37"/>
        <v>7.4000000000000003E-6</v>
      </c>
      <c r="I98" s="2">
        <f t="shared" si="29"/>
        <v>8.6000000000000002E-8</v>
      </c>
      <c r="J98" s="2">
        <f t="shared" si="36"/>
        <v>4.0000000000000003E-5</v>
      </c>
      <c r="K98" s="2">
        <f t="shared" si="30"/>
        <v>2.0000000000000002E-5</v>
      </c>
      <c r="L98" s="2">
        <f t="shared" si="31"/>
        <v>1.0000000000000001E-5</v>
      </c>
      <c r="M98" s="2">
        <f t="shared" si="32"/>
        <v>8.6999999999999998E-8</v>
      </c>
      <c r="N98" s="2">
        <f t="shared" ref="N98:N129" si="38">VLOOKUP($A98,A1A2,2,FALSE)</f>
        <v>30</v>
      </c>
      <c r="O98" s="2">
        <f t="shared" ref="O98:O129" si="39">VLOOKUP($A98,A1A2,3,FALSE)</f>
        <v>3.0000000000000001E-3</v>
      </c>
      <c r="P98" t="s">
        <v>107</v>
      </c>
      <c r="Q98">
        <v>1</v>
      </c>
      <c r="R98" s="4">
        <f t="shared" si="33"/>
        <v>236</v>
      </c>
      <c r="S98">
        <v>97</v>
      </c>
    </row>
    <row r="99" spans="1:19" x14ac:dyDescent="0.25">
      <c r="A99" t="s">
        <v>107</v>
      </c>
      <c r="B99" s="1">
        <v>3.1883494965958845E-10</v>
      </c>
      <c r="C99" s="2">
        <f t="shared" si="37"/>
        <v>3.9999999999999998E-6</v>
      </c>
      <c r="D99" s="2">
        <f t="shared" si="37"/>
        <v>4.6999999999999999E-6</v>
      </c>
      <c r="E99" s="2">
        <f t="shared" si="37"/>
        <v>7.1999999999999997E-6</v>
      </c>
      <c r="F99" s="2">
        <f t="shared" si="37"/>
        <v>4.7999999999999998E-6</v>
      </c>
      <c r="G99" s="2">
        <f t="shared" si="37"/>
        <v>3.4999999999999997E-5</v>
      </c>
      <c r="H99" s="2">
        <f t="shared" si="37"/>
        <v>2.5999999999999998E-5</v>
      </c>
      <c r="I99" s="2">
        <f t="shared" si="29"/>
        <v>3.7E-8</v>
      </c>
      <c r="J99" s="2">
        <f t="shared" si="36"/>
        <v>3.9999999999999998E-6</v>
      </c>
      <c r="K99" s="2">
        <f t="shared" si="30"/>
        <v>7.7999999999999999E-6</v>
      </c>
      <c r="L99" s="2">
        <f t="shared" si="31"/>
        <v>3.6999999999999998E-5</v>
      </c>
      <c r="M99" s="2">
        <f t="shared" si="32"/>
        <v>3.3000000000000002E-7</v>
      </c>
      <c r="N99" s="2">
        <f t="shared" si="38"/>
        <v>10</v>
      </c>
      <c r="O99" s="2">
        <f t="shared" si="39"/>
        <v>1E-3</v>
      </c>
      <c r="P99" t="s">
        <v>79</v>
      </c>
      <c r="Q99">
        <v>1</v>
      </c>
      <c r="R99" s="4">
        <f t="shared" si="33"/>
        <v>232</v>
      </c>
      <c r="S99">
        <v>98</v>
      </c>
    </row>
    <row r="100" spans="1:19" x14ac:dyDescent="0.25">
      <c r="A100" t="s">
        <v>72</v>
      </c>
      <c r="B100" s="1">
        <v>5.2511150042420097E-4</v>
      </c>
      <c r="C100" s="2">
        <f t="shared" si="37"/>
        <v>9.0999999999999996E-10</v>
      </c>
      <c r="D100" s="2">
        <f t="shared" si="37"/>
        <v>1.3000000000000001E-9</v>
      </c>
      <c r="E100" s="2">
        <f t="shared" si="37"/>
        <v>-1</v>
      </c>
      <c r="F100" s="2">
        <f t="shared" si="37"/>
        <v>-1</v>
      </c>
      <c r="G100" s="2">
        <f t="shared" si="37"/>
        <v>-1</v>
      </c>
      <c r="H100" s="2">
        <f t="shared" si="37"/>
        <v>-1</v>
      </c>
      <c r="I100" s="2">
        <f t="shared" si="29"/>
        <v>2.2999999999999999E-9</v>
      </c>
      <c r="J100" s="2">
        <f t="shared" si="36"/>
        <v>8.9000000000000003E-10</v>
      </c>
      <c r="K100" s="2">
        <f t="shared" si="30"/>
        <v>-1</v>
      </c>
      <c r="L100" s="2">
        <f t="shared" si="31"/>
        <v>-1</v>
      </c>
      <c r="M100" s="2">
        <f t="shared" si="32"/>
        <v>2.4E-9</v>
      </c>
      <c r="N100" s="2">
        <f t="shared" si="38"/>
        <v>0</v>
      </c>
      <c r="O100" s="2">
        <f t="shared" si="39"/>
        <v>0</v>
      </c>
      <c r="P100" t="s">
        <v>71</v>
      </c>
      <c r="Q100">
        <v>0.99994000000000005</v>
      </c>
      <c r="R100" s="4">
        <f t="shared" si="33"/>
        <v>223</v>
      </c>
      <c r="S100">
        <v>99</v>
      </c>
    </row>
    <row r="101" spans="1:19" x14ac:dyDescent="0.25">
      <c r="A101" t="s">
        <v>67</v>
      </c>
      <c r="B101" s="1">
        <v>1.23776282242847E-2</v>
      </c>
      <c r="C101" s="2">
        <f t="shared" si="37"/>
        <v>-1</v>
      </c>
      <c r="D101" s="2">
        <f t="shared" si="37"/>
        <v>-1</v>
      </c>
      <c r="E101" s="2">
        <f t="shared" si="37"/>
        <v>-1</v>
      </c>
      <c r="F101" s="2">
        <f t="shared" si="37"/>
        <v>-1</v>
      </c>
      <c r="G101" s="2">
        <f t="shared" si="37"/>
        <v>-1</v>
      </c>
      <c r="H101" s="2">
        <f t="shared" si="37"/>
        <v>-1</v>
      </c>
      <c r="I101" s="2">
        <f t="shared" si="29"/>
        <v>-1</v>
      </c>
      <c r="J101" s="2">
        <f t="shared" si="36"/>
        <v>-1</v>
      </c>
      <c r="K101" s="2">
        <f t="shared" si="30"/>
        <v>-1</v>
      </c>
      <c r="L101" s="2">
        <f t="shared" si="31"/>
        <v>-1</v>
      </c>
      <c r="M101" s="2">
        <f t="shared" si="32"/>
        <v>-1</v>
      </c>
      <c r="N101" s="2">
        <f t="shared" si="38"/>
        <v>0</v>
      </c>
      <c r="O101" s="2">
        <f t="shared" si="39"/>
        <v>0</v>
      </c>
      <c r="P101" t="s">
        <v>59</v>
      </c>
      <c r="Q101">
        <v>0.97</v>
      </c>
      <c r="R101" s="4">
        <f t="shared" si="33"/>
        <v>219</v>
      </c>
      <c r="S101">
        <v>100</v>
      </c>
    </row>
    <row r="102" spans="1:19" x14ac:dyDescent="0.25">
      <c r="A102" t="s">
        <v>67</v>
      </c>
      <c r="B102" s="1">
        <v>1.23776282242847E-2</v>
      </c>
      <c r="C102" s="2">
        <f t="shared" si="37"/>
        <v>-1</v>
      </c>
      <c r="D102" s="2">
        <f t="shared" si="37"/>
        <v>-1</v>
      </c>
      <c r="E102" s="2">
        <f t="shared" si="37"/>
        <v>-1</v>
      </c>
      <c r="F102" s="2">
        <f t="shared" si="37"/>
        <v>-1</v>
      </c>
      <c r="G102" s="2">
        <f t="shared" si="37"/>
        <v>-1</v>
      </c>
      <c r="H102" s="2">
        <f t="shared" si="37"/>
        <v>-1</v>
      </c>
      <c r="I102" s="2">
        <f t="shared" ref="I102:I133" si="40">IF(ISNA(VLOOKUP(A102,_68ing,2,FALSE)),-1,VLOOKUP(A102,_68ing,2,FALSE))</f>
        <v>-1</v>
      </c>
      <c r="J102" s="2">
        <f t="shared" si="36"/>
        <v>-1</v>
      </c>
      <c r="K102" s="2">
        <f t="shared" ref="K102:K133" si="41">IF(ISNA(VLOOKUP($A102,_72inh,2,FALSE)),-1,VLOOKUP($A102,_72inh,3,FALSE))</f>
        <v>-1</v>
      </c>
      <c r="L102" s="2">
        <f t="shared" ref="L102:L133" si="42">IF(ISNA(VLOOKUP($A102,_72inh,2,FALSE)),-1,VLOOKUP($A102,_72inh,4,FALSE))</f>
        <v>-1</v>
      </c>
      <c r="M102" s="2">
        <f t="shared" ref="M102:M133" si="43">IF(ISNA(VLOOKUP(A102,_72ing,2,FALSE)),-1,VLOOKUP(A102,_72ing,2,FALSE))</f>
        <v>-1</v>
      </c>
      <c r="N102" s="2">
        <f t="shared" si="38"/>
        <v>0</v>
      </c>
      <c r="O102" s="2">
        <f t="shared" si="39"/>
        <v>0</v>
      </c>
      <c r="P102" t="s">
        <v>66</v>
      </c>
      <c r="Q102">
        <v>0.03</v>
      </c>
      <c r="R102" s="4">
        <f t="shared" ref="R102:R133" si="44">VALUE(IF(RIGHT(RIGHT(A102,SEARCH("-",A102)),1)="M", RIGHT(LEFT(A102,LEN(A102)-1),LEN(LEFT(A102,LEN(A102)-1))-SEARCH("-",A102)),RIGHT(A102,LEN(A102)-SEARCH("-",A102))))</f>
        <v>219</v>
      </c>
      <c r="S102">
        <v>101</v>
      </c>
    </row>
    <row r="103" spans="1:19" x14ac:dyDescent="0.25">
      <c r="A103" t="s">
        <v>59</v>
      </c>
      <c r="B103" s="1">
        <v>1.52005960649111E-3</v>
      </c>
      <c r="C103" s="2">
        <f t="shared" si="37"/>
        <v>-1</v>
      </c>
      <c r="D103" s="2">
        <f t="shared" si="37"/>
        <v>-1</v>
      </c>
      <c r="E103" s="2">
        <f t="shared" si="37"/>
        <v>-1</v>
      </c>
      <c r="F103" s="2">
        <f t="shared" si="37"/>
        <v>-1</v>
      </c>
      <c r="G103" s="2">
        <f t="shared" si="37"/>
        <v>-1</v>
      </c>
      <c r="H103" s="2">
        <f t="shared" si="37"/>
        <v>-1</v>
      </c>
      <c r="I103" s="2">
        <f t="shared" si="40"/>
        <v>-1</v>
      </c>
      <c r="J103" s="2">
        <f t="shared" si="36"/>
        <v>-1</v>
      </c>
      <c r="K103" s="2">
        <f t="shared" si="41"/>
        <v>-1</v>
      </c>
      <c r="L103" s="2">
        <f t="shared" si="42"/>
        <v>-1</v>
      </c>
      <c r="M103" s="2">
        <f t="shared" si="43"/>
        <v>-1</v>
      </c>
      <c r="N103" s="2">
        <f t="shared" si="38"/>
        <v>0</v>
      </c>
      <c r="O103" s="2">
        <f t="shared" si="39"/>
        <v>0</v>
      </c>
      <c r="P103" t="s">
        <v>58</v>
      </c>
      <c r="Q103">
        <v>1</v>
      </c>
      <c r="R103" s="4">
        <f t="shared" si="44"/>
        <v>215</v>
      </c>
      <c r="S103">
        <v>102</v>
      </c>
    </row>
    <row r="104" spans="1:19" x14ac:dyDescent="0.25">
      <c r="A104" t="s">
        <v>53</v>
      </c>
      <c r="B104" s="1">
        <v>2.5339883766905901E-4</v>
      </c>
      <c r="C104" s="2">
        <f t="shared" si="37"/>
        <v>1.0999999999999999E-8</v>
      </c>
      <c r="D104" s="2">
        <f t="shared" si="37"/>
        <v>1.7999999999999999E-8</v>
      </c>
      <c r="E104" s="2">
        <f t="shared" si="37"/>
        <v>2.9000000000000002E-8</v>
      </c>
      <c r="F104" s="2">
        <f t="shared" si="37"/>
        <v>4.1000000000000003E-8</v>
      </c>
      <c r="G104" s="2">
        <f t="shared" si="37"/>
        <v>-1</v>
      </c>
      <c r="H104" s="2">
        <f t="shared" si="37"/>
        <v>-1</v>
      </c>
      <c r="I104" s="2">
        <f t="shared" si="40"/>
        <v>2.0000000000000001E-10</v>
      </c>
      <c r="J104" s="2">
        <f t="shared" si="36"/>
        <v>1E-8</v>
      </c>
      <c r="K104" s="2">
        <f t="shared" si="41"/>
        <v>2.9999999999999997E-8</v>
      </c>
      <c r="L104" s="2">
        <f t="shared" si="42"/>
        <v>-1</v>
      </c>
      <c r="M104" s="2">
        <f t="shared" si="43"/>
        <v>2.0000000000000001E-10</v>
      </c>
      <c r="N104" s="2">
        <f t="shared" si="38"/>
        <v>0</v>
      </c>
      <c r="O104" s="2">
        <f t="shared" si="39"/>
        <v>0</v>
      </c>
      <c r="P104" t="s">
        <v>41</v>
      </c>
      <c r="Q104">
        <v>2.1999999999999999E-2</v>
      </c>
      <c r="R104" s="4">
        <f t="shared" si="44"/>
        <v>213</v>
      </c>
      <c r="S104">
        <v>103</v>
      </c>
    </row>
    <row r="105" spans="1:19" x14ac:dyDescent="0.25">
      <c r="A105" t="s">
        <v>130</v>
      </c>
      <c r="B105" s="1">
        <v>4.6209812037329688E-9</v>
      </c>
      <c r="C105" s="2">
        <f t="shared" si="37"/>
        <v>-1</v>
      </c>
      <c r="D105" s="2">
        <f t="shared" si="37"/>
        <v>-1</v>
      </c>
      <c r="E105" s="2">
        <f t="shared" si="37"/>
        <v>6.5000000000000003E-9</v>
      </c>
      <c r="F105" s="2">
        <f t="shared" si="37"/>
        <v>4.6999999999999999E-9</v>
      </c>
      <c r="G105" s="2">
        <f t="shared" si="37"/>
        <v>-1</v>
      </c>
      <c r="H105" s="2">
        <f t="shared" si="37"/>
        <v>-1</v>
      </c>
      <c r="I105" s="2">
        <f t="shared" si="40"/>
        <v>3.1999999999999998E-10</v>
      </c>
      <c r="J105" s="2">
        <f t="shared" si="36"/>
        <v>-1</v>
      </c>
      <c r="K105" s="2">
        <f t="shared" si="41"/>
        <v>6.8999999999999997E-9</v>
      </c>
      <c r="L105" s="2">
        <f t="shared" si="42"/>
        <v>-1</v>
      </c>
      <c r="M105" s="2">
        <f t="shared" si="43"/>
        <v>3.1999999999999998E-10</v>
      </c>
      <c r="N105" s="2">
        <f t="shared" si="38"/>
        <v>20</v>
      </c>
      <c r="O105" s="2">
        <f t="shared" si="39"/>
        <v>3</v>
      </c>
      <c r="P105" t="s">
        <v>142</v>
      </c>
      <c r="Q105">
        <v>1</v>
      </c>
      <c r="R105" s="4">
        <f t="shared" si="44"/>
        <v>155</v>
      </c>
      <c r="S105">
        <v>104</v>
      </c>
    </row>
    <row r="106" spans="1:19" x14ac:dyDescent="0.25">
      <c r="A106" t="s">
        <v>129</v>
      </c>
      <c r="B106" s="1">
        <v>2.553968977744824E-9</v>
      </c>
      <c r="C106" s="2">
        <f t="shared" ref="C106:H115" si="45">IF(ISNA(VLOOKUP($A106,_68inh,COLUMN(C106)-1,FALSE)),-1,VLOOKUP($A106,_68inh,COLUMN(C106)-1,FALSE))</f>
        <v>-1</v>
      </c>
      <c r="D106" s="2">
        <f t="shared" si="45"/>
        <v>-1</v>
      </c>
      <c r="E106" s="2">
        <f t="shared" si="45"/>
        <v>4.9999999999999998E-8</v>
      </c>
      <c r="F106" s="2">
        <f t="shared" si="45"/>
        <v>3.5000000000000002E-8</v>
      </c>
      <c r="G106" s="2">
        <f t="shared" si="45"/>
        <v>-1</v>
      </c>
      <c r="H106" s="2">
        <f t="shared" si="45"/>
        <v>-1</v>
      </c>
      <c r="I106" s="2">
        <f t="shared" si="40"/>
        <v>2.0000000000000001E-9</v>
      </c>
      <c r="J106" s="2">
        <f t="shared" si="36"/>
        <v>-1</v>
      </c>
      <c r="K106" s="2">
        <f t="shared" si="41"/>
        <v>5.2999999999999998E-8</v>
      </c>
      <c r="L106" s="2">
        <f t="shared" si="42"/>
        <v>-1</v>
      </c>
      <c r="M106" s="2">
        <f t="shared" si="43"/>
        <v>2.0000000000000001E-9</v>
      </c>
      <c r="N106" s="2">
        <f t="shared" si="38"/>
        <v>0.9</v>
      </c>
      <c r="O106" s="2">
        <f t="shared" si="39"/>
        <v>0.60000000000000009</v>
      </c>
      <c r="P106" t="s">
        <v>142</v>
      </c>
      <c r="Q106">
        <v>1</v>
      </c>
      <c r="R106" s="4">
        <f t="shared" si="44"/>
        <v>154</v>
      </c>
      <c r="S106">
        <v>105</v>
      </c>
    </row>
    <row r="107" spans="1:19" x14ac:dyDescent="0.25">
      <c r="A107" t="s">
        <v>36</v>
      </c>
      <c r="B107" s="1">
        <v>1.6236331110016399E-9</v>
      </c>
      <c r="C107" s="2">
        <f t="shared" si="45"/>
        <v>-1</v>
      </c>
      <c r="D107" s="2">
        <f t="shared" si="45"/>
        <v>-1</v>
      </c>
      <c r="E107" s="2">
        <f t="shared" si="45"/>
        <v>3.8999999999999998E-8</v>
      </c>
      <c r="F107" s="2">
        <f t="shared" si="45"/>
        <v>2.7E-8</v>
      </c>
      <c r="G107" s="2">
        <f t="shared" si="45"/>
        <v>-1</v>
      </c>
      <c r="H107" s="2">
        <f t="shared" si="45"/>
        <v>-1</v>
      </c>
      <c r="I107" s="2">
        <f t="shared" si="40"/>
        <v>1.3999999999999999E-9</v>
      </c>
      <c r="J107" s="2">
        <f t="shared" si="36"/>
        <v>-1</v>
      </c>
      <c r="K107" s="2">
        <f t="shared" si="41"/>
        <v>4.1999999999999999E-8</v>
      </c>
      <c r="L107" s="2">
        <f t="shared" si="42"/>
        <v>-1</v>
      </c>
      <c r="M107" s="2">
        <f t="shared" si="43"/>
        <v>1.3999999999999999E-9</v>
      </c>
      <c r="N107" s="2">
        <f t="shared" si="38"/>
        <v>1</v>
      </c>
      <c r="O107" s="2">
        <f t="shared" si="39"/>
        <v>1</v>
      </c>
      <c r="P107" t="s">
        <v>142</v>
      </c>
      <c r="Q107">
        <v>0.7208</v>
      </c>
      <c r="R107" s="4">
        <f t="shared" si="44"/>
        <v>152</v>
      </c>
      <c r="S107">
        <v>106</v>
      </c>
    </row>
    <row r="108" spans="1:19" x14ac:dyDescent="0.25">
      <c r="A108" t="s">
        <v>36</v>
      </c>
      <c r="B108" s="1">
        <v>1.6236331110016399E-9</v>
      </c>
      <c r="C108" s="2">
        <f t="shared" si="45"/>
        <v>-1</v>
      </c>
      <c r="D108" s="2">
        <f t="shared" si="45"/>
        <v>-1</v>
      </c>
      <c r="E108" s="2">
        <f t="shared" si="45"/>
        <v>3.8999999999999998E-8</v>
      </c>
      <c r="F108" s="2">
        <f t="shared" si="45"/>
        <v>2.7E-8</v>
      </c>
      <c r="G108" s="2">
        <f t="shared" si="45"/>
        <v>-1</v>
      </c>
      <c r="H108" s="2">
        <f t="shared" si="45"/>
        <v>-1</v>
      </c>
      <c r="I108" s="2">
        <f t="shared" si="40"/>
        <v>1.3999999999999999E-9</v>
      </c>
      <c r="J108" s="2">
        <f t="shared" si="36"/>
        <v>-1</v>
      </c>
      <c r="K108" s="2">
        <f t="shared" si="41"/>
        <v>4.1999999999999999E-8</v>
      </c>
      <c r="L108" s="2">
        <f t="shared" si="42"/>
        <v>-1</v>
      </c>
      <c r="M108" s="2">
        <f t="shared" si="43"/>
        <v>1.3999999999999999E-9</v>
      </c>
      <c r="N108" s="2">
        <f t="shared" si="38"/>
        <v>1</v>
      </c>
      <c r="O108" s="2">
        <f t="shared" si="39"/>
        <v>1</v>
      </c>
      <c r="P108" t="s">
        <v>35</v>
      </c>
      <c r="Q108">
        <v>0.2792</v>
      </c>
      <c r="R108" s="4">
        <f t="shared" si="44"/>
        <v>152</v>
      </c>
      <c r="S108">
        <v>107</v>
      </c>
    </row>
    <row r="109" spans="1:19" x14ac:dyDescent="0.25">
      <c r="A109" t="s">
        <v>35</v>
      </c>
      <c r="B109" s="1">
        <v>2.03375080792872E-22</v>
      </c>
      <c r="C109" s="2">
        <f t="shared" si="45"/>
        <v>1.9000000000000001E-5</v>
      </c>
      <c r="D109" s="2">
        <f t="shared" si="45"/>
        <v>2.1999999999999999E-5</v>
      </c>
      <c r="E109" s="2">
        <f t="shared" si="45"/>
        <v>7.4000000000000003E-6</v>
      </c>
      <c r="F109" s="2">
        <f t="shared" si="45"/>
        <v>5.0000000000000004E-6</v>
      </c>
      <c r="G109" s="2">
        <f t="shared" si="45"/>
        <v>-1</v>
      </c>
      <c r="H109" s="2">
        <f t="shared" si="45"/>
        <v>-1</v>
      </c>
      <c r="I109" s="2">
        <f t="shared" si="40"/>
        <v>4.1000000000000003E-8</v>
      </c>
      <c r="J109" s="2">
        <f t="shared" si="36"/>
        <v>1.9000000000000001E-5</v>
      </c>
      <c r="K109" s="2">
        <f t="shared" si="41"/>
        <v>7.9999999999999996E-6</v>
      </c>
      <c r="L109" s="2">
        <f t="shared" si="42"/>
        <v>-1</v>
      </c>
      <c r="M109" s="2">
        <f t="shared" si="43"/>
        <v>4.1000000000000003E-8</v>
      </c>
      <c r="N109" s="2">
        <f t="shared" si="38"/>
        <v>0</v>
      </c>
      <c r="O109" s="2">
        <f t="shared" si="39"/>
        <v>0</v>
      </c>
      <c r="P109" t="s">
        <v>34</v>
      </c>
      <c r="Q109">
        <v>1</v>
      </c>
      <c r="R109" s="4">
        <f t="shared" si="44"/>
        <v>152</v>
      </c>
      <c r="S109">
        <v>108</v>
      </c>
    </row>
    <row r="110" spans="1:19" x14ac:dyDescent="0.25">
      <c r="A110" t="s">
        <v>34</v>
      </c>
      <c r="B110" s="1">
        <v>3.1377869608042999E-24</v>
      </c>
      <c r="C110" s="2">
        <f t="shared" si="45"/>
        <v>-1</v>
      </c>
      <c r="D110" s="2">
        <f t="shared" si="45"/>
        <v>-1</v>
      </c>
      <c r="E110" s="2">
        <f t="shared" si="45"/>
        <v>-1</v>
      </c>
      <c r="F110" s="2">
        <f t="shared" si="45"/>
        <v>-1</v>
      </c>
      <c r="G110" s="2">
        <f t="shared" si="45"/>
        <v>-1</v>
      </c>
      <c r="H110" s="2">
        <f t="shared" si="45"/>
        <v>-1</v>
      </c>
      <c r="I110" s="2">
        <f t="shared" si="40"/>
        <v>-1</v>
      </c>
      <c r="J110" s="2">
        <f t="shared" si="36"/>
        <v>-1</v>
      </c>
      <c r="K110" s="2">
        <f t="shared" si="41"/>
        <v>-1</v>
      </c>
      <c r="L110" s="2">
        <f t="shared" si="42"/>
        <v>-1</v>
      </c>
      <c r="M110" s="2">
        <f t="shared" si="43"/>
        <v>-1</v>
      </c>
      <c r="N110" s="2">
        <f t="shared" si="38"/>
        <v>0</v>
      </c>
      <c r="O110" s="2">
        <f t="shared" si="39"/>
        <v>0</v>
      </c>
      <c r="P110" t="s">
        <v>33</v>
      </c>
      <c r="Q110">
        <v>1</v>
      </c>
      <c r="R110" s="4">
        <f t="shared" si="44"/>
        <v>148</v>
      </c>
      <c r="S110">
        <v>109</v>
      </c>
    </row>
    <row r="111" spans="1:19" x14ac:dyDescent="0.25">
      <c r="A111" t="s">
        <v>33</v>
      </c>
      <c r="B111" s="1">
        <v>9.5914885264760393E-24</v>
      </c>
      <c r="C111" s="2">
        <f t="shared" si="45"/>
        <v>-1</v>
      </c>
      <c r="D111" s="2">
        <f t="shared" si="45"/>
        <v>-1</v>
      </c>
      <c r="E111" s="2">
        <f t="shared" si="45"/>
        <v>-1</v>
      </c>
      <c r="F111" s="2">
        <f t="shared" si="45"/>
        <v>-1</v>
      </c>
      <c r="G111" s="2">
        <f t="shared" si="45"/>
        <v>-1</v>
      </c>
      <c r="H111" s="2">
        <f t="shared" si="45"/>
        <v>-1</v>
      </c>
      <c r="I111" s="2">
        <f t="shared" si="40"/>
        <v>-1</v>
      </c>
      <c r="J111" s="2">
        <f t="shared" si="36"/>
        <v>-1</v>
      </c>
      <c r="K111" s="2">
        <f t="shared" si="41"/>
        <v>-1</v>
      </c>
      <c r="L111" s="2">
        <f t="shared" si="42"/>
        <v>-1</v>
      </c>
      <c r="M111" s="2">
        <f t="shared" si="43"/>
        <v>-1</v>
      </c>
      <c r="N111" s="2">
        <f t="shared" si="38"/>
        <v>0</v>
      </c>
      <c r="O111" s="2">
        <f t="shared" si="39"/>
        <v>0</v>
      </c>
      <c r="P111" t="s">
        <v>142</v>
      </c>
      <c r="Q111">
        <v>1</v>
      </c>
      <c r="R111" s="4">
        <f t="shared" si="44"/>
        <v>144</v>
      </c>
      <c r="S111">
        <v>110</v>
      </c>
    </row>
    <row r="112" spans="1:19" x14ac:dyDescent="0.25">
      <c r="A112" t="s">
        <v>128</v>
      </c>
      <c r="B112" s="1">
        <v>2.4406590864786808E-10</v>
      </c>
      <c r="C112" s="2">
        <f t="shared" si="45"/>
        <v>-1</v>
      </c>
      <c r="D112" s="2">
        <f t="shared" si="45"/>
        <v>-1</v>
      </c>
      <c r="E112" s="2">
        <f t="shared" si="45"/>
        <v>3.7E-9</v>
      </c>
      <c r="F112" s="2">
        <f t="shared" si="45"/>
        <v>2.6000000000000001E-9</v>
      </c>
      <c r="G112" s="2">
        <f t="shared" si="45"/>
        <v>-1</v>
      </c>
      <c r="H112" s="2">
        <f t="shared" si="45"/>
        <v>-1</v>
      </c>
      <c r="I112" s="2">
        <f t="shared" si="40"/>
        <v>9.7999999999999998E-11</v>
      </c>
      <c r="J112" s="2">
        <f t="shared" si="36"/>
        <v>-1</v>
      </c>
      <c r="K112" s="2">
        <f t="shared" si="41"/>
        <v>4.0000000000000002E-9</v>
      </c>
      <c r="L112" s="2">
        <f t="shared" si="42"/>
        <v>-1</v>
      </c>
      <c r="M112" s="2">
        <f t="shared" si="43"/>
        <v>9.7999999999999998E-11</v>
      </c>
      <c r="N112" s="2">
        <f t="shared" si="38"/>
        <v>40</v>
      </c>
      <c r="O112" s="2">
        <f t="shared" si="39"/>
        <v>10</v>
      </c>
      <c r="P112" t="s">
        <v>142</v>
      </c>
      <c r="Q112">
        <v>1</v>
      </c>
      <c r="R112" s="4">
        <f t="shared" si="44"/>
        <v>151</v>
      </c>
      <c r="S112">
        <v>111</v>
      </c>
    </row>
    <row r="113" spans="1:19" x14ac:dyDescent="0.25">
      <c r="A113" t="s">
        <v>127</v>
      </c>
      <c r="B113" s="1">
        <v>8.3723539142401896E-9</v>
      </c>
      <c r="C113" s="2">
        <f t="shared" si="45"/>
        <v>-1</v>
      </c>
      <c r="D113" s="2">
        <f t="shared" si="45"/>
        <v>-1</v>
      </c>
      <c r="E113" s="2">
        <f t="shared" si="45"/>
        <v>4.6999999999999999E-9</v>
      </c>
      <c r="F113" s="2">
        <f t="shared" si="45"/>
        <v>3.4999999999999999E-9</v>
      </c>
      <c r="G113" s="2">
        <f t="shared" si="45"/>
        <v>4.5999999999999998E-9</v>
      </c>
      <c r="H113" s="2">
        <f t="shared" si="45"/>
        <v>3.2000000000000001E-9</v>
      </c>
      <c r="I113" s="2">
        <f t="shared" si="40"/>
        <v>2.5999999999999998E-10</v>
      </c>
      <c r="J113" s="2">
        <f t="shared" si="36"/>
        <v>-1</v>
      </c>
      <c r="K113" s="2">
        <f t="shared" si="41"/>
        <v>5.0000000000000001E-9</v>
      </c>
      <c r="L113" s="2">
        <f t="shared" si="42"/>
        <v>4.9E-9</v>
      </c>
      <c r="M113" s="2">
        <f t="shared" si="43"/>
        <v>2.5999999999999998E-10</v>
      </c>
      <c r="N113" s="2">
        <f t="shared" si="38"/>
        <v>40</v>
      </c>
      <c r="O113" s="2">
        <f t="shared" si="39"/>
        <v>2</v>
      </c>
      <c r="P113" t="s">
        <v>148</v>
      </c>
      <c r="Q113">
        <v>1</v>
      </c>
      <c r="R113" s="4">
        <f t="shared" si="44"/>
        <v>147</v>
      </c>
      <c r="S113">
        <v>112</v>
      </c>
    </row>
    <row r="114" spans="1:19" x14ac:dyDescent="0.25">
      <c r="A114" t="s">
        <v>148</v>
      </c>
      <c r="B114" s="1">
        <v>2.0721888805977438E-19</v>
      </c>
      <c r="C114" s="2">
        <f t="shared" si="45"/>
        <v>-1</v>
      </c>
      <c r="D114" s="2">
        <f t="shared" si="45"/>
        <v>-1</v>
      </c>
      <c r="E114" s="2">
        <f t="shared" si="45"/>
        <v>8.8999999999999995E-6</v>
      </c>
      <c r="F114" s="2">
        <f t="shared" si="45"/>
        <v>6.1E-6</v>
      </c>
      <c r="G114" s="2">
        <f t="shared" si="45"/>
        <v>-1</v>
      </c>
      <c r="H114" s="2">
        <f t="shared" si="45"/>
        <v>-1</v>
      </c>
      <c r="I114" s="2">
        <f t="shared" si="40"/>
        <v>4.9000000000000002E-8</v>
      </c>
      <c r="J114" s="2">
        <f t="shared" si="36"/>
        <v>-1</v>
      </c>
      <c r="K114" s="2">
        <f t="shared" si="41"/>
        <v>9.5999999999999996E-6</v>
      </c>
      <c r="L114" s="2">
        <f t="shared" si="42"/>
        <v>-1</v>
      </c>
      <c r="M114" s="2">
        <f t="shared" si="43"/>
        <v>4.9000000000000002E-8</v>
      </c>
      <c r="N114" s="2">
        <f t="shared" si="38"/>
        <v>-1</v>
      </c>
      <c r="O114" s="2">
        <f t="shared" si="39"/>
        <v>-1</v>
      </c>
      <c r="P114" t="s">
        <v>142</v>
      </c>
      <c r="Q114">
        <v>1</v>
      </c>
      <c r="R114" s="4">
        <f t="shared" si="44"/>
        <v>147</v>
      </c>
      <c r="S114">
        <v>113</v>
      </c>
    </row>
    <row r="115" spans="1:19" x14ac:dyDescent="0.25">
      <c r="A115" t="s">
        <v>126</v>
      </c>
      <c r="B115" s="1">
        <v>3.9721901464753315E-9</v>
      </c>
      <c r="C115" s="2">
        <f t="shared" si="45"/>
        <v>-1</v>
      </c>
      <c r="D115" s="2">
        <f t="shared" si="45"/>
        <v>-1</v>
      </c>
      <c r="E115" s="2">
        <f t="shared" si="45"/>
        <v>1.9000000000000001E-8</v>
      </c>
      <c r="F115" s="2">
        <f t="shared" si="45"/>
        <v>1.3000000000000001E-8</v>
      </c>
      <c r="G115" s="2">
        <f t="shared" si="45"/>
        <v>1.6000000000000001E-8</v>
      </c>
      <c r="H115" s="2">
        <f t="shared" si="45"/>
        <v>8.9999999999999995E-9</v>
      </c>
      <c r="I115" s="2">
        <f t="shared" si="40"/>
        <v>8.9999999999999999E-10</v>
      </c>
      <c r="J115" s="2">
        <f t="shared" si="36"/>
        <v>-1</v>
      </c>
      <c r="K115" s="2">
        <f t="shared" si="41"/>
        <v>2.0999999999999999E-8</v>
      </c>
      <c r="L115" s="2">
        <f t="shared" si="42"/>
        <v>1.7E-8</v>
      </c>
      <c r="M115" s="2">
        <f t="shared" si="43"/>
        <v>8.9999999999999999E-10</v>
      </c>
      <c r="N115" s="2">
        <f t="shared" si="38"/>
        <v>0</v>
      </c>
      <c r="O115" s="2">
        <f t="shared" si="39"/>
        <v>0</v>
      </c>
      <c r="P115" t="s">
        <v>142</v>
      </c>
      <c r="Q115">
        <v>0.66</v>
      </c>
      <c r="R115" s="4">
        <f t="shared" si="44"/>
        <v>146</v>
      </c>
      <c r="S115">
        <v>114</v>
      </c>
    </row>
    <row r="116" spans="1:19" x14ac:dyDescent="0.25">
      <c r="A116" t="s">
        <v>126</v>
      </c>
      <c r="B116" s="1">
        <v>3.9721901464753315E-9</v>
      </c>
      <c r="C116" s="2">
        <f t="shared" ref="C116:H125" si="46">IF(ISNA(VLOOKUP($A116,_68inh,COLUMN(C116)-1,FALSE)),-1,VLOOKUP($A116,_68inh,COLUMN(C116)-1,FALSE))</f>
        <v>-1</v>
      </c>
      <c r="D116" s="2">
        <f t="shared" si="46"/>
        <v>-1</v>
      </c>
      <c r="E116" s="2">
        <f t="shared" si="46"/>
        <v>1.9000000000000001E-8</v>
      </c>
      <c r="F116" s="2">
        <f t="shared" si="46"/>
        <v>1.3000000000000001E-8</v>
      </c>
      <c r="G116" s="2">
        <f t="shared" si="46"/>
        <v>1.6000000000000001E-8</v>
      </c>
      <c r="H116" s="2">
        <f t="shared" si="46"/>
        <v>8.9999999999999995E-9</v>
      </c>
      <c r="I116" s="2">
        <f t="shared" si="40"/>
        <v>8.9999999999999999E-10</v>
      </c>
      <c r="J116" s="2">
        <f t="shared" si="36"/>
        <v>-1</v>
      </c>
      <c r="K116" s="2">
        <f t="shared" si="41"/>
        <v>2.0999999999999999E-8</v>
      </c>
      <c r="L116" s="2">
        <f t="shared" si="42"/>
        <v>1.7E-8</v>
      </c>
      <c r="M116" s="2">
        <f t="shared" si="43"/>
        <v>8.9999999999999999E-10</v>
      </c>
      <c r="N116" s="2">
        <f t="shared" si="38"/>
        <v>0</v>
      </c>
      <c r="O116" s="2">
        <f t="shared" si="39"/>
        <v>0</v>
      </c>
      <c r="P116" t="s">
        <v>147</v>
      </c>
      <c r="Q116">
        <v>0.34</v>
      </c>
      <c r="R116" s="4">
        <f t="shared" si="44"/>
        <v>146</v>
      </c>
      <c r="S116">
        <v>115</v>
      </c>
    </row>
    <row r="117" spans="1:19" x14ac:dyDescent="0.25">
      <c r="A117" t="s">
        <v>147</v>
      </c>
      <c r="B117" s="1">
        <v>2.1327605555690625E-16</v>
      </c>
      <c r="C117" s="2">
        <f t="shared" si="46"/>
        <v>-1</v>
      </c>
      <c r="D117" s="2">
        <f t="shared" si="46"/>
        <v>-1</v>
      </c>
      <c r="E117" s="2">
        <f t="shared" si="46"/>
        <v>9.9000000000000001E-6</v>
      </c>
      <c r="F117" s="2">
        <f t="shared" si="46"/>
        <v>6.7000000000000002E-6</v>
      </c>
      <c r="G117" s="2">
        <f t="shared" si="46"/>
        <v>-1</v>
      </c>
      <c r="H117" s="2">
        <f t="shared" si="46"/>
        <v>-1</v>
      </c>
      <c r="I117" s="2">
        <f t="shared" si="40"/>
        <v>5.4E-8</v>
      </c>
      <c r="J117" s="2">
        <f t="shared" si="36"/>
        <v>-1</v>
      </c>
      <c r="K117" s="2">
        <f t="shared" si="41"/>
        <v>1.1E-5</v>
      </c>
      <c r="L117" s="2">
        <f t="shared" si="42"/>
        <v>-1</v>
      </c>
      <c r="M117" s="2">
        <f t="shared" si="43"/>
        <v>5.4E-8</v>
      </c>
      <c r="N117" s="2">
        <f t="shared" si="38"/>
        <v>0</v>
      </c>
      <c r="O117" s="2">
        <f t="shared" si="39"/>
        <v>0</v>
      </c>
      <c r="P117" t="s">
        <v>142</v>
      </c>
      <c r="Q117">
        <v>1</v>
      </c>
      <c r="R117" s="4">
        <f t="shared" si="44"/>
        <v>146</v>
      </c>
      <c r="S117">
        <v>116</v>
      </c>
    </row>
    <row r="118" spans="1:19" x14ac:dyDescent="0.25">
      <c r="A118" t="s">
        <v>124</v>
      </c>
      <c r="B118" s="1">
        <v>2.8153825367991279E-8</v>
      </c>
      <c r="C118" s="2">
        <f t="shared" si="46"/>
        <v>-1</v>
      </c>
      <c r="D118" s="2">
        <f t="shared" si="46"/>
        <v>-1</v>
      </c>
      <c r="E118" s="2">
        <f t="shared" si="46"/>
        <v>3.4E-8</v>
      </c>
      <c r="F118" s="2">
        <f t="shared" si="46"/>
        <v>2.3000000000000001E-8</v>
      </c>
      <c r="G118" s="2">
        <f t="shared" si="46"/>
        <v>4.9000000000000002E-8</v>
      </c>
      <c r="H118" s="2">
        <f t="shared" si="46"/>
        <v>2.9000000000000002E-8</v>
      </c>
      <c r="I118" s="2">
        <f t="shared" si="40"/>
        <v>5.2000000000000002E-9</v>
      </c>
      <c r="J118" s="2">
        <f t="shared" si="36"/>
        <v>4.0000000000000001E-8</v>
      </c>
      <c r="K118" s="2">
        <f t="shared" si="41"/>
        <v>3.5999999999999998E-8</v>
      </c>
      <c r="L118" s="2">
        <f t="shared" si="42"/>
        <v>5.2999999999999998E-8</v>
      </c>
      <c r="M118" s="2">
        <f t="shared" si="43"/>
        <v>5.2000000000000002E-9</v>
      </c>
      <c r="N118" s="2">
        <f t="shared" si="38"/>
        <v>0.2</v>
      </c>
      <c r="O118" s="2">
        <f t="shared" si="39"/>
        <v>0.2</v>
      </c>
      <c r="P118" t="s">
        <v>125</v>
      </c>
      <c r="Q118">
        <v>1</v>
      </c>
      <c r="R118" s="4">
        <f t="shared" si="44"/>
        <v>144</v>
      </c>
      <c r="S118">
        <v>117</v>
      </c>
    </row>
    <row r="119" spans="1:19" x14ac:dyDescent="0.25">
      <c r="A119" t="s">
        <v>125</v>
      </c>
      <c r="B119" s="1">
        <v>6.6854473433636697E-4</v>
      </c>
      <c r="C119" s="2">
        <f t="shared" si="46"/>
        <v>-1</v>
      </c>
      <c r="D119" s="2">
        <f t="shared" si="46"/>
        <v>-1</v>
      </c>
      <c r="E119" s="2">
        <f t="shared" si="46"/>
        <v>1.7999999999999999E-11</v>
      </c>
      <c r="F119" s="2">
        <f t="shared" si="46"/>
        <v>2.9E-11</v>
      </c>
      <c r="G119" s="2">
        <f t="shared" si="46"/>
        <v>1.8999999999999999E-11</v>
      </c>
      <c r="H119" s="2">
        <f t="shared" si="46"/>
        <v>3E-11</v>
      </c>
      <c r="I119" s="2">
        <f t="shared" si="40"/>
        <v>5.0000000000000002E-11</v>
      </c>
      <c r="J119" s="2">
        <f t="shared" si="36"/>
        <v>-1</v>
      </c>
      <c r="K119" s="2">
        <f t="shared" si="41"/>
        <v>1.7999999999999999E-11</v>
      </c>
      <c r="L119" s="2">
        <f t="shared" si="42"/>
        <v>1.7999999999999999E-11</v>
      </c>
      <c r="M119" s="2">
        <f t="shared" si="43"/>
        <v>5.0000000000000002E-11</v>
      </c>
      <c r="N119" s="2">
        <f t="shared" si="38"/>
        <v>0</v>
      </c>
      <c r="O119" s="2">
        <f t="shared" si="39"/>
        <v>0</v>
      </c>
      <c r="P119" t="s">
        <v>33</v>
      </c>
      <c r="Q119">
        <v>1</v>
      </c>
      <c r="R119" s="4">
        <f t="shared" si="44"/>
        <v>144</v>
      </c>
      <c r="S119">
        <v>118</v>
      </c>
    </row>
    <row r="120" spans="1:19" x14ac:dyDescent="0.25">
      <c r="A120" t="s">
        <v>31</v>
      </c>
      <c r="B120" s="1">
        <v>7.3021928011085005E-10</v>
      </c>
      <c r="C120" s="2">
        <f t="shared" si="46"/>
        <v>4.8E-9</v>
      </c>
      <c r="D120" s="2">
        <f t="shared" si="46"/>
        <v>6.6999999999999996E-9</v>
      </c>
      <c r="E120" s="2">
        <f t="shared" si="46"/>
        <v>-1</v>
      </c>
      <c r="F120" s="2">
        <f t="shared" si="46"/>
        <v>-1</v>
      </c>
      <c r="G120" s="2">
        <f t="shared" si="46"/>
        <v>-1</v>
      </c>
      <c r="H120" s="2">
        <f t="shared" si="46"/>
        <v>-1</v>
      </c>
      <c r="I120" s="2">
        <f t="shared" si="40"/>
        <v>1.3000000000000001E-8</v>
      </c>
      <c r="J120" s="2">
        <f t="shared" si="36"/>
        <v>4.5999999999999998E-9</v>
      </c>
      <c r="K120" s="2">
        <f t="shared" si="41"/>
        <v>9.6999999999999992E-9</v>
      </c>
      <c r="L120" s="2">
        <f t="shared" si="42"/>
        <v>3.8999999999999998E-8</v>
      </c>
      <c r="M120" s="2">
        <f t="shared" si="43"/>
        <v>1.3000000000000001E-8</v>
      </c>
      <c r="N120" s="2">
        <f t="shared" si="38"/>
        <v>2</v>
      </c>
      <c r="O120" s="2">
        <f t="shared" si="39"/>
        <v>0.60000000000000009</v>
      </c>
      <c r="P120" t="s">
        <v>32</v>
      </c>
      <c r="Q120">
        <v>1</v>
      </c>
      <c r="R120" s="4">
        <f t="shared" si="44"/>
        <v>137</v>
      </c>
      <c r="S120">
        <v>119</v>
      </c>
    </row>
    <row r="121" spans="1:19" x14ac:dyDescent="0.25">
      <c r="A121" t="s">
        <v>32</v>
      </c>
      <c r="B121" s="1">
        <v>4.5268232795189697E-3</v>
      </c>
      <c r="C121" s="2">
        <f t="shared" si="46"/>
        <v>-1</v>
      </c>
      <c r="D121" s="2">
        <f t="shared" si="46"/>
        <v>-1</v>
      </c>
      <c r="E121" s="2">
        <f t="shared" si="46"/>
        <v>-1</v>
      </c>
      <c r="F121" s="2">
        <f t="shared" si="46"/>
        <v>-1</v>
      </c>
      <c r="G121" s="2">
        <f t="shared" si="46"/>
        <v>-1</v>
      </c>
      <c r="H121" s="2">
        <f t="shared" si="46"/>
        <v>-1</v>
      </c>
      <c r="I121" s="2">
        <f t="shared" si="40"/>
        <v>-1</v>
      </c>
      <c r="J121" s="2">
        <f t="shared" si="36"/>
        <v>-1</v>
      </c>
      <c r="K121" s="2">
        <f t="shared" si="41"/>
        <v>-1</v>
      </c>
      <c r="L121" s="2">
        <f t="shared" si="42"/>
        <v>-1</v>
      </c>
      <c r="M121" s="2">
        <f t="shared" si="43"/>
        <v>-1</v>
      </c>
      <c r="N121" s="2">
        <f t="shared" si="38"/>
        <v>0</v>
      </c>
      <c r="O121" s="2">
        <f t="shared" si="39"/>
        <v>0</v>
      </c>
      <c r="P121" t="s">
        <v>142</v>
      </c>
      <c r="Q121">
        <v>1</v>
      </c>
      <c r="R121" s="4">
        <f t="shared" si="44"/>
        <v>137</v>
      </c>
      <c r="S121">
        <v>120</v>
      </c>
    </row>
    <row r="122" spans="1:19" x14ac:dyDescent="0.25">
      <c r="A122" t="s">
        <v>123</v>
      </c>
      <c r="B122" s="1">
        <v>9.5501127109388987E-15</v>
      </c>
      <c r="C122" s="2">
        <f t="shared" si="46"/>
        <v>7.1000000000000003E-10</v>
      </c>
      <c r="D122" s="2">
        <f t="shared" si="46"/>
        <v>9.900000000000001E-10</v>
      </c>
      <c r="E122" s="2">
        <f t="shared" si="46"/>
        <v>-1</v>
      </c>
      <c r="F122" s="2">
        <f t="shared" si="46"/>
        <v>-1</v>
      </c>
      <c r="G122" s="2">
        <f t="shared" si="46"/>
        <v>-1</v>
      </c>
      <c r="H122" s="2">
        <f t="shared" si="46"/>
        <v>-1</v>
      </c>
      <c r="I122" s="2">
        <f t="shared" si="40"/>
        <v>2.0000000000000001E-9</v>
      </c>
      <c r="J122" s="2">
        <f t="shared" si="36"/>
        <v>6.9E-10</v>
      </c>
      <c r="K122" s="2">
        <f t="shared" si="41"/>
        <v>3.1E-9</v>
      </c>
      <c r="L122" s="2">
        <f t="shared" si="42"/>
        <v>8.5999999999999993E-9</v>
      </c>
      <c r="M122" s="2">
        <f t="shared" si="43"/>
        <v>2.0000000000000001E-9</v>
      </c>
      <c r="N122" s="2">
        <f t="shared" si="38"/>
        <v>40</v>
      </c>
      <c r="O122" s="2">
        <f t="shared" si="39"/>
        <v>1</v>
      </c>
      <c r="P122" t="s">
        <v>142</v>
      </c>
      <c r="Q122">
        <v>1</v>
      </c>
      <c r="R122" s="4">
        <f t="shared" si="44"/>
        <v>135</v>
      </c>
      <c r="S122">
        <v>121</v>
      </c>
    </row>
    <row r="123" spans="1:19" x14ac:dyDescent="0.25">
      <c r="A123" t="s">
        <v>122</v>
      </c>
      <c r="B123" s="1">
        <v>1.0635985584777432E-8</v>
      </c>
      <c r="C123" s="2">
        <f t="shared" si="46"/>
        <v>6.7999999999999997E-9</v>
      </c>
      <c r="D123" s="2">
        <f t="shared" si="46"/>
        <v>9.5999999999999999E-9</v>
      </c>
      <c r="E123" s="2">
        <f t="shared" si="46"/>
        <v>-1</v>
      </c>
      <c r="F123" s="2">
        <f t="shared" si="46"/>
        <v>-1</v>
      </c>
      <c r="G123" s="2">
        <f t="shared" si="46"/>
        <v>-1</v>
      </c>
      <c r="H123" s="2">
        <f t="shared" si="46"/>
        <v>-1</v>
      </c>
      <c r="I123" s="2">
        <f t="shared" si="40"/>
        <v>1.9000000000000001E-8</v>
      </c>
      <c r="J123" s="2">
        <f t="shared" si="36"/>
        <v>6.6000000000000004E-9</v>
      </c>
      <c r="K123" s="2">
        <f t="shared" si="41"/>
        <v>9.1000000000000004E-9</v>
      </c>
      <c r="L123" s="2">
        <f t="shared" si="42"/>
        <v>2E-8</v>
      </c>
      <c r="M123" s="2">
        <f t="shared" si="43"/>
        <v>1.9000000000000001E-8</v>
      </c>
      <c r="N123" s="2">
        <f t="shared" si="38"/>
        <v>0.70000000000000007</v>
      </c>
      <c r="O123" s="2">
        <f t="shared" si="39"/>
        <v>0.70000000000000007</v>
      </c>
      <c r="P123" t="s">
        <v>142</v>
      </c>
      <c r="Q123">
        <v>1</v>
      </c>
      <c r="R123" s="4">
        <f t="shared" si="44"/>
        <v>134</v>
      </c>
      <c r="S123">
        <v>122</v>
      </c>
    </row>
    <row r="124" spans="1:19" x14ac:dyDescent="0.25">
      <c r="A124" t="s">
        <v>30</v>
      </c>
      <c r="B124" s="1">
        <v>9.9966814684199797E-7</v>
      </c>
      <c r="C124" s="2">
        <f t="shared" si="46"/>
        <v>7.6000000000000002E-9</v>
      </c>
      <c r="D124" s="2">
        <f t="shared" si="46"/>
        <v>1.0999999999999999E-8</v>
      </c>
      <c r="E124" s="2">
        <f t="shared" si="46"/>
        <v>-1</v>
      </c>
      <c r="F124" s="2">
        <f t="shared" si="46"/>
        <v>-1</v>
      </c>
      <c r="G124" s="2">
        <f t="shared" si="46"/>
        <v>-1</v>
      </c>
      <c r="H124" s="2">
        <f t="shared" si="46"/>
        <v>-1</v>
      </c>
      <c r="I124" s="2">
        <f t="shared" si="40"/>
        <v>2.1999999999999998E-8</v>
      </c>
      <c r="J124" s="2">
        <f t="shared" si="36"/>
        <v>7.4000000000000001E-9</v>
      </c>
      <c r="K124" s="2">
        <f t="shared" si="41"/>
        <v>2.4E-9</v>
      </c>
      <c r="L124" s="2">
        <f t="shared" si="42"/>
        <v>1.6000000000000001E-9</v>
      </c>
      <c r="M124" s="2">
        <f t="shared" si="43"/>
        <v>2.1999999999999998E-8</v>
      </c>
      <c r="N124" s="2">
        <f t="shared" si="38"/>
        <v>3</v>
      </c>
      <c r="O124" s="2">
        <f t="shared" si="39"/>
        <v>0.70000000000000007</v>
      </c>
      <c r="P124" t="s">
        <v>29</v>
      </c>
      <c r="Q124">
        <v>1</v>
      </c>
      <c r="R124" s="4">
        <f t="shared" si="44"/>
        <v>131</v>
      </c>
      <c r="S124">
        <v>123</v>
      </c>
    </row>
    <row r="125" spans="1:19" x14ac:dyDescent="0.25">
      <c r="A125" t="s">
        <v>29</v>
      </c>
      <c r="B125" s="1">
        <v>6.7757912263821005E-7</v>
      </c>
      <c r="C125" s="2">
        <f t="shared" si="46"/>
        <v>-1</v>
      </c>
      <c r="D125" s="2">
        <f t="shared" si="46"/>
        <v>-1</v>
      </c>
      <c r="E125" s="2">
        <f t="shared" si="46"/>
        <v>-1</v>
      </c>
      <c r="F125" s="2">
        <f t="shared" si="46"/>
        <v>-1</v>
      </c>
      <c r="G125" s="2">
        <f t="shared" si="46"/>
        <v>-1</v>
      </c>
      <c r="H125" s="2">
        <f t="shared" si="46"/>
        <v>-1</v>
      </c>
      <c r="I125" s="2">
        <f t="shared" si="40"/>
        <v>-1</v>
      </c>
      <c r="J125" s="2">
        <f t="shared" si="36"/>
        <v>-1</v>
      </c>
      <c r="K125" s="2">
        <f t="shared" si="41"/>
        <v>-1</v>
      </c>
      <c r="L125" s="2">
        <f t="shared" si="42"/>
        <v>-1</v>
      </c>
      <c r="M125" s="2">
        <f t="shared" si="43"/>
        <v>-1</v>
      </c>
      <c r="N125" s="2">
        <f t="shared" si="38"/>
        <v>40</v>
      </c>
      <c r="O125" s="2">
        <f t="shared" si="39"/>
        <v>40</v>
      </c>
      <c r="P125" t="s">
        <v>142</v>
      </c>
      <c r="Q125">
        <v>1</v>
      </c>
      <c r="R125" s="4">
        <f t="shared" si="44"/>
        <v>131</v>
      </c>
      <c r="S125">
        <v>124</v>
      </c>
    </row>
    <row r="126" spans="1:19" x14ac:dyDescent="0.25">
      <c r="A126" t="s">
        <v>28</v>
      </c>
      <c r="B126" s="1">
        <v>1.39901329462612E-15</v>
      </c>
      <c r="C126" s="2">
        <f t="shared" ref="C126:H135" si="47">IF(ISNA(VLOOKUP($A126,_68inh,COLUMN(C126)-1,FALSE)),-1,VLOOKUP($A126,_68inh,COLUMN(C126)-1,FALSE))</f>
        <v>3.7E-8</v>
      </c>
      <c r="D126" s="2">
        <f t="shared" si="47"/>
        <v>5.1E-8</v>
      </c>
      <c r="E126" s="2">
        <f t="shared" si="47"/>
        <v>-1</v>
      </c>
      <c r="F126" s="2">
        <f t="shared" si="47"/>
        <v>-1</v>
      </c>
      <c r="G126" s="2">
        <f t="shared" si="47"/>
        <v>-1</v>
      </c>
      <c r="H126" s="2">
        <f t="shared" si="47"/>
        <v>-1</v>
      </c>
      <c r="I126" s="2">
        <f t="shared" si="40"/>
        <v>1.1000000000000001E-7</v>
      </c>
      <c r="J126" s="2">
        <f t="shared" si="36"/>
        <v>3.5999999999999998E-8</v>
      </c>
      <c r="K126" s="2">
        <f t="shared" si="41"/>
        <v>1.4999999999999999E-8</v>
      </c>
      <c r="L126" s="2">
        <f t="shared" si="42"/>
        <v>9.8000000000000001E-9</v>
      </c>
      <c r="M126" s="2">
        <f t="shared" si="43"/>
        <v>1.1000000000000001E-7</v>
      </c>
      <c r="N126" s="2">
        <f t="shared" si="38"/>
        <v>-1</v>
      </c>
      <c r="O126" s="2">
        <f t="shared" si="39"/>
        <v>-1</v>
      </c>
      <c r="P126" t="s">
        <v>142</v>
      </c>
      <c r="Q126">
        <v>1</v>
      </c>
      <c r="R126" s="4">
        <f t="shared" si="44"/>
        <v>129</v>
      </c>
      <c r="S126">
        <v>125</v>
      </c>
    </row>
    <row r="127" spans="1:19" x14ac:dyDescent="0.25">
      <c r="A127" t="s">
        <v>121</v>
      </c>
      <c r="B127" s="1">
        <v>6.4959812243209751E-7</v>
      </c>
      <c r="C127" s="2">
        <f t="shared" si="47"/>
        <v>1.0999999999999999E-9</v>
      </c>
      <c r="D127" s="2">
        <f t="shared" si="47"/>
        <v>1.6999999999999999E-9</v>
      </c>
      <c r="E127" s="2">
        <f t="shared" si="47"/>
        <v>2.7000000000000002E-9</v>
      </c>
      <c r="F127" s="2">
        <f t="shared" si="47"/>
        <v>3.2000000000000001E-9</v>
      </c>
      <c r="G127" s="2">
        <f t="shared" si="47"/>
        <v>-1</v>
      </c>
      <c r="H127" s="2">
        <f t="shared" si="47"/>
        <v>-1</v>
      </c>
      <c r="I127" s="2">
        <f t="shared" si="40"/>
        <v>2.4E-9</v>
      </c>
      <c r="J127" s="2">
        <f t="shared" si="36"/>
        <v>1.0000000000000001E-9</v>
      </c>
      <c r="K127" s="2">
        <f t="shared" si="41"/>
        <v>2.7999999999999998E-9</v>
      </c>
      <c r="L127" s="2">
        <f t="shared" si="42"/>
        <v>3.2000000000000001E-9</v>
      </c>
      <c r="M127" s="2">
        <f t="shared" si="43"/>
        <v>2.4E-9</v>
      </c>
      <c r="N127" s="2">
        <f t="shared" si="38"/>
        <v>0.4</v>
      </c>
      <c r="O127" s="2">
        <f t="shared" si="39"/>
        <v>0.4</v>
      </c>
      <c r="P127" t="s">
        <v>142</v>
      </c>
      <c r="Q127">
        <v>1</v>
      </c>
      <c r="R127" s="4">
        <f t="shared" si="44"/>
        <v>126</v>
      </c>
      <c r="S127">
        <v>126</v>
      </c>
    </row>
    <row r="128" spans="1:19" x14ac:dyDescent="0.25">
      <c r="A128" t="s">
        <v>120</v>
      </c>
      <c r="B128" s="1">
        <v>6.0326125375104026E-4</v>
      </c>
      <c r="C128" s="2">
        <f t="shared" si="47"/>
        <v>1.3E-11</v>
      </c>
      <c r="D128" s="2">
        <f t="shared" si="47"/>
        <v>2.3000000000000001E-11</v>
      </c>
      <c r="E128" s="2">
        <f t="shared" si="47"/>
        <v>1.9999999999999999E-11</v>
      </c>
      <c r="F128" s="2">
        <f t="shared" si="47"/>
        <v>3.3000000000000002E-11</v>
      </c>
      <c r="G128" s="2">
        <f t="shared" si="47"/>
        <v>-1</v>
      </c>
      <c r="H128" s="2">
        <f t="shared" si="47"/>
        <v>-1</v>
      </c>
      <c r="I128" s="2">
        <f t="shared" si="40"/>
        <v>3.5999999999999998E-11</v>
      </c>
      <c r="J128" s="2">
        <f t="shared" si="36"/>
        <v>1.2000000000000001E-11</v>
      </c>
      <c r="K128" s="2">
        <f t="shared" si="41"/>
        <v>1.8999999999999999E-11</v>
      </c>
      <c r="L128" s="2">
        <f t="shared" si="42"/>
        <v>1.9999999999999999E-11</v>
      </c>
      <c r="M128" s="2">
        <f t="shared" si="43"/>
        <v>3.5999999999999998E-11</v>
      </c>
      <c r="N128" s="2">
        <f t="shared" si="38"/>
        <v>0</v>
      </c>
      <c r="O128" s="2">
        <f t="shared" si="39"/>
        <v>0</v>
      </c>
      <c r="P128" t="s">
        <v>142</v>
      </c>
      <c r="Q128">
        <v>0.86</v>
      </c>
      <c r="R128" s="4">
        <f t="shared" si="44"/>
        <v>126</v>
      </c>
      <c r="S128">
        <v>127</v>
      </c>
    </row>
    <row r="129" spans="1:19" x14ac:dyDescent="0.25">
      <c r="A129" t="s">
        <v>120</v>
      </c>
      <c r="B129" s="1">
        <v>6.0326125375104026E-4</v>
      </c>
      <c r="C129" s="2">
        <f t="shared" si="47"/>
        <v>1.3E-11</v>
      </c>
      <c r="D129" s="2">
        <f t="shared" si="47"/>
        <v>2.3000000000000001E-11</v>
      </c>
      <c r="E129" s="2">
        <f t="shared" si="47"/>
        <v>1.9999999999999999E-11</v>
      </c>
      <c r="F129" s="2">
        <f t="shared" si="47"/>
        <v>3.3000000000000002E-11</v>
      </c>
      <c r="G129" s="2">
        <f t="shared" si="47"/>
        <v>-1</v>
      </c>
      <c r="H129" s="2">
        <f t="shared" si="47"/>
        <v>-1</v>
      </c>
      <c r="I129" s="2">
        <f t="shared" si="40"/>
        <v>3.5999999999999998E-11</v>
      </c>
      <c r="J129" s="2">
        <f t="shared" si="36"/>
        <v>1.2000000000000001E-11</v>
      </c>
      <c r="K129" s="2">
        <f t="shared" si="41"/>
        <v>1.8999999999999999E-11</v>
      </c>
      <c r="L129" s="2">
        <f t="shared" si="42"/>
        <v>1.9999999999999999E-11</v>
      </c>
      <c r="M129" s="2">
        <f t="shared" si="43"/>
        <v>3.5999999999999998E-11</v>
      </c>
      <c r="N129" s="2">
        <f t="shared" si="38"/>
        <v>0</v>
      </c>
      <c r="O129" s="2">
        <f t="shared" si="39"/>
        <v>0</v>
      </c>
      <c r="P129" t="s">
        <v>121</v>
      </c>
      <c r="Q129">
        <v>0.14000000000000001</v>
      </c>
      <c r="R129" s="4">
        <f t="shared" si="44"/>
        <v>126</v>
      </c>
      <c r="S129">
        <v>128</v>
      </c>
    </row>
    <row r="130" spans="1:19" x14ac:dyDescent="0.25">
      <c r="A130" t="s">
        <v>119</v>
      </c>
      <c r="B130" s="1">
        <v>9.5501127109388984E-14</v>
      </c>
      <c r="C130" s="2">
        <f t="shared" si="47"/>
        <v>1.0999999999999999E-8</v>
      </c>
      <c r="D130" s="2">
        <f t="shared" si="47"/>
        <v>1.4E-8</v>
      </c>
      <c r="E130" s="2">
        <f t="shared" si="47"/>
        <v>2.7E-8</v>
      </c>
      <c r="F130" s="2">
        <f t="shared" si="47"/>
        <v>1.7999999999999999E-8</v>
      </c>
      <c r="G130" s="2">
        <f t="shared" si="47"/>
        <v>-1</v>
      </c>
      <c r="H130" s="2">
        <f t="shared" si="47"/>
        <v>-1</v>
      </c>
      <c r="I130" s="2">
        <f t="shared" si="40"/>
        <v>4.6999999999999999E-9</v>
      </c>
      <c r="J130" s="2">
        <f t="shared" si="36"/>
        <v>1.0999999999999999E-8</v>
      </c>
      <c r="K130" s="2">
        <f t="shared" si="41"/>
        <v>2.7999999999999999E-8</v>
      </c>
      <c r="L130" s="2">
        <f t="shared" si="42"/>
        <v>-1</v>
      </c>
      <c r="M130" s="2">
        <f t="shared" si="43"/>
        <v>4.6999999999999999E-9</v>
      </c>
      <c r="N130" s="2">
        <f t="shared" ref="N130:N161" si="48">VLOOKUP($A130,A1A2,2,FALSE)</f>
        <v>0.60000000000000009</v>
      </c>
      <c r="O130" s="2">
        <f t="shared" ref="O130:O161" si="49">VLOOKUP($A130,A1A2,3,FALSE)</f>
        <v>0.4</v>
      </c>
      <c r="P130" t="s">
        <v>120</v>
      </c>
      <c r="Q130">
        <v>1</v>
      </c>
      <c r="R130" s="4">
        <f t="shared" si="44"/>
        <v>126</v>
      </c>
      <c r="S130">
        <v>129</v>
      </c>
    </row>
    <row r="131" spans="1:19" x14ac:dyDescent="0.25">
      <c r="A131" t="s">
        <v>27</v>
      </c>
      <c r="B131" s="1">
        <v>1.3504362805791199E-7</v>
      </c>
      <c r="C131" s="2">
        <f t="shared" si="47"/>
        <v>5.3000000000000003E-9</v>
      </c>
      <c r="D131" s="2">
        <f t="shared" si="47"/>
        <v>7.3E-9</v>
      </c>
      <c r="E131" s="2">
        <f t="shared" si="47"/>
        <v>-1</v>
      </c>
      <c r="F131" s="2">
        <f t="shared" si="47"/>
        <v>-1</v>
      </c>
      <c r="G131" s="2">
        <f t="shared" si="47"/>
        <v>-1</v>
      </c>
      <c r="H131" s="2">
        <f t="shared" si="47"/>
        <v>-1</v>
      </c>
      <c r="I131" s="2">
        <f t="shared" si="40"/>
        <v>1.4999999999999999E-8</v>
      </c>
      <c r="J131" s="2">
        <f t="shared" si="36"/>
        <v>5.1000000000000002E-9</v>
      </c>
      <c r="K131" s="2">
        <f t="shared" si="41"/>
        <v>1.3999999999999999E-9</v>
      </c>
      <c r="L131" s="2">
        <f t="shared" si="42"/>
        <v>3.7999999999999998E-10</v>
      </c>
      <c r="M131" s="2">
        <f t="shared" si="43"/>
        <v>1.4999999999999999E-8</v>
      </c>
      <c r="N131" s="2">
        <f t="shared" si="48"/>
        <v>20</v>
      </c>
      <c r="O131" s="2">
        <f t="shared" si="49"/>
        <v>3</v>
      </c>
      <c r="P131" t="s">
        <v>142</v>
      </c>
      <c r="Q131">
        <v>1</v>
      </c>
      <c r="R131" s="4">
        <f t="shared" si="44"/>
        <v>125</v>
      </c>
      <c r="S131">
        <v>130</v>
      </c>
    </row>
    <row r="132" spans="1:19" x14ac:dyDescent="0.25">
      <c r="A132" t="s">
        <v>117</v>
      </c>
      <c r="B132" s="1">
        <v>7.9626327462371664E-9</v>
      </c>
      <c r="C132" s="2">
        <f t="shared" si="47"/>
        <v>1.3999999999999999E-9</v>
      </c>
      <c r="D132" s="2">
        <f t="shared" si="47"/>
        <v>1.6999999999999999E-9</v>
      </c>
      <c r="E132" s="2">
        <f t="shared" si="47"/>
        <v>4.4999999999999998E-9</v>
      </c>
      <c r="F132" s="2">
        <f t="shared" si="47"/>
        <v>3.3000000000000002E-9</v>
      </c>
      <c r="G132" s="2">
        <f t="shared" si="47"/>
        <v>-1</v>
      </c>
      <c r="H132" s="2">
        <f t="shared" si="47"/>
        <v>-1</v>
      </c>
      <c r="I132" s="2">
        <f t="shared" si="40"/>
        <v>1.0999999999999999E-9</v>
      </c>
      <c r="J132" s="2">
        <f t="shared" si="36"/>
        <v>1.3999999999999999E-9</v>
      </c>
      <c r="K132" s="2">
        <f t="shared" si="41"/>
        <v>4.8E-9</v>
      </c>
      <c r="L132" s="2">
        <f t="shared" si="42"/>
        <v>1.2E-8</v>
      </c>
      <c r="M132" s="2">
        <f t="shared" si="43"/>
        <v>1.0999999999999999E-9</v>
      </c>
      <c r="N132" s="2">
        <f t="shared" si="48"/>
        <v>2</v>
      </c>
      <c r="O132" s="2">
        <f t="shared" si="49"/>
        <v>1</v>
      </c>
      <c r="P132" t="s">
        <v>118</v>
      </c>
      <c r="Q132">
        <v>1</v>
      </c>
      <c r="R132" s="4">
        <f t="shared" si="44"/>
        <v>125</v>
      </c>
      <c r="S132">
        <v>131</v>
      </c>
    </row>
    <row r="133" spans="1:19" x14ac:dyDescent="0.25">
      <c r="A133" t="s">
        <v>118</v>
      </c>
      <c r="B133" s="1">
        <v>1.3976544968704536E-7</v>
      </c>
      <c r="C133" s="2">
        <f t="shared" si="47"/>
        <v>5.1E-10</v>
      </c>
      <c r="D133" s="2">
        <f t="shared" si="47"/>
        <v>6.6999999999999996E-10</v>
      </c>
      <c r="E133" s="2">
        <f t="shared" si="47"/>
        <v>3.3000000000000002E-9</v>
      </c>
      <c r="F133" s="2">
        <f t="shared" si="47"/>
        <v>2.8999999999999999E-9</v>
      </c>
      <c r="G133" s="2">
        <f t="shared" si="47"/>
        <v>-1</v>
      </c>
      <c r="H133" s="2">
        <f t="shared" si="47"/>
        <v>-1</v>
      </c>
      <c r="I133" s="2">
        <f t="shared" si="40"/>
        <v>8.6999999999999999E-10</v>
      </c>
      <c r="J133" s="2">
        <f t="shared" si="36"/>
        <v>5.1E-10</v>
      </c>
      <c r="K133" s="2">
        <f t="shared" si="41"/>
        <v>3.3999999999999998E-9</v>
      </c>
      <c r="L133" s="2">
        <f t="shared" si="42"/>
        <v>4.2000000000000004E-9</v>
      </c>
      <c r="M133" s="2">
        <f t="shared" si="43"/>
        <v>8.6999999999999999E-10</v>
      </c>
      <c r="N133" s="2">
        <f t="shared" si="48"/>
        <v>20</v>
      </c>
      <c r="O133" s="2">
        <f t="shared" si="49"/>
        <v>0.9</v>
      </c>
      <c r="P133" t="s">
        <v>142</v>
      </c>
      <c r="Q133">
        <v>1</v>
      </c>
      <c r="R133" s="4">
        <f t="shared" si="44"/>
        <v>125</v>
      </c>
      <c r="S133">
        <v>132</v>
      </c>
    </row>
    <row r="134" spans="1:19" x14ac:dyDescent="0.25">
      <c r="A134" t="s">
        <v>26</v>
      </c>
      <c r="B134" s="1">
        <v>1.92110555843784E-6</v>
      </c>
      <c r="C134" s="2">
        <f t="shared" si="47"/>
        <v>4.4999999999999998E-9</v>
      </c>
      <c r="D134" s="2">
        <f t="shared" si="47"/>
        <v>6.3000000000000002E-9</v>
      </c>
      <c r="E134" s="2">
        <f t="shared" si="47"/>
        <v>-1</v>
      </c>
      <c r="F134" s="2">
        <f t="shared" si="47"/>
        <v>-1</v>
      </c>
      <c r="G134" s="2">
        <f t="shared" si="47"/>
        <v>-1</v>
      </c>
      <c r="H134" s="2">
        <f t="shared" si="47"/>
        <v>-1</v>
      </c>
      <c r="I134" s="2">
        <f t="shared" ref="I134:I165" si="50">IF(ISNA(VLOOKUP(A134,_68ing,2,FALSE)),-1,VLOOKUP(A134,_68ing,2,FALSE))</f>
        <v>1.3000000000000001E-8</v>
      </c>
      <c r="J134" s="2">
        <f t="shared" si="36"/>
        <v>4.3999999999999997E-9</v>
      </c>
      <c r="K134" s="2">
        <f t="shared" ref="K134:K165" si="51">IF(ISNA(VLOOKUP($A134,_72inh,2,FALSE)),-1,VLOOKUP($A134,_72inh,3,FALSE))</f>
        <v>1.2E-9</v>
      </c>
      <c r="L134" s="2">
        <f t="shared" ref="L134:L165" si="52">IF(ISNA(VLOOKUP($A134,_72inh,2,FALSE)),-1,VLOOKUP($A134,_72inh,4,FALSE))</f>
        <v>7.7000000000000003E-10</v>
      </c>
      <c r="M134" s="2">
        <f t="shared" ref="M134:M165" si="53">IF(ISNA(VLOOKUP(A134,_72ing,2,FALSE)),-1,VLOOKUP(A134,_72ing,2,FALSE))</f>
        <v>1.3000000000000001E-8</v>
      </c>
      <c r="N134" s="2">
        <f t="shared" si="48"/>
        <v>1</v>
      </c>
      <c r="O134" s="2">
        <f t="shared" si="49"/>
        <v>1</v>
      </c>
      <c r="P134" t="s">
        <v>142</v>
      </c>
      <c r="Q134">
        <v>1</v>
      </c>
      <c r="R134" s="4">
        <f t="shared" ref="R134:R165" si="54">VALUE(IF(RIGHT(RIGHT(A134,SEARCH("-",A134)),1)="M", RIGHT(LEFT(A134,LEN(A134)-1),LEN(LEFT(A134,LEN(A134)-1))-SEARCH("-",A134)),RIGHT(A134,LEN(A134)-SEARCH("-",A134))))</f>
        <v>124</v>
      </c>
      <c r="S134">
        <v>133</v>
      </c>
    </row>
    <row r="135" spans="1:19" x14ac:dyDescent="0.25">
      <c r="A135" t="s">
        <v>25</v>
      </c>
      <c r="B135" s="1">
        <v>1.45605084500226E-5</v>
      </c>
      <c r="C135" s="2">
        <f t="shared" si="47"/>
        <v>7.5999999999999996E-11</v>
      </c>
      <c r="D135" s="2">
        <f t="shared" si="47"/>
        <v>1.0999999999999999E-10</v>
      </c>
      <c r="E135" s="2">
        <f t="shared" si="47"/>
        <v>-1</v>
      </c>
      <c r="F135" s="2">
        <f t="shared" si="47"/>
        <v>-1</v>
      </c>
      <c r="G135" s="2">
        <f t="shared" si="47"/>
        <v>-1</v>
      </c>
      <c r="H135" s="2">
        <f t="shared" si="47"/>
        <v>-1</v>
      </c>
      <c r="I135" s="2">
        <f t="shared" si="50"/>
        <v>2.1E-10</v>
      </c>
      <c r="J135" s="2">
        <f t="shared" si="36"/>
        <v>7.4000000000000003E-11</v>
      </c>
      <c r="K135" s="2">
        <f t="shared" si="51"/>
        <v>6.3999999999999999E-11</v>
      </c>
      <c r="L135" s="2">
        <f t="shared" si="52"/>
        <v>6E-11</v>
      </c>
      <c r="M135" s="2">
        <f t="shared" si="53"/>
        <v>2.1E-10</v>
      </c>
      <c r="N135" s="2">
        <f t="shared" si="48"/>
        <v>6</v>
      </c>
      <c r="O135" s="2">
        <f t="shared" si="49"/>
        <v>3</v>
      </c>
      <c r="P135" t="s">
        <v>142</v>
      </c>
      <c r="Q135">
        <v>1</v>
      </c>
      <c r="R135" s="4">
        <f t="shared" si="54"/>
        <v>123</v>
      </c>
      <c r="S135">
        <v>134</v>
      </c>
    </row>
    <row r="136" spans="1:19" x14ac:dyDescent="0.25">
      <c r="A136" t="s">
        <v>146</v>
      </c>
      <c r="B136" s="1">
        <v>7.1232291338835997E-6</v>
      </c>
      <c r="C136" s="2">
        <f t="shared" ref="C136:H145" si="55">IF(ISNA(VLOOKUP($A136,_68inh,COLUMN(C136)-1,FALSE)),-1,VLOOKUP($A136,_68inh,COLUMN(C136)-1,FALSE))</f>
        <v>6.3999999999999999E-11</v>
      </c>
      <c r="D136" s="2">
        <f t="shared" si="55"/>
        <v>1E-10</v>
      </c>
      <c r="E136" s="2">
        <f t="shared" si="55"/>
        <v>2.1999999999999999E-10</v>
      </c>
      <c r="F136" s="2">
        <f t="shared" si="55"/>
        <v>2.8000000000000002E-10</v>
      </c>
      <c r="G136" s="2">
        <f t="shared" si="55"/>
        <v>-1</v>
      </c>
      <c r="H136" s="2">
        <f t="shared" si="55"/>
        <v>-1</v>
      </c>
      <c r="I136" s="2">
        <f t="shared" si="50"/>
        <v>2.3000000000000001E-10</v>
      </c>
      <c r="J136" s="2">
        <f t="shared" si="36"/>
        <v>6E-11</v>
      </c>
      <c r="K136" s="2">
        <f t="shared" si="51"/>
        <v>2.3000000000000001E-10</v>
      </c>
      <c r="L136" s="2">
        <f t="shared" si="52"/>
        <v>-1</v>
      </c>
      <c r="M136" s="2">
        <f t="shared" si="53"/>
        <v>2.3000000000000001E-10</v>
      </c>
      <c r="N136" s="2">
        <f t="shared" si="48"/>
        <v>0</v>
      </c>
      <c r="O136" s="2">
        <f t="shared" si="49"/>
        <v>0</v>
      </c>
      <c r="P136" t="s">
        <v>142</v>
      </c>
      <c r="Q136">
        <v>1</v>
      </c>
      <c r="R136" s="4">
        <f t="shared" si="54"/>
        <v>121</v>
      </c>
      <c r="S136">
        <v>135</v>
      </c>
    </row>
    <row r="137" spans="1:19" x14ac:dyDescent="0.25">
      <c r="A137" t="s">
        <v>116</v>
      </c>
      <c r="B137" s="1">
        <v>5.0046727838263196E-10</v>
      </c>
      <c r="C137" s="2">
        <f t="shared" si="55"/>
        <v>8.0000000000000003E-10</v>
      </c>
      <c r="D137" s="2">
        <f t="shared" si="55"/>
        <v>9.6999999999999996E-10</v>
      </c>
      <c r="E137" s="2">
        <f t="shared" si="55"/>
        <v>4.2000000000000004E-9</v>
      </c>
      <c r="F137" s="2">
        <f t="shared" si="55"/>
        <v>3.3000000000000002E-9</v>
      </c>
      <c r="G137" s="2">
        <f t="shared" si="55"/>
        <v>-1</v>
      </c>
      <c r="H137" s="2">
        <f t="shared" si="55"/>
        <v>-1</v>
      </c>
      <c r="I137" s="2">
        <f t="shared" si="50"/>
        <v>3.7999999999999998E-10</v>
      </c>
      <c r="J137" s="2">
        <f t="shared" si="36"/>
        <v>8.0000000000000003E-10</v>
      </c>
      <c r="K137" s="2">
        <f t="shared" si="51"/>
        <v>4.4999999999999998E-9</v>
      </c>
      <c r="L137" s="2">
        <f t="shared" si="52"/>
        <v>-1</v>
      </c>
      <c r="M137" s="2">
        <f t="shared" si="53"/>
        <v>3.7999999999999998E-10</v>
      </c>
      <c r="N137" s="2">
        <f t="shared" si="48"/>
        <v>40</v>
      </c>
      <c r="O137" s="2">
        <f t="shared" si="49"/>
        <v>0.9</v>
      </c>
      <c r="P137" t="s">
        <v>146</v>
      </c>
      <c r="Q137">
        <v>1</v>
      </c>
      <c r="R137" s="4">
        <f t="shared" si="54"/>
        <v>121</v>
      </c>
      <c r="S137">
        <v>136</v>
      </c>
    </row>
    <row r="138" spans="1:19" x14ac:dyDescent="0.25">
      <c r="A138" t="s">
        <v>116</v>
      </c>
      <c r="B138" s="1">
        <v>5.0046727838263196E-10</v>
      </c>
      <c r="C138" s="2">
        <f t="shared" si="55"/>
        <v>8.0000000000000003E-10</v>
      </c>
      <c r="D138" s="2">
        <f t="shared" si="55"/>
        <v>9.6999999999999996E-10</v>
      </c>
      <c r="E138" s="2">
        <f t="shared" si="55"/>
        <v>4.2000000000000004E-9</v>
      </c>
      <c r="F138" s="2">
        <f t="shared" si="55"/>
        <v>3.3000000000000002E-9</v>
      </c>
      <c r="G138" s="2">
        <f t="shared" si="55"/>
        <v>-1</v>
      </c>
      <c r="H138" s="2">
        <f t="shared" si="55"/>
        <v>-1</v>
      </c>
      <c r="I138" s="2">
        <f t="shared" si="50"/>
        <v>3.7999999999999998E-10</v>
      </c>
      <c r="J138" s="2">
        <f t="shared" si="36"/>
        <v>8.0000000000000003E-10</v>
      </c>
      <c r="K138" s="2">
        <f t="shared" si="51"/>
        <v>4.4999999999999998E-9</v>
      </c>
      <c r="L138" s="2">
        <f t="shared" si="52"/>
        <v>-1</v>
      </c>
      <c r="M138" s="2">
        <f t="shared" si="53"/>
        <v>3.7999999999999998E-10</v>
      </c>
      <c r="N138" s="2">
        <f t="shared" si="48"/>
        <v>40</v>
      </c>
      <c r="O138" s="2">
        <f t="shared" si="49"/>
        <v>0.9</v>
      </c>
      <c r="P138" t="s">
        <v>142</v>
      </c>
      <c r="Q138">
        <v>1</v>
      </c>
      <c r="R138" s="4">
        <f t="shared" si="54"/>
        <v>121</v>
      </c>
      <c r="S138">
        <v>137</v>
      </c>
    </row>
    <row r="139" spans="1:19" x14ac:dyDescent="0.25">
      <c r="A139" t="s">
        <v>145</v>
      </c>
      <c r="B139" s="1">
        <v>2.7451373487522589E-24</v>
      </c>
      <c r="C139" s="2">
        <f t="shared" si="55"/>
        <v>1.1999999999999999E-7</v>
      </c>
      <c r="D139" s="2">
        <f t="shared" si="55"/>
        <v>1.4000000000000001E-7</v>
      </c>
      <c r="E139" s="2">
        <f t="shared" si="55"/>
        <v>5.2999999999999998E-8</v>
      </c>
      <c r="F139" s="2">
        <f t="shared" si="55"/>
        <v>4.3000000000000001E-8</v>
      </c>
      <c r="G139" s="2">
        <f t="shared" si="55"/>
        <v>2.4999999999999999E-8</v>
      </c>
      <c r="H139" s="2">
        <f t="shared" si="55"/>
        <v>2.0999999999999999E-8</v>
      </c>
      <c r="I139" s="2">
        <f t="shared" si="50"/>
        <v>2.4999999999999999E-8</v>
      </c>
      <c r="J139" s="2">
        <f t="shared" si="36"/>
        <v>1.1999999999999999E-7</v>
      </c>
      <c r="K139" s="2">
        <f t="shared" si="51"/>
        <v>5.5000000000000003E-8</v>
      </c>
      <c r="L139" s="2">
        <f t="shared" si="52"/>
        <v>2.6000000000000001E-8</v>
      </c>
      <c r="M139" s="2">
        <f t="shared" si="53"/>
        <v>2.4999999999999999E-8</v>
      </c>
      <c r="N139" s="2">
        <f t="shared" si="48"/>
        <v>0</v>
      </c>
      <c r="O139" s="2">
        <f t="shared" si="49"/>
        <v>0</v>
      </c>
      <c r="P139" t="s">
        <v>142</v>
      </c>
      <c r="Q139">
        <v>1</v>
      </c>
      <c r="R139" s="4">
        <f t="shared" si="54"/>
        <v>113</v>
      </c>
      <c r="S139">
        <v>138</v>
      </c>
    </row>
    <row r="140" spans="1:19" x14ac:dyDescent="0.25">
      <c r="A140" t="s">
        <v>115</v>
      </c>
      <c r="B140" s="1">
        <v>1.5576341136178546E-9</v>
      </c>
      <c r="C140" s="2">
        <f t="shared" si="55"/>
        <v>1.1000000000000001E-7</v>
      </c>
      <c r="D140" s="2">
        <f t="shared" si="55"/>
        <v>1.3E-7</v>
      </c>
      <c r="E140" s="2">
        <f t="shared" si="55"/>
        <v>4.9999999999999998E-8</v>
      </c>
      <c r="F140" s="2">
        <f t="shared" si="55"/>
        <v>4.0000000000000001E-8</v>
      </c>
      <c r="G140" s="2">
        <f t="shared" si="55"/>
        <v>2.9999999999999997E-8</v>
      </c>
      <c r="H140" s="2">
        <f t="shared" si="55"/>
        <v>2.4E-8</v>
      </c>
      <c r="I140" s="2">
        <f t="shared" si="50"/>
        <v>2.3000000000000001E-8</v>
      </c>
      <c r="J140" s="2">
        <f t="shared" si="36"/>
        <v>1.1000000000000001E-7</v>
      </c>
      <c r="K140" s="2">
        <f t="shared" si="51"/>
        <v>5.2000000000000002E-8</v>
      </c>
      <c r="L140" s="2">
        <f t="shared" si="52"/>
        <v>3.1E-8</v>
      </c>
      <c r="M140" s="2">
        <f t="shared" si="53"/>
        <v>2.3000000000000001E-8</v>
      </c>
      <c r="N140" s="2">
        <f t="shared" si="48"/>
        <v>40</v>
      </c>
      <c r="O140" s="2">
        <f t="shared" si="49"/>
        <v>0.5</v>
      </c>
      <c r="P140" t="s">
        <v>142</v>
      </c>
      <c r="Q140">
        <v>0.99860000000000004</v>
      </c>
      <c r="R140" s="4">
        <f t="shared" si="54"/>
        <v>113</v>
      </c>
      <c r="S140">
        <v>139</v>
      </c>
    </row>
    <row r="141" spans="1:19" x14ac:dyDescent="0.25">
      <c r="A141" t="s">
        <v>115</v>
      </c>
      <c r="B141" s="1">
        <v>1.5576341136178546E-9</v>
      </c>
      <c r="C141" s="2">
        <f t="shared" si="55"/>
        <v>1.1000000000000001E-7</v>
      </c>
      <c r="D141" s="2">
        <f t="shared" si="55"/>
        <v>1.3E-7</v>
      </c>
      <c r="E141" s="2">
        <f t="shared" si="55"/>
        <v>4.9999999999999998E-8</v>
      </c>
      <c r="F141" s="2">
        <f t="shared" si="55"/>
        <v>4.0000000000000001E-8</v>
      </c>
      <c r="G141" s="2">
        <f t="shared" si="55"/>
        <v>2.9999999999999997E-8</v>
      </c>
      <c r="H141" s="2">
        <f t="shared" si="55"/>
        <v>2.4E-8</v>
      </c>
      <c r="I141" s="2">
        <f t="shared" si="50"/>
        <v>2.3000000000000001E-8</v>
      </c>
      <c r="J141" s="2">
        <f t="shared" si="36"/>
        <v>1.1000000000000001E-7</v>
      </c>
      <c r="K141" s="2">
        <f t="shared" si="51"/>
        <v>5.2000000000000002E-8</v>
      </c>
      <c r="L141" s="2">
        <f t="shared" si="52"/>
        <v>3.1E-8</v>
      </c>
      <c r="M141" s="2">
        <f t="shared" si="53"/>
        <v>2.3000000000000001E-8</v>
      </c>
      <c r="N141" s="2">
        <f t="shared" si="48"/>
        <v>40</v>
      </c>
      <c r="O141" s="2">
        <f t="shared" si="49"/>
        <v>0.5</v>
      </c>
      <c r="P141" t="s">
        <v>145</v>
      </c>
      <c r="Q141">
        <v>1.3999999999999568E-3</v>
      </c>
      <c r="R141" s="4">
        <f t="shared" si="54"/>
        <v>113</v>
      </c>
      <c r="S141">
        <v>140</v>
      </c>
    </row>
    <row r="142" spans="1:19" x14ac:dyDescent="0.25">
      <c r="A142" t="s">
        <v>114</v>
      </c>
      <c r="B142" s="1">
        <v>3.3792276743367067E-15</v>
      </c>
      <c r="C142" s="2">
        <f t="shared" si="55"/>
        <v>2.6000000000000001E-11</v>
      </c>
      <c r="D142" s="2">
        <f t="shared" si="55"/>
        <v>3.3000000000000002E-11</v>
      </c>
      <c r="E142" s="2">
        <f t="shared" si="55"/>
        <v>7.9999999999999995E-11</v>
      </c>
      <c r="F142" s="2">
        <f t="shared" si="55"/>
        <v>5.2000000000000001E-11</v>
      </c>
      <c r="G142" s="2">
        <f t="shared" si="55"/>
        <v>5.4999999999999996E-10</v>
      </c>
      <c r="H142" s="2">
        <f t="shared" si="55"/>
        <v>2.8999999999999998E-10</v>
      </c>
      <c r="I142" s="2">
        <f t="shared" si="50"/>
        <v>3.7000000000000001E-11</v>
      </c>
      <c r="J142" s="2">
        <f t="shared" si="36"/>
        <v>2.5000000000000001E-11</v>
      </c>
      <c r="K142" s="2">
        <f t="shared" si="51"/>
        <v>8.5000000000000004E-11</v>
      </c>
      <c r="L142" s="2">
        <f t="shared" si="52"/>
        <v>5.9000000000000003E-10</v>
      </c>
      <c r="M142" s="2">
        <f t="shared" si="53"/>
        <v>3.7000000000000001E-11</v>
      </c>
      <c r="N142" s="2">
        <f t="shared" si="48"/>
        <v>-1</v>
      </c>
      <c r="O142" s="2">
        <f t="shared" si="49"/>
        <v>-1</v>
      </c>
      <c r="P142" t="s">
        <v>142</v>
      </c>
      <c r="Q142">
        <v>1</v>
      </c>
      <c r="R142" s="4">
        <f t="shared" si="54"/>
        <v>107</v>
      </c>
      <c r="S142">
        <v>141</v>
      </c>
    </row>
    <row r="143" spans="1:19" x14ac:dyDescent="0.25">
      <c r="A143" t="s">
        <v>112</v>
      </c>
      <c r="B143" s="1">
        <v>2.1579924674967165E-8</v>
      </c>
      <c r="C143" s="2">
        <f t="shared" si="55"/>
        <v>8.0000000000000005E-9</v>
      </c>
      <c r="D143" s="2">
        <f t="shared" si="55"/>
        <v>9.8000000000000001E-9</v>
      </c>
      <c r="E143" s="2">
        <f t="shared" si="55"/>
        <v>2.6000000000000001E-8</v>
      </c>
      <c r="F143" s="2">
        <f t="shared" si="55"/>
        <v>1.7E-8</v>
      </c>
      <c r="G143" s="2">
        <f t="shared" si="55"/>
        <v>6.1999999999999999E-8</v>
      </c>
      <c r="H143" s="2">
        <f t="shared" si="55"/>
        <v>3.5000000000000002E-8</v>
      </c>
      <c r="I143" s="2">
        <f t="shared" si="50"/>
        <v>6.9999999999999998E-9</v>
      </c>
      <c r="J143" s="2">
        <f t="shared" si="36"/>
        <v>7.8999999999999996E-9</v>
      </c>
      <c r="K143" s="2">
        <f t="shared" si="51"/>
        <v>2.7999999999999999E-8</v>
      </c>
      <c r="L143" s="2">
        <f t="shared" si="52"/>
        <v>6.5999999999999995E-8</v>
      </c>
      <c r="M143" s="2">
        <f t="shared" si="53"/>
        <v>6.9999999999999998E-9</v>
      </c>
      <c r="N143" s="2">
        <f t="shared" si="48"/>
        <v>0.2</v>
      </c>
      <c r="O143" s="2">
        <f t="shared" si="49"/>
        <v>0.2</v>
      </c>
      <c r="P143" t="s">
        <v>113</v>
      </c>
      <c r="Q143">
        <v>1</v>
      </c>
      <c r="R143" s="4">
        <f t="shared" si="54"/>
        <v>106</v>
      </c>
      <c r="S143">
        <v>142</v>
      </c>
    </row>
    <row r="144" spans="1:19" x14ac:dyDescent="0.25">
      <c r="A144" t="s">
        <v>113</v>
      </c>
      <c r="B144" s="1">
        <v>2.3051120071830571E-2</v>
      </c>
      <c r="C144" s="2">
        <f t="shared" si="55"/>
        <v>-1</v>
      </c>
      <c r="D144" s="2">
        <f t="shared" si="55"/>
        <v>-1</v>
      </c>
      <c r="E144" s="2">
        <f t="shared" si="55"/>
        <v>-1</v>
      </c>
      <c r="F144" s="2">
        <f t="shared" si="55"/>
        <v>-1</v>
      </c>
      <c r="G144" s="2">
        <f t="shared" si="55"/>
        <v>-1</v>
      </c>
      <c r="H144" s="2">
        <f t="shared" si="55"/>
        <v>-1</v>
      </c>
      <c r="I144" s="2">
        <f t="shared" si="50"/>
        <v>-1</v>
      </c>
      <c r="J144" s="2">
        <f t="shared" si="36"/>
        <v>-1</v>
      </c>
      <c r="K144" s="2">
        <f t="shared" si="51"/>
        <v>-1</v>
      </c>
      <c r="L144" s="2">
        <f t="shared" si="52"/>
        <v>-1</v>
      </c>
      <c r="M144" s="2">
        <f t="shared" si="53"/>
        <v>-1</v>
      </c>
      <c r="N144" s="2">
        <f t="shared" si="48"/>
        <v>0</v>
      </c>
      <c r="O144" s="2">
        <f t="shared" si="49"/>
        <v>0</v>
      </c>
      <c r="P144" t="s">
        <v>142</v>
      </c>
      <c r="Q144">
        <v>1</v>
      </c>
      <c r="R144" s="4">
        <f t="shared" si="54"/>
        <v>106</v>
      </c>
      <c r="S144">
        <v>143</v>
      </c>
    </row>
    <row r="145" spans="1:19" x14ac:dyDescent="0.25">
      <c r="A145" t="s">
        <v>24</v>
      </c>
      <c r="B145" s="1">
        <v>4.9829421192772705E-7</v>
      </c>
      <c r="C145" s="2">
        <f t="shared" si="55"/>
        <v>3.3E-10</v>
      </c>
      <c r="D145" s="2">
        <f t="shared" si="55"/>
        <v>4.8999999999999996E-10</v>
      </c>
      <c r="E145" s="2">
        <f t="shared" si="55"/>
        <v>7.2999999999999996E-10</v>
      </c>
      <c r="F145" s="2">
        <f t="shared" si="55"/>
        <v>8.1999999999999996E-10</v>
      </c>
      <c r="G145" s="2">
        <f t="shared" si="55"/>
        <v>8.3000000000000003E-10</v>
      </c>
      <c r="H145" s="2">
        <f t="shared" si="55"/>
        <v>8.9000000000000003E-10</v>
      </c>
      <c r="I145" s="2">
        <f t="shared" si="50"/>
        <v>5.1E-10</v>
      </c>
      <c r="J145" s="2">
        <f t="shared" si="36"/>
        <v>3.1999999999999998E-10</v>
      </c>
      <c r="K145" s="2">
        <f t="shared" si="51"/>
        <v>7.7000000000000003E-10</v>
      </c>
      <c r="L145" s="2">
        <f t="shared" si="52"/>
        <v>8.6999999999999999E-10</v>
      </c>
      <c r="M145" s="2">
        <f t="shared" si="53"/>
        <v>5.1E-10</v>
      </c>
      <c r="N145" s="2">
        <f t="shared" si="48"/>
        <v>2</v>
      </c>
      <c r="O145" s="2">
        <f t="shared" si="49"/>
        <v>2</v>
      </c>
      <c r="P145" t="s">
        <v>142</v>
      </c>
      <c r="Q145">
        <v>1</v>
      </c>
      <c r="R145" s="4">
        <f t="shared" si="54"/>
        <v>99</v>
      </c>
      <c r="S145">
        <v>144</v>
      </c>
    </row>
    <row r="146" spans="1:19" x14ac:dyDescent="0.25">
      <c r="A146" t="s">
        <v>22</v>
      </c>
      <c r="B146" s="1">
        <v>1.04047885957509E-13</v>
      </c>
      <c r="C146" s="2">
        <f t="shared" ref="C146:H155" si="56">IF(ISNA(VLOOKUP($A146,_68inh,COLUMN(C146)-1,FALSE)),-1,VLOOKUP($A146,_68inh,COLUMN(C146)-1,FALSE))</f>
        <v>2.8999999999999998E-10</v>
      </c>
      <c r="D146" s="2">
        <f t="shared" si="56"/>
        <v>4.0000000000000001E-10</v>
      </c>
      <c r="E146" s="2">
        <f t="shared" si="56"/>
        <v>3.9000000000000002E-9</v>
      </c>
      <c r="F146" s="2">
        <f t="shared" si="56"/>
        <v>3.2000000000000001E-9</v>
      </c>
      <c r="G146" s="2">
        <f t="shared" si="56"/>
        <v>-1</v>
      </c>
      <c r="H146" s="2">
        <f t="shared" si="56"/>
        <v>-1</v>
      </c>
      <c r="I146" s="2">
        <f t="shared" si="50"/>
        <v>7.7999999999999999E-10</v>
      </c>
      <c r="J146" s="2">
        <f t="shared" si="36"/>
        <v>2.8999999999999998E-10</v>
      </c>
      <c r="K146" s="2">
        <f t="shared" si="51"/>
        <v>4.0000000000000002E-9</v>
      </c>
      <c r="L146" s="2">
        <f t="shared" si="52"/>
        <v>1.3000000000000001E-8</v>
      </c>
      <c r="M146" s="2">
        <f t="shared" si="53"/>
        <v>6.3999999999999996E-10</v>
      </c>
      <c r="N146" s="2">
        <f t="shared" si="48"/>
        <v>40</v>
      </c>
      <c r="O146" s="2">
        <f t="shared" si="49"/>
        <v>0.9</v>
      </c>
      <c r="P146" t="s">
        <v>142</v>
      </c>
      <c r="Q146">
        <v>1</v>
      </c>
      <c r="R146" s="4">
        <f t="shared" si="54"/>
        <v>99</v>
      </c>
      <c r="S146">
        <v>145</v>
      </c>
    </row>
    <row r="147" spans="1:19" x14ac:dyDescent="0.25">
      <c r="A147" t="s">
        <v>23</v>
      </c>
      <c r="B147" s="1">
        <v>3.2054353220382802E-5</v>
      </c>
      <c r="C147" s="2">
        <f t="shared" si="56"/>
        <v>1.2000000000000001E-11</v>
      </c>
      <c r="D147" s="2">
        <f t="shared" si="56"/>
        <v>1.9999999999999999E-11</v>
      </c>
      <c r="E147" s="2">
        <f t="shared" si="56"/>
        <v>1.8999999999999999E-11</v>
      </c>
      <c r="F147" s="2">
        <f t="shared" si="56"/>
        <v>2.9E-11</v>
      </c>
      <c r="G147" s="2">
        <f t="shared" si="56"/>
        <v>-1</v>
      </c>
      <c r="H147" s="2">
        <f t="shared" si="56"/>
        <v>-1</v>
      </c>
      <c r="I147" s="2">
        <f t="shared" si="50"/>
        <v>2.2000000000000002E-11</v>
      </c>
      <c r="J147" s="2">
        <f t="shared" si="36"/>
        <v>1.2000000000000001E-11</v>
      </c>
      <c r="K147" s="2">
        <f t="shared" si="51"/>
        <v>1.8999999999999999E-11</v>
      </c>
      <c r="L147" s="2">
        <f t="shared" si="52"/>
        <v>1.9999999999999999E-11</v>
      </c>
      <c r="M147" s="2">
        <f t="shared" si="53"/>
        <v>2.2000000000000002E-11</v>
      </c>
      <c r="N147" s="2">
        <f t="shared" si="48"/>
        <v>10</v>
      </c>
      <c r="O147" s="2">
        <f t="shared" si="49"/>
        <v>4</v>
      </c>
      <c r="P147" t="s">
        <v>142</v>
      </c>
      <c r="Q147">
        <v>1</v>
      </c>
      <c r="R147" s="4">
        <f t="shared" si="54"/>
        <v>99</v>
      </c>
      <c r="S147">
        <v>146</v>
      </c>
    </row>
    <row r="148" spans="1:19" x14ac:dyDescent="0.25">
      <c r="A148" t="s">
        <v>110</v>
      </c>
      <c r="B148" s="1">
        <v>1.3642481116358551E-14</v>
      </c>
      <c r="C148" s="2">
        <f t="shared" si="56"/>
        <v>2.4999999999999999E-8</v>
      </c>
      <c r="D148" s="2">
        <f t="shared" si="56"/>
        <v>2.9000000000000002E-8</v>
      </c>
      <c r="E148" s="2">
        <f t="shared" si="56"/>
        <v>9.5999999999999999E-9</v>
      </c>
      <c r="F148" s="2">
        <f t="shared" si="56"/>
        <v>6.6000000000000004E-9</v>
      </c>
      <c r="G148" s="2">
        <f t="shared" si="56"/>
        <v>3.1E-9</v>
      </c>
      <c r="H148" s="2">
        <f t="shared" si="56"/>
        <v>1.6999999999999999E-9</v>
      </c>
      <c r="I148" s="2">
        <f t="shared" si="50"/>
        <v>2.8000000000000002E-10</v>
      </c>
      <c r="J148" s="2">
        <f t="shared" si="36"/>
        <v>2.4999999999999999E-8</v>
      </c>
      <c r="K148" s="2">
        <f t="shared" si="51"/>
        <v>1E-8</v>
      </c>
      <c r="L148" s="2">
        <f t="shared" si="52"/>
        <v>3.3000000000000002E-9</v>
      </c>
      <c r="M148" s="2">
        <f t="shared" si="53"/>
        <v>1.0999999999999999E-9</v>
      </c>
      <c r="N148" s="2">
        <f t="shared" si="48"/>
        <v>-1</v>
      </c>
      <c r="O148" s="2">
        <f t="shared" si="49"/>
        <v>-1</v>
      </c>
      <c r="P148" t="s">
        <v>111</v>
      </c>
      <c r="Q148">
        <v>1</v>
      </c>
      <c r="R148" s="4">
        <f t="shared" si="54"/>
        <v>93</v>
      </c>
      <c r="S148">
        <v>147</v>
      </c>
    </row>
    <row r="149" spans="1:19" x14ac:dyDescent="0.25">
      <c r="A149" t="s">
        <v>111</v>
      </c>
      <c r="B149" s="1">
        <v>1.3617178379187925E-9</v>
      </c>
      <c r="C149" s="2">
        <f t="shared" si="56"/>
        <v>-1</v>
      </c>
      <c r="D149" s="2">
        <f t="shared" si="56"/>
        <v>-1</v>
      </c>
      <c r="E149" s="2">
        <f t="shared" si="56"/>
        <v>4.6000000000000001E-10</v>
      </c>
      <c r="F149" s="2">
        <f t="shared" si="56"/>
        <v>2.8999999999999998E-10</v>
      </c>
      <c r="G149" s="2">
        <f t="shared" si="56"/>
        <v>1.6000000000000001E-9</v>
      </c>
      <c r="H149" s="2">
        <f t="shared" si="56"/>
        <v>8.6000000000000003E-10</v>
      </c>
      <c r="I149" s="2">
        <f t="shared" si="50"/>
        <v>1.2E-10</v>
      </c>
      <c r="J149" s="2">
        <f t="shared" si="36"/>
        <v>2.1999999999999999E-10</v>
      </c>
      <c r="K149" s="2">
        <f t="shared" si="51"/>
        <v>5.1E-10</v>
      </c>
      <c r="L149" s="2">
        <f t="shared" si="52"/>
        <v>1.8E-9</v>
      </c>
      <c r="M149" s="2">
        <f t="shared" si="53"/>
        <v>1.2E-10</v>
      </c>
      <c r="N149" s="2">
        <f t="shared" si="48"/>
        <v>40</v>
      </c>
      <c r="O149" s="2">
        <f t="shared" si="49"/>
        <v>30</v>
      </c>
      <c r="P149" t="s">
        <v>142</v>
      </c>
      <c r="Q149">
        <v>1</v>
      </c>
      <c r="R149" s="4">
        <f t="shared" si="54"/>
        <v>93</v>
      </c>
      <c r="S149">
        <v>148</v>
      </c>
    </row>
    <row r="150" spans="1:19" x14ac:dyDescent="0.25">
      <c r="A150" t="s">
        <v>21</v>
      </c>
      <c r="B150" s="1">
        <v>7.6001760296297997E-10</v>
      </c>
      <c r="C150" s="2">
        <f t="shared" si="56"/>
        <v>2.4E-8</v>
      </c>
      <c r="D150" s="2">
        <f t="shared" si="56"/>
        <v>2.9999999999999997E-8</v>
      </c>
      <c r="E150" s="2">
        <f t="shared" si="56"/>
        <v>-1</v>
      </c>
      <c r="F150" s="2">
        <f t="shared" si="56"/>
        <v>-1</v>
      </c>
      <c r="G150" s="2">
        <f t="shared" si="56"/>
        <v>1.4999999999999999E-7</v>
      </c>
      <c r="H150" s="2">
        <f t="shared" si="56"/>
        <v>7.7000000000000001E-8</v>
      </c>
      <c r="I150" s="2">
        <f t="shared" si="50"/>
        <v>2.7999999999999999E-8</v>
      </c>
      <c r="J150" s="2">
        <f t="shared" si="36"/>
        <v>2.4E-8</v>
      </c>
      <c r="K150" s="2">
        <f t="shared" si="51"/>
        <v>3.5999999999999998E-8</v>
      </c>
      <c r="L150" s="2">
        <f t="shared" si="52"/>
        <v>1.6E-7</v>
      </c>
      <c r="M150" s="2">
        <f t="shared" si="53"/>
        <v>2.7999999999999999E-8</v>
      </c>
      <c r="N150" s="2">
        <f t="shared" si="48"/>
        <v>0.30000000000000004</v>
      </c>
      <c r="O150" s="2">
        <f t="shared" si="49"/>
        <v>0.30000000000000004</v>
      </c>
      <c r="P150" t="s">
        <v>20</v>
      </c>
      <c r="Q150">
        <v>1</v>
      </c>
      <c r="R150" s="4">
        <f t="shared" si="54"/>
        <v>90</v>
      </c>
      <c r="S150">
        <v>149</v>
      </c>
    </row>
    <row r="151" spans="1:19" x14ac:dyDescent="0.25">
      <c r="A151" t="s">
        <v>20</v>
      </c>
      <c r="B151" s="1">
        <v>3.0059619922388301E-6</v>
      </c>
      <c r="C151" s="2">
        <f t="shared" si="56"/>
        <v>-1</v>
      </c>
      <c r="D151" s="2">
        <f t="shared" si="56"/>
        <v>-1</v>
      </c>
      <c r="E151" s="2">
        <f t="shared" si="56"/>
        <v>1.3999999999999999E-9</v>
      </c>
      <c r="F151" s="2">
        <f t="shared" si="56"/>
        <v>1.6000000000000001E-9</v>
      </c>
      <c r="G151" s="2">
        <f t="shared" si="56"/>
        <v>1.5E-9</v>
      </c>
      <c r="H151" s="2">
        <f t="shared" si="56"/>
        <v>1.6999999999999999E-9</v>
      </c>
      <c r="I151" s="2">
        <f t="shared" si="50"/>
        <v>2.7000000000000002E-9</v>
      </c>
      <c r="J151" s="2">
        <f t="shared" si="36"/>
        <v>-1</v>
      </c>
      <c r="K151" s="2">
        <f t="shared" si="51"/>
        <v>1.3999999999999999E-9</v>
      </c>
      <c r="L151" s="2">
        <f t="shared" si="52"/>
        <v>1.5E-9</v>
      </c>
      <c r="M151" s="2">
        <f t="shared" si="53"/>
        <v>2.7000000000000002E-9</v>
      </c>
      <c r="N151" s="2">
        <f t="shared" si="48"/>
        <v>0.30000000000000004</v>
      </c>
      <c r="O151" s="2">
        <f t="shared" si="49"/>
        <v>0.30000000000000004</v>
      </c>
      <c r="P151" t="s">
        <v>142</v>
      </c>
      <c r="Q151">
        <v>1</v>
      </c>
      <c r="R151" s="4">
        <f t="shared" si="54"/>
        <v>90</v>
      </c>
      <c r="S151">
        <v>150</v>
      </c>
    </row>
    <row r="152" spans="1:19" x14ac:dyDescent="0.25">
      <c r="A152" t="s">
        <v>19</v>
      </c>
      <c r="B152" s="1">
        <v>4.3034743117886502E-7</v>
      </c>
      <c r="C152" s="2">
        <f t="shared" si="56"/>
        <v>9.5999999999999999E-10</v>
      </c>
      <c r="D152" s="2">
        <f t="shared" si="56"/>
        <v>1.3000000000000001E-9</v>
      </c>
      <c r="E152" s="2">
        <f t="shared" si="56"/>
        <v>-1</v>
      </c>
      <c r="F152" s="2">
        <f t="shared" si="56"/>
        <v>-1</v>
      </c>
      <c r="G152" s="2">
        <f t="shared" si="56"/>
        <v>-1</v>
      </c>
      <c r="H152" s="2">
        <f t="shared" si="56"/>
        <v>-1</v>
      </c>
      <c r="I152" s="2">
        <f t="shared" si="50"/>
        <v>2.7999999999999998E-9</v>
      </c>
      <c r="J152" s="2">
        <f t="shared" si="36"/>
        <v>9.2999999999999999E-10</v>
      </c>
      <c r="K152" s="2">
        <f t="shared" si="51"/>
        <v>-1</v>
      </c>
      <c r="L152" s="2">
        <f t="shared" si="52"/>
        <v>-1</v>
      </c>
      <c r="M152" s="2">
        <f t="shared" si="53"/>
        <v>2.7999999999999998E-9</v>
      </c>
      <c r="N152" s="2">
        <f t="shared" si="48"/>
        <v>0.5</v>
      </c>
      <c r="O152" s="2">
        <f t="shared" si="49"/>
        <v>0.5</v>
      </c>
      <c r="P152" t="s">
        <v>142</v>
      </c>
      <c r="Q152">
        <v>1</v>
      </c>
      <c r="R152" s="4">
        <f t="shared" si="54"/>
        <v>86</v>
      </c>
      <c r="S152">
        <v>151</v>
      </c>
    </row>
    <row r="153" spans="1:19" x14ac:dyDescent="0.25">
      <c r="A153" t="s">
        <v>18</v>
      </c>
      <c r="B153" s="1">
        <v>2.0428300526069698E-9</v>
      </c>
      <c r="C153" s="2">
        <f t="shared" si="56"/>
        <v>-1</v>
      </c>
      <c r="D153" s="2">
        <f t="shared" si="56"/>
        <v>-1</v>
      </c>
      <c r="E153" s="2">
        <f t="shared" si="56"/>
        <v>-1</v>
      </c>
      <c r="F153" s="2">
        <f t="shared" si="56"/>
        <v>-1</v>
      </c>
      <c r="G153" s="2">
        <f t="shared" si="56"/>
        <v>-1</v>
      </c>
      <c r="H153" s="2">
        <f t="shared" si="56"/>
        <v>-1</v>
      </c>
      <c r="I153" s="2">
        <f t="shared" si="50"/>
        <v>-1</v>
      </c>
      <c r="J153" s="2">
        <f t="shared" si="36"/>
        <v>-1</v>
      </c>
      <c r="K153" s="2">
        <f t="shared" si="51"/>
        <v>-1</v>
      </c>
      <c r="L153" s="2">
        <f t="shared" si="52"/>
        <v>-1</v>
      </c>
      <c r="M153" s="2">
        <f t="shared" si="53"/>
        <v>-1</v>
      </c>
      <c r="N153" s="2">
        <f t="shared" si="48"/>
        <v>10</v>
      </c>
      <c r="O153" s="2">
        <f t="shared" si="49"/>
        <v>10</v>
      </c>
      <c r="P153" t="s">
        <v>142</v>
      </c>
      <c r="Q153">
        <v>1</v>
      </c>
      <c r="R153" s="4">
        <f t="shared" si="54"/>
        <v>85</v>
      </c>
      <c r="S153">
        <v>152</v>
      </c>
    </row>
    <row r="154" spans="1:19" x14ac:dyDescent="0.25">
      <c r="A154" t="s">
        <v>109</v>
      </c>
      <c r="B154" s="1">
        <v>7.4459896934143864E-14</v>
      </c>
      <c r="C154" s="2">
        <f t="shared" si="56"/>
        <v>1.2E-9</v>
      </c>
      <c r="D154" s="2">
        <f t="shared" si="56"/>
        <v>1.6000000000000001E-9</v>
      </c>
      <c r="E154" s="2">
        <f t="shared" si="56"/>
        <v>2.8999999999999999E-9</v>
      </c>
      <c r="F154" s="2">
        <f t="shared" si="56"/>
        <v>3.1E-9</v>
      </c>
      <c r="G154" s="2">
        <f t="shared" si="56"/>
        <v>-1</v>
      </c>
      <c r="H154" s="2">
        <f t="shared" si="56"/>
        <v>-1</v>
      </c>
      <c r="I154" s="2">
        <f t="shared" si="50"/>
        <v>2.8999999999999999E-9</v>
      </c>
      <c r="J154" s="2">
        <f t="shared" ref="J154:J176" si="57">IF(ISNA(VLOOKUP($A154,_72inh,2,FALSE)),-1,VLOOKUP($A154,_72inh,2,FALSE))</f>
        <v>1.0999999999999999E-9</v>
      </c>
      <c r="K154" s="2">
        <f t="shared" si="51"/>
        <v>2.6000000000000001E-9</v>
      </c>
      <c r="L154" s="2">
        <f t="shared" si="52"/>
        <v>6.7999999999999997E-9</v>
      </c>
      <c r="M154" s="2">
        <f t="shared" si="53"/>
        <v>2.8999999999999999E-9</v>
      </c>
      <c r="N154" s="2">
        <f t="shared" si="48"/>
        <v>40</v>
      </c>
      <c r="O154" s="2">
        <f t="shared" si="49"/>
        <v>2</v>
      </c>
      <c r="P154" t="s">
        <v>142</v>
      </c>
      <c r="Q154">
        <v>1</v>
      </c>
      <c r="R154" s="4">
        <f t="shared" si="54"/>
        <v>79</v>
      </c>
      <c r="S154">
        <v>153</v>
      </c>
    </row>
    <row r="155" spans="1:19" x14ac:dyDescent="0.25">
      <c r="A155" t="s">
        <v>17</v>
      </c>
      <c r="B155" s="1">
        <v>3.28886845079999E-8</v>
      </c>
      <c r="C155" s="2">
        <f t="shared" si="56"/>
        <v>-1</v>
      </c>
      <c r="D155" s="2">
        <f t="shared" si="56"/>
        <v>-1</v>
      </c>
      <c r="E155" s="2">
        <f t="shared" si="56"/>
        <v>-1</v>
      </c>
      <c r="F155" s="2">
        <f t="shared" si="56"/>
        <v>-1</v>
      </c>
      <c r="G155" s="2">
        <f t="shared" si="56"/>
        <v>2.8999999999999999E-9</v>
      </c>
      <c r="H155" s="2">
        <f t="shared" si="56"/>
        <v>2.7999999999999998E-9</v>
      </c>
      <c r="I155" s="2">
        <f t="shared" si="50"/>
        <v>3.9000000000000002E-9</v>
      </c>
      <c r="J155" s="2">
        <f t="shared" si="57"/>
        <v>2.1999999999999998E-9</v>
      </c>
      <c r="K155" s="2">
        <f t="shared" si="51"/>
        <v>1.6000000000000001E-9</v>
      </c>
      <c r="L155" s="2">
        <f t="shared" si="52"/>
        <v>2.0000000000000001E-9</v>
      </c>
      <c r="M155" s="2">
        <f t="shared" si="53"/>
        <v>3.9000000000000002E-9</v>
      </c>
      <c r="N155" s="2">
        <f t="shared" si="48"/>
        <v>2</v>
      </c>
      <c r="O155" s="2">
        <f t="shared" si="49"/>
        <v>2</v>
      </c>
      <c r="P155" t="s">
        <v>142</v>
      </c>
      <c r="Q155">
        <v>1</v>
      </c>
      <c r="R155" s="4">
        <f t="shared" si="54"/>
        <v>65</v>
      </c>
      <c r="S155">
        <v>154</v>
      </c>
    </row>
    <row r="156" spans="1:19" x14ac:dyDescent="0.25">
      <c r="A156" t="s">
        <v>16</v>
      </c>
      <c r="B156" s="1">
        <v>1.51595058254369E-5</v>
      </c>
      <c r="C156" s="2">
        <f t="shared" ref="C156:H165" si="58">IF(ISNA(VLOOKUP($A156,_68inh,COLUMN(C156)-1,FALSE)),-1,VLOOKUP($A156,_68inh,COLUMN(C156)-1,FALSE))</f>
        <v>3.7999999999999998E-11</v>
      </c>
      <c r="D156" s="2">
        <f t="shared" si="58"/>
        <v>6.7999999999999998E-11</v>
      </c>
      <c r="E156" s="2">
        <f t="shared" si="58"/>
        <v>1.0999999999999999E-10</v>
      </c>
      <c r="F156" s="2">
        <f t="shared" si="58"/>
        <v>1.5E-10</v>
      </c>
      <c r="G156" s="2">
        <f t="shared" si="58"/>
        <v>1.2E-10</v>
      </c>
      <c r="H156" s="2">
        <f t="shared" si="58"/>
        <v>1.5E-10</v>
      </c>
      <c r="I156" s="2">
        <f t="shared" si="50"/>
        <v>1.2E-10</v>
      </c>
      <c r="J156" s="2">
        <f t="shared" si="57"/>
        <v>3.5000000000000002E-11</v>
      </c>
      <c r="K156" s="2">
        <f t="shared" si="51"/>
        <v>1.0999999999999999E-10</v>
      </c>
      <c r="L156" s="2">
        <f t="shared" si="52"/>
        <v>1.2E-10</v>
      </c>
      <c r="M156" s="2">
        <f t="shared" si="53"/>
        <v>1.2E-10</v>
      </c>
      <c r="N156" s="2">
        <f t="shared" si="48"/>
        <v>6</v>
      </c>
      <c r="O156" s="2">
        <f t="shared" si="49"/>
        <v>1</v>
      </c>
      <c r="P156" t="s">
        <v>142</v>
      </c>
      <c r="Q156">
        <v>1</v>
      </c>
      <c r="R156" s="4">
        <f t="shared" si="54"/>
        <v>64</v>
      </c>
      <c r="S156">
        <v>155</v>
      </c>
    </row>
    <row r="157" spans="1:19" x14ac:dyDescent="0.25">
      <c r="A157" t="s">
        <v>15</v>
      </c>
      <c r="B157" s="1">
        <v>2.1704060005563399E-10</v>
      </c>
      <c r="C157" s="2">
        <f t="shared" si="58"/>
        <v>4.3999999999999998E-10</v>
      </c>
      <c r="D157" s="2">
        <f t="shared" si="58"/>
        <v>5.1999999999999996E-10</v>
      </c>
      <c r="E157" s="2">
        <f t="shared" si="58"/>
        <v>4.3999999999999998E-10</v>
      </c>
      <c r="F157" s="2">
        <f t="shared" si="58"/>
        <v>3.1000000000000002E-10</v>
      </c>
      <c r="G157" s="2">
        <f t="shared" si="58"/>
        <v>-1</v>
      </c>
      <c r="H157" s="2">
        <f t="shared" si="58"/>
        <v>-1</v>
      </c>
      <c r="I157" s="2">
        <f t="shared" si="50"/>
        <v>1.5E-10</v>
      </c>
      <c r="J157" s="2">
        <f t="shared" si="57"/>
        <v>4.3999999999999998E-10</v>
      </c>
      <c r="K157" s="2">
        <f t="shared" si="51"/>
        <v>4.8E-10</v>
      </c>
      <c r="L157" s="2">
        <f t="shared" si="52"/>
        <v>1.3000000000000001E-9</v>
      </c>
      <c r="M157" s="2">
        <f t="shared" si="53"/>
        <v>1.5E-10</v>
      </c>
      <c r="N157" s="2">
        <f t="shared" si="48"/>
        <v>40</v>
      </c>
      <c r="O157" s="2">
        <f t="shared" si="49"/>
        <v>30</v>
      </c>
      <c r="P157" t="s">
        <v>142</v>
      </c>
      <c r="Q157">
        <v>1</v>
      </c>
      <c r="R157" s="4">
        <f t="shared" si="54"/>
        <v>63</v>
      </c>
      <c r="S157">
        <v>156</v>
      </c>
    </row>
    <row r="158" spans="1:19" x14ac:dyDescent="0.25">
      <c r="A158" t="s">
        <v>14</v>
      </c>
      <c r="B158" s="1">
        <v>4.1669454895061504E-9</v>
      </c>
      <c r="C158" s="2">
        <f t="shared" si="58"/>
        <v>-1</v>
      </c>
      <c r="D158" s="2">
        <f t="shared" si="58"/>
        <v>-1</v>
      </c>
      <c r="E158" s="2">
        <f t="shared" si="58"/>
        <v>9.5999999999999999E-9</v>
      </c>
      <c r="F158" s="2">
        <f t="shared" si="58"/>
        <v>7.0999999999999999E-9</v>
      </c>
      <c r="G158" s="2">
        <f t="shared" si="58"/>
        <v>2.9000000000000002E-8</v>
      </c>
      <c r="H158" s="2">
        <f t="shared" si="58"/>
        <v>1.7E-8</v>
      </c>
      <c r="I158" s="2">
        <f t="shared" si="50"/>
        <v>3.3999999999999998E-9</v>
      </c>
      <c r="J158" s="2">
        <f t="shared" si="57"/>
        <v>5.2000000000000002E-9</v>
      </c>
      <c r="K158" s="2">
        <f t="shared" si="51"/>
        <v>1E-8</v>
      </c>
      <c r="L158" s="2">
        <f t="shared" si="52"/>
        <v>3.1E-8</v>
      </c>
      <c r="M158" s="2">
        <f t="shared" si="53"/>
        <v>3.3999999999999998E-9</v>
      </c>
      <c r="N158" s="2">
        <f t="shared" si="48"/>
        <v>0.4</v>
      </c>
      <c r="O158" s="2">
        <f t="shared" si="49"/>
        <v>0.4</v>
      </c>
      <c r="P158" t="s">
        <v>142</v>
      </c>
      <c r="Q158">
        <v>1</v>
      </c>
      <c r="R158" s="4">
        <f t="shared" si="54"/>
        <v>60</v>
      </c>
      <c r="S158">
        <v>157</v>
      </c>
    </row>
    <row r="159" spans="1:19" x14ac:dyDescent="0.25">
      <c r="A159" t="s">
        <v>144</v>
      </c>
      <c r="B159" s="1">
        <v>8.504873381103624E-3</v>
      </c>
      <c r="C159" s="2">
        <f t="shared" si="58"/>
        <v>-1</v>
      </c>
      <c r="D159" s="2">
        <f t="shared" si="58"/>
        <v>-1</v>
      </c>
      <c r="E159" s="2">
        <f t="shared" si="58"/>
        <v>-1</v>
      </c>
      <c r="F159" s="2">
        <f t="shared" si="58"/>
        <v>-1</v>
      </c>
      <c r="G159" s="2">
        <f t="shared" si="58"/>
        <v>-1</v>
      </c>
      <c r="H159" s="2">
        <f t="shared" si="58"/>
        <v>-1</v>
      </c>
      <c r="I159" s="2">
        <f t="shared" si="50"/>
        <v>-1</v>
      </c>
      <c r="J159" s="2">
        <f t="shared" si="57"/>
        <v>-1</v>
      </c>
      <c r="K159" s="2">
        <f t="shared" si="51"/>
        <v>-1</v>
      </c>
      <c r="L159" s="2">
        <f t="shared" si="52"/>
        <v>-1</v>
      </c>
      <c r="M159" s="2">
        <f t="shared" si="53"/>
        <v>-1</v>
      </c>
      <c r="N159" s="2">
        <f t="shared" si="48"/>
        <v>0</v>
      </c>
      <c r="O159" s="2">
        <f t="shared" si="49"/>
        <v>0</v>
      </c>
      <c r="P159" t="s">
        <v>108</v>
      </c>
      <c r="Q159">
        <v>1</v>
      </c>
      <c r="R159" s="4">
        <f t="shared" si="54"/>
        <v>59</v>
      </c>
      <c r="S159">
        <v>158</v>
      </c>
    </row>
    <row r="160" spans="1:19" x14ac:dyDescent="0.25">
      <c r="A160" t="s">
        <v>108</v>
      </c>
      <c r="B160" s="1">
        <v>2.8905220206836752E-13</v>
      </c>
      <c r="C160" s="2">
        <f t="shared" si="58"/>
        <v>1.8E-10</v>
      </c>
      <c r="D160" s="2">
        <f t="shared" si="58"/>
        <v>2.1999999999999999E-10</v>
      </c>
      <c r="E160" s="2">
        <f t="shared" si="58"/>
        <v>1.2999999999999999E-10</v>
      </c>
      <c r="F160" s="2">
        <f t="shared" si="58"/>
        <v>9.3999999999999999E-11</v>
      </c>
      <c r="G160" s="2">
        <f t="shared" si="58"/>
        <v>-1</v>
      </c>
      <c r="H160" s="2">
        <f t="shared" si="58"/>
        <v>-1</v>
      </c>
      <c r="I160" s="2">
        <f t="shared" si="50"/>
        <v>6.3000000000000002E-11</v>
      </c>
      <c r="J160" s="2">
        <f t="shared" si="57"/>
        <v>1.8E-10</v>
      </c>
      <c r="K160" s="2">
        <f t="shared" si="51"/>
        <v>1.2999999999999999E-10</v>
      </c>
      <c r="L160" s="2">
        <f t="shared" si="52"/>
        <v>4.3999999999999998E-10</v>
      </c>
      <c r="M160" s="2">
        <f t="shared" si="53"/>
        <v>6.3000000000000002E-11</v>
      </c>
      <c r="N160" s="2">
        <f t="shared" si="48"/>
        <v>-1</v>
      </c>
      <c r="O160" s="2">
        <f t="shared" si="49"/>
        <v>-1</v>
      </c>
      <c r="P160" t="s">
        <v>142</v>
      </c>
      <c r="Q160">
        <v>1</v>
      </c>
      <c r="R160" s="4">
        <f t="shared" si="54"/>
        <v>59</v>
      </c>
      <c r="S160">
        <v>159</v>
      </c>
    </row>
    <row r="161" spans="1:19" x14ac:dyDescent="0.25">
      <c r="A161" t="s">
        <v>13</v>
      </c>
      <c r="B161" s="1">
        <v>1.80301984763151E-7</v>
      </c>
      <c r="C161" s="2">
        <f t="shared" si="58"/>
        <v>2.1999999999999998E-9</v>
      </c>
      <c r="D161" s="2">
        <f t="shared" si="58"/>
        <v>3E-9</v>
      </c>
      <c r="E161" s="2">
        <f t="shared" si="58"/>
        <v>3.4999999999999999E-9</v>
      </c>
      <c r="F161" s="2">
        <f t="shared" si="58"/>
        <v>3.2000000000000001E-9</v>
      </c>
      <c r="G161" s="2">
        <f t="shared" si="58"/>
        <v>-1</v>
      </c>
      <c r="H161" s="2">
        <f t="shared" si="58"/>
        <v>-1</v>
      </c>
      <c r="I161" s="2">
        <f t="shared" si="50"/>
        <v>1.8E-9</v>
      </c>
      <c r="J161" s="2">
        <f t="shared" si="57"/>
        <v>2.1999999999999998E-9</v>
      </c>
      <c r="K161" s="2">
        <f t="shared" si="51"/>
        <v>3.7E-9</v>
      </c>
      <c r="L161" s="2">
        <f t="shared" si="52"/>
        <v>4.0000000000000002E-9</v>
      </c>
      <c r="M161" s="2">
        <f t="shared" si="53"/>
        <v>1.8E-9</v>
      </c>
      <c r="N161" s="2">
        <f t="shared" si="48"/>
        <v>0.9</v>
      </c>
      <c r="O161" s="2">
        <f t="shared" si="49"/>
        <v>0.9</v>
      </c>
      <c r="P161" t="s">
        <v>142</v>
      </c>
      <c r="Q161">
        <v>1</v>
      </c>
      <c r="R161" s="4">
        <f t="shared" si="54"/>
        <v>59</v>
      </c>
      <c r="S161">
        <v>160</v>
      </c>
    </row>
    <row r="162" spans="1:19" x14ac:dyDescent="0.25">
      <c r="A162" t="s">
        <v>143</v>
      </c>
      <c r="B162" s="1">
        <v>3.8085009920876116</v>
      </c>
      <c r="C162" s="2">
        <f t="shared" si="58"/>
        <v>-1</v>
      </c>
      <c r="D162" s="2">
        <f t="shared" si="58"/>
        <v>-1</v>
      </c>
      <c r="E162" s="2">
        <f t="shared" si="58"/>
        <v>-1</v>
      </c>
      <c r="F162" s="2">
        <f t="shared" si="58"/>
        <v>-1</v>
      </c>
      <c r="G162" s="2">
        <f t="shared" si="58"/>
        <v>-1</v>
      </c>
      <c r="H162" s="2">
        <f t="shared" si="58"/>
        <v>-1</v>
      </c>
      <c r="I162" s="2">
        <f t="shared" si="50"/>
        <v>-1</v>
      </c>
      <c r="J162" s="2">
        <f t="shared" si="57"/>
        <v>-1</v>
      </c>
      <c r="K162" s="2">
        <f t="shared" si="51"/>
        <v>-1</v>
      </c>
      <c r="L162" s="2">
        <f t="shared" si="52"/>
        <v>-1</v>
      </c>
      <c r="M162" s="2">
        <f t="shared" si="53"/>
        <v>-1</v>
      </c>
      <c r="N162" s="2">
        <f t="shared" ref="N162:N176" si="59">VLOOKUP($A162,A1A2,2,FALSE)</f>
        <v>0</v>
      </c>
      <c r="O162" s="2">
        <f t="shared" ref="O162:O176" si="60">VLOOKUP($A162,A1A2,3,FALSE)</f>
        <v>0</v>
      </c>
      <c r="P162" t="s">
        <v>144</v>
      </c>
      <c r="Q162">
        <v>1</v>
      </c>
      <c r="R162" s="4">
        <f t="shared" si="54"/>
        <v>59</v>
      </c>
      <c r="S162">
        <v>161</v>
      </c>
    </row>
    <row r="163" spans="1:19" x14ac:dyDescent="0.25">
      <c r="A163" t="s">
        <v>12</v>
      </c>
      <c r="B163" s="1">
        <v>2.95228409952028E-8</v>
      </c>
      <c r="C163" s="2">
        <f t="shared" si="58"/>
        <v>-1</v>
      </c>
      <c r="D163" s="2">
        <f t="shared" si="58"/>
        <v>-1</v>
      </c>
      <c r="E163" s="2">
        <f t="shared" si="58"/>
        <v>5.1999999999999996E-10</v>
      </c>
      <c r="F163" s="2">
        <f t="shared" si="58"/>
        <v>3.9E-10</v>
      </c>
      <c r="G163" s="2">
        <f t="shared" si="58"/>
        <v>9.4000000000000006E-10</v>
      </c>
      <c r="H163" s="2">
        <f t="shared" si="58"/>
        <v>6E-10</v>
      </c>
      <c r="I163" s="2">
        <f t="shared" si="50"/>
        <v>2.1E-10</v>
      </c>
      <c r="J163" s="2">
        <f t="shared" si="57"/>
        <v>1.8999999999999999E-10</v>
      </c>
      <c r="K163" s="2">
        <f t="shared" si="51"/>
        <v>5.4999999999999996E-10</v>
      </c>
      <c r="L163" s="2">
        <f t="shared" si="52"/>
        <v>1.0000000000000001E-9</v>
      </c>
      <c r="M163" s="2">
        <f t="shared" si="53"/>
        <v>2.1E-10</v>
      </c>
      <c r="N163" s="2">
        <f t="shared" si="59"/>
        <v>10</v>
      </c>
      <c r="O163" s="2">
        <f t="shared" si="60"/>
        <v>10</v>
      </c>
      <c r="P163" t="s">
        <v>142</v>
      </c>
      <c r="Q163">
        <v>1</v>
      </c>
      <c r="R163" s="4">
        <f t="shared" si="54"/>
        <v>57</v>
      </c>
      <c r="S163">
        <v>162</v>
      </c>
    </row>
    <row r="164" spans="1:19" x14ac:dyDescent="0.25">
      <c r="A164" t="s">
        <v>11</v>
      </c>
      <c r="B164" s="1">
        <v>8.0045585734803707E-9</v>
      </c>
      <c r="C164" s="2">
        <f t="shared" si="58"/>
        <v>7.7000000000000003E-10</v>
      </c>
      <c r="D164" s="2">
        <f t="shared" si="58"/>
        <v>9.2000000000000003E-10</v>
      </c>
      <c r="E164" s="2">
        <f t="shared" si="58"/>
        <v>3.7000000000000001E-10</v>
      </c>
      <c r="F164" s="2">
        <f t="shared" si="58"/>
        <v>3.3E-10</v>
      </c>
      <c r="G164" s="2">
        <f t="shared" si="58"/>
        <v>-1</v>
      </c>
      <c r="H164" s="2">
        <f t="shared" si="58"/>
        <v>-1</v>
      </c>
      <c r="I164" s="2">
        <f t="shared" si="50"/>
        <v>3.3E-10</v>
      </c>
      <c r="J164" s="2">
        <f t="shared" si="57"/>
        <v>7.7000000000000003E-10</v>
      </c>
      <c r="K164" s="2">
        <f t="shared" si="51"/>
        <v>3.7999999999999998E-10</v>
      </c>
      <c r="L164" s="2">
        <f t="shared" si="52"/>
        <v>1.8E-10</v>
      </c>
      <c r="M164" s="2">
        <f t="shared" si="53"/>
        <v>3.3E-10</v>
      </c>
      <c r="N164" s="2">
        <f t="shared" si="59"/>
        <v>40</v>
      </c>
      <c r="O164" s="2">
        <f t="shared" si="60"/>
        <v>40</v>
      </c>
      <c r="P164" t="s">
        <v>142</v>
      </c>
      <c r="Q164">
        <v>1</v>
      </c>
      <c r="R164" s="4">
        <f t="shared" si="54"/>
        <v>55</v>
      </c>
      <c r="S164">
        <v>163</v>
      </c>
    </row>
    <row r="165" spans="1:19" x14ac:dyDescent="0.25">
      <c r="A165" t="s">
        <v>10</v>
      </c>
      <c r="B165" s="1">
        <v>2.5703373100206299E-8</v>
      </c>
      <c r="C165" s="2">
        <f t="shared" si="58"/>
        <v>8.6999999999999999E-10</v>
      </c>
      <c r="D165" s="2">
        <f t="shared" si="58"/>
        <v>1.0999999999999999E-9</v>
      </c>
      <c r="E165" s="2">
        <f t="shared" si="58"/>
        <v>1.5E-9</v>
      </c>
      <c r="F165" s="2">
        <f t="shared" si="58"/>
        <v>1.2E-9</v>
      </c>
      <c r="G165" s="2">
        <f t="shared" si="58"/>
        <v>-1</v>
      </c>
      <c r="H165" s="2">
        <f t="shared" si="58"/>
        <v>-1</v>
      </c>
      <c r="I165" s="2">
        <f t="shared" si="50"/>
        <v>7.1000000000000003E-10</v>
      </c>
      <c r="J165" s="2">
        <f t="shared" si="57"/>
        <v>8.4999999999999996E-10</v>
      </c>
      <c r="K165" s="2">
        <f t="shared" si="51"/>
        <v>1.5E-9</v>
      </c>
      <c r="L165" s="2">
        <f t="shared" si="52"/>
        <v>-1</v>
      </c>
      <c r="M165" s="2">
        <f t="shared" si="53"/>
        <v>7.1000000000000003E-10</v>
      </c>
      <c r="N165" s="2">
        <f t="shared" si="59"/>
        <v>1</v>
      </c>
      <c r="O165" s="2">
        <f t="shared" si="60"/>
        <v>1</v>
      </c>
      <c r="P165" t="s">
        <v>142</v>
      </c>
      <c r="Q165">
        <v>1</v>
      </c>
      <c r="R165" s="4">
        <f t="shared" si="54"/>
        <v>54</v>
      </c>
      <c r="S165">
        <v>164</v>
      </c>
    </row>
    <row r="166" spans="1:19" x14ac:dyDescent="0.25">
      <c r="A166" t="s">
        <v>9</v>
      </c>
      <c r="B166" s="1">
        <v>2.8959613074763701E-7</v>
      </c>
      <c r="C166" s="2">
        <f t="shared" ref="C166:H176" si="61">IF(ISNA(VLOOKUP($A166,_68inh,COLUMN(C166)-1,FALSE)),-1,VLOOKUP($A166,_68inh,COLUMN(C166)-1,FALSE))</f>
        <v>2.0999999999999999E-11</v>
      </c>
      <c r="D166" s="2">
        <f t="shared" si="61"/>
        <v>3E-11</v>
      </c>
      <c r="E166" s="2">
        <f t="shared" si="61"/>
        <v>3.1000000000000003E-11</v>
      </c>
      <c r="F166" s="2">
        <f t="shared" si="61"/>
        <v>3.3999999999999999E-11</v>
      </c>
      <c r="G166" s="2">
        <f t="shared" si="61"/>
        <v>3.5999999999999998E-11</v>
      </c>
      <c r="H166" s="2">
        <f t="shared" si="61"/>
        <v>3.5999999999999998E-11</v>
      </c>
      <c r="I166" s="2">
        <f t="shared" ref="I166:I174" si="62">IF(ISNA(VLOOKUP(A166,_68ing,2,FALSE)),-1,VLOOKUP(A166,_68ing,2,FALSE))</f>
        <v>3.7999999999999998E-11</v>
      </c>
      <c r="J166" s="2">
        <f t="shared" si="57"/>
        <v>1.9999999999999999E-11</v>
      </c>
      <c r="K166" s="2">
        <f t="shared" ref="K166:K176" si="63">IF(ISNA(VLOOKUP($A166,_72inh,2,FALSE)),-1,VLOOKUP($A166,_72inh,3,FALSE))</f>
        <v>3.1999999999999999E-11</v>
      </c>
      <c r="L166" s="2">
        <f t="shared" ref="L166:L176" si="64">IF(ISNA(VLOOKUP($A166,_72inh,2,FALSE)),-1,VLOOKUP($A166,_72inh,4,FALSE))</f>
        <v>3.7000000000000001E-11</v>
      </c>
      <c r="M166" s="2">
        <f t="shared" ref="M166:M174" si="65">IF(ISNA(VLOOKUP(A166,_72ing,2,FALSE)),-1,VLOOKUP(A166,_72ing,2,FALSE))</f>
        <v>3.7999999999999998E-11</v>
      </c>
      <c r="N166" s="2">
        <f t="shared" si="59"/>
        <v>30</v>
      </c>
      <c r="O166" s="2">
        <f t="shared" si="60"/>
        <v>30</v>
      </c>
      <c r="P166" t="s">
        <v>142</v>
      </c>
      <c r="Q166">
        <v>1</v>
      </c>
      <c r="R166" s="4">
        <f t="shared" ref="R166:R176" si="66">VALUE(IF(RIGHT(RIGHT(A166,SEARCH("-",A166)),1)="M", RIGHT(LEFT(A166,LEN(A166)-1),LEN(LEFT(A166,LEN(A166)-1))-SEARCH("-",A166)),RIGHT(A166,LEN(A166)-SEARCH("-",A166))))</f>
        <v>51</v>
      </c>
      <c r="S166">
        <v>165</v>
      </c>
    </row>
    <row r="167" spans="1:19" x14ac:dyDescent="0.25">
      <c r="A167" t="s">
        <v>8</v>
      </c>
      <c r="B167" s="1">
        <v>4.9336060586903602E-8</v>
      </c>
      <c r="C167" s="2">
        <f t="shared" si="61"/>
        <v>-1</v>
      </c>
      <c r="D167" s="2">
        <f t="shared" si="61"/>
        <v>-1</v>
      </c>
      <c r="E167" s="2">
        <f t="shared" si="61"/>
        <v>2.7000000000000002E-9</v>
      </c>
      <c r="F167" s="2">
        <f t="shared" si="61"/>
        <v>2.2999999999999999E-9</v>
      </c>
      <c r="G167" s="2">
        <f t="shared" si="61"/>
        <v>-1</v>
      </c>
      <c r="H167" s="2">
        <f t="shared" si="61"/>
        <v>-1</v>
      </c>
      <c r="I167" s="2">
        <f t="shared" si="62"/>
        <v>7.5999999999999996E-10</v>
      </c>
      <c r="J167" s="2">
        <f t="shared" si="57"/>
        <v>4.6000000000000001E-10</v>
      </c>
      <c r="K167" s="2">
        <f t="shared" si="63"/>
        <v>2.7000000000000002E-9</v>
      </c>
      <c r="L167" s="2">
        <f t="shared" si="64"/>
        <v>3.7E-9</v>
      </c>
      <c r="M167" s="2">
        <f t="shared" si="65"/>
        <v>7.1000000000000003E-10</v>
      </c>
      <c r="N167" s="2">
        <f t="shared" si="59"/>
        <v>40</v>
      </c>
      <c r="O167" s="2">
        <f t="shared" si="60"/>
        <v>1</v>
      </c>
      <c r="P167" t="s">
        <v>142</v>
      </c>
      <c r="Q167">
        <v>1</v>
      </c>
      <c r="R167" s="4">
        <f t="shared" si="66"/>
        <v>45</v>
      </c>
      <c r="S167">
        <v>166</v>
      </c>
    </row>
    <row r="168" spans="1:19" x14ac:dyDescent="0.25">
      <c r="A168" t="s">
        <v>7</v>
      </c>
      <c r="B168" s="1">
        <v>7.2971789786146596E-14</v>
      </c>
      <c r="C168" s="2">
        <f t="shared" si="61"/>
        <v>3.4000000000000001E-10</v>
      </c>
      <c r="D168" s="2">
        <f t="shared" si="61"/>
        <v>4.8999999999999996E-10</v>
      </c>
      <c r="E168" s="2">
        <f t="shared" si="61"/>
        <v>6.8999999999999997E-9</v>
      </c>
      <c r="F168" s="2">
        <f t="shared" si="61"/>
        <v>5.1000000000000002E-9</v>
      </c>
      <c r="G168" s="2">
        <f t="shared" si="61"/>
        <v>-1</v>
      </c>
      <c r="H168" s="2">
        <f t="shared" si="61"/>
        <v>-1</v>
      </c>
      <c r="I168" s="2">
        <f t="shared" si="62"/>
        <v>9.2999999999999999E-10</v>
      </c>
      <c r="J168" s="2">
        <f t="shared" si="57"/>
        <v>3.3E-10</v>
      </c>
      <c r="K168" s="2">
        <f t="shared" si="63"/>
        <v>7.3E-9</v>
      </c>
      <c r="L168" s="2">
        <f t="shared" si="64"/>
        <v>-1</v>
      </c>
      <c r="M168" s="2">
        <f t="shared" si="65"/>
        <v>9.2999999999999999E-10</v>
      </c>
      <c r="N168" s="2">
        <f t="shared" si="59"/>
        <v>10</v>
      </c>
      <c r="O168" s="2">
        <f t="shared" si="60"/>
        <v>0.60000000000000009</v>
      </c>
      <c r="P168" t="s">
        <v>142</v>
      </c>
      <c r="Q168">
        <v>1</v>
      </c>
      <c r="R168" s="4">
        <f t="shared" si="66"/>
        <v>36</v>
      </c>
      <c r="S168">
        <v>167</v>
      </c>
    </row>
    <row r="169" spans="1:19" x14ac:dyDescent="0.25">
      <c r="A169" t="s">
        <v>6</v>
      </c>
      <c r="B169" s="1">
        <v>9.1822557079505605E-8</v>
      </c>
      <c r="C169" s="2">
        <f t="shared" si="61"/>
        <v>5.2999999999999998E-11</v>
      </c>
      <c r="D169" s="2">
        <f t="shared" si="61"/>
        <v>7.9999999999999995E-11</v>
      </c>
      <c r="E169" s="2">
        <f t="shared" si="61"/>
        <v>1.3000000000000001E-9</v>
      </c>
      <c r="F169" s="2">
        <f t="shared" si="61"/>
        <v>1.0999999999999999E-9</v>
      </c>
      <c r="G169" s="2">
        <f t="shared" si="61"/>
        <v>-1</v>
      </c>
      <c r="H169" s="2">
        <f t="shared" si="61"/>
        <v>-1</v>
      </c>
      <c r="I169" s="2">
        <f t="shared" si="62"/>
        <v>7.7000000000000003E-10</v>
      </c>
      <c r="J169" s="2">
        <f t="shared" si="57"/>
        <v>5.0999999999999998E-11</v>
      </c>
      <c r="K169" s="2">
        <f t="shared" si="63"/>
        <v>1.3999999999999999E-9</v>
      </c>
      <c r="L169" s="2">
        <f t="shared" si="64"/>
        <v>1.9000000000000001E-9</v>
      </c>
      <c r="M169" s="2">
        <f t="shared" si="65"/>
        <v>7.7000000000000003E-10</v>
      </c>
      <c r="N169" s="2">
        <f t="shared" si="59"/>
        <v>40</v>
      </c>
      <c r="O169" s="2">
        <f t="shared" si="60"/>
        <v>3</v>
      </c>
      <c r="P169" t="s">
        <v>142</v>
      </c>
      <c r="Q169">
        <v>1</v>
      </c>
      <c r="R169" s="4">
        <f t="shared" si="66"/>
        <v>35</v>
      </c>
      <c r="S169">
        <v>168</v>
      </c>
    </row>
    <row r="170" spans="1:19" x14ac:dyDescent="0.25">
      <c r="A170" t="s">
        <v>5</v>
      </c>
      <c r="B170" s="1">
        <v>3.1647088015922699E-7</v>
      </c>
      <c r="C170" s="2">
        <f t="shared" si="61"/>
        <v>9.6000000000000005E-11</v>
      </c>
      <c r="D170" s="2">
        <f t="shared" si="61"/>
        <v>1.4000000000000001E-10</v>
      </c>
      <c r="E170" s="2">
        <f t="shared" si="61"/>
        <v>1.3999999999999999E-9</v>
      </c>
      <c r="F170" s="2">
        <f t="shared" si="61"/>
        <v>1.3000000000000001E-9</v>
      </c>
      <c r="G170" s="2">
        <f t="shared" si="61"/>
        <v>-1</v>
      </c>
      <c r="H170" s="2">
        <f t="shared" si="61"/>
        <v>-1</v>
      </c>
      <c r="I170" s="2">
        <f t="shared" si="62"/>
        <v>2.4E-10</v>
      </c>
      <c r="J170" s="2">
        <f t="shared" si="57"/>
        <v>9.2000000000000005E-11</v>
      </c>
      <c r="K170" s="2">
        <f t="shared" si="63"/>
        <v>1.5E-9</v>
      </c>
      <c r="L170" s="2">
        <f t="shared" si="64"/>
        <v>-1</v>
      </c>
      <c r="M170" s="2">
        <f t="shared" si="65"/>
        <v>2.4E-10</v>
      </c>
      <c r="N170" s="2">
        <f t="shared" si="59"/>
        <v>40</v>
      </c>
      <c r="O170" s="2">
        <f t="shared" si="60"/>
        <v>1</v>
      </c>
      <c r="P170" t="s">
        <v>142</v>
      </c>
      <c r="Q170">
        <v>1</v>
      </c>
      <c r="R170" s="4">
        <f t="shared" si="66"/>
        <v>33</v>
      </c>
      <c r="S170">
        <v>169</v>
      </c>
    </row>
    <row r="171" spans="1:19" x14ac:dyDescent="0.25">
      <c r="A171" t="s">
        <v>4</v>
      </c>
      <c r="B171" s="1">
        <v>5.6251134567637104E-7</v>
      </c>
      <c r="C171" s="2">
        <f t="shared" si="61"/>
        <v>8.0000000000000003E-10</v>
      </c>
      <c r="D171" s="2">
        <f t="shared" si="61"/>
        <v>1.0999999999999999E-9</v>
      </c>
      <c r="E171" s="2">
        <f t="shared" si="61"/>
        <v>3.2000000000000001E-9</v>
      </c>
      <c r="F171" s="2">
        <f t="shared" si="61"/>
        <v>2.8999999999999999E-9</v>
      </c>
      <c r="G171" s="2">
        <f t="shared" si="61"/>
        <v>-1</v>
      </c>
      <c r="H171" s="2">
        <f t="shared" si="61"/>
        <v>-1</v>
      </c>
      <c r="I171" s="2">
        <f t="shared" si="62"/>
        <v>2.4E-9</v>
      </c>
      <c r="J171" s="2">
        <f t="shared" si="57"/>
        <v>7.7000000000000003E-10</v>
      </c>
      <c r="K171" s="2">
        <f t="shared" si="63"/>
        <v>3.3999999999999998E-9</v>
      </c>
      <c r="L171" s="2">
        <f t="shared" si="64"/>
        <v>-1</v>
      </c>
      <c r="M171" s="2">
        <f t="shared" si="65"/>
        <v>2.4E-9</v>
      </c>
      <c r="N171" s="2">
        <f t="shared" si="59"/>
        <v>0.5</v>
      </c>
      <c r="O171" s="2">
        <f t="shared" si="60"/>
        <v>0.5</v>
      </c>
      <c r="P171" t="s">
        <v>142</v>
      </c>
      <c r="Q171">
        <v>1</v>
      </c>
      <c r="R171" s="4">
        <f t="shared" si="66"/>
        <v>32</v>
      </c>
      <c r="S171">
        <v>170</v>
      </c>
    </row>
    <row r="172" spans="1:19" x14ac:dyDescent="0.25">
      <c r="A172" t="s">
        <v>3</v>
      </c>
      <c r="B172" s="1">
        <v>8.4391242654282595E-9</v>
      </c>
      <c r="C172" s="2">
        <f t="shared" si="61"/>
        <v>1.3000000000000001E-9</v>
      </c>
      <c r="D172" s="2">
        <f t="shared" si="61"/>
        <v>2.0000000000000001E-9</v>
      </c>
      <c r="E172" s="2">
        <f t="shared" si="61"/>
        <v>-1</v>
      </c>
      <c r="F172" s="2">
        <f t="shared" si="61"/>
        <v>-1</v>
      </c>
      <c r="G172" s="2">
        <f t="shared" si="61"/>
        <v>-1</v>
      </c>
      <c r="H172" s="2">
        <f t="shared" si="61"/>
        <v>-1</v>
      </c>
      <c r="I172" s="2">
        <f t="shared" si="62"/>
        <v>3.2000000000000001E-9</v>
      </c>
      <c r="J172" s="2">
        <f t="shared" si="57"/>
        <v>1.3000000000000001E-9</v>
      </c>
      <c r="K172" s="2">
        <f t="shared" si="63"/>
        <v>-1</v>
      </c>
      <c r="L172" s="2">
        <f t="shared" si="64"/>
        <v>-1</v>
      </c>
      <c r="M172" s="2">
        <f t="shared" si="65"/>
        <v>3.2000000000000001E-9</v>
      </c>
      <c r="N172" s="2">
        <f t="shared" si="59"/>
        <v>0.5</v>
      </c>
      <c r="O172" s="2">
        <f t="shared" si="60"/>
        <v>0.5</v>
      </c>
      <c r="P172" t="s">
        <v>142</v>
      </c>
      <c r="Q172">
        <v>1</v>
      </c>
      <c r="R172" s="4">
        <f t="shared" si="66"/>
        <v>22</v>
      </c>
      <c r="S172">
        <v>171</v>
      </c>
    </row>
    <row r="173" spans="1:19" x14ac:dyDescent="0.25">
      <c r="A173" t="s">
        <v>2</v>
      </c>
      <c r="B173" s="1">
        <v>3.8534225834438797E-12</v>
      </c>
      <c r="C173" s="2">
        <f t="shared" si="61"/>
        <v>-1</v>
      </c>
      <c r="D173" s="2">
        <f t="shared" si="61"/>
        <v>-1</v>
      </c>
      <c r="E173" s="2">
        <f t="shared" si="61"/>
        <v>-1</v>
      </c>
      <c r="F173" s="2">
        <f t="shared" si="61"/>
        <v>-1</v>
      </c>
      <c r="G173" s="2">
        <f t="shared" si="61"/>
        <v>-1</v>
      </c>
      <c r="H173" s="2">
        <f t="shared" si="61"/>
        <v>-1</v>
      </c>
      <c r="I173" s="2">
        <f t="shared" si="62"/>
        <v>5.7999999999999996E-10</v>
      </c>
      <c r="J173" s="2">
        <f t="shared" si="57"/>
        <v>2.0000000000000001E-10</v>
      </c>
      <c r="K173" s="2">
        <f>IF(ISNA(VLOOKUP($A173,_72inh,2,FALSE)),-1,VLOOKUP($A173,_72inh,3,FALSE))</f>
        <v>2.0000000000000001E-9</v>
      </c>
      <c r="L173" s="2">
        <f t="shared" si="64"/>
        <v>5.7999999999999998E-9</v>
      </c>
      <c r="M173" s="2">
        <f t="shared" si="65"/>
        <v>5.7999999999999996E-10</v>
      </c>
      <c r="N173" s="2">
        <f t="shared" si="59"/>
        <v>40</v>
      </c>
      <c r="O173" s="2">
        <f t="shared" si="60"/>
        <v>3</v>
      </c>
      <c r="P173" t="s">
        <v>142</v>
      </c>
      <c r="Q173">
        <v>1</v>
      </c>
      <c r="R173" s="4">
        <f t="shared" si="66"/>
        <v>14</v>
      </c>
      <c r="S173">
        <v>172</v>
      </c>
    </row>
    <row r="174" spans="1:19" x14ac:dyDescent="0.25">
      <c r="A174" t="s">
        <v>1</v>
      </c>
      <c r="B174" s="1">
        <v>1.78283350045699E-9</v>
      </c>
      <c r="C174" s="2">
        <f t="shared" si="61"/>
        <v>-1</v>
      </c>
      <c r="D174" s="2">
        <f t="shared" si="61"/>
        <v>-1</v>
      </c>
      <c r="E174" s="2">
        <f t="shared" si="61"/>
        <v>-1</v>
      </c>
      <c r="F174" s="2">
        <f t="shared" si="61"/>
        <v>-1</v>
      </c>
      <c r="G174" s="2">
        <f t="shared" si="61"/>
        <v>-1</v>
      </c>
      <c r="H174" s="2">
        <f t="shared" si="61"/>
        <v>-1</v>
      </c>
      <c r="I174" s="2">
        <f t="shared" si="62"/>
        <v>4.1999999999999997E-11</v>
      </c>
      <c r="J174" s="2">
        <f t="shared" si="57"/>
        <v>6.2000000000000002E-12</v>
      </c>
      <c r="K174" s="2">
        <f t="shared" si="63"/>
        <v>4.5E-11</v>
      </c>
      <c r="L174" s="2">
        <f t="shared" si="64"/>
        <v>2.5999999999999998E-10</v>
      </c>
      <c r="M174" s="2">
        <f t="shared" si="65"/>
        <v>4.1999999999999997E-11</v>
      </c>
      <c r="N174" s="2">
        <f t="shared" si="59"/>
        <v>0</v>
      </c>
      <c r="O174" s="2">
        <f t="shared" si="60"/>
        <v>0</v>
      </c>
      <c r="P174" t="s">
        <v>142</v>
      </c>
      <c r="Q174">
        <v>1</v>
      </c>
      <c r="R174" s="4">
        <f t="shared" si="66"/>
        <v>3</v>
      </c>
      <c r="S174">
        <v>173</v>
      </c>
    </row>
    <row r="175" spans="1:19" x14ac:dyDescent="0.25">
      <c r="A175" t="s">
        <v>717</v>
      </c>
      <c r="B175" s="1">
        <v>1.7387379306537502E-8</v>
      </c>
      <c r="C175" s="2">
        <f t="shared" si="61"/>
        <v>8.0999999999999997E-9</v>
      </c>
      <c r="D175" s="2">
        <f t="shared" si="61"/>
        <v>9.5999999999999999E-9</v>
      </c>
      <c r="E175" s="2">
        <f t="shared" si="61"/>
        <v>6.2000000000000001E-9</v>
      </c>
      <c r="F175" s="2">
        <f t="shared" si="61"/>
        <v>5.1000000000000002E-9</v>
      </c>
      <c r="G175" s="2">
        <f t="shared" si="61"/>
        <v>5.7999999999999998E-9</v>
      </c>
      <c r="H175" s="2">
        <f t="shared" si="61"/>
        <v>4.3999999999999997E-9</v>
      </c>
      <c r="I175" s="2">
        <f t="shared" ref="I175:I176" si="67">IF(ISNA(VLOOKUP(A175,_68ing,2,FALSE)),-1,VLOOKUP(A175,_68ing,2,FALSE))</f>
        <v>2.0000000000000001E-9</v>
      </c>
      <c r="J175" s="2">
        <f t="shared" si="57"/>
        <v>8.0999999999999997E-9</v>
      </c>
      <c r="K175" s="2">
        <f t="shared" si="63"/>
        <v>6.6000000000000004E-9</v>
      </c>
      <c r="L175" s="2">
        <f t="shared" si="64"/>
        <v>6.2000000000000001E-9</v>
      </c>
      <c r="M175" s="2">
        <f t="shared" ref="M175:M176" si="68">IF(ISNA(VLOOKUP(A175,_72ing,2,FALSE)),-1,VLOOKUP(A175,_72ing,2,FALSE))</f>
        <v>2.0000000000000001E-9</v>
      </c>
      <c r="N175" s="2">
        <f t="shared" si="59"/>
        <v>30</v>
      </c>
      <c r="O175" s="2">
        <f t="shared" si="60"/>
        <v>2</v>
      </c>
      <c r="P175" t="s">
        <v>142</v>
      </c>
      <c r="Q175">
        <v>1</v>
      </c>
      <c r="R175" s="4">
        <f t="shared" si="66"/>
        <v>109</v>
      </c>
      <c r="S175">
        <v>174</v>
      </c>
    </row>
    <row r="176" spans="1:19" x14ac:dyDescent="0.25">
      <c r="A176" t="s">
        <v>623</v>
      </c>
      <c r="B176" s="1">
        <v>1.0524235227596267E-4</v>
      </c>
      <c r="C176" s="2">
        <f t="shared" si="61"/>
        <v>3E-11</v>
      </c>
      <c r="D176" s="2">
        <f t="shared" si="61"/>
        <v>5.4000000000000001E-11</v>
      </c>
      <c r="E176" s="2">
        <f t="shared" si="61"/>
        <v>5.6999999999999997E-11</v>
      </c>
      <c r="F176" s="2">
        <f t="shared" si="61"/>
        <v>8.9000000000000003E-11</v>
      </c>
      <c r="G176" s="2">
        <f t="shared" si="61"/>
        <v>6E-11</v>
      </c>
      <c r="H176" s="2">
        <f t="shared" si="61"/>
        <v>9.3000000000000002E-11</v>
      </c>
      <c r="I176" s="2">
        <f t="shared" si="67"/>
        <v>4.8999999999999999E-11</v>
      </c>
      <c r="J176" s="2">
        <f t="shared" si="57"/>
        <v>2.8E-11</v>
      </c>
      <c r="K176" s="2">
        <f t="shared" si="63"/>
        <v>5.6E-11</v>
      </c>
      <c r="L176" s="2">
        <f t="shared" si="64"/>
        <v>5.9000000000000003E-11</v>
      </c>
      <c r="M176" s="2">
        <f t="shared" si="68"/>
        <v>4.8999999999999999E-11</v>
      </c>
      <c r="N176" s="2">
        <f t="shared" si="59"/>
        <v>1</v>
      </c>
      <c r="O176" s="2">
        <f t="shared" si="60"/>
        <v>0.60000000000000009</v>
      </c>
      <c r="P176" t="s">
        <v>142</v>
      </c>
      <c r="Q176">
        <v>1</v>
      </c>
      <c r="R176" s="4">
        <f t="shared" si="66"/>
        <v>18</v>
      </c>
      <c r="S176">
        <v>175</v>
      </c>
    </row>
    <row r="179" spans="13:13" x14ac:dyDescent="0.25">
      <c r="M179">
        <f>+M183</f>
        <v>0</v>
      </c>
    </row>
  </sheetData>
  <autoFilter ref="A1:S174"/>
  <sortState ref="A3:T171">
    <sortCondition ref="A3:A171"/>
    <sortCondition descending="1" ref="Q3:Q171"/>
  </sortState>
  <hyperlinks>
    <hyperlink ref="B175" r:id="rId1" display="=@ln(2)/39864960"/>
    <hyperlink ref="B176" r:id="rId2" display="=@ln(2)/(109.77*Conversions!B1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B11"/>
  <sheetViews>
    <sheetView workbookViewId="0">
      <selection activeCell="A11" sqref="A11"/>
    </sheetView>
  </sheetViews>
  <sheetFormatPr defaultRowHeight="15" x14ac:dyDescent="0.25"/>
  <cols>
    <col min="1" max="1" width="18.5703125" bestFit="1" customWidth="1"/>
    <col min="2" max="2" width="11" bestFit="1" customWidth="1"/>
  </cols>
  <sheetData>
    <row r="2" spans="1:2" x14ac:dyDescent="0.25">
      <c r="A2" t="s">
        <v>2021</v>
      </c>
      <c r="B2">
        <v>365.25</v>
      </c>
    </row>
    <row r="3" spans="1:2" x14ac:dyDescent="0.25">
      <c r="A3" t="s">
        <v>2022</v>
      </c>
      <c r="B3">
        <v>24</v>
      </c>
    </row>
    <row r="4" spans="1:2" x14ac:dyDescent="0.25">
      <c r="A4" t="s">
        <v>2023</v>
      </c>
      <c r="B4">
        <v>60</v>
      </c>
    </row>
    <row r="5" spans="1:2" x14ac:dyDescent="0.25">
      <c r="A5" t="s">
        <v>2024</v>
      </c>
      <c r="B5">
        <v>60</v>
      </c>
    </row>
    <row r="7" spans="1:2" x14ac:dyDescent="0.25">
      <c r="B7" t="s">
        <v>2028</v>
      </c>
    </row>
    <row r="8" spans="1:2" x14ac:dyDescent="0.25">
      <c r="A8" t="s">
        <v>2025</v>
      </c>
      <c r="B8">
        <f>PRODUCT(B2:$B$5)</f>
        <v>31557600</v>
      </c>
    </row>
    <row r="9" spans="1:2" x14ac:dyDescent="0.25">
      <c r="A9" t="s">
        <v>2026</v>
      </c>
      <c r="B9">
        <f>PRODUCT(B3:$B$5)</f>
        <v>86400</v>
      </c>
    </row>
    <row r="10" spans="1:2" x14ac:dyDescent="0.25">
      <c r="A10" t="s">
        <v>2027</v>
      </c>
      <c r="B10">
        <f>PRODUCT(B4:$B$5)</f>
        <v>3600</v>
      </c>
    </row>
    <row r="11" spans="1:2" x14ac:dyDescent="0.25">
      <c r="A11" t="s">
        <v>2029</v>
      </c>
      <c r="B11">
        <f>PRODUCT(B5:$B$5)</f>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500"/>
  <sheetViews>
    <sheetView tabSelected="1" workbookViewId="0">
      <selection activeCell="A3" sqref="A3"/>
    </sheetView>
  </sheetViews>
  <sheetFormatPr defaultRowHeight="15" x14ac:dyDescent="0.25"/>
  <sheetData>
    <row r="1" spans="1:1" x14ac:dyDescent="0.25">
      <c r="A1" t="s">
        <v>152</v>
      </c>
    </row>
    <row r="2" spans="1:1" x14ac:dyDescent="0.25">
      <c r="A2" t="s">
        <v>467</v>
      </c>
    </row>
    <row r="3" spans="1:1" x14ac:dyDescent="0.25">
      <c r="A3" t="s">
        <v>1872</v>
      </c>
    </row>
    <row r="4" spans="1:1" x14ac:dyDescent="0.25">
      <c r="A4" t="s">
        <v>1873</v>
      </c>
    </row>
    <row r="5" spans="1:1" x14ac:dyDescent="0.25">
      <c r="A5" t="s">
        <v>1230</v>
      </c>
    </row>
    <row r="6" spans="1:1" x14ac:dyDescent="0.25">
      <c r="A6" t="s">
        <v>1231</v>
      </c>
    </row>
    <row r="7" spans="1:1" x14ac:dyDescent="0.25">
      <c r="A7" t="s">
        <v>1874</v>
      </c>
    </row>
    <row r="8" spans="1:1" x14ac:dyDescent="0.25">
      <c r="A8" t="s">
        <v>1875</v>
      </c>
    </row>
    <row r="9" spans="1:1" x14ac:dyDescent="0.25">
      <c r="A9" t="s">
        <v>1232</v>
      </c>
    </row>
    <row r="10" spans="1:1" x14ac:dyDescent="0.25">
      <c r="A10" t="s">
        <v>1233</v>
      </c>
    </row>
    <row r="11" spans="1:1" x14ac:dyDescent="0.25">
      <c r="A11" t="s">
        <v>1883</v>
      </c>
    </row>
    <row r="12" spans="1:1" x14ac:dyDescent="0.25">
      <c r="A12" t="s">
        <v>1884</v>
      </c>
    </row>
    <row r="13" spans="1:1" x14ac:dyDescent="0.25">
      <c r="A13" t="s">
        <v>1234</v>
      </c>
    </row>
    <row r="14" spans="1:1" x14ac:dyDescent="0.25">
      <c r="A14" t="s">
        <v>2106</v>
      </c>
    </row>
    <row r="15" spans="1:1" x14ac:dyDescent="0.25">
      <c r="A15" t="s">
        <v>2107</v>
      </c>
    </row>
    <row r="16" spans="1:1" x14ac:dyDescent="0.25">
      <c r="A16" t="s">
        <v>169</v>
      </c>
    </row>
    <row r="17" spans="1:1" x14ac:dyDescent="0.25">
      <c r="A17" t="s">
        <v>245</v>
      </c>
    </row>
    <row r="18" spans="1:1" x14ac:dyDescent="0.25">
      <c r="A18" t="s">
        <v>246</v>
      </c>
    </row>
    <row r="19" spans="1:1" x14ac:dyDescent="0.25">
      <c r="A19" t="s">
        <v>156</v>
      </c>
    </row>
    <row r="20" spans="1:1" x14ac:dyDescent="0.25">
      <c r="A20" t="s">
        <v>151</v>
      </c>
    </row>
    <row r="21" spans="1:1" x14ac:dyDescent="0.25">
      <c r="A21" t="s">
        <v>152</v>
      </c>
    </row>
    <row r="22" spans="1:1" x14ac:dyDescent="0.25">
      <c r="A22" t="s">
        <v>529</v>
      </c>
    </row>
    <row r="23" spans="1:1" x14ac:dyDescent="0.25">
      <c r="A23" t="s">
        <v>1872</v>
      </c>
    </row>
    <row r="24" spans="1:1" x14ac:dyDescent="0.25">
      <c r="A24" t="s">
        <v>1873</v>
      </c>
    </row>
    <row r="25" spans="1:1" x14ac:dyDescent="0.25">
      <c r="A25" t="s">
        <v>1235</v>
      </c>
    </row>
    <row r="26" spans="1:1" x14ac:dyDescent="0.25">
      <c r="A26" t="s">
        <v>1236</v>
      </c>
    </row>
    <row r="27" spans="1:1" x14ac:dyDescent="0.25">
      <c r="A27" t="s">
        <v>1237</v>
      </c>
    </row>
    <row r="28" spans="1:1" x14ac:dyDescent="0.25">
      <c r="A28" t="s">
        <v>1238</v>
      </c>
    </row>
    <row r="29" spans="1:1" x14ac:dyDescent="0.25">
      <c r="A29" t="s">
        <v>1239</v>
      </c>
    </row>
    <row r="30" spans="1:1" x14ac:dyDescent="0.25">
      <c r="A30" t="s">
        <v>1240</v>
      </c>
    </row>
    <row r="31" spans="1:1" x14ac:dyDescent="0.25">
      <c r="A31" t="s">
        <v>1885</v>
      </c>
    </row>
    <row r="32" spans="1:1" x14ac:dyDescent="0.25">
      <c r="A32" t="s">
        <v>1886</v>
      </c>
    </row>
    <row r="33" spans="1:1" x14ac:dyDescent="0.25">
      <c r="A33" t="s">
        <v>1242</v>
      </c>
    </row>
    <row r="34" spans="1:1" x14ac:dyDescent="0.25">
      <c r="A34" t="s">
        <v>2100</v>
      </c>
    </row>
    <row r="35" spans="1:1" x14ac:dyDescent="0.25">
      <c r="A35" t="s">
        <v>2108</v>
      </c>
    </row>
    <row r="36" spans="1:1" x14ac:dyDescent="0.25">
      <c r="A36" t="s">
        <v>356</v>
      </c>
    </row>
    <row r="37" spans="1:1" x14ac:dyDescent="0.25">
      <c r="A37" t="s">
        <v>357</v>
      </c>
    </row>
    <row r="38" spans="1:1" x14ac:dyDescent="0.25">
      <c r="A38" t="s">
        <v>155</v>
      </c>
    </row>
    <row r="39" spans="1:1" x14ac:dyDescent="0.25">
      <c r="A39" t="s">
        <v>156</v>
      </c>
    </row>
    <row r="40" spans="1:1" x14ac:dyDescent="0.25">
      <c r="A40" t="s">
        <v>151</v>
      </c>
    </row>
    <row r="41" spans="1:1" x14ac:dyDescent="0.25">
      <c r="A41" t="s">
        <v>152</v>
      </c>
    </row>
    <row r="42" spans="1:1" x14ac:dyDescent="0.25">
      <c r="A42" t="s">
        <v>578</v>
      </c>
    </row>
    <row r="43" spans="1:1" x14ac:dyDescent="0.25">
      <c r="A43" t="s">
        <v>1243</v>
      </c>
    </row>
    <row r="44" spans="1:1" x14ac:dyDescent="0.25">
      <c r="A44" t="s">
        <v>1244</v>
      </c>
    </row>
    <row r="45" spans="1:1" x14ac:dyDescent="0.25">
      <c r="A45" t="s">
        <v>1245</v>
      </c>
    </row>
    <row r="46" spans="1:1" x14ac:dyDescent="0.25">
      <c r="A46" t="s">
        <v>1246</v>
      </c>
    </row>
    <row r="47" spans="1:1" x14ac:dyDescent="0.25">
      <c r="A47" t="s">
        <v>1247</v>
      </c>
    </row>
    <row r="48" spans="1:1" x14ac:dyDescent="0.25">
      <c r="A48" t="s">
        <v>1248</v>
      </c>
    </row>
    <row r="49" spans="1:1" x14ac:dyDescent="0.25">
      <c r="A49" t="s">
        <v>1249</v>
      </c>
    </row>
    <row r="50" spans="1:1" x14ac:dyDescent="0.25">
      <c r="A50" t="s">
        <v>1250</v>
      </c>
    </row>
    <row r="51" spans="1:1" x14ac:dyDescent="0.25">
      <c r="A51" t="s">
        <v>1887</v>
      </c>
    </row>
    <row r="52" spans="1:1" x14ac:dyDescent="0.25">
      <c r="A52" t="s">
        <v>1538</v>
      </c>
    </row>
    <row r="53" spans="1:1" x14ac:dyDescent="0.25">
      <c r="A53" t="s">
        <v>1251</v>
      </c>
    </row>
    <row r="54" spans="1:1" x14ac:dyDescent="0.25">
      <c r="A54" t="s">
        <v>2090</v>
      </c>
    </row>
    <row r="55" spans="1:1" x14ac:dyDescent="0.25">
      <c r="A55" t="s">
        <v>2109</v>
      </c>
    </row>
    <row r="56" spans="1:1" x14ac:dyDescent="0.25">
      <c r="A56" t="s">
        <v>430</v>
      </c>
    </row>
    <row r="57" spans="1:1" x14ac:dyDescent="0.25">
      <c r="A57" t="s">
        <v>431</v>
      </c>
    </row>
    <row r="58" spans="1:1" x14ac:dyDescent="0.25">
      <c r="A58" t="s">
        <v>155</v>
      </c>
    </row>
    <row r="59" spans="1:1" x14ac:dyDescent="0.25">
      <c r="A59" t="s">
        <v>156</v>
      </c>
    </row>
    <row r="60" spans="1:1" x14ac:dyDescent="0.25">
      <c r="A60" t="s">
        <v>151</v>
      </c>
    </row>
    <row r="61" spans="1:1" x14ac:dyDescent="0.25">
      <c r="A61" t="s">
        <v>152</v>
      </c>
    </row>
    <row r="62" spans="1:1" x14ac:dyDescent="0.25">
      <c r="A62" t="s">
        <v>566</v>
      </c>
    </row>
    <row r="63" spans="1:1" x14ac:dyDescent="0.25">
      <c r="A63" t="s">
        <v>1872</v>
      </c>
    </row>
    <row r="64" spans="1:1" x14ac:dyDescent="0.25">
      <c r="A64" t="s">
        <v>1873</v>
      </c>
    </row>
    <row r="65" spans="1:1" x14ac:dyDescent="0.25">
      <c r="A65" t="s">
        <v>1252</v>
      </c>
    </row>
    <row r="66" spans="1:1" x14ac:dyDescent="0.25">
      <c r="A66" t="s">
        <v>1253</v>
      </c>
    </row>
    <row r="67" spans="1:1" x14ac:dyDescent="0.25">
      <c r="A67" t="s">
        <v>1254</v>
      </c>
    </row>
    <row r="68" spans="1:1" x14ac:dyDescent="0.25">
      <c r="A68" t="s">
        <v>1255</v>
      </c>
    </row>
    <row r="69" spans="1:1" x14ac:dyDescent="0.25">
      <c r="A69" t="s">
        <v>1256</v>
      </c>
    </row>
    <row r="70" spans="1:1" x14ac:dyDescent="0.25">
      <c r="A70" t="s">
        <v>1257</v>
      </c>
    </row>
    <row r="71" spans="1:1" x14ac:dyDescent="0.25">
      <c r="A71" t="s">
        <v>1618</v>
      </c>
    </row>
    <row r="72" spans="1:1" x14ac:dyDescent="0.25">
      <c r="A72" t="s">
        <v>1888</v>
      </c>
    </row>
    <row r="73" spans="1:1" x14ac:dyDescent="0.25">
      <c r="A73" t="s">
        <v>1258</v>
      </c>
    </row>
    <row r="74" spans="1:1" x14ac:dyDescent="0.25">
      <c r="A74" t="s">
        <v>2091</v>
      </c>
    </row>
    <row r="75" spans="1:1" x14ac:dyDescent="0.25">
      <c r="A75" t="s">
        <v>2110</v>
      </c>
    </row>
    <row r="76" spans="1:1" x14ac:dyDescent="0.25">
      <c r="A76" t="s">
        <v>413</v>
      </c>
    </row>
    <row r="77" spans="1:1" x14ac:dyDescent="0.25">
      <c r="A77" t="s">
        <v>414</v>
      </c>
    </row>
    <row r="78" spans="1:1" x14ac:dyDescent="0.25">
      <c r="A78" t="s">
        <v>155</v>
      </c>
    </row>
    <row r="79" spans="1:1" x14ac:dyDescent="0.25">
      <c r="A79" t="s">
        <v>156</v>
      </c>
    </row>
    <row r="80" spans="1:1" x14ac:dyDescent="0.25">
      <c r="A80" t="s">
        <v>151</v>
      </c>
    </row>
    <row r="81" spans="1:1" x14ac:dyDescent="0.25">
      <c r="A81" t="s">
        <v>152</v>
      </c>
    </row>
    <row r="82" spans="1:1" x14ac:dyDescent="0.25">
      <c r="A82" t="s">
        <v>506</v>
      </c>
    </row>
    <row r="83" spans="1:1" x14ac:dyDescent="0.25">
      <c r="A83" t="s">
        <v>1872</v>
      </c>
    </row>
    <row r="84" spans="1:1" x14ac:dyDescent="0.25">
      <c r="A84" t="s">
        <v>1873</v>
      </c>
    </row>
    <row r="85" spans="1:1" x14ac:dyDescent="0.25">
      <c r="A85" t="s">
        <v>1876</v>
      </c>
    </row>
    <row r="86" spans="1:1" x14ac:dyDescent="0.25">
      <c r="A86" t="s">
        <v>1877</v>
      </c>
    </row>
    <row r="87" spans="1:1" x14ac:dyDescent="0.25">
      <c r="A87" t="s">
        <v>1874</v>
      </c>
    </row>
    <row r="88" spans="1:1" x14ac:dyDescent="0.25">
      <c r="A88" t="s">
        <v>1875</v>
      </c>
    </row>
    <row r="89" spans="1:1" x14ac:dyDescent="0.25">
      <c r="A89" t="s">
        <v>1878</v>
      </c>
    </row>
    <row r="90" spans="1:1" x14ac:dyDescent="0.25">
      <c r="A90" t="s">
        <v>1879</v>
      </c>
    </row>
    <row r="91" spans="1:1" x14ac:dyDescent="0.25">
      <c r="A91" t="s">
        <v>1880</v>
      </c>
    </row>
    <row r="92" spans="1:1" x14ac:dyDescent="0.25">
      <c r="A92" t="s">
        <v>1881</v>
      </c>
    </row>
    <row r="93" spans="1:1" x14ac:dyDescent="0.25">
      <c r="A93" t="s">
        <v>1882</v>
      </c>
    </row>
    <row r="94" spans="1:1" x14ac:dyDescent="0.25">
      <c r="A94" t="s">
        <v>2092</v>
      </c>
    </row>
    <row r="95" spans="1:1" x14ac:dyDescent="0.25">
      <c r="A95" t="s">
        <v>2089</v>
      </c>
    </row>
    <row r="96" spans="1:1" x14ac:dyDescent="0.25">
      <c r="A96" t="s">
        <v>304</v>
      </c>
    </row>
    <row r="97" spans="1:1" x14ac:dyDescent="0.25">
      <c r="A97" t="s">
        <v>306</v>
      </c>
    </row>
    <row r="98" spans="1:1" x14ac:dyDescent="0.25">
      <c r="A98" t="s">
        <v>307</v>
      </c>
    </row>
    <row r="99" spans="1:1" x14ac:dyDescent="0.25">
      <c r="A99" t="s">
        <v>156</v>
      </c>
    </row>
    <row r="100" spans="1:1" x14ac:dyDescent="0.25">
      <c r="A100" t="s">
        <v>151</v>
      </c>
    </row>
    <row r="101" spans="1:1" x14ac:dyDescent="0.25">
      <c r="A101" t="s">
        <v>152</v>
      </c>
    </row>
    <row r="102" spans="1:1" x14ac:dyDescent="0.25">
      <c r="A102" t="s">
        <v>506</v>
      </c>
    </row>
    <row r="103" spans="1:1" x14ac:dyDescent="0.25">
      <c r="A103" t="s">
        <v>1872</v>
      </c>
    </row>
    <row r="104" spans="1:1" x14ac:dyDescent="0.25">
      <c r="A104" t="s">
        <v>1873</v>
      </c>
    </row>
    <row r="105" spans="1:1" x14ac:dyDescent="0.25">
      <c r="A105" t="s">
        <v>1876</v>
      </c>
    </row>
    <row r="106" spans="1:1" x14ac:dyDescent="0.25">
      <c r="A106" t="s">
        <v>1877</v>
      </c>
    </row>
    <row r="107" spans="1:1" x14ac:dyDescent="0.25">
      <c r="A107" t="s">
        <v>1874</v>
      </c>
    </row>
    <row r="108" spans="1:1" x14ac:dyDescent="0.25">
      <c r="A108" t="s">
        <v>1875</v>
      </c>
    </row>
    <row r="109" spans="1:1" x14ac:dyDescent="0.25">
      <c r="A109" t="s">
        <v>1878</v>
      </c>
    </row>
    <row r="110" spans="1:1" x14ac:dyDescent="0.25">
      <c r="A110" t="s">
        <v>1879</v>
      </c>
    </row>
    <row r="111" spans="1:1" x14ac:dyDescent="0.25">
      <c r="A111" t="s">
        <v>1880</v>
      </c>
    </row>
    <row r="112" spans="1:1" x14ac:dyDescent="0.25">
      <c r="A112" t="s">
        <v>1881</v>
      </c>
    </row>
    <row r="113" spans="1:1" x14ac:dyDescent="0.25">
      <c r="A113" t="s">
        <v>1882</v>
      </c>
    </row>
    <row r="114" spans="1:1" x14ac:dyDescent="0.25">
      <c r="A114" t="s">
        <v>2092</v>
      </c>
    </row>
    <row r="115" spans="1:1" x14ac:dyDescent="0.25">
      <c r="A115" t="s">
        <v>2089</v>
      </c>
    </row>
    <row r="116" spans="1:1" x14ac:dyDescent="0.25">
      <c r="A116" t="s">
        <v>308</v>
      </c>
    </row>
    <row r="117" spans="1:1" x14ac:dyDescent="0.25">
      <c r="A117" t="s">
        <v>306</v>
      </c>
    </row>
    <row r="118" spans="1:1" x14ac:dyDescent="0.25">
      <c r="A118" t="s">
        <v>309</v>
      </c>
    </row>
    <row r="119" spans="1:1" x14ac:dyDescent="0.25">
      <c r="A119" t="s">
        <v>156</v>
      </c>
    </row>
    <row r="120" spans="1:1" x14ac:dyDescent="0.25">
      <c r="A120" t="s">
        <v>151</v>
      </c>
    </row>
    <row r="121" spans="1:1" x14ac:dyDescent="0.25">
      <c r="A121" t="s">
        <v>152</v>
      </c>
    </row>
    <row r="122" spans="1:1" x14ac:dyDescent="0.25">
      <c r="A122" t="s">
        <v>574</v>
      </c>
    </row>
    <row r="123" spans="1:1" x14ac:dyDescent="0.25">
      <c r="A123" t="s">
        <v>1259</v>
      </c>
    </row>
    <row r="124" spans="1:1" x14ac:dyDescent="0.25">
      <c r="A124" t="s">
        <v>1260</v>
      </c>
    </row>
    <row r="125" spans="1:1" x14ac:dyDescent="0.25">
      <c r="A125" t="s">
        <v>1261</v>
      </c>
    </row>
    <row r="126" spans="1:1" x14ac:dyDescent="0.25">
      <c r="A126" t="s">
        <v>1262</v>
      </c>
    </row>
    <row r="127" spans="1:1" x14ac:dyDescent="0.25">
      <c r="A127" t="s">
        <v>1263</v>
      </c>
    </row>
    <row r="128" spans="1:1" x14ac:dyDescent="0.25">
      <c r="A128" t="s">
        <v>1264</v>
      </c>
    </row>
    <row r="129" spans="1:1" x14ac:dyDescent="0.25">
      <c r="A129" t="s">
        <v>1265</v>
      </c>
    </row>
    <row r="130" spans="1:1" x14ac:dyDescent="0.25">
      <c r="A130" t="s">
        <v>1266</v>
      </c>
    </row>
    <row r="131" spans="1:1" x14ac:dyDescent="0.25">
      <c r="A131" t="s">
        <v>1889</v>
      </c>
    </row>
    <row r="132" spans="1:1" x14ac:dyDescent="0.25">
      <c r="A132" t="s">
        <v>1890</v>
      </c>
    </row>
    <row r="133" spans="1:1" x14ac:dyDescent="0.25">
      <c r="A133" t="s">
        <v>1267</v>
      </c>
    </row>
    <row r="134" spans="1:1" x14ac:dyDescent="0.25">
      <c r="A134" t="s">
        <v>2102</v>
      </c>
    </row>
    <row r="135" spans="1:1" x14ac:dyDescent="0.25">
      <c r="A135" t="s">
        <v>2111</v>
      </c>
    </row>
    <row r="136" spans="1:1" x14ac:dyDescent="0.25">
      <c r="A136" t="s">
        <v>423</v>
      </c>
    </row>
    <row r="137" spans="1:1" x14ac:dyDescent="0.25">
      <c r="A137" t="s">
        <v>424</v>
      </c>
    </row>
    <row r="138" spans="1:1" x14ac:dyDescent="0.25">
      <c r="A138" t="s">
        <v>155</v>
      </c>
    </row>
    <row r="139" spans="1:1" x14ac:dyDescent="0.25">
      <c r="A139" t="s">
        <v>156</v>
      </c>
    </row>
    <row r="140" spans="1:1" x14ac:dyDescent="0.25">
      <c r="A140" t="s">
        <v>151</v>
      </c>
    </row>
    <row r="141" spans="1:1" x14ac:dyDescent="0.25">
      <c r="A141" t="s">
        <v>152</v>
      </c>
    </row>
    <row r="142" spans="1:1" x14ac:dyDescent="0.25">
      <c r="A142" t="s">
        <v>563</v>
      </c>
    </row>
    <row r="143" spans="1:1" x14ac:dyDescent="0.25">
      <c r="A143" t="s">
        <v>1872</v>
      </c>
    </row>
    <row r="144" spans="1:1" x14ac:dyDescent="0.25">
      <c r="A144" t="s">
        <v>1873</v>
      </c>
    </row>
    <row r="145" spans="1:1" x14ac:dyDescent="0.25">
      <c r="A145" t="s">
        <v>1230</v>
      </c>
    </row>
    <row r="146" spans="1:1" x14ac:dyDescent="0.25">
      <c r="A146" t="s">
        <v>1268</v>
      </c>
    </row>
    <row r="147" spans="1:1" x14ac:dyDescent="0.25">
      <c r="A147" t="s">
        <v>1269</v>
      </c>
    </row>
    <row r="148" spans="1:1" x14ac:dyDescent="0.25">
      <c r="A148" t="s">
        <v>1270</v>
      </c>
    </row>
    <row r="149" spans="1:1" x14ac:dyDescent="0.25">
      <c r="A149" t="s">
        <v>1232</v>
      </c>
    </row>
    <row r="150" spans="1:1" x14ac:dyDescent="0.25">
      <c r="A150" t="s">
        <v>1271</v>
      </c>
    </row>
    <row r="151" spans="1:1" x14ac:dyDescent="0.25">
      <c r="A151" t="s">
        <v>1891</v>
      </c>
    </row>
    <row r="152" spans="1:1" x14ac:dyDescent="0.25">
      <c r="A152" t="s">
        <v>1892</v>
      </c>
    </row>
    <row r="153" spans="1:1" x14ac:dyDescent="0.25">
      <c r="A153" t="s">
        <v>1234</v>
      </c>
    </row>
    <row r="154" spans="1:1" x14ac:dyDescent="0.25">
      <c r="A154" t="s">
        <v>2100</v>
      </c>
    </row>
    <row r="155" spans="1:1" x14ac:dyDescent="0.25">
      <c r="A155" t="s">
        <v>2108</v>
      </c>
    </row>
    <row r="156" spans="1:1" x14ac:dyDescent="0.25">
      <c r="A156" t="s">
        <v>407</v>
      </c>
    </row>
    <row r="157" spans="1:1" x14ac:dyDescent="0.25">
      <c r="A157" t="s">
        <v>408</v>
      </c>
    </row>
    <row r="158" spans="1:1" x14ac:dyDescent="0.25">
      <c r="A158" t="s">
        <v>155</v>
      </c>
    </row>
    <row r="159" spans="1:1" x14ac:dyDescent="0.25">
      <c r="A159" t="s">
        <v>156</v>
      </c>
    </row>
    <row r="160" spans="1:1" x14ac:dyDescent="0.25">
      <c r="A160" t="s">
        <v>151</v>
      </c>
    </row>
    <row r="161" spans="1:1" x14ac:dyDescent="0.25">
      <c r="A161" t="s">
        <v>152</v>
      </c>
    </row>
    <row r="162" spans="1:1" x14ac:dyDescent="0.25">
      <c r="A162" t="s">
        <v>533</v>
      </c>
    </row>
    <row r="163" spans="1:1" x14ac:dyDescent="0.25">
      <c r="A163" t="s">
        <v>1872</v>
      </c>
    </row>
    <row r="164" spans="1:1" x14ac:dyDescent="0.25">
      <c r="A164" t="s">
        <v>1873</v>
      </c>
    </row>
    <row r="165" spans="1:1" x14ac:dyDescent="0.25">
      <c r="A165" t="s">
        <v>1272</v>
      </c>
    </row>
    <row r="166" spans="1:1" x14ac:dyDescent="0.25">
      <c r="A166" t="s">
        <v>1273</v>
      </c>
    </row>
    <row r="167" spans="1:1" x14ac:dyDescent="0.25">
      <c r="A167" t="s">
        <v>1874</v>
      </c>
    </row>
    <row r="168" spans="1:1" x14ac:dyDescent="0.25">
      <c r="A168" t="s">
        <v>1875</v>
      </c>
    </row>
    <row r="169" spans="1:1" x14ac:dyDescent="0.25">
      <c r="A169" t="s">
        <v>1274</v>
      </c>
    </row>
    <row r="170" spans="1:1" x14ac:dyDescent="0.25">
      <c r="A170" t="s">
        <v>1275</v>
      </c>
    </row>
    <row r="171" spans="1:1" x14ac:dyDescent="0.25">
      <c r="A171" t="s">
        <v>1889</v>
      </c>
    </row>
    <row r="172" spans="1:1" x14ac:dyDescent="0.25">
      <c r="A172" t="s">
        <v>1893</v>
      </c>
    </row>
    <row r="173" spans="1:1" x14ac:dyDescent="0.25">
      <c r="A173" t="s">
        <v>1276</v>
      </c>
    </row>
    <row r="174" spans="1:1" x14ac:dyDescent="0.25">
      <c r="A174" t="s">
        <v>2096</v>
      </c>
    </row>
    <row r="175" spans="1:1" x14ac:dyDescent="0.25">
      <c r="A175" t="s">
        <v>2112</v>
      </c>
    </row>
    <row r="176" spans="1:1" x14ac:dyDescent="0.25">
      <c r="A176" t="s">
        <v>363</v>
      </c>
    </row>
    <row r="177" spans="1:1" x14ac:dyDescent="0.25">
      <c r="A177" t="s">
        <v>364</v>
      </c>
    </row>
    <row r="178" spans="1:1" x14ac:dyDescent="0.25">
      <c r="A178" t="s">
        <v>155</v>
      </c>
    </row>
    <row r="179" spans="1:1" x14ac:dyDescent="0.25">
      <c r="A179" t="s">
        <v>156</v>
      </c>
    </row>
    <row r="180" spans="1:1" x14ac:dyDescent="0.25">
      <c r="A180" t="s">
        <v>151</v>
      </c>
    </row>
    <row r="181" spans="1:1" x14ac:dyDescent="0.25">
      <c r="A181" t="s">
        <v>152</v>
      </c>
    </row>
    <row r="182" spans="1:1" x14ac:dyDescent="0.25">
      <c r="A182" t="s">
        <v>542</v>
      </c>
    </row>
    <row r="183" spans="1:1" x14ac:dyDescent="0.25">
      <c r="A183" t="s">
        <v>1872</v>
      </c>
    </row>
    <row r="184" spans="1:1" x14ac:dyDescent="0.25">
      <c r="A184" t="s">
        <v>1873</v>
      </c>
    </row>
    <row r="185" spans="1:1" x14ac:dyDescent="0.25">
      <c r="A185" t="s">
        <v>1876</v>
      </c>
    </row>
    <row r="186" spans="1:1" x14ac:dyDescent="0.25">
      <c r="A186" t="s">
        <v>1877</v>
      </c>
    </row>
    <row r="187" spans="1:1" x14ac:dyDescent="0.25">
      <c r="A187" t="s">
        <v>1874</v>
      </c>
    </row>
    <row r="188" spans="1:1" x14ac:dyDescent="0.25">
      <c r="A188" t="s">
        <v>1875</v>
      </c>
    </row>
    <row r="189" spans="1:1" x14ac:dyDescent="0.25">
      <c r="A189" t="s">
        <v>1878</v>
      </c>
    </row>
    <row r="190" spans="1:1" x14ac:dyDescent="0.25">
      <c r="A190" t="s">
        <v>1879</v>
      </c>
    </row>
    <row r="191" spans="1:1" x14ac:dyDescent="0.25">
      <c r="A191" t="s">
        <v>1880</v>
      </c>
    </row>
    <row r="192" spans="1:1" x14ac:dyDescent="0.25">
      <c r="A192" t="s">
        <v>1881</v>
      </c>
    </row>
    <row r="193" spans="1:1" x14ac:dyDescent="0.25">
      <c r="A193" t="s">
        <v>1882</v>
      </c>
    </row>
    <row r="194" spans="1:1" x14ac:dyDescent="0.25">
      <c r="A194" t="s">
        <v>2091</v>
      </c>
    </row>
    <row r="195" spans="1:1" x14ac:dyDescent="0.25">
      <c r="A195" t="s">
        <v>2113</v>
      </c>
    </row>
    <row r="196" spans="1:1" x14ac:dyDescent="0.25">
      <c r="A196" t="s">
        <v>375</v>
      </c>
    </row>
    <row r="197" spans="1:1" x14ac:dyDescent="0.25">
      <c r="A197" t="s">
        <v>376</v>
      </c>
    </row>
    <row r="198" spans="1:1" x14ac:dyDescent="0.25">
      <c r="A198" t="s">
        <v>155</v>
      </c>
    </row>
    <row r="199" spans="1:1" x14ac:dyDescent="0.25">
      <c r="A199" t="s">
        <v>156</v>
      </c>
    </row>
    <row r="200" spans="1:1" x14ac:dyDescent="0.25">
      <c r="A200" t="s">
        <v>151</v>
      </c>
    </row>
    <row r="201" spans="1:1" x14ac:dyDescent="0.25">
      <c r="A201" t="s">
        <v>152</v>
      </c>
    </row>
    <row r="202" spans="1:1" x14ac:dyDescent="0.25">
      <c r="A202" t="s">
        <v>522</v>
      </c>
    </row>
    <row r="203" spans="1:1" x14ac:dyDescent="0.25">
      <c r="A203" t="s">
        <v>1872</v>
      </c>
    </row>
    <row r="204" spans="1:1" x14ac:dyDescent="0.25">
      <c r="A204" t="s">
        <v>1873</v>
      </c>
    </row>
    <row r="205" spans="1:1" x14ac:dyDescent="0.25">
      <c r="A205" t="s">
        <v>1876</v>
      </c>
    </row>
    <row r="206" spans="1:1" x14ac:dyDescent="0.25">
      <c r="A206" t="s">
        <v>1877</v>
      </c>
    </row>
    <row r="207" spans="1:1" x14ac:dyDescent="0.25">
      <c r="A207" t="s">
        <v>1874</v>
      </c>
    </row>
    <row r="208" spans="1:1" x14ac:dyDescent="0.25">
      <c r="A208" t="s">
        <v>1875</v>
      </c>
    </row>
    <row r="209" spans="1:1" x14ac:dyDescent="0.25">
      <c r="A209" t="s">
        <v>1878</v>
      </c>
    </row>
    <row r="210" spans="1:1" x14ac:dyDescent="0.25">
      <c r="A210" t="s">
        <v>1879</v>
      </c>
    </row>
    <row r="211" spans="1:1" x14ac:dyDescent="0.25">
      <c r="A211" t="s">
        <v>1880</v>
      </c>
    </row>
    <row r="212" spans="1:1" x14ac:dyDescent="0.25">
      <c r="A212" t="s">
        <v>1881</v>
      </c>
    </row>
    <row r="213" spans="1:1" x14ac:dyDescent="0.25">
      <c r="A213" t="s">
        <v>1882</v>
      </c>
    </row>
    <row r="214" spans="1:1" x14ac:dyDescent="0.25">
      <c r="A214" t="s">
        <v>2092</v>
      </c>
    </row>
    <row r="215" spans="1:1" x14ac:dyDescent="0.25">
      <c r="A215" t="s">
        <v>2089</v>
      </c>
    </row>
    <row r="216" spans="1:1" x14ac:dyDescent="0.25">
      <c r="A216" t="s">
        <v>338</v>
      </c>
    </row>
    <row r="217" spans="1:1" x14ac:dyDescent="0.25">
      <c r="A217" t="s">
        <v>339</v>
      </c>
    </row>
    <row r="218" spans="1:1" x14ac:dyDescent="0.25">
      <c r="A218" t="s">
        <v>340</v>
      </c>
    </row>
    <row r="219" spans="1:1" x14ac:dyDescent="0.25">
      <c r="A219" t="s">
        <v>156</v>
      </c>
    </row>
    <row r="220" spans="1:1" x14ac:dyDescent="0.25">
      <c r="A220" t="s">
        <v>151</v>
      </c>
    </row>
    <row r="221" spans="1:1" x14ac:dyDescent="0.25">
      <c r="A221" t="s">
        <v>152</v>
      </c>
    </row>
    <row r="222" spans="1:1" x14ac:dyDescent="0.25">
      <c r="A222" t="s">
        <v>522</v>
      </c>
    </row>
    <row r="223" spans="1:1" x14ac:dyDescent="0.25">
      <c r="A223" t="s">
        <v>1872</v>
      </c>
    </row>
    <row r="224" spans="1:1" x14ac:dyDescent="0.25">
      <c r="A224" t="s">
        <v>1873</v>
      </c>
    </row>
    <row r="225" spans="1:1" x14ac:dyDescent="0.25">
      <c r="A225" t="s">
        <v>1876</v>
      </c>
    </row>
    <row r="226" spans="1:1" x14ac:dyDescent="0.25">
      <c r="A226" t="s">
        <v>1877</v>
      </c>
    </row>
    <row r="227" spans="1:1" x14ac:dyDescent="0.25">
      <c r="A227" t="s">
        <v>1874</v>
      </c>
    </row>
    <row r="228" spans="1:1" x14ac:dyDescent="0.25">
      <c r="A228" t="s">
        <v>1875</v>
      </c>
    </row>
    <row r="229" spans="1:1" x14ac:dyDescent="0.25">
      <c r="A229" t="s">
        <v>1878</v>
      </c>
    </row>
    <row r="230" spans="1:1" x14ac:dyDescent="0.25">
      <c r="A230" t="s">
        <v>1879</v>
      </c>
    </row>
    <row r="231" spans="1:1" x14ac:dyDescent="0.25">
      <c r="A231" t="s">
        <v>1880</v>
      </c>
    </row>
    <row r="232" spans="1:1" x14ac:dyDescent="0.25">
      <c r="A232" t="s">
        <v>1881</v>
      </c>
    </row>
    <row r="233" spans="1:1" x14ac:dyDescent="0.25">
      <c r="A233" t="s">
        <v>1882</v>
      </c>
    </row>
    <row r="234" spans="1:1" x14ac:dyDescent="0.25">
      <c r="A234" t="s">
        <v>2092</v>
      </c>
    </row>
    <row r="235" spans="1:1" x14ac:dyDescent="0.25">
      <c r="A235" t="s">
        <v>2089</v>
      </c>
    </row>
    <row r="236" spans="1:1" x14ac:dyDescent="0.25">
      <c r="A236" t="s">
        <v>341</v>
      </c>
    </row>
    <row r="237" spans="1:1" x14ac:dyDescent="0.25">
      <c r="A237" t="s">
        <v>339</v>
      </c>
    </row>
    <row r="238" spans="1:1" x14ac:dyDescent="0.25">
      <c r="A238" t="s">
        <v>342</v>
      </c>
    </row>
    <row r="239" spans="1:1" x14ac:dyDescent="0.25">
      <c r="A239" t="s">
        <v>156</v>
      </c>
    </row>
    <row r="240" spans="1:1" x14ac:dyDescent="0.25">
      <c r="A240" t="s">
        <v>151</v>
      </c>
    </row>
    <row r="241" spans="1:1" x14ac:dyDescent="0.25">
      <c r="A241" t="s">
        <v>152</v>
      </c>
    </row>
    <row r="242" spans="1:1" x14ac:dyDescent="0.25">
      <c r="A242" t="s">
        <v>511</v>
      </c>
    </row>
    <row r="243" spans="1:1" x14ac:dyDescent="0.25">
      <c r="A243" t="s">
        <v>1277</v>
      </c>
    </row>
    <row r="244" spans="1:1" x14ac:dyDescent="0.25">
      <c r="A244" t="s">
        <v>1278</v>
      </c>
    </row>
    <row r="245" spans="1:1" x14ac:dyDescent="0.25">
      <c r="A245" t="s">
        <v>1876</v>
      </c>
    </row>
    <row r="246" spans="1:1" x14ac:dyDescent="0.25">
      <c r="A246" t="s">
        <v>1877</v>
      </c>
    </row>
    <row r="247" spans="1:1" x14ac:dyDescent="0.25">
      <c r="A247" t="s">
        <v>1874</v>
      </c>
    </row>
    <row r="248" spans="1:1" x14ac:dyDescent="0.25">
      <c r="A248" t="s">
        <v>1875</v>
      </c>
    </row>
    <row r="249" spans="1:1" x14ac:dyDescent="0.25">
      <c r="A249" t="s">
        <v>1279</v>
      </c>
    </row>
    <row r="250" spans="1:1" x14ac:dyDescent="0.25">
      <c r="A250" t="s">
        <v>1280</v>
      </c>
    </row>
    <row r="251" spans="1:1" x14ac:dyDescent="0.25">
      <c r="A251" t="s">
        <v>1894</v>
      </c>
    </row>
    <row r="252" spans="1:1" x14ac:dyDescent="0.25">
      <c r="A252" t="s">
        <v>1895</v>
      </c>
    </row>
    <row r="253" spans="1:1" x14ac:dyDescent="0.25">
      <c r="A253" t="s">
        <v>1282</v>
      </c>
    </row>
    <row r="254" spans="1:1" x14ac:dyDescent="0.25">
      <c r="A254" t="s">
        <v>2092</v>
      </c>
    </row>
    <row r="255" spans="1:1" x14ac:dyDescent="0.25">
      <c r="A255" t="s">
        <v>2089</v>
      </c>
    </row>
    <row r="256" spans="1:1" x14ac:dyDescent="0.25">
      <c r="A256" t="s">
        <v>185</v>
      </c>
    </row>
    <row r="257" spans="1:1" x14ac:dyDescent="0.25">
      <c r="A257" t="s">
        <v>316</v>
      </c>
    </row>
    <row r="258" spans="1:1" x14ac:dyDescent="0.25">
      <c r="A258" t="s">
        <v>155</v>
      </c>
    </row>
    <row r="259" spans="1:1" x14ac:dyDescent="0.25">
      <c r="A259" t="s">
        <v>156</v>
      </c>
    </row>
    <row r="260" spans="1:1" x14ac:dyDescent="0.25">
      <c r="A260" t="s">
        <v>151</v>
      </c>
    </row>
    <row r="261" spans="1:1" x14ac:dyDescent="0.25">
      <c r="A261" t="s">
        <v>152</v>
      </c>
    </row>
    <row r="262" spans="1:1" x14ac:dyDescent="0.25">
      <c r="A262" t="s">
        <v>455</v>
      </c>
    </row>
    <row r="263" spans="1:1" x14ac:dyDescent="0.25">
      <c r="A263" t="s">
        <v>1283</v>
      </c>
    </row>
    <row r="264" spans="1:1" x14ac:dyDescent="0.25">
      <c r="A264" t="s">
        <v>1284</v>
      </c>
    </row>
    <row r="265" spans="1:1" x14ac:dyDescent="0.25">
      <c r="A265" t="s">
        <v>1285</v>
      </c>
    </row>
    <row r="266" spans="1:1" x14ac:dyDescent="0.25">
      <c r="A266" t="s">
        <v>1286</v>
      </c>
    </row>
    <row r="267" spans="1:1" x14ac:dyDescent="0.25">
      <c r="A267" t="s">
        <v>1874</v>
      </c>
    </row>
    <row r="268" spans="1:1" x14ac:dyDescent="0.25">
      <c r="A268" t="s">
        <v>1875</v>
      </c>
    </row>
    <row r="269" spans="1:1" x14ac:dyDescent="0.25">
      <c r="A269" t="s">
        <v>1287</v>
      </c>
    </row>
    <row r="270" spans="1:1" x14ac:dyDescent="0.25">
      <c r="A270" t="s">
        <v>1288</v>
      </c>
    </row>
    <row r="271" spans="1:1" x14ac:dyDescent="0.25">
      <c r="A271" t="s">
        <v>1894</v>
      </c>
    </row>
    <row r="272" spans="1:1" x14ac:dyDescent="0.25">
      <c r="A272" t="s">
        <v>1881</v>
      </c>
    </row>
    <row r="273" spans="1:1" x14ac:dyDescent="0.25">
      <c r="A273" t="s">
        <v>1289</v>
      </c>
    </row>
    <row r="274" spans="1:1" x14ac:dyDescent="0.25">
      <c r="A274" t="s">
        <v>2092</v>
      </c>
    </row>
    <row r="275" spans="1:1" x14ac:dyDescent="0.25">
      <c r="A275" t="s">
        <v>2089</v>
      </c>
    </row>
    <row r="276" spans="1:1" x14ac:dyDescent="0.25">
      <c r="A276" t="s">
        <v>217</v>
      </c>
    </row>
    <row r="277" spans="1:1" x14ac:dyDescent="0.25">
      <c r="A277" t="s">
        <v>218</v>
      </c>
    </row>
    <row r="278" spans="1:1" x14ac:dyDescent="0.25">
      <c r="A278" t="s">
        <v>219</v>
      </c>
    </row>
    <row r="279" spans="1:1" x14ac:dyDescent="0.25">
      <c r="A279" t="s">
        <v>156</v>
      </c>
    </row>
    <row r="280" spans="1:1" x14ac:dyDescent="0.25">
      <c r="A280" t="s">
        <v>151</v>
      </c>
    </row>
    <row r="281" spans="1:1" x14ac:dyDescent="0.25">
      <c r="A281" t="s">
        <v>152</v>
      </c>
    </row>
    <row r="282" spans="1:1" x14ac:dyDescent="0.25">
      <c r="A282" t="s">
        <v>455</v>
      </c>
    </row>
    <row r="283" spans="1:1" x14ac:dyDescent="0.25">
      <c r="A283" t="s">
        <v>1283</v>
      </c>
    </row>
    <row r="284" spans="1:1" x14ac:dyDescent="0.25">
      <c r="A284" t="s">
        <v>1284</v>
      </c>
    </row>
    <row r="285" spans="1:1" x14ac:dyDescent="0.25">
      <c r="A285" t="s">
        <v>1285</v>
      </c>
    </row>
    <row r="286" spans="1:1" x14ac:dyDescent="0.25">
      <c r="A286" t="s">
        <v>1286</v>
      </c>
    </row>
    <row r="287" spans="1:1" x14ac:dyDescent="0.25">
      <c r="A287" t="s">
        <v>1874</v>
      </c>
    </row>
    <row r="288" spans="1:1" x14ac:dyDescent="0.25">
      <c r="A288" t="s">
        <v>1875</v>
      </c>
    </row>
    <row r="289" spans="1:1" x14ac:dyDescent="0.25">
      <c r="A289" t="s">
        <v>1287</v>
      </c>
    </row>
    <row r="290" spans="1:1" x14ac:dyDescent="0.25">
      <c r="A290" t="s">
        <v>1288</v>
      </c>
    </row>
    <row r="291" spans="1:1" x14ac:dyDescent="0.25">
      <c r="A291" t="s">
        <v>1894</v>
      </c>
    </row>
    <row r="292" spans="1:1" x14ac:dyDescent="0.25">
      <c r="A292" t="s">
        <v>1881</v>
      </c>
    </row>
    <row r="293" spans="1:1" x14ac:dyDescent="0.25">
      <c r="A293" t="s">
        <v>1289</v>
      </c>
    </row>
    <row r="294" spans="1:1" x14ac:dyDescent="0.25">
      <c r="A294" t="s">
        <v>2092</v>
      </c>
    </row>
    <row r="295" spans="1:1" x14ac:dyDescent="0.25">
      <c r="A295" t="s">
        <v>2089</v>
      </c>
    </row>
    <row r="296" spans="1:1" x14ac:dyDescent="0.25">
      <c r="A296" t="s">
        <v>220</v>
      </c>
    </row>
    <row r="297" spans="1:1" x14ac:dyDescent="0.25">
      <c r="A297" t="s">
        <v>218</v>
      </c>
    </row>
    <row r="298" spans="1:1" x14ac:dyDescent="0.25">
      <c r="A298" t="s">
        <v>221</v>
      </c>
    </row>
    <row r="299" spans="1:1" x14ac:dyDescent="0.25">
      <c r="A299" t="s">
        <v>156</v>
      </c>
    </row>
    <row r="300" spans="1:1" x14ac:dyDescent="0.25">
      <c r="A300" t="s">
        <v>151</v>
      </c>
    </row>
    <row r="301" spans="1:1" x14ac:dyDescent="0.25">
      <c r="A301" t="s">
        <v>152</v>
      </c>
    </row>
    <row r="302" spans="1:1" x14ac:dyDescent="0.25">
      <c r="A302" t="s">
        <v>519</v>
      </c>
    </row>
    <row r="303" spans="1:1" x14ac:dyDescent="0.25">
      <c r="A303" t="s">
        <v>1872</v>
      </c>
    </row>
    <row r="304" spans="1:1" x14ac:dyDescent="0.25">
      <c r="A304" t="s">
        <v>1873</v>
      </c>
    </row>
    <row r="305" spans="1:1" x14ac:dyDescent="0.25">
      <c r="A305" t="s">
        <v>1876</v>
      </c>
    </row>
    <row r="306" spans="1:1" x14ac:dyDescent="0.25">
      <c r="A306" t="s">
        <v>1877</v>
      </c>
    </row>
    <row r="307" spans="1:1" x14ac:dyDescent="0.25">
      <c r="A307" t="s">
        <v>1874</v>
      </c>
    </row>
    <row r="308" spans="1:1" x14ac:dyDescent="0.25">
      <c r="A308" t="s">
        <v>1875</v>
      </c>
    </row>
    <row r="309" spans="1:1" x14ac:dyDescent="0.25">
      <c r="A309" t="s">
        <v>1878</v>
      </c>
    </row>
    <row r="310" spans="1:1" x14ac:dyDescent="0.25">
      <c r="A310" t="s">
        <v>1879</v>
      </c>
    </row>
    <row r="311" spans="1:1" x14ac:dyDescent="0.25">
      <c r="A311" t="s">
        <v>1880</v>
      </c>
    </row>
    <row r="312" spans="1:1" x14ac:dyDescent="0.25">
      <c r="A312" t="s">
        <v>1881</v>
      </c>
    </row>
    <row r="313" spans="1:1" x14ac:dyDescent="0.25">
      <c r="A313" t="s">
        <v>1882</v>
      </c>
    </row>
    <row r="314" spans="1:1" x14ac:dyDescent="0.25">
      <c r="A314" t="s">
        <v>2092</v>
      </c>
    </row>
    <row r="315" spans="1:1" x14ac:dyDescent="0.25">
      <c r="A315" t="s">
        <v>2089</v>
      </c>
    </row>
    <row r="316" spans="1:1" x14ac:dyDescent="0.25">
      <c r="A316" t="s">
        <v>329</v>
      </c>
    </row>
    <row r="317" spans="1:1" x14ac:dyDescent="0.25">
      <c r="A317" t="s">
        <v>330</v>
      </c>
    </row>
    <row r="318" spans="1:1" x14ac:dyDescent="0.25">
      <c r="A318" t="s">
        <v>155</v>
      </c>
    </row>
    <row r="319" spans="1:1" x14ac:dyDescent="0.25">
      <c r="A319" t="s">
        <v>156</v>
      </c>
    </row>
    <row r="320" spans="1:1" x14ac:dyDescent="0.25">
      <c r="A320" t="s">
        <v>151</v>
      </c>
    </row>
    <row r="321" spans="1:1" x14ac:dyDescent="0.25">
      <c r="A321" t="s">
        <v>152</v>
      </c>
    </row>
    <row r="322" spans="1:1" x14ac:dyDescent="0.25">
      <c r="A322" t="s">
        <v>508</v>
      </c>
    </row>
    <row r="323" spans="1:1" x14ac:dyDescent="0.25">
      <c r="A323" t="s">
        <v>1290</v>
      </c>
    </row>
    <row r="324" spans="1:1" x14ac:dyDescent="0.25">
      <c r="A324" t="s">
        <v>1291</v>
      </c>
    </row>
    <row r="325" spans="1:1" x14ac:dyDescent="0.25">
      <c r="A325" t="s">
        <v>1876</v>
      </c>
    </row>
    <row r="326" spans="1:1" x14ac:dyDescent="0.25">
      <c r="A326" t="s">
        <v>1877</v>
      </c>
    </row>
    <row r="327" spans="1:1" x14ac:dyDescent="0.25">
      <c r="A327" t="s">
        <v>1874</v>
      </c>
    </row>
    <row r="328" spans="1:1" x14ac:dyDescent="0.25">
      <c r="A328" t="s">
        <v>1875</v>
      </c>
    </row>
    <row r="329" spans="1:1" x14ac:dyDescent="0.25">
      <c r="A329" t="s">
        <v>1292</v>
      </c>
    </row>
    <row r="330" spans="1:1" x14ac:dyDescent="0.25">
      <c r="A330" t="s">
        <v>1293</v>
      </c>
    </row>
    <row r="331" spans="1:1" x14ac:dyDescent="0.25">
      <c r="A331" t="s">
        <v>1896</v>
      </c>
    </row>
    <row r="332" spans="1:1" x14ac:dyDescent="0.25">
      <c r="A332" t="s">
        <v>1897</v>
      </c>
    </row>
    <row r="333" spans="1:1" x14ac:dyDescent="0.25">
      <c r="A333" t="s">
        <v>1295</v>
      </c>
    </row>
    <row r="334" spans="1:1" x14ac:dyDescent="0.25">
      <c r="A334" t="s">
        <v>2099</v>
      </c>
    </row>
    <row r="335" spans="1:1" x14ac:dyDescent="0.25">
      <c r="A335" t="s">
        <v>2114</v>
      </c>
    </row>
    <row r="336" spans="1:1" x14ac:dyDescent="0.25">
      <c r="A336" t="s">
        <v>311</v>
      </c>
    </row>
    <row r="337" spans="1:1" x14ac:dyDescent="0.25">
      <c r="A337" t="s">
        <v>312</v>
      </c>
    </row>
    <row r="338" spans="1:1" x14ac:dyDescent="0.25">
      <c r="A338" t="s">
        <v>155</v>
      </c>
    </row>
    <row r="339" spans="1:1" x14ac:dyDescent="0.25">
      <c r="A339" t="s">
        <v>156</v>
      </c>
    </row>
    <row r="340" spans="1:1" x14ac:dyDescent="0.25">
      <c r="A340" t="s">
        <v>151</v>
      </c>
    </row>
    <row r="341" spans="1:1" x14ac:dyDescent="0.25">
      <c r="A341" t="s">
        <v>152</v>
      </c>
    </row>
    <row r="342" spans="1:1" x14ac:dyDescent="0.25">
      <c r="A342" t="s">
        <v>451</v>
      </c>
    </row>
    <row r="343" spans="1:1" x14ac:dyDescent="0.25">
      <c r="A343" t="s">
        <v>1296</v>
      </c>
    </row>
    <row r="344" spans="1:1" x14ac:dyDescent="0.25">
      <c r="A344" t="s">
        <v>1297</v>
      </c>
    </row>
    <row r="345" spans="1:1" x14ac:dyDescent="0.25">
      <c r="A345" t="s">
        <v>1298</v>
      </c>
    </row>
    <row r="346" spans="1:1" x14ac:dyDescent="0.25">
      <c r="A346" t="s">
        <v>1299</v>
      </c>
    </row>
    <row r="347" spans="1:1" x14ac:dyDescent="0.25">
      <c r="A347" t="s">
        <v>1874</v>
      </c>
    </row>
    <row r="348" spans="1:1" x14ac:dyDescent="0.25">
      <c r="A348" t="s">
        <v>1875</v>
      </c>
    </row>
    <row r="349" spans="1:1" x14ac:dyDescent="0.25">
      <c r="A349" t="s">
        <v>1300</v>
      </c>
    </row>
    <row r="350" spans="1:1" x14ac:dyDescent="0.25">
      <c r="A350" t="s">
        <v>1301</v>
      </c>
    </row>
    <row r="351" spans="1:1" x14ac:dyDescent="0.25">
      <c r="A351" t="s">
        <v>1898</v>
      </c>
    </row>
    <row r="352" spans="1:1" x14ac:dyDescent="0.25">
      <c r="A352" t="s">
        <v>1881</v>
      </c>
    </row>
    <row r="353" spans="1:1" x14ac:dyDescent="0.25">
      <c r="A353" t="s">
        <v>1302</v>
      </c>
    </row>
    <row r="354" spans="1:1" x14ac:dyDescent="0.25">
      <c r="A354" t="s">
        <v>2099</v>
      </c>
    </row>
    <row r="355" spans="1:1" x14ac:dyDescent="0.25">
      <c r="A355" t="s">
        <v>2115</v>
      </c>
    </row>
    <row r="356" spans="1:1" x14ac:dyDescent="0.25">
      <c r="A356" t="s">
        <v>197</v>
      </c>
    </row>
    <row r="357" spans="1:1" x14ac:dyDescent="0.25">
      <c r="A357" t="s">
        <v>198</v>
      </c>
    </row>
    <row r="358" spans="1:1" x14ac:dyDescent="0.25">
      <c r="A358" t="s">
        <v>199</v>
      </c>
    </row>
    <row r="359" spans="1:1" x14ac:dyDescent="0.25">
      <c r="A359" t="s">
        <v>156</v>
      </c>
    </row>
    <row r="360" spans="1:1" x14ac:dyDescent="0.25">
      <c r="A360" t="s">
        <v>151</v>
      </c>
    </row>
    <row r="361" spans="1:1" x14ac:dyDescent="0.25">
      <c r="A361" t="s">
        <v>152</v>
      </c>
    </row>
    <row r="362" spans="1:1" x14ac:dyDescent="0.25">
      <c r="A362" t="s">
        <v>451</v>
      </c>
    </row>
    <row r="363" spans="1:1" x14ac:dyDescent="0.25">
      <c r="A363" t="s">
        <v>1296</v>
      </c>
    </row>
    <row r="364" spans="1:1" x14ac:dyDescent="0.25">
      <c r="A364" t="s">
        <v>1297</v>
      </c>
    </row>
    <row r="365" spans="1:1" x14ac:dyDescent="0.25">
      <c r="A365" t="s">
        <v>1298</v>
      </c>
    </row>
    <row r="366" spans="1:1" x14ac:dyDescent="0.25">
      <c r="A366" t="s">
        <v>1299</v>
      </c>
    </row>
    <row r="367" spans="1:1" x14ac:dyDescent="0.25">
      <c r="A367" t="s">
        <v>1874</v>
      </c>
    </row>
    <row r="368" spans="1:1" x14ac:dyDescent="0.25">
      <c r="A368" t="s">
        <v>1875</v>
      </c>
    </row>
    <row r="369" spans="1:1" x14ac:dyDescent="0.25">
      <c r="A369" t="s">
        <v>1300</v>
      </c>
    </row>
    <row r="370" spans="1:1" x14ac:dyDescent="0.25">
      <c r="A370" t="s">
        <v>1301</v>
      </c>
    </row>
    <row r="371" spans="1:1" x14ac:dyDescent="0.25">
      <c r="A371" t="s">
        <v>1898</v>
      </c>
    </row>
    <row r="372" spans="1:1" x14ac:dyDescent="0.25">
      <c r="A372" t="s">
        <v>1881</v>
      </c>
    </row>
    <row r="373" spans="1:1" x14ac:dyDescent="0.25">
      <c r="A373" t="s">
        <v>1302</v>
      </c>
    </row>
    <row r="374" spans="1:1" x14ac:dyDescent="0.25">
      <c r="A374" t="s">
        <v>2099</v>
      </c>
    </row>
    <row r="375" spans="1:1" x14ac:dyDescent="0.25">
      <c r="A375" t="s">
        <v>2115</v>
      </c>
    </row>
    <row r="376" spans="1:1" x14ac:dyDescent="0.25">
      <c r="A376" t="s">
        <v>200</v>
      </c>
    </row>
    <row r="377" spans="1:1" x14ac:dyDescent="0.25">
      <c r="A377" t="s">
        <v>198</v>
      </c>
    </row>
    <row r="378" spans="1:1" x14ac:dyDescent="0.25">
      <c r="A378" t="s">
        <v>201</v>
      </c>
    </row>
    <row r="379" spans="1:1" x14ac:dyDescent="0.25">
      <c r="A379" t="s">
        <v>156</v>
      </c>
    </row>
    <row r="380" spans="1:1" x14ac:dyDescent="0.25">
      <c r="A380" t="s">
        <v>151</v>
      </c>
    </row>
    <row r="381" spans="1:1" x14ac:dyDescent="0.25">
      <c r="A381" t="s">
        <v>152</v>
      </c>
    </row>
    <row r="382" spans="1:1" x14ac:dyDescent="0.25">
      <c r="A382" t="s">
        <v>515</v>
      </c>
    </row>
    <row r="383" spans="1:1" x14ac:dyDescent="0.25">
      <c r="A383" t="s">
        <v>1303</v>
      </c>
    </row>
    <row r="384" spans="1:1" x14ac:dyDescent="0.25">
      <c r="A384" t="s">
        <v>1304</v>
      </c>
    </row>
    <row r="385" spans="1:1" x14ac:dyDescent="0.25">
      <c r="A385" t="s">
        <v>1305</v>
      </c>
    </row>
    <row r="386" spans="1:1" x14ac:dyDescent="0.25">
      <c r="A386" t="s">
        <v>1273</v>
      </c>
    </row>
    <row r="387" spans="1:1" x14ac:dyDescent="0.25">
      <c r="A387" t="s">
        <v>1874</v>
      </c>
    </row>
    <row r="388" spans="1:1" x14ac:dyDescent="0.25">
      <c r="A388" t="s">
        <v>1875</v>
      </c>
    </row>
    <row r="389" spans="1:1" x14ac:dyDescent="0.25">
      <c r="A389" t="s">
        <v>1239</v>
      </c>
    </row>
    <row r="390" spans="1:1" x14ac:dyDescent="0.25">
      <c r="A390" t="s">
        <v>1306</v>
      </c>
    </row>
    <row r="391" spans="1:1" x14ac:dyDescent="0.25">
      <c r="A391" t="s">
        <v>1518</v>
      </c>
    </row>
    <row r="392" spans="1:1" x14ac:dyDescent="0.25">
      <c r="A392" t="s">
        <v>1899</v>
      </c>
    </row>
    <row r="393" spans="1:1" x14ac:dyDescent="0.25">
      <c r="A393" t="s">
        <v>1307</v>
      </c>
    </row>
    <row r="394" spans="1:1" x14ac:dyDescent="0.25">
      <c r="A394" t="s">
        <v>2102</v>
      </c>
    </row>
    <row r="395" spans="1:1" x14ac:dyDescent="0.25">
      <c r="A395" t="s">
        <v>2116</v>
      </c>
    </row>
    <row r="396" spans="1:1" x14ac:dyDescent="0.25">
      <c r="A396" t="s">
        <v>195</v>
      </c>
    </row>
    <row r="397" spans="1:1" x14ac:dyDescent="0.25">
      <c r="A397" t="s">
        <v>324</v>
      </c>
    </row>
    <row r="398" spans="1:1" x14ac:dyDescent="0.25">
      <c r="A398" t="s">
        <v>155</v>
      </c>
    </row>
    <row r="399" spans="1:1" x14ac:dyDescent="0.25">
      <c r="A399" t="s">
        <v>156</v>
      </c>
    </row>
    <row r="400" spans="1:1" x14ac:dyDescent="0.25">
      <c r="A400" t="s">
        <v>151</v>
      </c>
    </row>
    <row r="401" spans="1:1" x14ac:dyDescent="0.25">
      <c r="A401" t="s">
        <v>152</v>
      </c>
    </row>
    <row r="402" spans="1:1" x14ac:dyDescent="0.25">
      <c r="A402" t="s">
        <v>505</v>
      </c>
    </row>
    <row r="403" spans="1:1" x14ac:dyDescent="0.25">
      <c r="A403" t="s">
        <v>1872</v>
      </c>
    </row>
    <row r="404" spans="1:1" x14ac:dyDescent="0.25">
      <c r="A404" t="s">
        <v>1873</v>
      </c>
    </row>
    <row r="405" spans="1:1" x14ac:dyDescent="0.25">
      <c r="A405" t="s">
        <v>1308</v>
      </c>
    </row>
    <row r="406" spans="1:1" x14ac:dyDescent="0.25">
      <c r="A406" t="s">
        <v>1309</v>
      </c>
    </row>
    <row r="407" spans="1:1" x14ac:dyDescent="0.25">
      <c r="A407" t="s">
        <v>1310</v>
      </c>
    </row>
    <row r="408" spans="1:1" x14ac:dyDescent="0.25">
      <c r="A408" t="s">
        <v>1311</v>
      </c>
    </row>
    <row r="409" spans="1:1" x14ac:dyDescent="0.25">
      <c r="A409" t="s">
        <v>1312</v>
      </c>
    </row>
    <row r="410" spans="1:1" x14ac:dyDescent="0.25">
      <c r="A410" t="s">
        <v>1879</v>
      </c>
    </row>
    <row r="411" spans="1:1" x14ac:dyDescent="0.25">
      <c r="A411" t="s">
        <v>1900</v>
      </c>
    </row>
    <row r="412" spans="1:1" x14ac:dyDescent="0.25">
      <c r="A412" t="s">
        <v>1901</v>
      </c>
    </row>
    <row r="413" spans="1:1" x14ac:dyDescent="0.25">
      <c r="A413" t="s">
        <v>1313</v>
      </c>
    </row>
    <row r="414" spans="1:1" x14ac:dyDescent="0.25">
      <c r="A414" t="s">
        <v>2092</v>
      </c>
    </row>
    <row r="415" spans="1:1" x14ac:dyDescent="0.25">
      <c r="A415" t="s">
        <v>2089</v>
      </c>
    </row>
    <row r="416" spans="1:1" x14ac:dyDescent="0.25">
      <c r="A416" t="s">
        <v>304</v>
      </c>
    </row>
    <row r="417" spans="1:1" x14ac:dyDescent="0.25">
      <c r="A417" t="s">
        <v>305</v>
      </c>
    </row>
    <row r="418" spans="1:1" x14ac:dyDescent="0.25">
      <c r="A418" t="s">
        <v>155</v>
      </c>
    </row>
    <row r="419" spans="1:1" x14ac:dyDescent="0.25">
      <c r="A419" t="s">
        <v>156</v>
      </c>
    </row>
    <row r="420" spans="1:1" x14ac:dyDescent="0.25">
      <c r="A420" t="s">
        <v>151</v>
      </c>
    </row>
    <row r="421" spans="1:1" x14ac:dyDescent="0.25">
      <c r="A421" t="s">
        <v>152</v>
      </c>
    </row>
    <row r="422" spans="1:1" x14ac:dyDescent="0.25">
      <c r="A422" t="s">
        <v>448</v>
      </c>
    </row>
    <row r="423" spans="1:1" x14ac:dyDescent="0.25">
      <c r="A423" t="s">
        <v>1872</v>
      </c>
    </row>
    <row r="424" spans="1:1" x14ac:dyDescent="0.25">
      <c r="A424" t="s">
        <v>1873</v>
      </c>
    </row>
    <row r="425" spans="1:1" x14ac:dyDescent="0.25">
      <c r="A425" t="s">
        <v>1876</v>
      </c>
    </row>
    <row r="426" spans="1:1" x14ac:dyDescent="0.25">
      <c r="A426" t="s">
        <v>1877</v>
      </c>
    </row>
    <row r="427" spans="1:1" x14ac:dyDescent="0.25">
      <c r="A427" t="s">
        <v>1874</v>
      </c>
    </row>
    <row r="428" spans="1:1" x14ac:dyDescent="0.25">
      <c r="A428" t="s">
        <v>1875</v>
      </c>
    </row>
    <row r="429" spans="1:1" x14ac:dyDescent="0.25">
      <c r="A429" t="s">
        <v>1878</v>
      </c>
    </row>
    <row r="430" spans="1:1" x14ac:dyDescent="0.25">
      <c r="A430" t="s">
        <v>1879</v>
      </c>
    </row>
    <row r="431" spans="1:1" x14ac:dyDescent="0.25">
      <c r="A431" t="s">
        <v>1880</v>
      </c>
    </row>
    <row r="432" spans="1:1" x14ac:dyDescent="0.25">
      <c r="A432" t="s">
        <v>1881</v>
      </c>
    </row>
    <row r="433" spans="1:1" x14ac:dyDescent="0.25">
      <c r="A433" t="s">
        <v>1882</v>
      </c>
    </row>
    <row r="434" spans="1:1" x14ac:dyDescent="0.25">
      <c r="A434" t="s">
        <v>2092</v>
      </c>
    </row>
    <row r="435" spans="1:1" x14ac:dyDescent="0.25">
      <c r="A435" t="s">
        <v>2089</v>
      </c>
    </row>
    <row r="436" spans="1:1" x14ac:dyDescent="0.25">
      <c r="A436" t="s">
        <v>185</v>
      </c>
    </row>
    <row r="437" spans="1:1" x14ac:dyDescent="0.25">
      <c r="A437" t="s">
        <v>186</v>
      </c>
    </row>
    <row r="438" spans="1:1" x14ac:dyDescent="0.25">
      <c r="A438" t="s">
        <v>187</v>
      </c>
    </row>
    <row r="439" spans="1:1" x14ac:dyDescent="0.25">
      <c r="A439" t="s">
        <v>156</v>
      </c>
    </row>
    <row r="440" spans="1:1" x14ac:dyDescent="0.25">
      <c r="A440" t="s">
        <v>151</v>
      </c>
    </row>
    <row r="441" spans="1:1" x14ac:dyDescent="0.25">
      <c r="A441" t="s">
        <v>152</v>
      </c>
    </row>
    <row r="442" spans="1:1" x14ac:dyDescent="0.25">
      <c r="A442" t="s">
        <v>448</v>
      </c>
    </row>
    <row r="443" spans="1:1" x14ac:dyDescent="0.25">
      <c r="A443" t="s">
        <v>1872</v>
      </c>
    </row>
    <row r="444" spans="1:1" x14ac:dyDescent="0.25">
      <c r="A444" t="s">
        <v>1873</v>
      </c>
    </row>
    <row r="445" spans="1:1" x14ac:dyDescent="0.25">
      <c r="A445" t="s">
        <v>1876</v>
      </c>
    </row>
    <row r="446" spans="1:1" x14ac:dyDescent="0.25">
      <c r="A446" t="s">
        <v>1877</v>
      </c>
    </row>
    <row r="447" spans="1:1" x14ac:dyDescent="0.25">
      <c r="A447" t="s">
        <v>1874</v>
      </c>
    </row>
    <row r="448" spans="1:1" x14ac:dyDescent="0.25">
      <c r="A448" t="s">
        <v>1875</v>
      </c>
    </row>
    <row r="449" spans="1:1" x14ac:dyDescent="0.25">
      <c r="A449" t="s">
        <v>1878</v>
      </c>
    </row>
    <row r="450" spans="1:1" x14ac:dyDescent="0.25">
      <c r="A450" t="s">
        <v>1879</v>
      </c>
    </row>
    <row r="451" spans="1:1" x14ac:dyDescent="0.25">
      <c r="A451" t="s">
        <v>1880</v>
      </c>
    </row>
    <row r="452" spans="1:1" x14ac:dyDescent="0.25">
      <c r="A452" t="s">
        <v>1881</v>
      </c>
    </row>
    <row r="453" spans="1:1" x14ac:dyDescent="0.25">
      <c r="A453" t="s">
        <v>1882</v>
      </c>
    </row>
    <row r="454" spans="1:1" x14ac:dyDescent="0.25">
      <c r="A454" t="s">
        <v>2092</v>
      </c>
    </row>
    <row r="455" spans="1:1" x14ac:dyDescent="0.25">
      <c r="A455" t="s">
        <v>2089</v>
      </c>
    </row>
    <row r="456" spans="1:1" x14ac:dyDescent="0.25">
      <c r="A456" t="s">
        <v>188</v>
      </c>
    </row>
    <row r="457" spans="1:1" x14ac:dyDescent="0.25">
      <c r="A457" t="s">
        <v>186</v>
      </c>
    </row>
    <row r="458" spans="1:1" x14ac:dyDescent="0.25">
      <c r="A458" t="s">
        <v>189</v>
      </c>
    </row>
    <row r="459" spans="1:1" x14ac:dyDescent="0.25">
      <c r="A459" t="s">
        <v>156</v>
      </c>
    </row>
    <row r="460" spans="1:1" x14ac:dyDescent="0.25">
      <c r="A460" t="s">
        <v>151</v>
      </c>
    </row>
    <row r="461" spans="1:1" x14ac:dyDescent="0.25">
      <c r="A461" t="s">
        <v>152</v>
      </c>
    </row>
    <row r="462" spans="1:1" x14ac:dyDescent="0.25">
      <c r="A462" t="s">
        <v>539</v>
      </c>
    </row>
    <row r="463" spans="1:1" x14ac:dyDescent="0.25">
      <c r="A463" t="s">
        <v>1872</v>
      </c>
    </row>
    <row r="464" spans="1:1" x14ac:dyDescent="0.25">
      <c r="A464" t="s">
        <v>1873</v>
      </c>
    </row>
    <row r="465" spans="1:1" x14ac:dyDescent="0.25">
      <c r="A465" t="s">
        <v>1876</v>
      </c>
    </row>
    <row r="466" spans="1:1" x14ac:dyDescent="0.25">
      <c r="A466" t="s">
        <v>1877</v>
      </c>
    </row>
    <row r="467" spans="1:1" x14ac:dyDescent="0.25">
      <c r="A467" t="s">
        <v>1874</v>
      </c>
    </row>
    <row r="468" spans="1:1" x14ac:dyDescent="0.25">
      <c r="A468" t="s">
        <v>1875</v>
      </c>
    </row>
    <row r="469" spans="1:1" x14ac:dyDescent="0.25">
      <c r="A469" t="s">
        <v>1878</v>
      </c>
    </row>
    <row r="470" spans="1:1" x14ac:dyDescent="0.25">
      <c r="A470" t="s">
        <v>1879</v>
      </c>
    </row>
    <row r="471" spans="1:1" x14ac:dyDescent="0.25">
      <c r="A471" t="s">
        <v>1880</v>
      </c>
    </row>
    <row r="472" spans="1:1" x14ac:dyDescent="0.25">
      <c r="A472" t="s">
        <v>1881</v>
      </c>
    </row>
    <row r="473" spans="1:1" x14ac:dyDescent="0.25">
      <c r="A473" t="s">
        <v>1882</v>
      </c>
    </row>
    <row r="474" spans="1:1" x14ac:dyDescent="0.25">
      <c r="A474" t="s">
        <v>2092</v>
      </c>
    </row>
    <row r="475" spans="1:1" x14ac:dyDescent="0.25">
      <c r="A475" t="s">
        <v>2089</v>
      </c>
    </row>
    <row r="476" spans="1:1" x14ac:dyDescent="0.25">
      <c r="A476" t="s">
        <v>217</v>
      </c>
    </row>
    <row r="477" spans="1:1" x14ac:dyDescent="0.25">
      <c r="A477" t="s">
        <v>371</v>
      </c>
    </row>
    <row r="478" spans="1:1" x14ac:dyDescent="0.25">
      <c r="A478" t="s">
        <v>155</v>
      </c>
    </row>
    <row r="479" spans="1:1" x14ac:dyDescent="0.25">
      <c r="A479" t="s">
        <v>156</v>
      </c>
    </row>
    <row r="480" spans="1:1" x14ac:dyDescent="0.25">
      <c r="A480" t="s">
        <v>151</v>
      </c>
    </row>
    <row r="481" spans="1:1" x14ac:dyDescent="0.25">
      <c r="A481" t="s">
        <v>152</v>
      </c>
    </row>
    <row r="482" spans="1:1" x14ac:dyDescent="0.25">
      <c r="A482" t="s">
        <v>571</v>
      </c>
    </row>
    <row r="483" spans="1:1" x14ac:dyDescent="0.25">
      <c r="A483" t="s">
        <v>1872</v>
      </c>
    </row>
    <row r="484" spans="1:1" x14ac:dyDescent="0.25">
      <c r="A484" t="s">
        <v>1873</v>
      </c>
    </row>
    <row r="485" spans="1:1" x14ac:dyDescent="0.25">
      <c r="A485" t="s">
        <v>1876</v>
      </c>
    </row>
    <row r="486" spans="1:1" x14ac:dyDescent="0.25">
      <c r="A486" t="s">
        <v>1877</v>
      </c>
    </row>
    <row r="487" spans="1:1" x14ac:dyDescent="0.25">
      <c r="A487" t="s">
        <v>1874</v>
      </c>
    </row>
    <row r="488" spans="1:1" x14ac:dyDescent="0.25">
      <c r="A488" t="s">
        <v>1875</v>
      </c>
    </row>
    <row r="489" spans="1:1" x14ac:dyDescent="0.25">
      <c r="A489" t="s">
        <v>1878</v>
      </c>
    </row>
    <row r="490" spans="1:1" x14ac:dyDescent="0.25">
      <c r="A490" t="s">
        <v>1879</v>
      </c>
    </row>
    <row r="491" spans="1:1" x14ac:dyDescent="0.25">
      <c r="A491" t="s">
        <v>1880</v>
      </c>
    </row>
    <row r="492" spans="1:1" x14ac:dyDescent="0.25">
      <c r="A492" t="s">
        <v>1881</v>
      </c>
    </row>
    <row r="493" spans="1:1" x14ac:dyDescent="0.25">
      <c r="A493" t="s">
        <v>1882</v>
      </c>
    </row>
    <row r="494" spans="1:1" x14ac:dyDescent="0.25">
      <c r="A494" t="s">
        <v>2092</v>
      </c>
    </row>
    <row r="495" spans="1:1" x14ac:dyDescent="0.25">
      <c r="A495" t="s">
        <v>2089</v>
      </c>
    </row>
    <row r="496" spans="1:1" x14ac:dyDescent="0.25">
      <c r="A496" t="s">
        <v>329</v>
      </c>
    </row>
    <row r="497" spans="1:1" x14ac:dyDescent="0.25">
      <c r="A497" t="s">
        <v>419</v>
      </c>
    </row>
    <row r="498" spans="1:1" x14ac:dyDescent="0.25">
      <c r="A498" t="s">
        <v>155</v>
      </c>
    </row>
    <row r="499" spans="1:1" x14ac:dyDescent="0.25">
      <c r="A499" t="s">
        <v>156</v>
      </c>
    </row>
    <row r="500" spans="1:1" x14ac:dyDescent="0.25">
      <c r="A500" t="s">
        <v>151</v>
      </c>
    </row>
    <row r="501" spans="1:1" x14ac:dyDescent="0.25">
      <c r="A501" t="s">
        <v>152</v>
      </c>
    </row>
    <row r="502" spans="1:1" x14ac:dyDescent="0.25">
      <c r="A502" t="s">
        <v>567</v>
      </c>
    </row>
    <row r="503" spans="1:1" x14ac:dyDescent="0.25">
      <c r="A503" t="s">
        <v>1872</v>
      </c>
    </row>
    <row r="504" spans="1:1" x14ac:dyDescent="0.25">
      <c r="A504" t="s">
        <v>1873</v>
      </c>
    </row>
    <row r="505" spans="1:1" x14ac:dyDescent="0.25">
      <c r="A505" t="s">
        <v>1876</v>
      </c>
    </row>
    <row r="506" spans="1:1" x14ac:dyDescent="0.25">
      <c r="A506" t="s">
        <v>1877</v>
      </c>
    </row>
    <row r="507" spans="1:1" x14ac:dyDescent="0.25">
      <c r="A507" t="s">
        <v>1874</v>
      </c>
    </row>
    <row r="508" spans="1:1" x14ac:dyDescent="0.25">
      <c r="A508" t="s">
        <v>1875</v>
      </c>
    </row>
    <row r="509" spans="1:1" x14ac:dyDescent="0.25">
      <c r="A509" t="s">
        <v>1878</v>
      </c>
    </row>
    <row r="510" spans="1:1" x14ac:dyDescent="0.25">
      <c r="A510" t="s">
        <v>1879</v>
      </c>
    </row>
    <row r="511" spans="1:1" x14ac:dyDescent="0.25">
      <c r="A511" t="s">
        <v>1880</v>
      </c>
    </row>
    <row r="512" spans="1:1" x14ac:dyDescent="0.25">
      <c r="A512" t="s">
        <v>1881</v>
      </c>
    </row>
    <row r="513" spans="1:1" x14ac:dyDescent="0.25">
      <c r="A513" t="s">
        <v>1882</v>
      </c>
    </row>
    <row r="514" spans="1:1" x14ac:dyDescent="0.25">
      <c r="A514" t="s">
        <v>2092</v>
      </c>
    </row>
    <row r="515" spans="1:1" x14ac:dyDescent="0.25">
      <c r="A515" t="s">
        <v>2089</v>
      </c>
    </row>
    <row r="516" spans="1:1" x14ac:dyDescent="0.25">
      <c r="A516" t="s">
        <v>195</v>
      </c>
    </row>
    <row r="517" spans="1:1" x14ac:dyDescent="0.25">
      <c r="A517" t="s">
        <v>415</v>
      </c>
    </row>
    <row r="518" spans="1:1" x14ac:dyDescent="0.25">
      <c r="A518" t="s">
        <v>155</v>
      </c>
    </row>
    <row r="519" spans="1:1" x14ac:dyDescent="0.25">
      <c r="A519" t="s">
        <v>156</v>
      </c>
    </row>
    <row r="520" spans="1:1" x14ac:dyDescent="0.25">
      <c r="A520" t="s">
        <v>151</v>
      </c>
    </row>
    <row r="521" spans="1:1" x14ac:dyDescent="0.25">
      <c r="A521" t="s">
        <v>152</v>
      </c>
    </row>
    <row r="522" spans="1:1" x14ac:dyDescent="0.25">
      <c r="A522" t="s">
        <v>467</v>
      </c>
    </row>
    <row r="523" spans="1:1" x14ac:dyDescent="0.25">
      <c r="A523" t="s">
        <v>1872</v>
      </c>
    </row>
    <row r="524" spans="1:1" x14ac:dyDescent="0.25">
      <c r="A524" t="s">
        <v>1873</v>
      </c>
    </row>
    <row r="525" spans="1:1" x14ac:dyDescent="0.25">
      <c r="A525" t="s">
        <v>1230</v>
      </c>
    </row>
    <row r="526" spans="1:1" x14ac:dyDescent="0.25">
      <c r="A526" t="s">
        <v>1231</v>
      </c>
    </row>
    <row r="527" spans="1:1" x14ac:dyDescent="0.25">
      <c r="A527" t="s">
        <v>1874</v>
      </c>
    </row>
    <row r="528" spans="1:1" x14ac:dyDescent="0.25">
      <c r="A528" t="s">
        <v>1875</v>
      </c>
    </row>
    <row r="529" spans="1:1" x14ac:dyDescent="0.25">
      <c r="A529" t="s">
        <v>1232</v>
      </c>
    </row>
    <row r="530" spans="1:1" x14ac:dyDescent="0.25">
      <c r="A530" t="s">
        <v>1233</v>
      </c>
    </row>
    <row r="531" spans="1:1" x14ac:dyDescent="0.25">
      <c r="A531" t="s">
        <v>1883</v>
      </c>
    </row>
    <row r="532" spans="1:1" x14ac:dyDescent="0.25">
      <c r="A532" t="s">
        <v>1884</v>
      </c>
    </row>
    <row r="533" spans="1:1" x14ac:dyDescent="0.25">
      <c r="A533" t="s">
        <v>1234</v>
      </c>
    </row>
    <row r="534" spans="1:1" x14ac:dyDescent="0.25">
      <c r="A534" t="s">
        <v>2106</v>
      </c>
    </row>
    <row r="535" spans="1:1" x14ac:dyDescent="0.25">
      <c r="A535" t="s">
        <v>2107</v>
      </c>
    </row>
    <row r="536" spans="1:1" x14ac:dyDescent="0.25">
      <c r="A536" t="s">
        <v>195</v>
      </c>
    </row>
    <row r="537" spans="1:1" x14ac:dyDescent="0.25">
      <c r="A537" t="s">
        <v>245</v>
      </c>
    </row>
    <row r="538" spans="1:1" x14ac:dyDescent="0.25">
      <c r="A538" t="s">
        <v>247</v>
      </c>
    </row>
    <row r="539" spans="1:1" x14ac:dyDescent="0.25">
      <c r="A539" t="s">
        <v>156</v>
      </c>
    </row>
    <row r="540" spans="1:1" x14ac:dyDescent="0.25">
      <c r="A540" t="s">
        <v>151</v>
      </c>
    </row>
    <row r="541" spans="1:1" x14ac:dyDescent="0.25">
      <c r="A541" t="s">
        <v>152</v>
      </c>
    </row>
    <row r="542" spans="1:1" x14ac:dyDescent="0.25">
      <c r="A542" t="s">
        <v>2050</v>
      </c>
    </row>
    <row r="543" spans="1:1" x14ac:dyDescent="0.25">
      <c r="A543" t="s">
        <v>1872</v>
      </c>
    </row>
    <row r="544" spans="1:1" x14ac:dyDescent="0.25">
      <c r="A544" t="s">
        <v>1873</v>
      </c>
    </row>
    <row r="545" spans="1:1" x14ac:dyDescent="0.25">
      <c r="A545" t="s">
        <v>2051</v>
      </c>
    </row>
    <row r="546" spans="1:1" x14ac:dyDescent="0.25">
      <c r="A546" t="s">
        <v>2052</v>
      </c>
    </row>
    <row r="547" spans="1:1" x14ac:dyDescent="0.25">
      <c r="A547" t="s">
        <v>1874</v>
      </c>
    </row>
    <row r="548" spans="1:1" x14ac:dyDescent="0.25">
      <c r="A548" t="s">
        <v>1875</v>
      </c>
    </row>
    <row r="549" spans="1:1" x14ac:dyDescent="0.25">
      <c r="A549" t="s">
        <v>2053</v>
      </c>
    </row>
    <row r="550" spans="1:1" x14ac:dyDescent="0.25">
      <c r="A550" t="s">
        <v>1879</v>
      </c>
    </row>
    <row r="551" spans="1:1" x14ac:dyDescent="0.25">
      <c r="A551" t="s">
        <v>2054</v>
      </c>
    </row>
    <row r="552" spans="1:1" x14ac:dyDescent="0.25">
      <c r="A552" t="s">
        <v>1881</v>
      </c>
    </row>
    <row r="553" spans="1:1" x14ac:dyDescent="0.25">
      <c r="A553" t="s">
        <v>2055</v>
      </c>
    </row>
    <row r="554" spans="1:1" x14ac:dyDescent="0.25">
      <c r="A554" t="s">
        <v>2098</v>
      </c>
    </row>
    <row r="555" spans="1:1" x14ac:dyDescent="0.25">
      <c r="A555" t="s">
        <v>2117</v>
      </c>
    </row>
    <row r="556" spans="1:1" x14ac:dyDescent="0.25">
      <c r="A556" t="s">
        <v>2056</v>
      </c>
    </row>
    <row r="557" spans="1:1" x14ac:dyDescent="0.25">
      <c r="A557" t="s">
        <v>2080</v>
      </c>
    </row>
    <row r="558" spans="1:1" x14ac:dyDescent="0.25">
      <c r="A558" t="s">
        <v>155</v>
      </c>
    </row>
    <row r="559" spans="1:1" x14ac:dyDescent="0.25">
      <c r="A559" t="s">
        <v>156</v>
      </c>
    </row>
    <row r="560" spans="1:1" x14ac:dyDescent="0.25">
      <c r="A560" t="s">
        <v>151</v>
      </c>
    </row>
    <row r="561" spans="1:1" x14ac:dyDescent="0.25">
      <c r="A561" t="s">
        <v>152</v>
      </c>
    </row>
    <row r="562" spans="1:1" x14ac:dyDescent="0.25">
      <c r="A562" t="s">
        <v>466</v>
      </c>
    </row>
    <row r="563" spans="1:1" x14ac:dyDescent="0.25">
      <c r="A563" t="s">
        <v>1872</v>
      </c>
    </row>
    <row r="564" spans="1:1" x14ac:dyDescent="0.25">
      <c r="A564" t="s">
        <v>1873</v>
      </c>
    </row>
    <row r="565" spans="1:1" x14ac:dyDescent="0.25">
      <c r="A565" t="s">
        <v>1230</v>
      </c>
    </row>
    <row r="566" spans="1:1" x14ac:dyDescent="0.25">
      <c r="A566" t="s">
        <v>1231</v>
      </c>
    </row>
    <row r="567" spans="1:1" x14ac:dyDescent="0.25">
      <c r="A567" t="s">
        <v>1874</v>
      </c>
    </row>
    <row r="568" spans="1:1" x14ac:dyDescent="0.25">
      <c r="A568" t="s">
        <v>1875</v>
      </c>
    </row>
    <row r="569" spans="1:1" x14ac:dyDescent="0.25">
      <c r="A569" t="s">
        <v>1232</v>
      </c>
    </row>
    <row r="570" spans="1:1" x14ac:dyDescent="0.25">
      <c r="A570" t="s">
        <v>1314</v>
      </c>
    </row>
    <row r="571" spans="1:1" x14ac:dyDescent="0.25">
      <c r="A571" t="s">
        <v>1883</v>
      </c>
    </row>
    <row r="572" spans="1:1" x14ac:dyDescent="0.25">
      <c r="A572" t="s">
        <v>1884</v>
      </c>
    </row>
    <row r="573" spans="1:1" x14ac:dyDescent="0.25">
      <c r="A573" t="s">
        <v>1234</v>
      </c>
    </row>
    <row r="574" spans="1:1" x14ac:dyDescent="0.25">
      <c r="A574" t="s">
        <v>2106</v>
      </c>
    </row>
    <row r="575" spans="1:1" x14ac:dyDescent="0.25">
      <c r="A575" t="s">
        <v>2107</v>
      </c>
    </row>
    <row r="576" spans="1:1" x14ac:dyDescent="0.25">
      <c r="A576" t="s">
        <v>243</v>
      </c>
    </row>
    <row r="577" spans="1:1" x14ac:dyDescent="0.25">
      <c r="A577" t="s">
        <v>244</v>
      </c>
    </row>
    <row r="578" spans="1:1" x14ac:dyDescent="0.25">
      <c r="A578" t="s">
        <v>155</v>
      </c>
    </row>
    <row r="579" spans="1:1" x14ac:dyDescent="0.25">
      <c r="A579" t="s">
        <v>156</v>
      </c>
    </row>
    <row r="580" spans="1:1" x14ac:dyDescent="0.25">
      <c r="A580" t="s">
        <v>151</v>
      </c>
    </row>
    <row r="581" spans="1:1" x14ac:dyDescent="0.25">
      <c r="A581" t="s">
        <v>152</v>
      </c>
    </row>
    <row r="582" spans="1:1" x14ac:dyDescent="0.25">
      <c r="A582" t="s">
        <v>528</v>
      </c>
    </row>
    <row r="583" spans="1:1" x14ac:dyDescent="0.25">
      <c r="A583" t="s">
        <v>1872</v>
      </c>
    </row>
    <row r="584" spans="1:1" x14ac:dyDescent="0.25">
      <c r="A584" t="s">
        <v>1873</v>
      </c>
    </row>
    <row r="585" spans="1:1" x14ac:dyDescent="0.25">
      <c r="A585" t="s">
        <v>1315</v>
      </c>
    </row>
    <row r="586" spans="1:1" x14ac:dyDescent="0.25">
      <c r="A586" t="s">
        <v>1316</v>
      </c>
    </row>
    <row r="587" spans="1:1" x14ac:dyDescent="0.25">
      <c r="A587" t="s">
        <v>1317</v>
      </c>
    </row>
    <row r="588" spans="1:1" x14ac:dyDescent="0.25">
      <c r="A588" t="s">
        <v>1318</v>
      </c>
    </row>
    <row r="589" spans="1:1" x14ac:dyDescent="0.25">
      <c r="A589" t="s">
        <v>1319</v>
      </c>
    </row>
    <row r="590" spans="1:1" x14ac:dyDescent="0.25">
      <c r="A590" t="s">
        <v>1320</v>
      </c>
    </row>
    <row r="591" spans="1:1" x14ac:dyDescent="0.25">
      <c r="A591" t="s">
        <v>1294</v>
      </c>
    </row>
    <row r="592" spans="1:1" x14ac:dyDescent="0.25">
      <c r="A592" t="s">
        <v>1902</v>
      </c>
    </row>
    <row r="593" spans="1:1" x14ac:dyDescent="0.25">
      <c r="A593" t="s">
        <v>1321</v>
      </c>
    </row>
    <row r="594" spans="1:1" x14ac:dyDescent="0.25">
      <c r="A594" t="s">
        <v>2102</v>
      </c>
    </row>
    <row r="595" spans="1:1" x14ac:dyDescent="0.25">
      <c r="A595" t="s">
        <v>2118</v>
      </c>
    </row>
    <row r="596" spans="1:1" x14ac:dyDescent="0.25">
      <c r="A596" t="s">
        <v>351</v>
      </c>
    </row>
    <row r="597" spans="1:1" x14ac:dyDescent="0.25">
      <c r="A597" t="s">
        <v>352</v>
      </c>
    </row>
    <row r="598" spans="1:1" x14ac:dyDescent="0.25">
      <c r="A598" t="s">
        <v>353</v>
      </c>
    </row>
    <row r="599" spans="1:1" x14ac:dyDescent="0.25">
      <c r="A599" t="s">
        <v>156</v>
      </c>
    </row>
    <row r="600" spans="1:1" x14ac:dyDescent="0.25">
      <c r="A600" t="s">
        <v>151</v>
      </c>
    </row>
    <row r="601" spans="1:1" x14ac:dyDescent="0.25">
      <c r="A601" t="s">
        <v>152</v>
      </c>
    </row>
    <row r="602" spans="1:1" x14ac:dyDescent="0.25">
      <c r="A602" t="s">
        <v>528</v>
      </c>
    </row>
    <row r="603" spans="1:1" x14ac:dyDescent="0.25">
      <c r="A603" t="s">
        <v>1872</v>
      </c>
    </row>
    <row r="604" spans="1:1" x14ac:dyDescent="0.25">
      <c r="A604" t="s">
        <v>1873</v>
      </c>
    </row>
    <row r="605" spans="1:1" x14ac:dyDescent="0.25">
      <c r="A605" t="s">
        <v>1315</v>
      </c>
    </row>
    <row r="606" spans="1:1" x14ac:dyDescent="0.25">
      <c r="A606" t="s">
        <v>1316</v>
      </c>
    </row>
    <row r="607" spans="1:1" x14ac:dyDescent="0.25">
      <c r="A607" t="s">
        <v>1317</v>
      </c>
    </row>
    <row r="608" spans="1:1" x14ac:dyDescent="0.25">
      <c r="A608" t="s">
        <v>1318</v>
      </c>
    </row>
    <row r="609" spans="1:1" x14ac:dyDescent="0.25">
      <c r="A609" t="s">
        <v>1319</v>
      </c>
    </row>
    <row r="610" spans="1:1" x14ac:dyDescent="0.25">
      <c r="A610" t="s">
        <v>1320</v>
      </c>
    </row>
    <row r="611" spans="1:1" x14ac:dyDescent="0.25">
      <c r="A611" t="s">
        <v>1294</v>
      </c>
    </row>
    <row r="612" spans="1:1" x14ac:dyDescent="0.25">
      <c r="A612" t="s">
        <v>1902</v>
      </c>
    </row>
    <row r="613" spans="1:1" x14ac:dyDescent="0.25">
      <c r="A613" t="s">
        <v>1321</v>
      </c>
    </row>
    <row r="614" spans="1:1" x14ac:dyDescent="0.25">
      <c r="A614" t="s">
        <v>2102</v>
      </c>
    </row>
    <row r="615" spans="1:1" x14ac:dyDescent="0.25">
      <c r="A615" t="s">
        <v>2118</v>
      </c>
    </row>
    <row r="616" spans="1:1" x14ac:dyDescent="0.25">
      <c r="A616" t="s">
        <v>354</v>
      </c>
    </row>
    <row r="617" spans="1:1" x14ac:dyDescent="0.25">
      <c r="A617" t="s">
        <v>352</v>
      </c>
    </row>
    <row r="618" spans="1:1" x14ac:dyDescent="0.25">
      <c r="A618" t="s">
        <v>355</v>
      </c>
    </row>
    <row r="619" spans="1:1" x14ac:dyDescent="0.25">
      <c r="A619" t="s">
        <v>156</v>
      </c>
    </row>
    <row r="620" spans="1:1" x14ac:dyDescent="0.25">
      <c r="A620" t="s">
        <v>151</v>
      </c>
    </row>
    <row r="621" spans="1:1" x14ac:dyDescent="0.25">
      <c r="A621" t="s">
        <v>152</v>
      </c>
    </row>
    <row r="622" spans="1:1" x14ac:dyDescent="0.25">
      <c r="A622" t="s">
        <v>442</v>
      </c>
    </row>
    <row r="623" spans="1:1" x14ac:dyDescent="0.25">
      <c r="A623" t="s">
        <v>1872</v>
      </c>
    </row>
    <row r="624" spans="1:1" x14ac:dyDescent="0.25">
      <c r="A624" t="s">
        <v>1873</v>
      </c>
    </row>
    <row r="625" spans="1:1" x14ac:dyDescent="0.25">
      <c r="A625" t="s">
        <v>1322</v>
      </c>
    </row>
    <row r="626" spans="1:1" x14ac:dyDescent="0.25">
      <c r="A626" t="s">
        <v>1231</v>
      </c>
    </row>
    <row r="627" spans="1:1" x14ac:dyDescent="0.25">
      <c r="A627" t="s">
        <v>1874</v>
      </c>
    </row>
    <row r="628" spans="1:1" x14ac:dyDescent="0.25">
      <c r="A628" t="s">
        <v>1875</v>
      </c>
    </row>
    <row r="629" spans="1:1" x14ac:dyDescent="0.25">
      <c r="A629" t="s">
        <v>1323</v>
      </c>
    </row>
    <row r="630" spans="1:1" x14ac:dyDescent="0.25">
      <c r="A630" t="s">
        <v>1324</v>
      </c>
    </row>
    <row r="631" spans="1:1" x14ac:dyDescent="0.25">
      <c r="A631" t="s">
        <v>1883</v>
      </c>
    </row>
    <row r="632" spans="1:1" x14ac:dyDescent="0.25">
      <c r="A632" t="s">
        <v>1884</v>
      </c>
    </row>
    <row r="633" spans="1:1" x14ac:dyDescent="0.25">
      <c r="A633" t="s">
        <v>1325</v>
      </c>
    </row>
    <row r="634" spans="1:1" x14ac:dyDescent="0.25">
      <c r="A634" t="s">
        <v>2100</v>
      </c>
    </row>
    <row r="635" spans="1:1" x14ac:dyDescent="0.25">
      <c r="A635" t="s">
        <v>2108</v>
      </c>
    </row>
    <row r="636" spans="1:1" x14ac:dyDescent="0.25">
      <c r="A636" t="s">
        <v>164</v>
      </c>
    </row>
    <row r="637" spans="1:1" x14ac:dyDescent="0.25">
      <c r="A637" t="s">
        <v>165</v>
      </c>
    </row>
    <row r="638" spans="1:1" x14ac:dyDescent="0.25">
      <c r="A638" t="s">
        <v>155</v>
      </c>
    </row>
    <row r="639" spans="1:1" x14ac:dyDescent="0.25">
      <c r="A639" t="s">
        <v>156</v>
      </c>
    </row>
    <row r="640" spans="1:1" x14ac:dyDescent="0.25">
      <c r="A640" t="s">
        <v>151</v>
      </c>
    </row>
    <row r="641" spans="1:1" x14ac:dyDescent="0.25">
      <c r="A641" t="s">
        <v>152</v>
      </c>
    </row>
    <row r="642" spans="1:1" x14ac:dyDescent="0.25">
      <c r="A642" t="s">
        <v>498</v>
      </c>
    </row>
    <row r="643" spans="1:1" x14ac:dyDescent="0.25">
      <c r="A643" t="s">
        <v>1872</v>
      </c>
    </row>
    <row r="644" spans="1:1" x14ac:dyDescent="0.25">
      <c r="A644" t="s">
        <v>1873</v>
      </c>
    </row>
    <row r="645" spans="1:1" x14ac:dyDescent="0.25">
      <c r="A645" t="s">
        <v>1326</v>
      </c>
    </row>
    <row r="646" spans="1:1" x14ac:dyDescent="0.25">
      <c r="A646" t="s">
        <v>1327</v>
      </c>
    </row>
    <row r="647" spans="1:1" x14ac:dyDescent="0.25">
      <c r="A647" t="s">
        <v>1874</v>
      </c>
    </row>
    <row r="648" spans="1:1" x14ac:dyDescent="0.25">
      <c r="A648" t="s">
        <v>1875</v>
      </c>
    </row>
    <row r="649" spans="1:1" x14ac:dyDescent="0.25">
      <c r="A649" t="s">
        <v>1328</v>
      </c>
    </row>
    <row r="650" spans="1:1" x14ac:dyDescent="0.25">
      <c r="A650" t="s">
        <v>1329</v>
      </c>
    </row>
    <row r="651" spans="1:1" x14ac:dyDescent="0.25">
      <c r="A651" t="s">
        <v>1903</v>
      </c>
    </row>
    <row r="652" spans="1:1" x14ac:dyDescent="0.25">
      <c r="A652" t="s">
        <v>1904</v>
      </c>
    </row>
    <row r="653" spans="1:1" x14ac:dyDescent="0.25">
      <c r="A653" t="s">
        <v>1331</v>
      </c>
    </row>
    <row r="654" spans="1:1" x14ac:dyDescent="0.25">
      <c r="A654" t="s">
        <v>2119</v>
      </c>
    </row>
    <row r="655" spans="1:1" x14ac:dyDescent="0.25">
      <c r="A655" t="s">
        <v>2120</v>
      </c>
    </row>
    <row r="656" spans="1:1" x14ac:dyDescent="0.25">
      <c r="A656" t="s">
        <v>294</v>
      </c>
    </row>
    <row r="657" spans="1:1" x14ac:dyDescent="0.25">
      <c r="A657" t="s">
        <v>295</v>
      </c>
    </row>
    <row r="658" spans="1:1" x14ac:dyDescent="0.25">
      <c r="A658" t="s">
        <v>155</v>
      </c>
    </row>
    <row r="659" spans="1:1" x14ac:dyDescent="0.25">
      <c r="A659" t="s">
        <v>156</v>
      </c>
    </row>
    <row r="660" spans="1:1" x14ac:dyDescent="0.25">
      <c r="A660" t="s">
        <v>151</v>
      </c>
    </row>
    <row r="661" spans="1:1" x14ac:dyDescent="0.25">
      <c r="A661" t="s">
        <v>152</v>
      </c>
    </row>
    <row r="662" spans="1:1" x14ac:dyDescent="0.25">
      <c r="A662" t="s">
        <v>504</v>
      </c>
    </row>
    <row r="663" spans="1:1" x14ac:dyDescent="0.25">
      <c r="A663" t="s">
        <v>1872</v>
      </c>
    </row>
    <row r="664" spans="1:1" x14ac:dyDescent="0.25">
      <c r="A664" t="s">
        <v>1873</v>
      </c>
    </row>
    <row r="665" spans="1:1" x14ac:dyDescent="0.25">
      <c r="A665" t="s">
        <v>1332</v>
      </c>
    </row>
    <row r="666" spans="1:1" x14ac:dyDescent="0.25">
      <c r="A666" t="s">
        <v>1333</v>
      </c>
    </row>
    <row r="667" spans="1:1" x14ac:dyDescent="0.25">
      <c r="A667" t="s">
        <v>1334</v>
      </c>
    </row>
    <row r="668" spans="1:1" x14ac:dyDescent="0.25">
      <c r="A668" t="s">
        <v>1335</v>
      </c>
    </row>
    <row r="669" spans="1:1" x14ac:dyDescent="0.25">
      <c r="A669" t="s">
        <v>1336</v>
      </c>
    </row>
    <row r="670" spans="1:1" x14ac:dyDescent="0.25">
      <c r="A670" t="s">
        <v>1879</v>
      </c>
    </row>
    <row r="671" spans="1:1" x14ac:dyDescent="0.25">
      <c r="A671" t="s">
        <v>1905</v>
      </c>
    </row>
    <row r="672" spans="1:1" x14ac:dyDescent="0.25">
      <c r="A672" t="s">
        <v>1498</v>
      </c>
    </row>
    <row r="673" spans="1:1" x14ac:dyDescent="0.25">
      <c r="A673" t="s">
        <v>1337</v>
      </c>
    </row>
    <row r="674" spans="1:1" x14ac:dyDescent="0.25">
      <c r="A674" t="s">
        <v>2121</v>
      </c>
    </row>
    <row r="675" spans="1:1" x14ac:dyDescent="0.25">
      <c r="A675" t="s">
        <v>2122</v>
      </c>
    </row>
    <row r="676" spans="1:1" x14ac:dyDescent="0.25">
      <c r="A676" t="s">
        <v>302</v>
      </c>
    </row>
    <row r="677" spans="1:1" x14ac:dyDescent="0.25">
      <c r="A677" t="s">
        <v>303</v>
      </c>
    </row>
    <row r="678" spans="1:1" x14ac:dyDescent="0.25">
      <c r="A678" t="s">
        <v>155</v>
      </c>
    </row>
    <row r="679" spans="1:1" x14ac:dyDescent="0.25">
      <c r="A679" t="s">
        <v>156</v>
      </c>
    </row>
    <row r="680" spans="1:1" x14ac:dyDescent="0.25">
      <c r="A680" t="s">
        <v>151</v>
      </c>
    </row>
    <row r="681" spans="1:1" x14ac:dyDescent="0.25">
      <c r="A681" t="s">
        <v>152</v>
      </c>
    </row>
    <row r="682" spans="1:1" x14ac:dyDescent="0.25">
      <c r="A682" t="s">
        <v>573</v>
      </c>
    </row>
    <row r="683" spans="1:1" x14ac:dyDescent="0.25">
      <c r="A683" t="s">
        <v>1338</v>
      </c>
    </row>
    <row r="684" spans="1:1" x14ac:dyDescent="0.25">
      <c r="A684" t="s">
        <v>1339</v>
      </c>
    </row>
    <row r="685" spans="1:1" x14ac:dyDescent="0.25">
      <c r="A685" t="s">
        <v>1272</v>
      </c>
    </row>
    <row r="686" spans="1:1" x14ac:dyDescent="0.25">
      <c r="A686" t="s">
        <v>1273</v>
      </c>
    </row>
    <row r="687" spans="1:1" x14ac:dyDescent="0.25">
      <c r="A687" t="s">
        <v>1340</v>
      </c>
    </row>
    <row r="688" spans="1:1" x14ac:dyDescent="0.25">
      <c r="A688" t="s">
        <v>1341</v>
      </c>
    </row>
    <row r="689" spans="1:1" x14ac:dyDescent="0.25">
      <c r="A689" t="s">
        <v>1342</v>
      </c>
    </row>
    <row r="690" spans="1:1" x14ac:dyDescent="0.25">
      <c r="A690" t="s">
        <v>1343</v>
      </c>
    </row>
    <row r="691" spans="1:1" x14ac:dyDescent="0.25">
      <c r="A691" t="s">
        <v>1906</v>
      </c>
    </row>
    <row r="692" spans="1:1" x14ac:dyDescent="0.25">
      <c r="A692" t="s">
        <v>1907</v>
      </c>
    </row>
    <row r="693" spans="1:1" x14ac:dyDescent="0.25">
      <c r="A693" t="s">
        <v>1344</v>
      </c>
    </row>
    <row r="694" spans="1:1" x14ac:dyDescent="0.25">
      <c r="A694" t="s">
        <v>2102</v>
      </c>
    </row>
    <row r="695" spans="1:1" x14ac:dyDescent="0.25">
      <c r="A695" t="s">
        <v>2111</v>
      </c>
    </row>
    <row r="696" spans="1:1" x14ac:dyDescent="0.25">
      <c r="A696" t="s">
        <v>421</v>
      </c>
    </row>
    <row r="697" spans="1:1" x14ac:dyDescent="0.25">
      <c r="A697" t="s">
        <v>422</v>
      </c>
    </row>
    <row r="698" spans="1:1" x14ac:dyDescent="0.25">
      <c r="A698" t="s">
        <v>155</v>
      </c>
    </row>
    <row r="699" spans="1:1" x14ac:dyDescent="0.25">
      <c r="A699" t="s">
        <v>156</v>
      </c>
    </row>
    <row r="700" spans="1:1" x14ac:dyDescent="0.25">
      <c r="A700" t="s">
        <v>151</v>
      </c>
    </row>
    <row r="701" spans="1:1" x14ac:dyDescent="0.25">
      <c r="A701" t="s">
        <v>152</v>
      </c>
    </row>
    <row r="702" spans="1:1" x14ac:dyDescent="0.25">
      <c r="A702" t="s">
        <v>562</v>
      </c>
    </row>
    <row r="703" spans="1:1" x14ac:dyDescent="0.25">
      <c r="A703" t="s">
        <v>1872</v>
      </c>
    </row>
    <row r="704" spans="1:1" x14ac:dyDescent="0.25">
      <c r="A704" t="s">
        <v>1873</v>
      </c>
    </row>
    <row r="705" spans="1:1" x14ac:dyDescent="0.25">
      <c r="A705" t="s">
        <v>1345</v>
      </c>
    </row>
    <row r="706" spans="1:1" x14ac:dyDescent="0.25">
      <c r="A706" t="s">
        <v>1346</v>
      </c>
    </row>
    <row r="707" spans="1:1" x14ac:dyDescent="0.25">
      <c r="A707" t="s">
        <v>1347</v>
      </c>
    </row>
    <row r="708" spans="1:1" x14ac:dyDescent="0.25">
      <c r="A708" t="s">
        <v>1348</v>
      </c>
    </row>
    <row r="709" spans="1:1" x14ac:dyDescent="0.25">
      <c r="A709" t="s">
        <v>1349</v>
      </c>
    </row>
    <row r="710" spans="1:1" x14ac:dyDescent="0.25">
      <c r="A710" t="s">
        <v>1350</v>
      </c>
    </row>
    <row r="711" spans="1:1" x14ac:dyDescent="0.25">
      <c r="A711" t="s">
        <v>1241</v>
      </c>
    </row>
    <row r="712" spans="1:1" x14ac:dyDescent="0.25">
      <c r="A712" t="s">
        <v>1908</v>
      </c>
    </row>
    <row r="713" spans="1:1" x14ac:dyDescent="0.25">
      <c r="A713" t="s">
        <v>1351</v>
      </c>
    </row>
    <row r="714" spans="1:1" x14ac:dyDescent="0.25">
      <c r="A714" t="s">
        <v>2121</v>
      </c>
    </row>
    <row r="715" spans="1:1" x14ac:dyDescent="0.25">
      <c r="A715" t="s">
        <v>2123</v>
      </c>
    </row>
    <row r="716" spans="1:1" x14ac:dyDescent="0.25">
      <c r="A716" t="s">
        <v>405</v>
      </c>
    </row>
    <row r="717" spans="1:1" x14ac:dyDescent="0.25">
      <c r="A717" t="s">
        <v>406</v>
      </c>
    </row>
    <row r="718" spans="1:1" x14ac:dyDescent="0.25">
      <c r="A718" t="s">
        <v>155</v>
      </c>
    </row>
    <row r="719" spans="1:1" x14ac:dyDescent="0.25">
      <c r="A719" t="s">
        <v>156</v>
      </c>
    </row>
    <row r="720" spans="1:1" x14ac:dyDescent="0.25">
      <c r="A720" t="s">
        <v>151</v>
      </c>
    </row>
    <row r="721" spans="1:1" x14ac:dyDescent="0.25">
      <c r="A721" t="s">
        <v>152</v>
      </c>
    </row>
    <row r="722" spans="1:1" x14ac:dyDescent="0.25">
      <c r="A722" t="s">
        <v>532</v>
      </c>
    </row>
    <row r="723" spans="1:1" x14ac:dyDescent="0.25">
      <c r="A723" t="s">
        <v>1872</v>
      </c>
    </row>
    <row r="724" spans="1:1" x14ac:dyDescent="0.25">
      <c r="A724" t="s">
        <v>1873</v>
      </c>
    </row>
    <row r="725" spans="1:1" x14ac:dyDescent="0.25">
      <c r="A725" t="s">
        <v>1352</v>
      </c>
    </row>
    <row r="726" spans="1:1" x14ac:dyDescent="0.25">
      <c r="A726" t="s">
        <v>1353</v>
      </c>
    </row>
    <row r="727" spans="1:1" x14ac:dyDescent="0.25">
      <c r="A727" t="s">
        <v>1874</v>
      </c>
    </row>
    <row r="728" spans="1:1" x14ac:dyDescent="0.25">
      <c r="A728" t="s">
        <v>1875</v>
      </c>
    </row>
    <row r="729" spans="1:1" x14ac:dyDescent="0.25">
      <c r="A729" t="s">
        <v>1354</v>
      </c>
    </row>
    <row r="730" spans="1:1" x14ac:dyDescent="0.25">
      <c r="A730" t="s">
        <v>1355</v>
      </c>
    </row>
    <row r="731" spans="1:1" x14ac:dyDescent="0.25">
      <c r="A731" t="s">
        <v>1909</v>
      </c>
    </row>
    <row r="732" spans="1:1" x14ac:dyDescent="0.25">
      <c r="A732" t="s">
        <v>1910</v>
      </c>
    </row>
    <row r="733" spans="1:1" x14ac:dyDescent="0.25">
      <c r="A733" t="s">
        <v>1356</v>
      </c>
    </row>
    <row r="734" spans="1:1" x14ac:dyDescent="0.25">
      <c r="A734" t="s">
        <v>2096</v>
      </c>
    </row>
    <row r="735" spans="1:1" x14ac:dyDescent="0.25">
      <c r="A735" t="s">
        <v>2113</v>
      </c>
    </row>
    <row r="736" spans="1:1" x14ac:dyDescent="0.25">
      <c r="A736" t="s">
        <v>361</v>
      </c>
    </row>
    <row r="737" spans="1:1" x14ac:dyDescent="0.25">
      <c r="A737" t="s">
        <v>362</v>
      </c>
    </row>
    <row r="738" spans="1:1" x14ac:dyDescent="0.25">
      <c r="A738" t="s">
        <v>155</v>
      </c>
    </row>
    <row r="739" spans="1:1" x14ac:dyDescent="0.25">
      <c r="A739" t="s">
        <v>156</v>
      </c>
    </row>
    <row r="740" spans="1:1" x14ac:dyDescent="0.25">
      <c r="A740" t="s">
        <v>151</v>
      </c>
    </row>
    <row r="741" spans="1:1" x14ac:dyDescent="0.25">
      <c r="A741" t="s">
        <v>152</v>
      </c>
    </row>
    <row r="742" spans="1:1" x14ac:dyDescent="0.25">
      <c r="A742" t="s">
        <v>439</v>
      </c>
    </row>
    <row r="743" spans="1:1" x14ac:dyDescent="0.25">
      <c r="A743" t="s">
        <v>1357</v>
      </c>
    </row>
    <row r="744" spans="1:1" x14ac:dyDescent="0.25">
      <c r="A744" t="s">
        <v>1358</v>
      </c>
    </row>
    <row r="745" spans="1:1" x14ac:dyDescent="0.25">
      <c r="A745" t="s">
        <v>1359</v>
      </c>
    </row>
    <row r="746" spans="1:1" x14ac:dyDescent="0.25">
      <c r="A746" t="s">
        <v>1360</v>
      </c>
    </row>
    <row r="747" spans="1:1" x14ac:dyDescent="0.25">
      <c r="A747" t="s">
        <v>1361</v>
      </c>
    </row>
    <row r="748" spans="1:1" x14ac:dyDescent="0.25">
      <c r="A748" t="s">
        <v>1362</v>
      </c>
    </row>
    <row r="749" spans="1:1" x14ac:dyDescent="0.25">
      <c r="A749" t="s">
        <v>1363</v>
      </c>
    </row>
    <row r="750" spans="1:1" x14ac:dyDescent="0.25">
      <c r="A750" t="s">
        <v>1364</v>
      </c>
    </row>
    <row r="751" spans="1:1" x14ac:dyDescent="0.25">
      <c r="A751" t="s">
        <v>1911</v>
      </c>
    </row>
    <row r="752" spans="1:1" x14ac:dyDescent="0.25">
      <c r="A752" t="s">
        <v>1912</v>
      </c>
    </row>
    <row r="753" spans="1:1" x14ac:dyDescent="0.25">
      <c r="A753" t="s">
        <v>1365</v>
      </c>
    </row>
    <row r="754" spans="1:1" x14ac:dyDescent="0.25">
      <c r="A754" t="s">
        <v>2124</v>
      </c>
    </row>
    <row r="755" spans="1:1" x14ac:dyDescent="0.25">
      <c r="A755" t="s">
        <v>2111</v>
      </c>
    </row>
    <row r="756" spans="1:1" x14ac:dyDescent="0.25">
      <c r="A756" t="s">
        <v>153</v>
      </c>
    </row>
    <row r="757" spans="1:1" x14ac:dyDescent="0.25">
      <c r="A757" t="s">
        <v>154</v>
      </c>
    </row>
    <row r="758" spans="1:1" x14ac:dyDescent="0.25">
      <c r="A758" t="s">
        <v>155</v>
      </c>
    </row>
    <row r="759" spans="1:1" x14ac:dyDescent="0.25">
      <c r="A759" t="s">
        <v>156</v>
      </c>
    </row>
    <row r="760" spans="1:1" x14ac:dyDescent="0.25">
      <c r="A760" t="s">
        <v>151</v>
      </c>
    </row>
    <row r="761" spans="1:1" x14ac:dyDescent="0.25">
      <c r="A761" t="s">
        <v>152</v>
      </c>
    </row>
    <row r="762" spans="1:1" x14ac:dyDescent="0.25">
      <c r="A762" t="s">
        <v>481</v>
      </c>
    </row>
    <row r="763" spans="1:1" x14ac:dyDescent="0.25">
      <c r="A763" t="s">
        <v>1872</v>
      </c>
    </row>
    <row r="764" spans="1:1" x14ac:dyDescent="0.25">
      <c r="A764" t="s">
        <v>1873</v>
      </c>
    </row>
    <row r="765" spans="1:1" x14ac:dyDescent="0.25">
      <c r="A765" t="s">
        <v>1876</v>
      </c>
    </row>
    <row r="766" spans="1:1" x14ac:dyDescent="0.25">
      <c r="A766" t="s">
        <v>1877</v>
      </c>
    </row>
    <row r="767" spans="1:1" x14ac:dyDescent="0.25">
      <c r="A767" t="s">
        <v>1874</v>
      </c>
    </row>
    <row r="768" spans="1:1" x14ac:dyDescent="0.25">
      <c r="A768" t="s">
        <v>1875</v>
      </c>
    </row>
    <row r="769" spans="1:1" x14ac:dyDescent="0.25">
      <c r="A769" t="s">
        <v>1878</v>
      </c>
    </row>
    <row r="770" spans="1:1" x14ac:dyDescent="0.25">
      <c r="A770" t="s">
        <v>1879</v>
      </c>
    </row>
    <row r="771" spans="1:1" x14ac:dyDescent="0.25">
      <c r="A771" t="s">
        <v>1880</v>
      </c>
    </row>
    <row r="772" spans="1:1" x14ac:dyDescent="0.25">
      <c r="A772" t="s">
        <v>1881</v>
      </c>
    </row>
    <row r="773" spans="1:1" x14ac:dyDescent="0.25">
      <c r="A773" t="s">
        <v>1882</v>
      </c>
    </row>
    <row r="774" spans="1:1" x14ac:dyDescent="0.25">
      <c r="A774" t="s">
        <v>2092</v>
      </c>
    </row>
    <row r="775" spans="1:1" x14ac:dyDescent="0.25">
      <c r="A775" t="s">
        <v>2089</v>
      </c>
    </row>
    <row r="776" spans="1:1" x14ac:dyDescent="0.25">
      <c r="A776" t="s">
        <v>266</v>
      </c>
    </row>
    <row r="777" spans="1:1" x14ac:dyDescent="0.25">
      <c r="A777" t="s">
        <v>267</v>
      </c>
    </row>
    <row r="778" spans="1:1" x14ac:dyDescent="0.25">
      <c r="A778" t="s">
        <v>155</v>
      </c>
    </row>
    <row r="779" spans="1:1" x14ac:dyDescent="0.25">
      <c r="A779" t="s">
        <v>156</v>
      </c>
    </row>
    <row r="780" spans="1:1" x14ac:dyDescent="0.25">
      <c r="A780" t="s">
        <v>151</v>
      </c>
    </row>
    <row r="781" spans="1:1" x14ac:dyDescent="0.25">
      <c r="A781" t="s">
        <v>152</v>
      </c>
    </row>
    <row r="782" spans="1:1" x14ac:dyDescent="0.25">
      <c r="A782" t="s">
        <v>447</v>
      </c>
    </row>
    <row r="783" spans="1:1" x14ac:dyDescent="0.25">
      <c r="A783" t="s">
        <v>1872</v>
      </c>
    </row>
    <row r="784" spans="1:1" x14ac:dyDescent="0.25">
      <c r="A784" t="s">
        <v>1873</v>
      </c>
    </row>
    <row r="785" spans="1:1" x14ac:dyDescent="0.25">
      <c r="A785" t="s">
        <v>1876</v>
      </c>
    </row>
    <row r="786" spans="1:1" x14ac:dyDescent="0.25">
      <c r="A786" t="s">
        <v>1877</v>
      </c>
    </row>
    <row r="787" spans="1:1" x14ac:dyDescent="0.25">
      <c r="A787" t="s">
        <v>1874</v>
      </c>
    </row>
    <row r="788" spans="1:1" x14ac:dyDescent="0.25">
      <c r="A788" t="s">
        <v>1875</v>
      </c>
    </row>
    <row r="789" spans="1:1" x14ac:dyDescent="0.25">
      <c r="A789" t="s">
        <v>1878</v>
      </c>
    </row>
    <row r="790" spans="1:1" x14ac:dyDescent="0.25">
      <c r="A790" t="s">
        <v>1879</v>
      </c>
    </row>
    <row r="791" spans="1:1" x14ac:dyDescent="0.25">
      <c r="A791" t="s">
        <v>1880</v>
      </c>
    </row>
    <row r="792" spans="1:1" x14ac:dyDescent="0.25">
      <c r="A792" t="s">
        <v>1881</v>
      </c>
    </row>
    <row r="793" spans="1:1" x14ac:dyDescent="0.25">
      <c r="A793" t="s">
        <v>1882</v>
      </c>
    </row>
    <row r="794" spans="1:1" x14ac:dyDescent="0.25">
      <c r="A794" t="s">
        <v>2092</v>
      </c>
    </row>
    <row r="795" spans="1:1" x14ac:dyDescent="0.25">
      <c r="A795" t="s">
        <v>2089</v>
      </c>
    </row>
    <row r="796" spans="1:1" x14ac:dyDescent="0.25">
      <c r="A796" t="s">
        <v>180</v>
      </c>
    </row>
    <row r="797" spans="1:1" x14ac:dyDescent="0.25">
      <c r="A797" t="s">
        <v>181</v>
      </c>
    </row>
    <row r="798" spans="1:1" x14ac:dyDescent="0.25">
      <c r="A798" t="s">
        <v>182</v>
      </c>
    </row>
    <row r="799" spans="1:1" x14ac:dyDescent="0.25">
      <c r="A799" t="s">
        <v>156</v>
      </c>
    </row>
    <row r="800" spans="1:1" x14ac:dyDescent="0.25">
      <c r="A800" t="s">
        <v>151</v>
      </c>
    </row>
    <row r="801" spans="1:1" x14ac:dyDescent="0.25">
      <c r="A801" t="s">
        <v>152</v>
      </c>
    </row>
    <row r="802" spans="1:1" x14ac:dyDescent="0.25">
      <c r="A802" t="s">
        <v>447</v>
      </c>
    </row>
    <row r="803" spans="1:1" x14ac:dyDescent="0.25">
      <c r="A803" t="s">
        <v>1872</v>
      </c>
    </row>
    <row r="804" spans="1:1" x14ac:dyDescent="0.25">
      <c r="A804" t="s">
        <v>1873</v>
      </c>
    </row>
    <row r="805" spans="1:1" x14ac:dyDescent="0.25">
      <c r="A805" t="s">
        <v>1876</v>
      </c>
    </row>
    <row r="806" spans="1:1" x14ac:dyDescent="0.25">
      <c r="A806" t="s">
        <v>1877</v>
      </c>
    </row>
    <row r="807" spans="1:1" x14ac:dyDescent="0.25">
      <c r="A807" t="s">
        <v>1874</v>
      </c>
    </row>
    <row r="808" spans="1:1" x14ac:dyDescent="0.25">
      <c r="A808" t="s">
        <v>1875</v>
      </c>
    </row>
    <row r="809" spans="1:1" x14ac:dyDescent="0.25">
      <c r="A809" t="s">
        <v>1878</v>
      </c>
    </row>
    <row r="810" spans="1:1" x14ac:dyDescent="0.25">
      <c r="A810" t="s">
        <v>1879</v>
      </c>
    </row>
    <row r="811" spans="1:1" x14ac:dyDescent="0.25">
      <c r="A811" t="s">
        <v>1880</v>
      </c>
    </row>
    <row r="812" spans="1:1" x14ac:dyDescent="0.25">
      <c r="A812" t="s">
        <v>1881</v>
      </c>
    </row>
    <row r="813" spans="1:1" x14ac:dyDescent="0.25">
      <c r="A813" t="s">
        <v>1882</v>
      </c>
    </row>
    <row r="814" spans="1:1" x14ac:dyDescent="0.25">
      <c r="A814" t="s">
        <v>2092</v>
      </c>
    </row>
    <row r="815" spans="1:1" x14ac:dyDescent="0.25">
      <c r="A815" t="s">
        <v>2089</v>
      </c>
    </row>
    <row r="816" spans="1:1" x14ac:dyDescent="0.25">
      <c r="A816" t="s">
        <v>183</v>
      </c>
    </row>
    <row r="817" spans="1:1" x14ac:dyDescent="0.25">
      <c r="A817" t="s">
        <v>181</v>
      </c>
    </row>
    <row r="818" spans="1:1" x14ac:dyDescent="0.25">
      <c r="A818" t="s">
        <v>184</v>
      </c>
    </row>
    <row r="819" spans="1:1" x14ac:dyDescent="0.25">
      <c r="A819" t="s">
        <v>156</v>
      </c>
    </row>
    <row r="820" spans="1:1" x14ac:dyDescent="0.25">
      <c r="A820" t="s">
        <v>151</v>
      </c>
    </row>
    <row r="821" spans="1:1" x14ac:dyDescent="0.25">
      <c r="A821" t="s">
        <v>152</v>
      </c>
    </row>
    <row r="822" spans="1:1" x14ac:dyDescent="0.25">
      <c r="A822" t="s">
        <v>454</v>
      </c>
    </row>
    <row r="823" spans="1:1" x14ac:dyDescent="0.25">
      <c r="A823" t="s">
        <v>1366</v>
      </c>
    </row>
    <row r="824" spans="1:1" x14ac:dyDescent="0.25">
      <c r="A824" t="s">
        <v>1367</v>
      </c>
    </row>
    <row r="825" spans="1:1" x14ac:dyDescent="0.25">
      <c r="A825" t="s">
        <v>1368</v>
      </c>
    </row>
    <row r="826" spans="1:1" x14ac:dyDescent="0.25">
      <c r="A826" t="s">
        <v>1369</v>
      </c>
    </row>
    <row r="827" spans="1:1" x14ac:dyDescent="0.25">
      <c r="A827" t="s">
        <v>1874</v>
      </c>
    </row>
    <row r="828" spans="1:1" x14ac:dyDescent="0.25">
      <c r="A828" t="s">
        <v>1875</v>
      </c>
    </row>
    <row r="829" spans="1:1" x14ac:dyDescent="0.25">
      <c r="A829" t="s">
        <v>1370</v>
      </c>
    </row>
    <row r="830" spans="1:1" x14ac:dyDescent="0.25">
      <c r="A830" t="s">
        <v>1371</v>
      </c>
    </row>
    <row r="831" spans="1:1" x14ac:dyDescent="0.25">
      <c r="A831" t="s">
        <v>1913</v>
      </c>
    </row>
    <row r="832" spans="1:1" x14ac:dyDescent="0.25">
      <c r="A832" t="s">
        <v>1881</v>
      </c>
    </row>
    <row r="833" spans="1:1" x14ac:dyDescent="0.25">
      <c r="A833" t="s">
        <v>1373</v>
      </c>
    </row>
    <row r="834" spans="1:1" x14ac:dyDescent="0.25">
      <c r="A834" t="s">
        <v>2092</v>
      </c>
    </row>
    <row r="835" spans="1:1" x14ac:dyDescent="0.25">
      <c r="A835" t="s">
        <v>2089</v>
      </c>
    </row>
    <row r="836" spans="1:1" x14ac:dyDescent="0.25">
      <c r="A836" t="s">
        <v>212</v>
      </c>
    </row>
    <row r="837" spans="1:1" x14ac:dyDescent="0.25">
      <c r="A837" t="s">
        <v>213</v>
      </c>
    </row>
    <row r="838" spans="1:1" x14ac:dyDescent="0.25">
      <c r="A838" t="s">
        <v>214</v>
      </c>
    </row>
    <row r="839" spans="1:1" x14ac:dyDescent="0.25">
      <c r="A839" t="s">
        <v>156</v>
      </c>
    </row>
    <row r="840" spans="1:1" x14ac:dyDescent="0.25">
      <c r="A840" t="s">
        <v>151</v>
      </c>
    </row>
    <row r="841" spans="1:1" x14ac:dyDescent="0.25">
      <c r="A841" t="s">
        <v>152</v>
      </c>
    </row>
    <row r="842" spans="1:1" x14ac:dyDescent="0.25">
      <c r="A842" t="s">
        <v>570</v>
      </c>
    </row>
    <row r="843" spans="1:1" x14ac:dyDescent="0.25">
      <c r="A843" t="s">
        <v>1872</v>
      </c>
    </row>
    <row r="844" spans="1:1" x14ac:dyDescent="0.25">
      <c r="A844" t="s">
        <v>1873</v>
      </c>
    </row>
    <row r="845" spans="1:1" x14ac:dyDescent="0.25">
      <c r="A845" t="s">
        <v>1876</v>
      </c>
    </row>
    <row r="846" spans="1:1" x14ac:dyDescent="0.25">
      <c r="A846" t="s">
        <v>1877</v>
      </c>
    </row>
    <row r="847" spans="1:1" x14ac:dyDescent="0.25">
      <c r="A847" t="s">
        <v>1874</v>
      </c>
    </row>
    <row r="848" spans="1:1" x14ac:dyDescent="0.25">
      <c r="A848" t="s">
        <v>1875</v>
      </c>
    </row>
    <row r="849" spans="1:1" x14ac:dyDescent="0.25">
      <c r="A849" t="s">
        <v>1878</v>
      </c>
    </row>
    <row r="850" spans="1:1" x14ac:dyDescent="0.25">
      <c r="A850" t="s">
        <v>1879</v>
      </c>
    </row>
    <row r="851" spans="1:1" x14ac:dyDescent="0.25">
      <c r="A851" t="s">
        <v>1880</v>
      </c>
    </row>
    <row r="852" spans="1:1" x14ac:dyDescent="0.25">
      <c r="A852" t="s">
        <v>1881</v>
      </c>
    </row>
    <row r="853" spans="1:1" x14ac:dyDescent="0.25">
      <c r="A853" t="s">
        <v>1882</v>
      </c>
    </row>
    <row r="854" spans="1:1" x14ac:dyDescent="0.25">
      <c r="A854" t="s">
        <v>2092</v>
      </c>
    </row>
    <row r="855" spans="1:1" x14ac:dyDescent="0.25">
      <c r="A855" t="s">
        <v>2089</v>
      </c>
    </row>
    <row r="856" spans="1:1" x14ac:dyDescent="0.25">
      <c r="A856" t="s">
        <v>327</v>
      </c>
    </row>
    <row r="857" spans="1:1" x14ac:dyDescent="0.25">
      <c r="A857" t="s">
        <v>418</v>
      </c>
    </row>
    <row r="858" spans="1:1" x14ac:dyDescent="0.25">
      <c r="A858" t="s">
        <v>155</v>
      </c>
    </row>
    <row r="859" spans="1:1" x14ac:dyDescent="0.25">
      <c r="A859" t="s">
        <v>156</v>
      </c>
    </row>
    <row r="860" spans="1:1" x14ac:dyDescent="0.25">
      <c r="A860" t="s">
        <v>151</v>
      </c>
    </row>
    <row r="861" spans="1:1" x14ac:dyDescent="0.25">
      <c r="A861" t="s">
        <v>152</v>
      </c>
    </row>
    <row r="862" spans="1:1" x14ac:dyDescent="0.25">
      <c r="A862" t="s">
        <v>507</v>
      </c>
    </row>
    <row r="863" spans="1:1" x14ac:dyDescent="0.25">
      <c r="A863" t="s">
        <v>1374</v>
      </c>
    </row>
    <row r="864" spans="1:1" x14ac:dyDescent="0.25">
      <c r="A864" t="s">
        <v>1375</v>
      </c>
    </row>
    <row r="865" spans="1:1" x14ac:dyDescent="0.25">
      <c r="A865" t="s">
        <v>1876</v>
      </c>
    </row>
    <row r="866" spans="1:1" x14ac:dyDescent="0.25">
      <c r="A866" t="s">
        <v>1877</v>
      </c>
    </row>
    <row r="867" spans="1:1" x14ac:dyDescent="0.25">
      <c r="A867" t="s">
        <v>1874</v>
      </c>
    </row>
    <row r="868" spans="1:1" x14ac:dyDescent="0.25">
      <c r="A868" t="s">
        <v>1875</v>
      </c>
    </row>
    <row r="869" spans="1:1" x14ac:dyDescent="0.25">
      <c r="A869" t="s">
        <v>1376</v>
      </c>
    </row>
    <row r="870" spans="1:1" x14ac:dyDescent="0.25">
      <c r="A870" t="s">
        <v>1377</v>
      </c>
    </row>
    <row r="871" spans="1:1" x14ac:dyDescent="0.25">
      <c r="A871" t="s">
        <v>1914</v>
      </c>
    </row>
    <row r="872" spans="1:1" x14ac:dyDescent="0.25">
      <c r="A872" t="s">
        <v>1915</v>
      </c>
    </row>
    <row r="873" spans="1:1" x14ac:dyDescent="0.25">
      <c r="A873" t="s">
        <v>1378</v>
      </c>
    </row>
    <row r="874" spans="1:1" x14ac:dyDescent="0.25">
      <c r="A874" t="s">
        <v>2092</v>
      </c>
    </row>
    <row r="875" spans="1:1" x14ac:dyDescent="0.25">
      <c r="A875" t="s">
        <v>2089</v>
      </c>
    </row>
    <row r="876" spans="1:1" x14ac:dyDescent="0.25">
      <c r="A876" t="s">
        <v>195</v>
      </c>
    </row>
    <row r="877" spans="1:1" x14ac:dyDescent="0.25">
      <c r="A877" t="s">
        <v>310</v>
      </c>
    </row>
    <row r="878" spans="1:1" x14ac:dyDescent="0.25">
      <c r="A878" t="s">
        <v>155</v>
      </c>
    </row>
    <row r="879" spans="1:1" x14ac:dyDescent="0.25">
      <c r="A879" t="s">
        <v>156</v>
      </c>
    </row>
    <row r="880" spans="1:1" x14ac:dyDescent="0.25">
      <c r="A880" t="s">
        <v>151</v>
      </c>
    </row>
    <row r="881" spans="1:1" x14ac:dyDescent="0.25">
      <c r="A881" t="s">
        <v>152</v>
      </c>
    </row>
    <row r="882" spans="1:1" x14ac:dyDescent="0.25">
      <c r="A882" t="s">
        <v>577</v>
      </c>
    </row>
    <row r="883" spans="1:1" x14ac:dyDescent="0.25">
      <c r="A883" t="s">
        <v>1379</v>
      </c>
    </row>
    <row r="884" spans="1:1" x14ac:dyDescent="0.25">
      <c r="A884" t="s">
        <v>1380</v>
      </c>
    </row>
    <row r="885" spans="1:1" x14ac:dyDescent="0.25">
      <c r="A885" t="s">
        <v>1381</v>
      </c>
    </row>
    <row r="886" spans="1:1" x14ac:dyDescent="0.25">
      <c r="A886" t="s">
        <v>1382</v>
      </c>
    </row>
    <row r="887" spans="1:1" x14ac:dyDescent="0.25">
      <c r="A887" t="s">
        <v>1383</v>
      </c>
    </row>
    <row r="888" spans="1:1" x14ac:dyDescent="0.25">
      <c r="A888" t="s">
        <v>1384</v>
      </c>
    </row>
    <row r="889" spans="1:1" x14ac:dyDescent="0.25">
      <c r="A889" t="s">
        <v>1385</v>
      </c>
    </row>
    <row r="890" spans="1:1" x14ac:dyDescent="0.25">
      <c r="A890" t="s">
        <v>1386</v>
      </c>
    </row>
    <row r="891" spans="1:1" x14ac:dyDescent="0.25">
      <c r="A891" t="s">
        <v>1916</v>
      </c>
    </row>
    <row r="892" spans="1:1" x14ac:dyDescent="0.25">
      <c r="A892" t="s">
        <v>1917</v>
      </c>
    </row>
    <row r="893" spans="1:1" x14ac:dyDescent="0.25">
      <c r="A893" t="s">
        <v>1388</v>
      </c>
    </row>
    <row r="894" spans="1:1" x14ac:dyDescent="0.25">
      <c r="A894" t="s">
        <v>2092</v>
      </c>
    </row>
    <row r="895" spans="1:1" x14ac:dyDescent="0.25">
      <c r="A895" t="s">
        <v>2089</v>
      </c>
    </row>
    <row r="896" spans="1:1" x14ac:dyDescent="0.25">
      <c r="A896" t="s">
        <v>164</v>
      </c>
    </row>
    <row r="897" spans="1:1" x14ac:dyDescent="0.25">
      <c r="A897" t="s">
        <v>429</v>
      </c>
    </row>
    <row r="898" spans="1:1" x14ac:dyDescent="0.25">
      <c r="A898" t="s">
        <v>155</v>
      </c>
    </row>
    <row r="899" spans="1:1" x14ac:dyDescent="0.25">
      <c r="A899" t="s">
        <v>156</v>
      </c>
    </row>
    <row r="900" spans="1:1" x14ac:dyDescent="0.25">
      <c r="A900" t="s">
        <v>151</v>
      </c>
    </row>
    <row r="901" spans="1:1" x14ac:dyDescent="0.25">
      <c r="A901" t="s">
        <v>152</v>
      </c>
    </row>
    <row r="902" spans="1:1" x14ac:dyDescent="0.25">
      <c r="A902" t="s">
        <v>538</v>
      </c>
    </row>
    <row r="903" spans="1:1" x14ac:dyDescent="0.25">
      <c r="A903" t="s">
        <v>1872</v>
      </c>
    </row>
    <row r="904" spans="1:1" x14ac:dyDescent="0.25">
      <c r="A904" t="s">
        <v>1873</v>
      </c>
    </row>
    <row r="905" spans="1:1" x14ac:dyDescent="0.25">
      <c r="A905" t="s">
        <v>1876</v>
      </c>
    </row>
    <row r="906" spans="1:1" x14ac:dyDescent="0.25">
      <c r="A906" t="s">
        <v>1877</v>
      </c>
    </row>
    <row r="907" spans="1:1" x14ac:dyDescent="0.25">
      <c r="A907" t="s">
        <v>1874</v>
      </c>
    </row>
    <row r="908" spans="1:1" x14ac:dyDescent="0.25">
      <c r="A908" t="s">
        <v>1875</v>
      </c>
    </row>
    <row r="909" spans="1:1" x14ac:dyDescent="0.25">
      <c r="A909" t="s">
        <v>1878</v>
      </c>
    </row>
    <row r="910" spans="1:1" x14ac:dyDescent="0.25">
      <c r="A910" t="s">
        <v>1879</v>
      </c>
    </row>
    <row r="911" spans="1:1" x14ac:dyDescent="0.25">
      <c r="A911" t="s">
        <v>1880</v>
      </c>
    </row>
    <row r="912" spans="1:1" x14ac:dyDescent="0.25">
      <c r="A912" t="s">
        <v>1881</v>
      </c>
    </row>
    <row r="913" spans="1:1" x14ac:dyDescent="0.25">
      <c r="A913" t="s">
        <v>1882</v>
      </c>
    </row>
    <row r="914" spans="1:1" x14ac:dyDescent="0.25">
      <c r="A914" t="s">
        <v>2092</v>
      </c>
    </row>
    <row r="915" spans="1:1" x14ac:dyDescent="0.25">
      <c r="A915" t="s">
        <v>2089</v>
      </c>
    </row>
    <row r="916" spans="1:1" x14ac:dyDescent="0.25">
      <c r="A916" t="s">
        <v>212</v>
      </c>
    </row>
    <row r="917" spans="1:1" x14ac:dyDescent="0.25">
      <c r="A917" t="s">
        <v>370</v>
      </c>
    </row>
    <row r="918" spans="1:1" x14ac:dyDescent="0.25">
      <c r="A918" t="s">
        <v>155</v>
      </c>
    </row>
    <row r="919" spans="1:1" x14ac:dyDescent="0.25">
      <c r="A919" t="s">
        <v>156</v>
      </c>
    </row>
    <row r="920" spans="1:1" x14ac:dyDescent="0.25">
      <c r="A920" t="s">
        <v>151</v>
      </c>
    </row>
    <row r="921" spans="1:1" x14ac:dyDescent="0.25">
      <c r="A921" t="s">
        <v>152</v>
      </c>
    </row>
    <row r="922" spans="1:1" x14ac:dyDescent="0.25">
      <c r="A922" t="s">
        <v>518</v>
      </c>
    </row>
    <row r="923" spans="1:1" x14ac:dyDescent="0.25">
      <c r="A923" t="s">
        <v>1872</v>
      </c>
    </row>
    <row r="924" spans="1:1" x14ac:dyDescent="0.25">
      <c r="A924" t="s">
        <v>1873</v>
      </c>
    </row>
    <row r="925" spans="1:1" x14ac:dyDescent="0.25">
      <c r="A925" t="s">
        <v>1876</v>
      </c>
    </row>
    <row r="926" spans="1:1" x14ac:dyDescent="0.25">
      <c r="A926" t="s">
        <v>1877</v>
      </c>
    </row>
    <row r="927" spans="1:1" x14ac:dyDescent="0.25">
      <c r="A927" t="s">
        <v>1874</v>
      </c>
    </row>
    <row r="928" spans="1:1" x14ac:dyDescent="0.25">
      <c r="A928" t="s">
        <v>1875</v>
      </c>
    </row>
    <row r="929" spans="1:1" x14ac:dyDescent="0.25">
      <c r="A929" t="s">
        <v>1878</v>
      </c>
    </row>
    <row r="930" spans="1:1" x14ac:dyDescent="0.25">
      <c r="A930" t="s">
        <v>1879</v>
      </c>
    </row>
    <row r="931" spans="1:1" x14ac:dyDescent="0.25">
      <c r="A931" t="s">
        <v>1880</v>
      </c>
    </row>
    <row r="932" spans="1:1" x14ac:dyDescent="0.25">
      <c r="A932" t="s">
        <v>1881</v>
      </c>
    </row>
    <row r="933" spans="1:1" x14ac:dyDescent="0.25">
      <c r="A933" t="s">
        <v>1882</v>
      </c>
    </row>
    <row r="934" spans="1:1" x14ac:dyDescent="0.25">
      <c r="A934" t="s">
        <v>2092</v>
      </c>
    </row>
    <row r="935" spans="1:1" x14ac:dyDescent="0.25">
      <c r="A935" t="s">
        <v>2089</v>
      </c>
    </row>
    <row r="936" spans="1:1" x14ac:dyDescent="0.25">
      <c r="A936" t="s">
        <v>327</v>
      </c>
    </row>
    <row r="937" spans="1:1" x14ac:dyDescent="0.25">
      <c r="A937" t="s">
        <v>328</v>
      </c>
    </row>
    <row r="938" spans="1:1" x14ac:dyDescent="0.25">
      <c r="A938" t="s">
        <v>155</v>
      </c>
    </row>
    <row r="939" spans="1:1" x14ac:dyDescent="0.25">
      <c r="A939" t="s">
        <v>156</v>
      </c>
    </row>
    <row r="940" spans="1:1" x14ac:dyDescent="0.25">
      <c r="A940" t="s">
        <v>151</v>
      </c>
    </row>
    <row r="941" spans="1:1" x14ac:dyDescent="0.25">
      <c r="A941" t="s">
        <v>152</v>
      </c>
    </row>
    <row r="942" spans="1:1" x14ac:dyDescent="0.25">
      <c r="A942" t="s">
        <v>465</v>
      </c>
    </row>
    <row r="943" spans="1:1" x14ac:dyDescent="0.25">
      <c r="A943" t="s">
        <v>1872</v>
      </c>
    </row>
    <row r="944" spans="1:1" x14ac:dyDescent="0.25">
      <c r="A944" t="s">
        <v>1873</v>
      </c>
    </row>
    <row r="945" spans="1:1" x14ac:dyDescent="0.25">
      <c r="A945" t="s">
        <v>1389</v>
      </c>
    </row>
    <row r="946" spans="1:1" x14ac:dyDescent="0.25">
      <c r="A946" t="s">
        <v>1390</v>
      </c>
    </row>
    <row r="947" spans="1:1" x14ac:dyDescent="0.25">
      <c r="A947" t="s">
        <v>1874</v>
      </c>
    </row>
    <row r="948" spans="1:1" x14ac:dyDescent="0.25">
      <c r="A948" t="s">
        <v>1875</v>
      </c>
    </row>
    <row r="949" spans="1:1" x14ac:dyDescent="0.25">
      <c r="A949" t="s">
        <v>1391</v>
      </c>
    </row>
    <row r="950" spans="1:1" x14ac:dyDescent="0.25">
      <c r="A950" t="s">
        <v>1392</v>
      </c>
    </row>
    <row r="951" spans="1:1" x14ac:dyDescent="0.25">
      <c r="A951" t="s">
        <v>1918</v>
      </c>
    </row>
    <row r="952" spans="1:1" x14ac:dyDescent="0.25">
      <c r="A952" t="s">
        <v>1919</v>
      </c>
    </row>
    <row r="953" spans="1:1" x14ac:dyDescent="0.25">
      <c r="A953" t="s">
        <v>1393</v>
      </c>
    </row>
    <row r="954" spans="1:1" x14ac:dyDescent="0.25">
      <c r="A954" t="s">
        <v>2119</v>
      </c>
    </row>
    <row r="955" spans="1:1" x14ac:dyDescent="0.25">
      <c r="A955" t="s">
        <v>2120</v>
      </c>
    </row>
    <row r="956" spans="1:1" x14ac:dyDescent="0.25">
      <c r="A956" t="s">
        <v>241</v>
      </c>
    </row>
    <row r="957" spans="1:1" x14ac:dyDescent="0.25">
      <c r="A957" t="s">
        <v>242</v>
      </c>
    </row>
    <row r="958" spans="1:1" x14ac:dyDescent="0.25">
      <c r="A958" t="s">
        <v>155</v>
      </c>
    </row>
    <row r="959" spans="1:1" x14ac:dyDescent="0.25">
      <c r="A959" t="s">
        <v>156</v>
      </c>
    </row>
    <row r="960" spans="1:1" x14ac:dyDescent="0.25">
      <c r="A960" t="s">
        <v>151</v>
      </c>
    </row>
    <row r="961" spans="1:1" x14ac:dyDescent="0.25">
      <c r="A961" t="s">
        <v>152</v>
      </c>
    </row>
    <row r="962" spans="1:1" x14ac:dyDescent="0.25">
      <c r="A962" t="s">
        <v>527</v>
      </c>
    </row>
    <row r="963" spans="1:1" x14ac:dyDescent="0.25">
      <c r="A963" t="s">
        <v>1872</v>
      </c>
    </row>
    <row r="964" spans="1:1" x14ac:dyDescent="0.25">
      <c r="A964" t="s">
        <v>1873</v>
      </c>
    </row>
    <row r="965" spans="1:1" x14ac:dyDescent="0.25">
      <c r="A965" t="s">
        <v>1394</v>
      </c>
    </row>
    <row r="966" spans="1:1" x14ac:dyDescent="0.25">
      <c r="A966" t="s">
        <v>1395</v>
      </c>
    </row>
    <row r="967" spans="1:1" x14ac:dyDescent="0.25">
      <c r="A967" t="s">
        <v>1396</v>
      </c>
    </row>
    <row r="968" spans="1:1" x14ac:dyDescent="0.25">
      <c r="A968" t="s">
        <v>1397</v>
      </c>
    </row>
    <row r="969" spans="1:1" x14ac:dyDescent="0.25">
      <c r="A969" t="s">
        <v>1398</v>
      </c>
    </row>
    <row r="970" spans="1:1" x14ac:dyDescent="0.25">
      <c r="A970" t="s">
        <v>1399</v>
      </c>
    </row>
    <row r="971" spans="1:1" x14ac:dyDescent="0.25">
      <c r="A971" t="s">
        <v>1330</v>
      </c>
    </row>
    <row r="972" spans="1:1" x14ac:dyDescent="0.25">
      <c r="A972" t="s">
        <v>1884</v>
      </c>
    </row>
    <row r="973" spans="1:1" x14ac:dyDescent="0.25">
      <c r="A973" t="s">
        <v>1400</v>
      </c>
    </row>
    <row r="974" spans="1:1" x14ac:dyDescent="0.25">
      <c r="A974" t="s">
        <v>2100</v>
      </c>
    </row>
    <row r="975" spans="1:1" x14ac:dyDescent="0.25">
      <c r="A975" t="s">
        <v>2108</v>
      </c>
    </row>
    <row r="976" spans="1:1" x14ac:dyDescent="0.25">
      <c r="A976" t="s">
        <v>289</v>
      </c>
    </row>
    <row r="977" spans="1:1" x14ac:dyDescent="0.25">
      <c r="A977" t="s">
        <v>350</v>
      </c>
    </row>
    <row r="978" spans="1:1" x14ac:dyDescent="0.25">
      <c r="A978" t="s">
        <v>155</v>
      </c>
    </row>
    <row r="979" spans="1:1" x14ac:dyDescent="0.25">
      <c r="A979" t="s">
        <v>156</v>
      </c>
    </row>
    <row r="980" spans="1:1" x14ac:dyDescent="0.25">
      <c r="A980" t="s">
        <v>151</v>
      </c>
    </row>
    <row r="981" spans="1:1" x14ac:dyDescent="0.25">
      <c r="A981" t="s">
        <v>152</v>
      </c>
    </row>
    <row r="982" spans="1:1" x14ac:dyDescent="0.25">
      <c r="A982" t="s">
        <v>576</v>
      </c>
    </row>
    <row r="983" spans="1:1" x14ac:dyDescent="0.25">
      <c r="A983" t="s">
        <v>1401</v>
      </c>
    </row>
    <row r="984" spans="1:1" x14ac:dyDescent="0.25">
      <c r="A984" t="s">
        <v>1402</v>
      </c>
    </row>
    <row r="985" spans="1:1" x14ac:dyDescent="0.25">
      <c r="A985" t="s">
        <v>1403</v>
      </c>
    </row>
    <row r="986" spans="1:1" x14ac:dyDescent="0.25">
      <c r="A986" t="s">
        <v>1404</v>
      </c>
    </row>
    <row r="987" spans="1:1" x14ac:dyDescent="0.25">
      <c r="A987" t="s">
        <v>1361</v>
      </c>
    </row>
    <row r="988" spans="1:1" x14ac:dyDescent="0.25">
      <c r="A988" t="s">
        <v>1405</v>
      </c>
    </row>
    <row r="989" spans="1:1" x14ac:dyDescent="0.25">
      <c r="A989" t="s">
        <v>1406</v>
      </c>
    </row>
    <row r="990" spans="1:1" x14ac:dyDescent="0.25">
      <c r="A990" t="s">
        <v>1407</v>
      </c>
    </row>
    <row r="991" spans="1:1" x14ac:dyDescent="0.25">
      <c r="A991" t="s">
        <v>1920</v>
      </c>
    </row>
    <row r="992" spans="1:1" x14ac:dyDescent="0.25">
      <c r="A992" t="s">
        <v>1921</v>
      </c>
    </row>
    <row r="993" spans="1:1" x14ac:dyDescent="0.25">
      <c r="A993" t="s">
        <v>1408</v>
      </c>
    </row>
    <row r="994" spans="1:1" x14ac:dyDescent="0.25">
      <c r="A994" t="s">
        <v>2102</v>
      </c>
    </row>
    <row r="995" spans="1:1" x14ac:dyDescent="0.25">
      <c r="A995" t="s">
        <v>2111</v>
      </c>
    </row>
    <row r="996" spans="1:1" x14ac:dyDescent="0.25">
      <c r="A996" t="s">
        <v>427</v>
      </c>
    </row>
    <row r="997" spans="1:1" x14ac:dyDescent="0.25">
      <c r="A997" t="s">
        <v>428</v>
      </c>
    </row>
    <row r="998" spans="1:1" x14ac:dyDescent="0.25">
      <c r="A998" t="s">
        <v>155</v>
      </c>
    </row>
    <row r="999" spans="1:1" x14ac:dyDescent="0.25">
      <c r="A999" t="s">
        <v>156</v>
      </c>
    </row>
    <row r="1000" spans="1:1" x14ac:dyDescent="0.25">
      <c r="A1000" t="s">
        <v>151</v>
      </c>
    </row>
    <row r="1001" spans="1:1" x14ac:dyDescent="0.25">
      <c r="A1001" t="s">
        <v>152</v>
      </c>
    </row>
    <row r="1002" spans="1:1" x14ac:dyDescent="0.25">
      <c r="A1002" t="s">
        <v>565</v>
      </c>
    </row>
    <row r="1003" spans="1:1" x14ac:dyDescent="0.25">
      <c r="A1003" t="s">
        <v>1872</v>
      </c>
    </row>
    <row r="1004" spans="1:1" x14ac:dyDescent="0.25">
      <c r="A1004" t="s">
        <v>1873</v>
      </c>
    </row>
    <row r="1005" spans="1:1" x14ac:dyDescent="0.25">
      <c r="A1005" t="s">
        <v>1409</v>
      </c>
    </row>
    <row r="1006" spans="1:1" x14ac:dyDescent="0.25">
      <c r="A1006" t="s">
        <v>1410</v>
      </c>
    </row>
    <row r="1007" spans="1:1" x14ac:dyDescent="0.25">
      <c r="A1007" t="s">
        <v>1411</v>
      </c>
    </row>
    <row r="1008" spans="1:1" x14ac:dyDescent="0.25">
      <c r="A1008" t="s">
        <v>1412</v>
      </c>
    </row>
    <row r="1009" spans="1:1" x14ac:dyDescent="0.25">
      <c r="A1009" t="s">
        <v>1413</v>
      </c>
    </row>
    <row r="1010" spans="1:1" x14ac:dyDescent="0.25">
      <c r="A1010" t="s">
        <v>1240</v>
      </c>
    </row>
    <row r="1011" spans="1:1" x14ac:dyDescent="0.25">
      <c r="A1011" t="s">
        <v>1922</v>
      </c>
    </row>
    <row r="1012" spans="1:1" x14ac:dyDescent="0.25">
      <c r="A1012" t="s">
        <v>1923</v>
      </c>
    </row>
    <row r="1013" spans="1:1" x14ac:dyDescent="0.25">
      <c r="A1013" t="s">
        <v>1414</v>
      </c>
    </row>
    <row r="1014" spans="1:1" x14ac:dyDescent="0.25">
      <c r="A1014" t="s">
        <v>2090</v>
      </c>
    </row>
    <row r="1015" spans="1:1" x14ac:dyDescent="0.25">
      <c r="A1015" t="s">
        <v>2109</v>
      </c>
    </row>
    <row r="1016" spans="1:1" x14ac:dyDescent="0.25">
      <c r="A1016" t="s">
        <v>411</v>
      </c>
    </row>
    <row r="1017" spans="1:1" x14ac:dyDescent="0.25">
      <c r="A1017" t="s">
        <v>412</v>
      </c>
    </row>
    <row r="1018" spans="1:1" x14ac:dyDescent="0.25">
      <c r="A1018" t="s">
        <v>155</v>
      </c>
    </row>
    <row r="1019" spans="1:1" x14ac:dyDescent="0.25">
      <c r="A1019" t="s">
        <v>156</v>
      </c>
    </row>
    <row r="1020" spans="1:1" x14ac:dyDescent="0.25">
      <c r="A1020" t="s">
        <v>151</v>
      </c>
    </row>
    <row r="1021" spans="1:1" x14ac:dyDescent="0.25">
      <c r="A1021" t="s">
        <v>152</v>
      </c>
    </row>
    <row r="1022" spans="1:1" x14ac:dyDescent="0.25">
      <c r="A1022" t="s">
        <v>534</v>
      </c>
    </row>
    <row r="1023" spans="1:1" x14ac:dyDescent="0.25">
      <c r="A1023" t="s">
        <v>1872</v>
      </c>
    </row>
    <row r="1024" spans="1:1" x14ac:dyDescent="0.25">
      <c r="A1024" t="s">
        <v>1873</v>
      </c>
    </row>
    <row r="1025" spans="1:1" x14ac:dyDescent="0.25">
      <c r="A1025" t="s">
        <v>1245</v>
      </c>
    </row>
    <row r="1026" spans="1:1" x14ac:dyDescent="0.25">
      <c r="A1026" t="s">
        <v>1415</v>
      </c>
    </row>
    <row r="1027" spans="1:1" x14ac:dyDescent="0.25">
      <c r="A1027" t="s">
        <v>1874</v>
      </c>
    </row>
    <row r="1028" spans="1:1" x14ac:dyDescent="0.25">
      <c r="A1028" t="s">
        <v>1875</v>
      </c>
    </row>
    <row r="1029" spans="1:1" x14ac:dyDescent="0.25">
      <c r="A1029" t="s">
        <v>1416</v>
      </c>
    </row>
    <row r="1030" spans="1:1" x14ac:dyDescent="0.25">
      <c r="A1030" t="s">
        <v>1293</v>
      </c>
    </row>
    <row r="1031" spans="1:1" x14ac:dyDescent="0.25">
      <c r="A1031" t="s">
        <v>1924</v>
      </c>
    </row>
    <row r="1032" spans="1:1" x14ac:dyDescent="0.25">
      <c r="A1032" t="s">
        <v>1884</v>
      </c>
    </row>
    <row r="1033" spans="1:1" x14ac:dyDescent="0.25">
      <c r="A1033" t="s">
        <v>1295</v>
      </c>
    </row>
    <row r="1034" spans="1:1" x14ac:dyDescent="0.25">
      <c r="A1034" t="s">
        <v>2093</v>
      </c>
    </row>
    <row r="1035" spans="1:1" x14ac:dyDescent="0.25">
      <c r="A1035" t="s">
        <v>2116</v>
      </c>
    </row>
    <row r="1036" spans="1:1" x14ac:dyDescent="0.25">
      <c r="A1036" t="s">
        <v>365</v>
      </c>
    </row>
    <row r="1037" spans="1:1" x14ac:dyDescent="0.25">
      <c r="A1037" t="s">
        <v>366</v>
      </c>
    </row>
    <row r="1038" spans="1:1" x14ac:dyDescent="0.25">
      <c r="A1038" t="s">
        <v>155</v>
      </c>
    </row>
    <row r="1039" spans="1:1" x14ac:dyDescent="0.25">
      <c r="A1039" t="s">
        <v>156</v>
      </c>
    </row>
    <row r="1040" spans="1:1" x14ac:dyDescent="0.25">
      <c r="A1040" t="s">
        <v>151</v>
      </c>
    </row>
    <row r="1041" spans="1:1" x14ac:dyDescent="0.25">
      <c r="A1041" t="s">
        <v>152</v>
      </c>
    </row>
    <row r="1042" spans="1:1" x14ac:dyDescent="0.25">
      <c r="A1042" t="s">
        <v>441</v>
      </c>
    </row>
    <row r="1043" spans="1:1" x14ac:dyDescent="0.25">
      <c r="A1043" t="s">
        <v>1417</v>
      </c>
    </row>
    <row r="1044" spans="1:1" x14ac:dyDescent="0.25">
      <c r="A1044" t="s">
        <v>1418</v>
      </c>
    </row>
    <row r="1045" spans="1:1" x14ac:dyDescent="0.25">
      <c r="A1045" t="s">
        <v>1419</v>
      </c>
    </row>
    <row r="1046" spans="1:1" x14ac:dyDescent="0.25">
      <c r="A1046" t="s">
        <v>1420</v>
      </c>
    </row>
    <row r="1047" spans="1:1" x14ac:dyDescent="0.25">
      <c r="A1047" t="s">
        <v>1421</v>
      </c>
    </row>
    <row r="1048" spans="1:1" x14ac:dyDescent="0.25">
      <c r="A1048" t="s">
        <v>1422</v>
      </c>
    </row>
    <row r="1049" spans="1:1" x14ac:dyDescent="0.25">
      <c r="A1049" t="s">
        <v>1423</v>
      </c>
    </row>
    <row r="1050" spans="1:1" x14ac:dyDescent="0.25">
      <c r="A1050" t="s">
        <v>1424</v>
      </c>
    </row>
    <row r="1051" spans="1:1" x14ac:dyDescent="0.25">
      <c r="A1051" t="s">
        <v>1925</v>
      </c>
    </row>
    <row r="1052" spans="1:1" x14ac:dyDescent="0.25">
      <c r="A1052" t="s">
        <v>1926</v>
      </c>
    </row>
    <row r="1053" spans="1:1" x14ac:dyDescent="0.25">
      <c r="A1053" t="s">
        <v>1425</v>
      </c>
    </row>
    <row r="1054" spans="1:1" x14ac:dyDescent="0.25">
      <c r="A1054" t="s">
        <v>2093</v>
      </c>
    </row>
    <row r="1055" spans="1:1" x14ac:dyDescent="0.25">
      <c r="A1055" t="s">
        <v>2125</v>
      </c>
    </row>
    <row r="1056" spans="1:1" x14ac:dyDescent="0.25">
      <c r="A1056" t="s">
        <v>162</v>
      </c>
    </row>
    <row r="1057" spans="1:1" x14ac:dyDescent="0.25">
      <c r="A1057" t="s">
        <v>163</v>
      </c>
    </row>
    <row r="1058" spans="1:1" x14ac:dyDescent="0.25">
      <c r="A1058" t="s">
        <v>155</v>
      </c>
    </row>
    <row r="1059" spans="1:1" x14ac:dyDescent="0.25">
      <c r="A1059" t="s">
        <v>156</v>
      </c>
    </row>
    <row r="1060" spans="1:1" x14ac:dyDescent="0.25">
      <c r="A1060" t="s">
        <v>151</v>
      </c>
    </row>
    <row r="1061" spans="1:1" x14ac:dyDescent="0.25">
      <c r="A1061" t="s">
        <v>152</v>
      </c>
    </row>
    <row r="1062" spans="1:1" x14ac:dyDescent="0.25">
      <c r="A1062" t="s">
        <v>561</v>
      </c>
    </row>
    <row r="1063" spans="1:1" x14ac:dyDescent="0.25">
      <c r="A1063" t="s">
        <v>1872</v>
      </c>
    </row>
    <row r="1064" spans="1:1" x14ac:dyDescent="0.25">
      <c r="A1064" t="s">
        <v>1873</v>
      </c>
    </row>
    <row r="1065" spans="1:1" x14ac:dyDescent="0.25">
      <c r="A1065" t="s">
        <v>1426</v>
      </c>
    </row>
    <row r="1066" spans="1:1" x14ac:dyDescent="0.25">
      <c r="A1066" t="s">
        <v>1427</v>
      </c>
    </row>
    <row r="1067" spans="1:1" x14ac:dyDescent="0.25">
      <c r="A1067" t="s">
        <v>1428</v>
      </c>
    </row>
    <row r="1068" spans="1:1" x14ac:dyDescent="0.25">
      <c r="A1068" t="s">
        <v>1429</v>
      </c>
    </row>
    <row r="1069" spans="1:1" x14ac:dyDescent="0.25">
      <c r="A1069" t="s">
        <v>1430</v>
      </c>
    </row>
    <row r="1070" spans="1:1" x14ac:dyDescent="0.25">
      <c r="A1070" t="s">
        <v>1431</v>
      </c>
    </row>
    <row r="1071" spans="1:1" x14ac:dyDescent="0.25">
      <c r="A1071" t="s">
        <v>1927</v>
      </c>
    </row>
    <row r="1072" spans="1:1" x14ac:dyDescent="0.25">
      <c r="A1072" t="s">
        <v>1545</v>
      </c>
    </row>
    <row r="1073" spans="1:1" x14ac:dyDescent="0.25">
      <c r="A1073" t="s">
        <v>1432</v>
      </c>
    </row>
    <row r="1074" spans="1:1" x14ac:dyDescent="0.25">
      <c r="A1074" t="s">
        <v>2095</v>
      </c>
    </row>
    <row r="1075" spans="1:1" x14ac:dyDescent="0.25">
      <c r="A1075" t="s">
        <v>2108</v>
      </c>
    </row>
    <row r="1076" spans="1:1" x14ac:dyDescent="0.25">
      <c r="A1076" t="s">
        <v>403</v>
      </c>
    </row>
    <row r="1077" spans="1:1" x14ac:dyDescent="0.25">
      <c r="A1077" t="s">
        <v>404</v>
      </c>
    </row>
    <row r="1078" spans="1:1" x14ac:dyDescent="0.25">
      <c r="A1078" t="s">
        <v>155</v>
      </c>
    </row>
    <row r="1079" spans="1:1" x14ac:dyDescent="0.25">
      <c r="A1079" t="s">
        <v>156</v>
      </c>
    </row>
    <row r="1080" spans="1:1" x14ac:dyDescent="0.25">
      <c r="A1080" t="s">
        <v>151</v>
      </c>
    </row>
    <row r="1081" spans="1:1" x14ac:dyDescent="0.25">
      <c r="A1081" t="s">
        <v>152</v>
      </c>
    </row>
    <row r="1082" spans="1:1" x14ac:dyDescent="0.25">
      <c r="A1082" t="s">
        <v>531</v>
      </c>
    </row>
    <row r="1083" spans="1:1" x14ac:dyDescent="0.25">
      <c r="A1083" t="s">
        <v>1872</v>
      </c>
    </row>
    <row r="1084" spans="1:1" x14ac:dyDescent="0.25">
      <c r="A1084" t="s">
        <v>1873</v>
      </c>
    </row>
    <row r="1085" spans="1:1" x14ac:dyDescent="0.25">
      <c r="A1085" t="s">
        <v>1403</v>
      </c>
    </row>
    <row r="1086" spans="1:1" x14ac:dyDescent="0.25">
      <c r="A1086" t="s">
        <v>1433</v>
      </c>
    </row>
    <row r="1087" spans="1:1" x14ac:dyDescent="0.25">
      <c r="A1087" t="s">
        <v>1874</v>
      </c>
    </row>
    <row r="1088" spans="1:1" x14ac:dyDescent="0.25">
      <c r="A1088" t="s">
        <v>1875</v>
      </c>
    </row>
    <row r="1089" spans="1:1" x14ac:dyDescent="0.25">
      <c r="A1089" t="s">
        <v>1434</v>
      </c>
    </row>
    <row r="1090" spans="1:1" x14ac:dyDescent="0.25">
      <c r="A1090" t="s">
        <v>1435</v>
      </c>
    </row>
    <row r="1091" spans="1:1" x14ac:dyDescent="0.25">
      <c r="A1091" t="s">
        <v>1928</v>
      </c>
    </row>
    <row r="1092" spans="1:1" x14ac:dyDescent="0.25">
      <c r="A1092" t="s">
        <v>1929</v>
      </c>
    </row>
    <row r="1093" spans="1:1" x14ac:dyDescent="0.25">
      <c r="A1093" t="s">
        <v>1436</v>
      </c>
    </row>
    <row r="1094" spans="1:1" x14ac:dyDescent="0.25">
      <c r="A1094" t="s">
        <v>2097</v>
      </c>
    </row>
    <row r="1095" spans="1:1" x14ac:dyDescent="0.25">
      <c r="A1095" t="s">
        <v>2116</v>
      </c>
    </row>
    <row r="1096" spans="1:1" x14ac:dyDescent="0.25">
      <c r="A1096" t="s">
        <v>359</v>
      </c>
    </row>
    <row r="1097" spans="1:1" x14ac:dyDescent="0.25">
      <c r="A1097" t="s">
        <v>360</v>
      </c>
    </row>
    <row r="1098" spans="1:1" x14ac:dyDescent="0.25">
      <c r="A1098" t="s">
        <v>155</v>
      </c>
    </row>
    <row r="1099" spans="1:1" x14ac:dyDescent="0.25">
      <c r="A1099" t="s">
        <v>156</v>
      </c>
    </row>
    <row r="1100" spans="1:1" x14ac:dyDescent="0.25">
      <c r="A1100" t="s">
        <v>151</v>
      </c>
    </row>
    <row r="1101" spans="1:1" x14ac:dyDescent="0.25">
      <c r="A1101" t="s">
        <v>152</v>
      </c>
    </row>
    <row r="1102" spans="1:1" x14ac:dyDescent="0.25">
      <c r="A1102" t="s">
        <v>541</v>
      </c>
    </row>
    <row r="1103" spans="1:1" x14ac:dyDescent="0.25">
      <c r="A1103" t="s">
        <v>1872</v>
      </c>
    </row>
    <row r="1104" spans="1:1" x14ac:dyDescent="0.25">
      <c r="A1104" t="s">
        <v>1873</v>
      </c>
    </row>
    <row r="1105" spans="1:1" x14ac:dyDescent="0.25">
      <c r="A1105" t="s">
        <v>1876</v>
      </c>
    </row>
    <row r="1106" spans="1:1" x14ac:dyDescent="0.25">
      <c r="A1106" t="s">
        <v>1877</v>
      </c>
    </row>
    <row r="1107" spans="1:1" x14ac:dyDescent="0.25">
      <c r="A1107" t="s">
        <v>1874</v>
      </c>
    </row>
    <row r="1108" spans="1:1" x14ac:dyDescent="0.25">
      <c r="A1108" t="s">
        <v>1875</v>
      </c>
    </row>
    <row r="1109" spans="1:1" x14ac:dyDescent="0.25">
      <c r="A1109" t="s">
        <v>1878</v>
      </c>
    </row>
    <row r="1110" spans="1:1" x14ac:dyDescent="0.25">
      <c r="A1110" t="s">
        <v>1879</v>
      </c>
    </row>
    <row r="1111" spans="1:1" x14ac:dyDescent="0.25">
      <c r="A1111" t="s">
        <v>1880</v>
      </c>
    </row>
    <row r="1112" spans="1:1" x14ac:dyDescent="0.25">
      <c r="A1112" t="s">
        <v>1881</v>
      </c>
    </row>
    <row r="1113" spans="1:1" x14ac:dyDescent="0.25">
      <c r="A1113" t="s">
        <v>1882</v>
      </c>
    </row>
    <row r="1114" spans="1:1" x14ac:dyDescent="0.25">
      <c r="A1114" t="s">
        <v>2092</v>
      </c>
    </row>
    <row r="1115" spans="1:1" x14ac:dyDescent="0.25">
      <c r="A1115" t="s">
        <v>2089</v>
      </c>
    </row>
    <row r="1116" spans="1:1" x14ac:dyDescent="0.25">
      <c r="A1116" t="s">
        <v>373</v>
      </c>
    </row>
    <row r="1117" spans="1:1" x14ac:dyDescent="0.25">
      <c r="A1117" t="s">
        <v>374</v>
      </c>
    </row>
    <row r="1118" spans="1:1" x14ac:dyDescent="0.25">
      <c r="A1118" t="s">
        <v>155</v>
      </c>
    </row>
    <row r="1119" spans="1:1" x14ac:dyDescent="0.25">
      <c r="A1119" t="s">
        <v>156</v>
      </c>
    </row>
    <row r="1120" spans="1:1" x14ac:dyDescent="0.25">
      <c r="A1120" t="s">
        <v>151</v>
      </c>
    </row>
    <row r="1121" spans="1:1" x14ac:dyDescent="0.25">
      <c r="A1121" t="s">
        <v>152</v>
      </c>
    </row>
    <row r="1122" spans="1:1" x14ac:dyDescent="0.25">
      <c r="A1122" t="s">
        <v>521</v>
      </c>
    </row>
    <row r="1123" spans="1:1" x14ac:dyDescent="0.25">
      <c r="A1123" t="s">
        <v>1872</v>
      </c>
    </row>
    <row r="1124" spans="1:1" x14ac:dyDescent="0.25">
      <c r="A1124" t="s">
        <v>1873</v>
      </c>
    </row>
    <row r="1125" spans="1:1" x14ac:dyDescent="0.25">
      <c r="A1125" t="s">
        <v>1876</v>
      </c>
    </row>
    <row r="1126" spans="1:1" x14ac:dyDescent="0.25">
      <c r="A1126" t="s">
        <v>1877</v>
      </c>
    </row>
    <row r="1127" spans="1:1" x14ac:dyDescent="0.25">
      <c r="A1127" t="s">
        <v>1874</v>
      </c>
    </row>
    <row r="1128" spans="1:1" x14ac:dyDescent="0.25">
      <c r="A1128" t="s">
        <v>1875</v>
      </c>
    </row>
    <row r="1129" spans="1:1" x14ac:dyDescent="0.25">
      <c r="A1129" t="s">
        <v>1878</v>
      </c>
    </row>
    <row r="1130" spans="1:1" x14ac:dyDescent="0.25">
      <c r="A1130" t="s">
        <v>1879</v>
      </c>
    </row>
    <row r="1131" spans="1:1" x14ac:dyDescent="0.25">
      <c r="A1131" t="s">
        <v>1880</v>
      </c>
    </row>
    <row r="1132" spans="1:1" x14ac:dyDescent="0.25">
      <c r="A1132" t="s">
        <v>1881</v>
      </c>
    </row>
    <row r="1133" spans="1:1" x14ac:dyDescent="0.25">
      <c r="A1133" t="s">
        <v>1882</v>
      </c>
    </row>
    <row r="1134" spans="1:1" x14ac:dyDescent="0.25">
      <c r="A1134" t="s">
        <v>2092</v>
      </c>
    </row>
    <row r="1135" spans="1:1" x14ac:dyDescent="0.25">
      <c r="A1135" t="s">
        <v>2089</v>
      </c>
    </row>
    <row r="1136" spans="1:1" x14ac:dyDescent="0.25">
      <c r="A1136" t="s">
        <v>336</v>
      </c>
    </row>
    <row r="1137" spans="1:1" x14ac:dyDescent="0.25">
      <c r="A1137" t="s">
        <v>337</v>
      </c>
    </row>
    <row r="1138" spans="1:1" x14ac:dyDescent="0.25">
      <c r="A1138" t="s">
        <v>155</v>
      </c>
    </row>
    <row r="1139" spans="1:1" x14ac:dyDescent="0.25">
      <c r="A1139" t="s">
        <v>156</v>
      </c>
    </row>
    <row r="1140" spans="1:1" x14ac:dyDescent="0.25">
      <c r="A1140" t="s">
        <v>151</v>
      </c>
    </row>
    <row r="1141" spans="1:1" x14ac:dyDescent="0.25">
      <c r="A1141" t="s">
        <v>152</v>
      </c>
    </row>
    <row r="1142" spans="1:1" x14ac:dyDescent="0.25">
      <c r="A1142" t="s">
        <v>510</v>
      </c>
    </row>
    <row r="1143" spans="1:1" x14ac:dyDescent="0.25">
      <c r="A1143" t="s">
        <v>1437</v>
      </c>
    </row>
    <row r="1144" spans="1:1" x14ac:dyDescent="0.25">
      <c r="A1144" t="s">
        <v>1438</v>
      </c>
    </row>
    <row r="1145" spans="1:1" x14ac:dyDescent="0.25">
      <c r="A1145" t="s">
        <v>1876</v>
      </c>
    </row>
    <row r="1146" spans="1:1" x14ac:dyDescent="0.25">
      <c r="A1146" t="s">
        <v>1877</v>
      </c>
    </row>
    <row r="1147" spans="1:1" x14ac:dyDescent="0.25">
      <c r="A1147" t="s">
        <v>1874</v>
      </c>
    </row>
    <row r="1148" spans="1:1" x14ac:dyDescent="0.25">
      <c r="A1148" t="s">
        <v>1875</v>
      </c>
    </row>
    <row r="1149" spans="1:1" x14ac:dyDescent="0.25">
      <c r="A1149" t="s">
        <v>1439</v>
      </c>
    </row>
    <row r="1150" spans="1:1" x14ac:dyDescent="0.25">
      <c r="A1150" t="s">
        <v>1440</v>
      </c>
    </row>
    <row r="1151" spans="1:1" x14ac:dyDescent="0.25">
      <c r="A1151" t="s">
        <v>1930</v>
      </c>
    </row>
    <row r="1152" spans="1:1" x14ac:dyDescent="0.25">
      <c r="A1152" t="s">
        <v>1931</v>
      </c>
    </row>
    <row r="1153" spans="1:1" x14ac:dyDescent="0.25">
      <c r="A1153" t="s">
        <v>1441</v>
      </c>
    </row>
    <row r="1154" spans="1:1" x14ac:dyDescent="0.25">
      <c r="A1154" t="s">
        <v>2094</v>
      </c>
    </row>
    <row r="1155" spans="1:1" x14ac:dyDescent="0.25">
      <c r="A1155" t="s">
        <v>2126</v>
      </c>
    </row>
    <row r="1156" spans="1:1" x14ac:dyDescent="0.25">
      <c r="A1156" t="s">
        <v>314</v>
      </c>
    </row>
    <row r="1157" spans="1:1" x14ac:dyDescent="0.25">
      <c r="A1157" t="s">
        <v>315</v>
      </c>
    </row>
    <row r="1158" spans="1:1" x14ac:dyDescent="0.25">
      <c r="A1158" t="s">
        <v>155</v>
      </c>
    </row>
    <row r="1159" spans="1:1" x14ac:dyDescent="0.25">
      <c r="A1159" t="s">
        <v>156</v>
      </c>
    </row>
    <row r="1160" spans="1:1" x14ac:dyDescent="0.25">
      <c r="A1160" t="s">
        <v>151</v>
      </c>
    </row>
    <row r="1161" spans="1:1" x14ac:dyDescent="0.25">
      <c r="A1161" t="s">
        <v>152</v>
      </c>
    </row>
    <row r="1162" spans="1:1" x14ac:dyDescent="0.25">
      <c r="A1162" t="s">
        <v>453</v>
      </c>
    </row>
    <row r="1163" spans="1:1" x14ac:dyDescent="0.25">
      <c r="A1163" t="s">
        <v>1442</v>
      </c>
    </row>
    <row r="1164" spans="1:1" x14ac:dyDescent="0.25">
      <c r="A1164" t="s">
        <v>1443</v>
      </c>
    </row>
    <row r="1165" spans="1:1" x14ac:dyDescent="0.25">
      <c r="A1165" t="s">
        <v>1444</v>
      </c>
    </row>
    <row r="1166" spans="1:1" x14ac:dyDescent="0.25">
      <c r="A1166" t="s">
        <v>1445</v>
      </c>
    </row>
    <row r="1167" spans="1:1" x14ac:dyDescent="0.25">
      <c r="A1167" t="s">
        <v>1874</v>
      </c>
    </row>
    <row r="1168" spans="1:1" x14ac:dyDescent="0.25">
      <c r="A1168" t="s">
        <v>1875</v>
      </c>
    </row>
    <row r="1169" spans="1:1" x14ac:dyDescent="0.25">
      <c r="A1169" t="s">
        <v>1446</v>
      </c>
    </row>
    <row r="1170" spans="1:1" x14ac:dyDescent="0.25">
      <c r="A1170" t="s">
        <v>1447</v>
      </c>
    </row>
    <row r="1171" spans="1:1" x14ac:dyDescent="0.25">
      <c r="A1171" t="s">
        <v>1932</v>
      </c>
    </row>
    <row r="1172" spans="1:1" x14ac:dyDescent="0.25">
      <c r="A1172" t="s">
        <v>1881</v>
      </c>
    </row>
    <row r="1173" spans="1:1" x14ac:dyDescent="0.25">
      <c r="A1173" t="s">
        <v>1449</v>
      </c>
    </row>
    <row r="1174" spans="1:1" x14ac:dyDescent="0.25">
      <c r="A1174" t="s">
        <v>2094</v>
      </c>
    </row>
    <row r="1175" spans="1:1" x14ac:dyDescent="0.25">
      <c r="A1175" t="s">
        <v>2115</v>
      </c>
    </row>
    <row r="1176" spans="1:1" x14ac:dyDescent="0.25">
      <c r="A1176" t="s">
        <v>207</v>
      </c>
    </row>
    <row r="1177" spans="1:1" x14ac:dyDescent="0.25">
      <c r="A1177" t="s">
        <v>208</v>
      </c>
    </row>
    <row r="1178" spans="1:1" x14ac:dyDescent="0.25">
      <c r="A1178" t="s">
        <v>209</v>
      </c>
    </row>
    <row r="1179" spans="1:1" x14ac:dyDescent="0.25">
      <c r="A1179" t="s">
        <v>156</v>
      </c>
    </row>
    <row r="1180" spans="1:1" x14ac:dyDescent="0.25">
      <c r="A1180" t="s">
        <v>151</v>
      </c>
    </row>
    <row r="1181" spans="1:1" x14ac:dyDescent="0.25">
      <c r="A1181" t="s">
        <v>152</v>
      </c>
    </row>
    <row r="1182" spans="1:1" x14ac:dyDescent="0.25">
      <c r="A1182" t="s">
        <v>453</v>
      </c>
    </row>
    <row r="1183" spans="1:1" x14ac:dyDescent="0.25">
      <c r="A1183" t="s">
        <v>1442</v>
      </c>
    </row>
    <row r="1184" spans="1:1" x14ac:dyDescent="0.25">
      <c r="A1184" t="s">
        <v>1443</v>
      </c>
    </row>
    <row r="1185" spans="1:1" x14ac:dyDescent="0.25">
      <c r="A1185" t="s">
        <v>1444</v>
      </c>
    </row>
    <row r="1186" spans="1:1" x14ac:dyDescent="0.25">
      <c r="A1186" t="s">
        <v>1445</v>
      </c>
    </row>
    <row r="1187" spans="1:1" x14ac:dyDescent="0.25">
      <c r="A1187" t="s">
        <v>1874</v>
      </c>
    </row>
    <row r="1188" spans="1:1" x14ac:dyDescent="0.25">
      <c r="A1188" t="s">
        <v>1875</v>
      </c>
    </row>
    <row r="1189" spans="1:1" x14ac:dyDescent="0.25">
      <c r="A1189" t="s">
        <v>1446</v>
      </c>
    </row>
    <row r="1190" spans="1:1" x14ac:dyDescent="0.25">
      <c r="A1190" t="s">
        <v>1447</v>
      </c>
    </row>
    <row r="1191" spans="1:1" x14ac:dyDescent="0.25">
      <c r="A1191" t="s">
        <v>1932</v>
      </c>
    </row>
    <row r="1192" spans="1:1" x14ac:dyDescent="0.25">
      <c r="A1192" t="s">
        <v>1881</v>
      </c>
    </row>
    <row r="1193" spans="1:1" x14ac:dyDescent="0.25">
      <c r="A1193" t="s">
        <v>1449</v>
      </c>
    </row>
    <row r="1194" spans="1:1" x14ac:dyDescent="0.25">
      <c r="A1194" t="s">
        <v>2094</v>
      </c>
    </row>
    <row r="1195" spans="1:1" x14ac:dyDescent="0.25">
      <c r="A1195" t="s">
        <v>2115</v>
      </c>
    </row>
    <row r="1196" spans="1:1" x14ac:dyDescent="0.25">
      <c r="A1196" t="s">
        <v>210</v>
      </c>
    </row>
    <row r="1197" spans="1:1" x14ac:dyDescent="0.25">
      <c r="A1197" t="s">
        <v>208</v>
      </c>
    </row>
    <row r="1198" spans="1:1" x14ac:dyDescent="0.25">
      <c r="A1198" t="s">
        <v>211</v>
      </c>
    </row>
    <row r="1199" spans="1:1" x14ac:dyDescent="0.25">
      <c r="A1199" t="s">
        <v>156</v>
      </c>
    </row>
    <row r="1200" spans="1:1" x14ac:dyDescent="0.25">
      <c r="A1200" t="s">
        <v>151</v>
      </c>
    </row>
    <row r="1201" spans="1:1" x14ac:dyDescent="0.25">
      <c r="A1201" t="s">
        <v>152</v>
      </c>
    </row>
    <row r="1202" spans="1:1" x14ac:dyDescent="0.25">
      <c r="A1202" t="s">
        <v>517</v>
      </c>
    </row>
    <row r="1203" spans="1:1" x14ac:dyDescent="0.25">
      <c r="A1203" t="s">
        <v>1872</v>
      </c>
    </row>
    <row r="1204" spans="1:1" x14ac:dyDescent="0.25">
      <c r="A1204" t="s">
        <v>1873</v>
      </c>
    </row>
    <row r="1205" spans="1:1" x14ac:dyDescent="0.25">
      <c r="A1205" t="s">
        <v>1876</v>
      </c>
    </row>
    <row r="1206" spans="1:1" x14ac:dyDescent="0.25">
      <c r="A1206" t="s">
        <v>1877</v>
      </c>
    </row>
    <row r="1207" spans="1:1" x14ac:dyDescent="0.25">
      <c r="A1207" t="s">
        <v>1874</v>
      </c>
    </row>
    <row r="1208" spans="1:1" x14ac:dyDescent="0.25">
      <c r="A1208" t="s">
        <v>1875</v>
      </c>
    </row>
    <row r="1209" spans="1:1" x14ac:dyDescent="0.25">
      <c r="A1209" t="s">
        <v>1878</v>
      </c>
    </row>
    <row r="1210" spans="1:1" x14ac:dyDescent="0.25">
      <c r="A1210" t="s">
        <v>1879</v>
      </c>
    </row>
    <row r="1211" spans="1:1" x14ac:dyDescent="0.25">
      <c r="A1211" t="s">
        <v>1880</v>
      </c>
    </row>
    <row r="1212" spans="1:1" x14ac:dyDescent="0.25">
      <c r="A1212" t="s">
        <v>1881</v>
      </c>
    </row>
    <row r="1213" spans="1:1" x14ac:dyDescent="0.25">
      <c r="A1213" t="s">
        <v>1882</v>
      </c>
    </row>
    <row r="1214" spans="1:1" x14ac:dyDescent="0.25">
      <c r="A1214" t="s">
        <v>2092</v>
      </c>
    </row>
    <row r="1215" spans="1:1" x14ac:dyDescent="0.25">
      <c r="A1215" t="s">
        <v>2089</v>
      </c>
    </row>
    <row r="1216" spans="1:1" x14ac:dyDescent="0.25">
      <c r="A1216" t="s">
        <v>195</v>
      </c>
    </row>
    <row r="1217" spans="1:1" x14ac:dyDescent="0.25">
      <c r="A1217" t="s">
        <v>326</v>
      </c>
    </row>
    <row r="1218" spans="1:1" x14ac:dyDescent="0.25">
      <c r="A1218" t="s">
        <v>155</v>
      </c>
    </row>
    <row r="1219" spans="1:1" x14ac:dyDescent="0.25">
      <c r="A1219" t="s">
        <v>156</v>
      </c>
    </row>
    <row r="1220" spans="1:1" x14ac:dyDescent="0.25">
      <c r="A1220" t="s">
        <v>151</v>
      </c>
    </row>
    <row r="1221" spans="1:1" x14ac:dyDescent="0.25">
      <c r="A1221" t="s">
        <v>152</v>
      </c>
    </row>
    <row r="1222" spans="1:1" x14ac:dyDescent="0.25">
      <c r="A1222" t="s">
        <v>569</v>
      </c>
    </row>
    <row r="1223" spans="1:1" x14ac:dyDescent="0.25">
      <c r="A1223" t="s">
        <v>1872</v>
      </c>
    </row>
    <row r="1224" spans="1:1" x14ac:dyDescent="0.25">
      <c r="A1224" t="s">
        <v>1873</v>
      </c>
    </row>
    <row r="1225" spans="1:1" x14ac:dyDescent="0.25">
      <c r="A1225" t="s">
        <v>1876</v>
      </c>
    </row>
    <row r="1226" spans="1:1" x14ac:dyDescent="0.25">
      <c r="A1226" t="s">
        <v>1877</v>
      </c>
    </row>
    <row r="1227" spans="1:1" x14ac:dyDescent="0.25">
      <c r="A1227" t="s">
        <v>1874</v>
      </c>
    </row>
    <row r="1228" spans="1:1" x14ac:dyDescent="0.25">
      <c r="A1228" t="s">
        <v>1875</v>
      </c>
    </row>
    <row r="1229" spans="1:1" x14ac:dyDescent="0.25">
      <c r="A1229" t="s">
        <v>1878</v>
      </c>
    </row>
    <row r="1230" spans="1:1" x14ac:dyDescent="0.25">
      <c r="A1230" t="s">
        <v>1879</v>
      </c>
    </row>
    <row r="1231" spans="1:1" x14ac:dyDescent="0.25">
      <c r="A1231" t="s">
        <v>1880</v>
      </c>
    </row>
    <row r="1232" spans="1:1" x14ac:dyDescent="0.25">
      <c r="A1232" t="s">
        <v>1881</v>
      </c>
    </row>
    <row r="1233" spans="1:1" x14ac:dyDescent="0.25">
      <c r="A1233" t="s">
        <v>1882</v>
      </c>
    </row>
    <row r="1234" spans="1:1" x14ac:dyDescent="0.25">
      <c r="A1234" t="s">
        <v>2092</v>
      </c>
    </row>
    <row r="1235" spans="1:1" x14ac:dyDescent="0.25">
      <c r="A1235" t="s">
        <v>2089</v>
      </c>
    </row>
    <row r="1236" spans="1:1" x14ac:dyDescent="0.25">
      <c r="A1236" t="s">
        <v>195</v>
      </c>
    </row>
    <row r="1237" spans="1:1" x14ac:dyDescent="0.25">
      <c r="A1237" t="s">
        <v>417</v>
      </c>
    </row>
    <row r="1238" spans="1:1" x14ac:dyDescent="0.25">
      <c r="A1238" t="s">
        <v>155</v>
      </c>
    </row>
    <row r="1239" spans="1:1" x14ac:dyDescent="0.25">
      <c r="A1239" t="s">
        <v>156</v>
      </c>
    </row>
    <row r="1240" spans="1:1" x14ac:dyDescent="0.25">
      <c r="A1240" t="s">
        <v>151</v>
      </c>
    </row>
    <row r="1241" spans="1:1" x14ac:dyDescent="0.25">
      <c r="A1241" t="s">
        <v>152</v>
      </c>
    </row>
    <row r="1242" spans="1:1" x14ac:dyDescent="0.25">
      <c r="A1242" t="s">
        <v>2057</v>
      </c>
    </row>
    <row r="1243" spans="1:1" x14ac:dyDescent="0.25">
      <c r="A1243" t="s">
        <v>1872</v>
      </c>
    </row>
    <row r="1244" spans="1:1" x14ac:dyDescent="0.25">
      <c r="A1244" t="s">
        <v>1873</v>
      </c>
    </row>
    <row r="1245" spans="1:1" x14ac:dyDescent="0.25">
      <c r="A1245" t="s">
        <v>2058</v>
      </c>
    </row>
    <row r="1246" spans="1:1" x14ac:dyDescent="0.25">
      <c r="A1246" t="s">
        <v>2059</v>
      </c>
    </row>
    <row r="1247" spans="1:1" x14ac:dyDescent="0.25">
      <c r="A1247" t="s">
        <v>1874</v>
      </c>
    </row>
    <row r="1248" spans="1:1" x14ac:dyDescent="0.25">
      <c r="A1248" t="s">
        <v>1875</v>
      </c>
    </row>
    <row r="1249" spans="1:1" x14ac:dyDescent="0.25">
      <c r="A1249" t="s">
        <v>2060</v>
      </c>
    </row>
    <row r="1250" spans="1:1" x14ac:dyDescent="0.25">
      <c r="A1250" t="s">
        <v>1879</v>
      </c>
    </row>
    <row r="1251" spans="1:1" x14ac:dyDescent="0.25">
      <c r="A1251" t="s">
        <v>2061</v>
      </c>
    </row>
    <row r="1252" spans="1:1" x14ac:dyDescent="0.25">
      <c r="A1252" t="s">
        <v>1881</v>
      </c>
    </row>
    <row r="1253" spans="1:1" x14ac:dyDescent="0.25">
      <c r="A1253" t="s">
        <v>2062</v>
      </c>
    </row>
    <row r="1254" spans="1:1" x14ac:dyDescent="0.25">
      <c r="A1254" t="s">
        <v>2127</v>
      </c>
    </row>
    <row r="1255" spans="1:1" x14ac:dyDescent="0.25">
      <c r="A1255" t="s">
        <v>2128</v>
      </c>
    </row>
    <row r="1256" spans="1:1" x14ac:dyDescent="0.25">
      <c r="A1256" t="s">
        <v>2063</v>
      </c>
    </row>
    <row r="1257" spans="1:1" x14ac:dyDescent="0.25">
      <c r="A1257" t="s">
        <v>2081</v>
      </c>
    </row>
    <row r="1258" spans="1:1" x14ac:dyDescent="0.25">
      <c r="A1258" t="s">
        <v>155</v>
      </c>
    </row>
    <row r="1259" spans="1:1" x14ac:dyDescent="0.25">
      <c r="A1259" t="s">
        <v>156</v>
      </c>
    </row>
    <row r="1260" spans="1:1" x14ac:dyDescent="0.25">
      <c r="A1260" t="s">
        <v>151</v>
      </c>
    </row>
    <row r="1261" spans="1:1" x14ac:dyDescent="0.25">
      <c r="A1261" t="s">
        <v>152</v>
      </c>
    </row>
    <row r="1262" spans="1:1" x14ac:dyDescent="0.25">
      <c r="A1262" t="s">
        <v>2064</v>
      </c>
    </row>
    <row r="1263" spans="1:1" x14ac:dyDescent="0.25">
      <c r="A1263" t="s">
        <v>1872</v>
      </c>
    </row>
    <row r="1264" spans="1:1" x14ac:dyDescent="0.25">
      <c r="A1264" t="s">
        <v>1873</v>
      </c>
    </row>
    <row r="1265" spans="1:1" x14ac:dyDescent="0.25">
      <c r="A1265" t="s">
        <v>2065</v>
      </c>
    </row>
    <row r="1266" spans="1:1" x14ac:dyDescent="0.25">
      <c r="A1266" t="s">
        <v>2066</v>
      </c>
    </row>
    <row r="1267" spans="1:1" x14ac:dyDescent="0.25">
      <c r="A1267" t="s">
        <v>1874</v>
      </c>
    </row>
    <row r="1268" spans="1:1" x14ac:dyDescent="0.25">
      <c r="A1268" t="s">
        <v>1875</v>
      </c>
    </row>
    <row r="1269" spans="1:1" x14ac:dyDescent="0.25">
      <c r="A1269" t="s">
        <v>1526</v>
      </c>
    </row>
    <row r="1270" spans="1:1" x14ac:dyDescent="0.25">
      <c r="A1270" t="s">
        <v>2067</v>
      </c>
    </row>
    <row r="1271" spans="1:1" x14ac:dyDescent="0.25">
      <c r="A1271" t="s">
        <v>2068</v>
      </c>
    </row>
    <row r="1272" spans="1:1" x14ac:dyDescent="0.25">
      <c r="A1272" t="s">
        <v>1892</v>
      </c>
    </row>
    <row r="1273" spans="1:1" x14ac:dyDescent="0.25">
      <c r="A1273" t="s">
        <v>1528</v>
      </c>
    </row>
    <row r="1274" spans="1:1" x14ac:dyDescent="0.25">
      <c r="A1274" t="s">
        <v>2098</v>
      </c>
    </row>
    <row r="1275" spans="1:1" x14ac:dyDescent="0.25">
      <c r="A1275" t="s">
        <v>2108</v>
      </c>
    </row>
    <row r="1276" spans="1:1" x14ac:dyDescent="0.25">
      <c r="A1276" t="s">
        <v>2069</v>
      </c>
    </row>
    <row r="1277" spans="1:1" x14ac:dyDescent="0.25">
      <c r="A1277" t="s">
        <v>2082</v>
      </c>
    </row>
    <row r="1278" spans="1:1" x14ac:dyDescent="0.25">
      <c r="A1278" t="s">
        <v>155</v>
      </c>
    </row>
    <row r="1279" spans="1:1" x14ac:dyDescent="0.25">
      <c r="A1279" t="s">
        <v>156</v>
      </c>
    </row>
    <row r="1280" spans="1:1" x14ac:dyDescent="0.25">
      <c r="A1280" t="s">
        <v>151</v>
      </c>
    </row>
    <row r="1281" spans="1:1" x14ac:dyDescent="0.25">
      <c r="A1281" t="s">
        <v>152</v>
      </c>
    </row>
    <row r="1282" spans="1:1" x14ac:dyDescent="0.25">
      <c r="A1282" t="s">
        <v>2070</v>
      </c>
    </row>
    <row r="1283" spans="1:1" x14ac:dyDescent="0.25">
      <c r="A1283" t="s">
        <v>1872</v>
      </c>
    </row>
    <row r="1284" spans="1:1" x14ac:dyDescent="0.25">
      <c r="A1284" t="s">
        <v>1873</v>
      </c>
    </row>
    <row r="1285" spans="1:1" x14ac:dyDescent="0.25">
      <c r="A1285" t="s">
        <v>2071</v>
      </c>
    </row>
    <row r="1286" spans="1:1" x14ac:dyDescent="0.25">
      <c r="A1286" t="s">
        <v>2072</v>
      </c>
    </row>
    <row r="1287" spans="1:1" x14ac:dyDescent="0.25">
      <c r="A1287" t="s">
        <v>2073</v>
      </c>
    </row>
    <row r="1288" spans="1:1" x14ac:dyDescent="0.25">
      <c r="A1288" t="s">
        <v>2074</v>
      </c>
    </row>
    <row r="1289" spans="1:1" x14ac:dyDescent="0.25">
      <c r="A1289" t="s">
        <v>2075</v>
      </c>
    </row>
    <row r="1290" spans="1:1" x14ac:dyDescent="0.25">
      <c r="A1290" t="s">
        <v>2076</v>
      </c>
    </row>
    <row r="1291" spans="1:1" x14ac:dyDescent="0.25">
      <c r="A1291" t="s">
        <v>2077</v>
      </c>
    </row>
    <row r="1292" spans="1:1" x14ac:dyDescent="0.25">
      <c r="A1292" t="s">
        <v>2078</v>
      </c>
    </row>
    <row r="1293" spans="1:1" x14ac:dyDescent="0.25">
      <c r="A1293" t="s">
        <v>2079</v>
      </c>
    </row>
    <row r="1294" spans="1:1" x14ac:dyDescent="0.25">
      <c r="A1294" t="s">
        <v>2092</v>
      </c>
    </row>
    <row r="1295" spans="1:1" x14ac:dyDescent="0.25">
      <c r="A1295" t="s">
        <v>2089</v>
      </c>
    </row>
    <row r="1296" spans="1:1" x14ac:dyDescent="0.25">
      <c r="A1296" t="s">
        <v>239</v>
      </c>
    </row>
    <row r="1297" spans="1:1" x14ac:dyDescent="0.25">
      <c r="A1297" t="s">
        <v>2083</v>
      </c>
    </row>
    <row r="1298" spans="1:1" x14ac:dyDescent="0.25">
      <c r="A1298" t="s">
        <v>155</v>
      </c>
    </row>
    <row r="1299" spans="1:1" x14ac:dyDescent="0.25">
      <c r="A1299" t="s">
        <v>156</v>
      </c>
    </row>
    <row r="1300" spans="1:1" x14ac:dyDescent="0.25">
      <c r="A1300" t="s">
        <v>151</v>
      </c>
    </row>
    <row r="1301" spans="1:1" x14ac:dyDescent="0.25">
      <c r="A1301" t="s">
        <v>152</v>
      </c>
    </row>
    <row r="1302" spans="1:1" x14ac:dyDescent="0.25">
      <c r="A1302" t="s">
        <v>445</v>
      </c>
    </row>
    <row r="1303" spans="1:1" x14ac:dyDescent="0.25">
      <c r="A1303" t="s">
        <v>1872</v>
      </c>
    </row>
    <row r="1304" spans="1:1" x14ac:dyDescent="0.25">
      <c r="A1304" t="s">
        <v>1873</v>
      </c>
    </row>
    <row r="1305" spans="1:1" x14ac:dyDescent="0.25">
      <c r="A1305" t="s">
        <v>1322</v>
      </c>
    </row>
    <row r="1306" spans="1:1" x14ac:dyDescent="0.25">
      <c r="A1306" t="s">
        <v>1231</v>
      </c>
    </row>
    <row r="1307" spans="1:1" x14ac:dyDescent="0.25">
      <c r="A1307" t="s">
        <v>1874</v>
      </c>
    </row>
    <row r="1308" spans="1:1" x14ac:dyDescent="0.25">
      <c r="A1308" t="s">
        <v>1875</v>
      </c>
    </row>
    <row r="1309" spans="1:1" x14ac:dyDescent="0.25">
      <c r="A1309" t="s">
        <v>1323</v>
      </c>
    </row>
    <row r="1310" spans="1:1" x14ac:dyDescent="0.25">
      <c r="A1310" t="s">
        <v>1324</v>
      </c>
    </row>
    <row r="1311" spans="1:1" x14ac:dyDescent="0.25">
      <c r="A1311" t="s">
        <v>1933</v>
      </c>
    </row>
    <row r="1312" spans="1:1" x14ac:dyDescent="0.25">
      <c r="A1312" t="s">
        <v>1886</v>
      </c>
    </row>
    <row r="1313" spans="1:1" x14ac:dyDescent="0.25">
      <c r="A1313" t="s">
        <v>1325</v>
      </c>
    </row>
    <row r="1314" spans="1:1" x14ac:dyDescent="0.25">
      <c r="A1314" t="s">
        <v>2121</v>
      </c>
    </row>
    <row r="1315" spans="1:1" x14ac:dyDescent="0.25">
      <c r="A1315" t="s">
        <v>2108</v>
      </c>
    </row>
    <row r="1316" spans="1:1" x14ac:dyDescent="0.25">
      <c r="A1316" t="s">
        <v>176</v>
      </c>
    </row>
    <row r="1317" spans="1:1" x14ac:dyDescent="0.25">
      <c r="A1317" t="s">
        <v>177</v>
      </c>
    </row>
    <row r="1318" spans="1:1" x14ac:dyDescent="0.25">
      <c r="A1318" t="s">
        <v>155</v>
      </c>
    </row>
    <row r="1319" spans="1:1" x14ac:dyDescent="0.25">
      <c r="A1319" t="s">
        <v>156</v>
      </c>
    </row>
    <row r="1320" spans="1:1" x14ac:dyDescent="0.25">
      <c r="A1320" t="s">
        <v>151</v>
      </c>
    </row>
    <row r="1321" spans="1:1" x14ac:dyDescent="0.25">
      <c r="A1321" t="s">
        <v>152</v>
      </c>
    </row>
    <row r="1322" spans="1:1" x14ac:dyDescent="0.25">
      <c r="A1322" t="s">
        <v>500</v>
      </c>
    </row>
    <row r="1323" spans="1:1" x14ac:dyDescent="0.25">
      <c r="A1323" t="s">
        <v>1872</v>
      </c>
    </row>
    <row r="1324" spans="1:1" x14ac:dyDescent="0.25">
      <c r="A1324" t="s">
        <v>1873</v>
      </c>
    </row>
    <row r="1325" spans="1:1" x14ac:dyDescent="0.25">
      <c r="A1325" t="s">
        <v>1450</v>
      </c>
    </row>
    <row r="1326" spans="1:1" x14ac:dyDescent="0.25">
      <c r="A1326" t="s">
        <v>1451</v>
      </c>
    </row>
    <row r="1327" spans="1:1" x14ac:dyDescent="0.25">
      <c r="A1327" t="s">
        <v>1874</v>
      </c>
    </row>
    <row r="1328" spans="1:1" x14ac:dyDescent="0.25">
      <c r="A1328" t="s">
        <v>1875</v>
      </c>
    </row>
    <row r="1329" spans="1:1" x14ac:dyDescent="0.25">
      <c r="A1329" t="s">
        <v>1452</v>
      </c>
    </row>
    <row r="1330" spans="1:1" x14ac:dyDescent="0.25">
      <c r="A1330" t="s">
        <v>1453</v>
      </c>
    </row>
    <row r="1331" spans="1:1" x14ac:dyDescent="0.25">
      <c r="A1331" t="s">
        <v>1764</v>
      </c>
    </row>
    <row r="1332" spans="1:1" x14ac:dyDescent="0.25">
      <c r="A1332" t="s">
        <v>1634</v>
      </c>
    </row>
    <row r="1333" spans="1:1" x14ac:dyDescent="0.25">
      <c r="A1333" t="s">
        <v>1454</v>
      </c>
    </row>
    <row r="1334" spans="1:1" x14ac:dyDescent="0.25">
      <c r="A1334" t="s">
        <v>2127</v>
      </c>
    </row>
    <row r="1335" spans="1:1" x14ac:dyDescent="0.25">
      <c r="A1335" t="s">
        <v>2129</v>
      </c>
    </row>
    <row r="1336" spans="1:1" x14ac:dyDescent="0.25">
      <c r="A1336" t="s">
        <v>236</v>
      </c>
    </row>
    <row r="1337" spans="1:1" x14ac:dyDescent="0.25">
      <c r="A1337" t="s">
        <v>297</v>
      </c>
    </row>
    <row r="1338" spans="1:1" x14ac:dyDescent="0.25">
      <c r="A1338" t="s">
        <v>155</v>
      </c>
    </row>
    <row r="1339" spans="1:1" x14ac:dyDescent="0.25">
      <c r="A1339" t="s">
        <v>156</v>
      </c>
    </row>
    <row r="1340" spans="1:1" x14ac:dyDescent="0.25">
      <c r="A1340" t="s">
        <v>151</v>
      </c>
    </row>
    <row r="1341" spans="1:1" x14ac:dyDescent="0.25">
      <c r="A1341" t="s">
        <v>152</v>
      </c>
    </row>
    <row r="1342" spans="1:1" x14ac:dyDescent="0.25">
      <c r="A1342" t="s">
        <v>526</v>
      </c>
    </row>
    <row r="1343" spans="1:1" x14ac:dyDescent="0.25">
      <c r="A1343" t="s">
        <v>1872</v>
      </c>
    </row>
    <row r="1344" spans="1:1" x14ac:dyDescent="0.25">
      <c r="A1344" t="s">
        <v>1873</v>
      </c>
    </row>
    <row r="1345" spans="1:1" x14ac:dyDescent="0.25">
      <c r="A1345" t="s">
        <v>1394</v>
      </c>
    </row>
    <row r="1346" spans="1:1" x14ac:dyDescent="0.25">
      <c r="A1346" t="s">
        <v>1395</v>
      </c>
    </row>
    <row r="1347" spans="1:1" x14ac:dyDescent="0.25">
      <c r="A1347" t="s">
        <v>1396</v>
      </c>
    </row>
    <row r="1348" spans="1:1" x14ac:dyDescent="0.25">
      <c r="A1348" t="s">
        <v>1397</v>
      </c>
    </row>
    <row r="1349" spans="1:1" x14ac:dyDescent="0.25">
      <c r="A1349" t="s">
        <v>1398</v>
      </c>
    </row>
    <row r="1350" spans="1:1" x14ac:dyDescent="0.25">
      <c r="A1350" t="s">
        <v>1399</v>
      </c>
    </row>
    <row r="1351" spans="1:1" x14ac:dyDescent="0.25">
      <c r="A1351" t="s">
        <v>1330</v>
      </c>
    </row>
    <row r="1352" spans="1:1" x14ac:dyDescent="0.25">
      <c r="A1352" t="s">
        <v>1884</v>
      </c>
    </row>
    <row r="1353" spans="1:1" x14ac:dyDescent="0.25">
      <c r="A1353" t="s">
        <v>1400</v>
      </c>
    </row>
    <row r="1354" spans="1:1" x14ac:dyDescent="0.25">
      <c r="A1354" t="s">
        <v>2100</v>
      </c>
    </row>
    <row r="1355" spans="1:1" x14ac:dyDescent="0.25">
      <c r="A1355" t="s">
        <v>2108</v>
      </c>
    </row>
    <row r="1356" spans="1:1" x14ac:dyDescent="0.25">
      <c r="A1356" t="s">
        <v>348</v>
      </c>
    </row>
    <row r="1357" spans="1:1" x14ac:dyDescent="0.25">
      <c r="A1357" t="s">
        <v>349</v>
      </c>
    </row>
    <row r="1358" spans="1:1" x14ac:dyDescent="0.25">
      <c r="A1358" t="s">
        <v>155</v>
      </c>
    </row>
    <row r="1359" spans="1:1" x14ac:dyDescent="0.25">
      <c r="A1359" t="s">
        <v>156</v>
      </c>
    </row>
    <row r="1360" spans="1:1" x14ac:dyDescent="0.25">
      <c r="A1360" t="s">
        <v>151</v>
      </c>
    </row>
    <row r="1361" spans="1:1" x14ac:dyDescent="0.25">
      <c r="A1361" t="s">
        <v>152</v>
      </c>
    </row>
    <row r="1362" spans="1:1" x14ac:dyDescent="0.25">
      <c r="A1362" t="s">
        <v>575</v>
      </c>
    </row>
    <row r="1363" spans="1:1" x14ac:dyDescent="0.25">
      <c r="A1363" t="s">
        <v>1455</v>
      </c>
    </row>
    <row r="1364" spans="1:1" x14ac:dyDescent="0.25">
      <c r="A1364" t="s">
        <v>1456</v>
      </c>
    </row>
    <row r="1365" spans="1:1" x14ac:dyDescent="0.25">
      <c r="A1365" t="s">
        <v>1457</v>
      </c>
    </row>
    <row r="1366" spans="1:1" x14ac:dyDescent="0.25">
      <c r="A1366" t="s">
        <v>1458</v>
      </c>
    </row>
    <row r="1367" spans="1:1" x14ac:dyDescent="0.25">
      <c r="A1367" t="s">
        <v>1459</v>
      </c>
    </row>
    <row r="1368" spans="1:1" x14ac:dyDescent="0.25">
      <c r="A1368" t="s">
        <v>1460</v>
      </c>
    </row>
    <row r="1369" spans="1:1" x14ac:dyDescent="0.25">
      <c r="A1369" t="s">
        <v>1406</v>
      </c>
    </row>
    <row r="1370" spans="1:1" x14ac:dyDescent="0.25">
      <c r="A1370" t="s">
        <v>1461</v>
      </c>
    </row>
    <row r="1371" spans="1:1" x14ac:dyDescent="0.25">
      <c r="A1371" t="s">
        <v>1934</v>
      </c>
    </row>
    <row r="1372" spans="1:1" x14ac:dyDescent="0.25">
      <c r="A1372" t="s">
        <v>1912</v>
      </c>
    </row>
    <row r="1373" spans="1:1" x14ac:dyDescent="0.25">
      <c r="A1373" t="s">
        <v>1408</v>
      </c>
    </row>
    <row r="1374" spans="1:1" x14ac:dyDescent="0.25">
      <c r="A1374" t="s">
        <v>2090</v>
      </c>
    </row>
    <row r="1375" spans="1:1" x14ac:dyDescent="0.25">
      <c r="A1375" t="s">
        <v>2109</v>
      </c>
    </row>
    <row r="1376" spans="1:1" x14ac:dyDescent="0.25">
      <c r="A1376" t="s">
        <v>425</v>
      </c>
    </row>
    <row r="1377" spans="1:1" x14ac:dyDescent="0.25">
      <c r="A1377" t="s">
        <v>426</v>
      </c>
    </row>
    <row r="1378" spans="1:1" x14ac:dyDescent="0.25">
      <c r="A1378" t="s">
        <v>155</v>
      </c>
    </row>
    <row r="1379" spans="1:1" x14ac:dyDescent="0.25">
      <c r="A1379" t="s">
        <v>156</v>
      </c>
    </row>
    <row r="1380" spans="1:1" x14ac:dyDescent="0.25">
      <c r="A1380" t="s">
        <v>151</v>
      </c>
    </row>
    <row r="1381" spans="1:1" x14ac:dyDescent="0.25">
      <c r="A1381" t="s">
        <v>152</v>
      </c>
    </row>
    <row r="1382" spans="1:1" x14ac:dyDescent="0.25">
      <c r="A1382" t="s">
        <v>564</v>
      </c>
    </row>
    <row r="1383" spans="1:1" x14ac:dyDescent="0.25">
      <c r="A1383" t="s">
        <v>1872</v>
      </c>
    </row>
    <row r="1384" spans="1:1" x14ac:dyDescent="0.25">
      <c r="A1384" t="s">
        <v>1873</v>
      </c>
    </row>
    <row r="1385" spans="1:1" x14ac:dyDescent="0.25">
      <c r="A1385" t="s">
        <v>1462</v>
      </c>
    </row>
    <row r="1386" spans="1:1" x14ac:dyDescent="0.25">
      <c r="A1386" t="s">
        <v>1463</v>
      </c>
    </row>
    <row r="1387" spans="1:1" x14ac:dyDescent="0.25">
      <c r="A1387" t="s">
        <v>1464</v>
      </c>
    </row>
    <row r="1388" spans="1:1" x14ac:dyDescent="0.25">
      <c r="A1388" t="s">
        <v>1465</v>
      </c>
    </row>
    <row r="1389" spans="1:1" x14ac:dyDescent="0.25">
      <c r="A1389" t="s">
        <v>1466</v>
      </c>
    </row>
    <row r="1390" spans="1:1" x14ac:dyDescent="0.25">
      <c r="A1390" t="s">
        <v>1467</v>
      </c>
    </row>
    <row r="1391" spans="1:1" x14ac:dyDescent="0.25">
      <c r="A1391" t="s">
        <v>1935</v>
      </c>
    </row>
    <row r="1392" spans="1:1" x14ac:dyDescent="0.25">
      <c r="A1392" t="s">
        <v>1846</v>
      </c>
    </row>
    <row r="1393" spans="1:1" x14ac:dyDescent="0.25">
      <c r="A1393" t="s">
        <v>1468</v>
      </c>
    </row>
    <row r="1394" spans="1:1" x14ac:dyDescent="0.25">
      <c r="A1394" t="s">
        <v>2102</v>
      </c>
    </row>
    <row r="1395" spans="1:1" x14ac:dyDescent="0.25">
      <c r="A1395" t="s">
        <v>2116</v>
      </c>
    </row>
    <row r="1396" spans="1:1" x14ac:dyDescent="0.25">
      <c r="A1396" t="s">
        <v>409</v>
      </c>
    </row>
    <row r="1397" spans="1:1" x14ac:dyDescent="0.25">
      <c r="A1397" t="s">
        <v>410</v>
      </c>
    </row>
    <row r="1398" spans="1:1" x14ac:dyDescent="0.25">
      <c r="A1398" t="s">
        <v>155</v>
      </c>
    </row>
    <row r="1399" spans="1:1" x14ac:dyDescent="0.25">
      <c r="A1399" t="s">
        <v>156</v>
      </c>
    </row>
    <row r="1400" spans="1:1" x14ac:dyDescent="0.25">
      <c r="A1400" t="s">
        <v>151</v>
      </c>
    </row>
    <row r="1401" spans="1:1" x14ac:dyDescent="0.25">
      <c r="A1401" t="s">
        <v>152</v>
      </c>
    </row>
    <row r="1402" spans="1:1" x14ac:dyDescent="0.25">
      <c r="A1402" t="s">
        <v>503</v>
      </c>
    </row>
    <row r="1403" spans="1:1" x14ac:dyDescent="0.25">
      <c r="A1403" t="s">
        <v>1872</v>
      </c>
    </row>
    <row r="1404" spans="1:1" x14ac:dyDescent="0.25">
      <c r="A1404" t="s">
        <v>1873</v>
      </c>
    </row>
    <row r="1405" spans="1:1" x14ac:dyDescent="0.25">
      <c r="A1405" t="s">
        <v>1469</v>
      </c>
    </row>
    <row r="1406" spans="1:1" x14ac:dyDescent="0.25">
      <c r="A1406" t="s">
        <v>1470</v>
      </c>
    </row>
    <row r="1407" spans="1:1" x14ac:dyDescent="0.25">
      <c r="A1407" t="s">
        <v>1471</v>
      </c>
    </row>
    <row r="1408" spans="1:1" x14ac:dyDescent="0.25">
      <c r="A1408" t="s">
        <v>1472</v>
      </c>
    </row>
    <row r="1409" spans="1:1" x14ac:dyDescent="0.25">
      <c r="A1409" t="s">
        <v>1473</v>
      </c>
    </row>
    <row r="1410" spans="1:1" x14ac:dyDescent="0.25">
      <c r="A1410" t="s">
        <v>1879</v>
      </c>
    </row>
    <row r="1411" spans="1:1" x14ac:dyDescent="0.25">
      <c r="A1411" t="s">
        <v>1936</v>
      </c>
    </row>
    <row r="1412" spans="1:1" x14ac:dyDescent="0.25">
      <c r="A1412" t="s">
        <v>1937</v>
      </c>
    </row>
    <row r="1413" spans="1:1" x14ac:dyDescent="0.25">
      <c r="A1413" t="s">
        <v>1474</v>
      </c>
    </row>
    <row r="1414" spans="1:1" x14ac:dyDescent="0.25">
      <c r="A1414" t="s">
        <v>2104</v>
      </c>
    </row>
    <row r="1415" spans="1:1" x14ac:dyDescent="0.25">
      <c r="A1415" t="s">
        <v>2130</v>
      </c>
    </row>
    <row r="1416" spans="1:1" x14ac:dyDescent="0.25">
      <c r="A1416" t="s">
        <v>300</v>
      </c>
    </row>
    <row r="1417" spans="1:1" x14ac:dyDescent="0.25">
      <c r="A1417" t="s">
        <v>301</v>
      </c>
    </row>
    <row r="1418" spans="1:1" x14ac:dyDescent="0.25">
      <c r="A1418" t="s">
        <v>155</v>
      </c>
    </row>
    <row r="1419" spans="1:1" x14ac:dyDescent="0.25">
      <c r="A1419" t="s">
        <v>156</v>
      </c>
    </row>
    <row r="1420" spans="1:1" x14ac:dyDescent="0.25">
      <c r="A1420" t="s">
        <v>151</v>
      </c>
    </row>
    <row r="1421" spans="1:1" x14ac:dyDescent="0.25">
      <c r="A1421" t="s">
        <v>152</v>
      </c>
    </row>
    <row r="1422" spans="1:1" x14ac:dyDescent="0.25">
      <c r="A1422" t="s">
        <v>440</v>
      </c>
    </row>
    <row r="1423" spans="1:1" x14ac:dyDescent="0.25">
      <c r="A1423" t="s">
        <v>1475</v>
      </c>
    </row>
    <row r="1424" spans="1:1" x14ac:dyDescent="0.25">
      <c r="A1424" t="s">
        <v>1476</v>
      </c>
    </row>
    <row r="1425" spans="1:1" x14ac:dyDescent="0.25">
      <c r="A1425" t="s">
        <v>1477</v>
      </c>
    </row>
    <row r="1426" spans="1:1" x14ac:dyDescent="0.25">
      <c r="A1426" t="s">
        <v>1478</v>
      </c>
    </row>
    <row r="1427" spans="1:1" x14ac:dyDescent="0.25">
      <c r="A1427" t="s">
        <v>1479</v>
      </c>
    </row>
    <row r="1428" spans="1:1" x14ac:dyDescent="0.25">
      <c r="A1428" t="s">
        <v>1480</v>
      </c>
    </row>
    <row r="1429" spans="1:1" x14ac:dyDescent="0.25">
      <c r="A1429" t="s">
        <v>1481</v>
      </c>
    </row>
    <row r="1430" spans="1:1" x14ac:dyDescent="0.25">
      <c r="A1430" t="s">
        <v>1482</v>
      </c>
    </row>
    <row r="1431" spans="1:1" x14ac:dyDescent="0.25">
      <c r="A1431" t="s">
        <v>1938</v>
      </c>
    </row>
    <row r="1432" spans="1:1" x14ac:dyDescent="0.25">
      <c r="A1432" t="s">
        <v>1939</v>
      </c>
    </row>
    <row r="1433" spans="1:1" x14ac:dyDescent="0.25">
      <c r="A1433" t="s">
        <v>1483</v>
      </c>
    </row>
    <row r="1434" spans="1:1" x14ac:dyDescent="0.25">
      <c r="A1434" t="s">
        <v>2103</v>
      </c>
    </row>
    <row r="1435" spans="1:1" x14ac:dyDescent="0.25">
      <c r="A1435" t="s">
        <v>2131</v>
      </c>
    </row>
    <row r="1436" spans="1:1" x14ac:dyDescent="0.25">
      <c r="A1436" t="s">
        <v>157</v>
      </c>
    </row>
    <row r="1437" spans="1:1" x14ac:dyDescent="0.25">
      <c r="A1437" t="s">
        <v>158</v>
      </c>
    </row>
    <row r="1438" spans="1:1" x14ac:dyDescent="0.25">
      <c r="A1438" t="s">
        <v>159</v>
      </c>
    </row>
    <row r="1439" spans="1:1" x14ac:dyDescent="0.25">
      <c r="A1439" t="s">
        <v>156</v>
      </c>
    </row>
    <row r="1440" spans="1:1" x14ac:dyDescent="0.25">
      <c r="A1440" t="s">
        <v>151</v>
      </c>
    </row>
    <row r="1441" spans="1:1" x14ac:dyDescent="0.25">
      <c r="A1441" t="s">
        <v>152</v>
      </c>
    </row>
    <row r="1442" spans="1:1" x14ac:dyDescent="0.25">
      <c r="A1442" t="s">
        <v>440</v>
      </c>
    </row>
    <row r="1443" spans="1:1" x14ac:dyDescent="0.25">
      <c r="A1443" t="s">
        <v>1475</v>
      </c>
    </row>
    <row r="1444" spans="1:1" x14ac:dyDescent="0.25">
      <c r="A1444" t="s">
        <v>1476</v>
      </c>
    </row>
    <row r="1445" spans="1:1" x14ac:dyDescent="0.25">
      <c r="A1445" t="s">
        <v>1477</v>
      </c>
    </row>
    <row r="1446" spans="1:1" x14ac:dyDescent="0.25">
      <c r="A1446" t="s">
        <v>1478</v>
      </c>
    </row>
    <row r="1447" spans="1:1" x14ac:dyDescent="0.25">
      <c r="A1447" t="s">
        <v>1479</v>
      </c>
    </row>
    <row r="1448" spans="1:1" x14ac:dyDescent="0.25">
      <c r="A1448" t="s">
        <v>1480</v>
      </c>
    </row>
    <row r="1449" spans="1:1" x14ac:dyDescent="0.25">
      <c r="A1449" t="s">
        <v>1481</v>
      </c>
    </row>
    <row r="1450" spans="1:1" x14ac:dyDescent="0.25">
      <c r="A1450" t="s">
        <v>1482</v>
      </c>
    </row>
    <row r="1451" spans="1:1" x14ac:dyDescent="0.25">
      <c r="A1451" t="s">
        <v>1938</v>
      </c>
    </row>
    <row r="1452" spans="1:1" x14ac:dyDescent="0.25">
      <c r="A1452" t="s">
        <v>1939</v>
      </c>
    </row>
    <row r="1453" spans="1:1" x14ac:dyDescent="0.25">
      <c r="A1453" t="s">
        <v>1483</v>
      </c>
    </row>
    <row r="1454" spans="1:1" x14ac:dyDescent="0.25">
      <c r="A1454" t="s">
        <v>2103</v>
      </c>
    </row>
    <row r="1455" spans="1:1" x14ac:dyDescent="0.25">
      <c r="A1455" t="s">
        <v>2131</v>
      </c>
    </row>
    <row r="1456" spans="1:1" x14ac:dyDescent="0.25">
      <c r="A1456" t="s">
        <v>160</v>
      </c>
    </row>
    <row r="1457" spans="1:1" x14ac:dyDescent="0.25">
      <c r="A1457" t="s">
        <v>158</v>
      </c>
    </row>
    <row r="1458" spans="1:1" x14ac:dyDescent="0.25">
      <c r="A1458" t="s">
        <v>161</v>
      </c>
    </row>
    <row r="1459" spans="1:1" x14ac:dyDescent="0.25">
      <c r="A1459" t="s">
        <v>156</v>
      </c>
    </row>
    <row r="1460" spans="1:1" x14ac:dyDescent="0.25">
      <c r="A1460" t="s">
        <v>151</v>
      </c>
    </row>
    <row r="1461" spans="1:1" x14ac:dyDescent="0.25">
      <c r="A1461" t="s">
        <v>152</v>
      </c>
    </row>
    <row r="1462" spans="1:1" x14ac:dyDescent="0.25">
      <c r="A1462" t="s">
        <v>560</v>
      </c>
    </row>
    <row r="1463" spans="1:1" x14ac:dyDescent="0.25">
      <c r="A1463" t="s">
        <v>1872</v>
      </c>
    </row>
    <row r="1464" spans="1:1" x14ac:dyDescent="0.25">
      <c r="A1464" t="s">
        <v>1873</v>
      </c>
    </row>
    <row r="1465" spans="1:1" x14ac:dyDescent="0.25">
      <c r="A1465" t="s">
        <v>1484</v>
      </c>
    </row>
    <row r="1466" spans="1:1" x14ac:dyDescent="0.25">
      <c r="A1466" t="s">
        <v>1485</v>
      </c>
    </row>
    <row r="1467" spans="1:1" x14ac:dyDescent="0.25">
      <c r="A1467" t="s">
        <v>1486</v>
      </c>
    </row>
    <row r="1468" spans="1:1" x14ac:dyDescent="0.25">
      <c r="A1468" t="s">
        <v>1487</v>
      </c>
    </row>
    <row r="1469" spans="1:1" x14ac:dyDescent="0.25">
      <c r="A1469" t="s">
        <v>1488</v>
      </c>
    </row>
    <row r="1470" spans="1:1" x14ac:dyDescent="0.25">
      <c r="A1470" t="s">
        <v>1489</v>
      </c>
    </row>
    <row r="1471" spans="1:1" x14ac:dyDescent="0.25">
      <c r="A1471" t="s">
        <v>1940</v>
      </c>
    </row>
    <row r="1472" spans="1:1" x14ac:dyDescent="0.25">
      <c r="A1472" t="s">
        <v>1941</v>
      </c>
    </row>
    <row r="1473" spans="1:1" x14ac:dyDescent="0.25">
      <c r="A1473" t="s">
        <v>1490</v>
      </c>
    </row>
    <row r="1474" spans="1:1" x14ac:dyDescent="0.25">
      <c r="A1474" t="s">
        <v>2100</v>
      </c>
    </row>
    <row r="1475" spans="1:1" x14ac:dyDescent="0.25">
      <c r="A1475" t="s">
        <v>2132</v>
      </c>
    </row>
    <row r="1476" spans="1:1" x14ac:dyDescent="0.25">
      <c r="A1476" t="s">
        <v>268</v>
      </c>
    </row>
    <row r="1477" spans="1:1" x14ac:dyDescent="0.25">
      <c r="A1477" t="s">
        <v>402</v>
      </c>
    </row>
    <row r="1478" spans="1:1" x14ac:dyDescent="0.25">
      <c r="A1478" t="s">
        <v>155</v>
      </c>
    </row>
    <row r="1479" spans="1:1" x14ac:dyDescent="0.25">
      <c r="A1479" t="s">
        <v>156</v>
      </c>
    </row>
    <row r="1480" spans="1:1" x14ac:dyDescent="0.25">
      <c r="A1480" t="s">
        <v>151</v>
      </c>
    </row>
    <row r="1481" spans="1:1" x14ac:dyDescent="0.25">
      <c r="A1481" t="s">
        <v>152</v>
      </c>
    </row>
    <row r="1482" spans="1:1" x14ac:dyDescent="0.25">
      <c r="A1482" t="s">
        <v>530</v>
      </c>
    </row>
    <row r="1483" spans="1:1" x14ac:dyDescent="0.25">
      <c r="A1483" t="s">
        <v>1872</v>
      </c>
    </row>
    <row r="1484" spans="1:1" x14ac:dyDescent="0.25">
      <c r="A1484" t="s">
        <v>1873</v>
      </c>
    </row>
    <row r="1485" spans="1:1" x14ac:dyDescent="0.25">
      <c r="A1485" t="s">
        <v>1359</v>
      </c>
    </row>
    <row r="1486" spans="1:1" x14ac:dyDescent="0.25">
      <c r="A1486" t="s">
        <v>1360</v>
      </c>
    </row>
    <row r="1487" spans="1:1" x14ac:dyDescent="0.25">
      <c r="A1487" t="s">
        <v>1874</v>
      </c>
    </row>
    <row r="1488" spans="1:1" x14ac:dyDescent="0.25">
      <c r="A1488" t="s">
        <v>1875</v>
      </c>
    </row>
    <row r="1489" spans="1:1" x14ac:dyDescent="0.25">
      <c r="A1489" t="s">
        <v>1491</v>
      </c>
    </row>
    <row r="1490" spans="1:1" x14ac:dyDescent="0.25">
      <c r="A1490" t="s">
        <v>1492</v>
      </c>
    </row>
    <row r="1491" spans="1:1" x14ac:dyDescent="0.25">
      <c r="A1491" t="s">
        <v>1911</v>
      </c>
    </row>
    <row r="1492" spans="1:1" x14ac:dyDescent="0.25">
      <c r="A1492" t="s">
        <v>1921</v>
      </c>
    </row>
    <row r="1493" spans="1:1" x14ac:dyDescent="0.25">
      <c r="A1493" t="s">
        <v>1493</v>
      </c>
    </row>
    <row r="1494" spans="1:1" x14ac:dyDescent="0.25">
      <c r="A1494" t="s">
        <v>2097</v>
      </c>
    </row>
    <row r="1495" spans="1:1" x14ac:dyDescent="0.25">
      <c r="A1495" t="s">
        <v>2133</v>
      </c>
    </row>
    <row r="1496" spans="1:1" x14ac:dyDescent="0.25">
      <c r="A1496" t="s">
        <v>193</v>
      </c>
    </row>
    <row r="1497" spans="1:1" x14ac:dyDescent="0.25">
      <c r="A1497" t="s">
        <v>358</v>
      </c>
    </row>
    <row r="1498" spans="1:1" x14ac:dyDescent="0.25">
      <c r="A1498" t="s">
        <v>155</v>
      </c>
    </row>
    <row r="1499" spans="1:1" x14ac:dyDescent="0.25">
      <c r="A1499" t="s">
        <v>156</v>
      </c>
    </row>
    <row r="1500" spans="1:1" x14ac:dyDescent="0.25">
      <c r="A1500" t="s">
        <v>151</v>
      </c>
    </row>
    <row r="1501" spans="1:1" x14ac:dyDescent="0.25">
      <c r="A1501" t="s">
        <v>152</v>
      </c>
    </row>
    <row r="1502" spans="1:1" x14ac:dyDescent="0.25">
      <c r="A1502" t="s">
        <v>540</v>
      </c>
    </row>
    <row r="1503" spans="1:1" x14ac:dyDescent="0.25">
      <c r="A1503" t="s">
        <v>1872</v>
      </c>
    </row>
    <row r="1504" spans="1:1" x14ac:dyDescent="0.25">
      <c r="A1504" t="s">
        <v>1873</v>
      </c>
    </row>
    <row r="1505" spans="1:1" x14ac:dyDescent="0.25">
      <c r="A1505" t="s">
        <v>1876</v>
      </c>
    </row>
    <row r="1506" spans="1:1" x14ac:dyDescent="0.25">
      <c r="A1506" t="s">
        <v>1877</v>
      </c>
    </row>
    <row r="1507" spans="1:1" x14ac:dyDescent="0.25">
      <c r="A1507" t="s">
        <v>1874</v>
      </c>
    </row>
    <row r="1508" spans="1:1" x14ac:dyDescent="0.25">
      <c r="A1508" t="s">
        <v>1875</v>
      </c>
    </row>
    <row r="1509" spans="1:1" x14ac:dyDescent="0.25">
      <c r="A1509" t="s">
        <v>1878</v>
      </c>
    </row>
    <row r="1510" spans="1:1" x14ac:dyDescent="0.25">
      <c r="A1510" t="s">
        <v>1879</v>
      </c>
    </row>
    <row r="1511" spans="1:1" x14ac:dyDescent="0.25">
      <c r="A1511" t="s">
        <v>1880</v>
      </c>
    </row>
    <row r="1512" spans="1:1" x14ac:dyDescent="0.25">
      <c r="A1512" t="s">
        <v>1881</v>
      </c>
    </row>
    <row r="1513" spans="1:1" x14ac:dyDescent="0.25">
      <c r="A1513" t="s">
        <v>1882</v>
      </c>
    </row>
    <row r="1514" spans="1:1" x14ac:dyDescent="0.25">
      <c r="A1514" t="s">
        <v>2092</v>
      </c>
    </row>
    <row r="1515" spans="1:1" x14ac:dyDescent="0.25">
      <c r="A1515" t="s">
        <v>2089</v>
      </c>
    </row>
    <row r="1516" spans="1:1" x14ac:dyDescent="0.25">
      <c r="A1516" t="s">
        <v>222</v>
      </c>
    </row>
    <row r="1517" spans="1:1" x14ac:dyDescent="0.25">
      <c r="A1517" t="s">
        <v>372</v>
      </c>
    </row>
    <row r="1518" spans="1:1" x14ac:dyDescent="0.25">
      <c r="A1518" t="s">
        <v>155</v>
      </c>
    </row>
    <row r="1519" spans="1:1" x14ac:dyDescent="0.25">
      <c r="A1519" t="s">
        <v>156</v>
      </c>
    </row>
    <row r="1520" spans="1:1" x14ac:dyDescent="0.25">
      <c r="A1520" t="s">
        <v>151</v>
      </c>
    </row>
    <row r="1521" spans="1:1" x14ac:dyDescent="0.25">
      <c r="A1521" t="s">
        <v>152</v>
      </c>
    </row>
    <row r="1522" spans="1:1" x14ac:dyDescent="0.25">
      <c r="A1522" t="s">
        <v>520</v>
      </c>
    </row>
    <row r="1523" spans="1:1" x14ac:dyDescent="0.25">
      <c r="A1523" t="s">
        <v>1872</v>
      </c>
    </row>
    <row r="1524" spans="1:1" x14ac:dyDescent="0.25">
      <c r="A1524" t="s">
        <v>1873</v>
      </c>
    </row>
    <row r="1525" spans="1:1" x14ac:dyDescent="0.25">
      <c r="A1525" t="s">
        <v>1876</v>
      </c>
    </row>
    <row r="1526" spans="1:1" x14ac:dyDescent="0.25">
      <c r="A1526" t="s">
        <v>1877</v>
      </c>
    </row>
    <row r="1527" spans="1:1" x14ac:dyDescent="0.25">
      <c r="A1527" t="s">
        <v>1874</v>
      </c>
    </row>
    <row r="1528" spans="1:1" x14ac:dyDescent="0.25">
      <c r="A1528" t="s">
        <v>1875</v>
      </c>
    </row>
    <row r="1529" spans="1:1" x14ac:dyDescent="0.25">
      <c r="A1529" t="s">
        <v>1878</v>
      </c>
    </row>
    <row r="1530" spans="1:1" x14ac:dyDescent="0.25">
      <c r="A1530" t="s">
        <v>1879</v>
      </c>
    </row>
    <row r="1531" spans="1:1" x14ac:dyDescent="0.25">
      <c r="A1531" t="s">
        <v>1880</v>
      </c>
    </row>
    <row r="1532" spans="1:1" x14ac:dyDescent="0.25">
      <c r="A1532" t="s">
        <v>1881</v>
      </c>
    </row>
    <row r="1533" spans="1:1" x14ac:dyDescent="0.25">
      <c r="A1533" t="s">
        <v>1882</v>
      </c>
    </row>
    <row r="1534" spans="1:1" x14ac:dyDescent="0.25">
      <c r="A1534" t="s">
        <v>2092</v>
      </c>
    </row>
    <row r="1535" spans="1:1" x14ac:dyDescent="0.25">
      <c r="A1535" t="s">
        <v>2089</v>
      </c>
    </row>
    <row r="1536" spans="1:1" x14ac:dyDescent="0.25">
      <c r="A1536" t="s">
        <v>331</v>
      </c>
    </row>
    <row r="1537" spans="1:1" x14ac:dyDescent="0.25">
      <c r="A1537" t="s">
        <v>332</v>
      </c>
    </row>
    <row r="1538" spans="1:1" x14ac:dyDescent="0.25">
      <c r="A1538" t="s">
        <v>333</v>
      </c>
    </row>
    <row r="1539" spans="1:1" x14ac:dyDescent="0.25">
      <c r="A1539" t="s">
        <v>156</v>
      </c>
    </row>
    <row r="1540" spans="1:1" x14ac:dyDescent="0.25">
      <c r="A1540" t="s">
        <v>151</v>
      </c>
    </row>
    <row r="1541" spans="1:1" x14ac:dyDescent="0.25">
      <c r="A1541" t="s">
        <v>152</v>
      </c>
    </row>
    <row r="1542" spans="1:1" x14ac:dyDescent="0.25">
      <c r="A1542" t="s">
        <v>520</v>
      </c>
    </row>
    <row r="1543" spans="1:1" x14ac:dyDescent="0.25">
      <c r="A1543" t="s">
        <v>1872</v>
      </c>
    </row>
    <row r="1544" spans="1:1" x14ac:dyDescent="0.25">
      <c r="A1544" t="s">
        <v>1873</v>
      </c>
    </row>
    <row r="1545" spans="1:1" x14ac:dyDescent="0.25">
      <c r="A1545" t="s">
        <v>1876</v>
      </c>
    </row>
    <row r="1546" spans="1:1" x14ac:dyDescent="0.25">
      <c r="A1546" t="s">
        <v>1877</v>
      </c>
    </row>
    <row r="1547" spans="1:1" x14ac:dyDescent="0.25">
      <c r="A1547" t="s">
        <v>1874</v>
      </c>
    </row>
    <row r="1548" spans="1:1" x14ac:dyDescent="0.25">
      <c r="A1548" t="s">
        <v>1875</v>
      </c>
    </row>
    <row r="1549" spans="1:1" x14ac:dyDescent="0.25">
      <c r="A1549" t="s">
        <v>1878</v>
      </c>
    </row>
    <row r="1550" spans="1:1" x14ac:dyDescent="0.25">
      <c r="A1550" t="s">
        <v>1879</v>
      </c>
    </row>
    <row r="1551" spans="1:1" x14ac:dyDescent="0.25">
      <c r="A1551" t="s">
        <v>1880</v>
      </c>
    </row>
    <row r="1552" spans="1:1" x14ac:dyDescent="0.25">
      <c r="A1552" t="s">
        <v>1881</v>
      </c>
    </row>
    <row r="1553" spans="1:1" x14ac:dyDescent="0.25">
      <c r="A1553" t="s">
        <v>1882</v>
      </c>
    </row>
    <row r="1554" spans="1:1" x14ac:dyDescent="0.25">
      <c r="A1554" t="s">
        <v>2092</v>
      </c>
    </row>
    <row r="1555" spans="1:1" x14ac:dyDescent="0.25">
      <c r="A1555" t="s">
        <v>2089</v>
      </c>
    </row>
    <row r="1556" spans="1:1" x14ac:dyDescent="0.25">
      <c r="A1556" t="s">
        <v>334</v>
      </c>
    </row>
    <row r="1557" spans="1:1" x14ac:dyDescent="0.25">
      <c r="A1557" t="s">
        <v>332</v>
      </c>
    </row>
    <row r="1558" spans="1:1" x14ac:dyDescent="0.25">
      <c r="A1558" t="s">
        <v>335</v>
      </c>
    </row>
    <row r="1559" spans="1:1" x14ac:dyDescent="0.25">
      <c r="A1559" t="s">
        <v>156</v>
      </c>
    </row>
    <row r="1560" spans="1:1" x14ac:dyDescent="0.25">
      <c r="A1560" t="s">
        <v>151</v>
      </c>
    </row>
    <row r="1561" spans="1:1" x14ac:dyDescent="0.25">
      <c r="A1561" t="s">
        <v>152</v>
      </c>
    </row>
    <row r="1562" spans="1:1" x14ac:dyDescent="0.25">
      <c r="A1562" t="s">
        <v>509</v>
      </c>
    </row>
    <row r="1563" spans="1:1" x14ac:dyDescent="0.25">
      <c r="A1563" t="s">
        <v>1494</v>
      </c>
    </row>
    <row r="1564" spans="1:1" x14ac:dyDescent="0.25">
      <c r="A1564" t="s">
        <v>1495</v>
      </c>
    </row>
    <row r="1565" spans="1:1" x14ac:dyDescent="0.25">
      <c r="A1565" t="s">
        <v>1876</v>
      </c>
    </row>
    <row r="1566" spans="1:1" x14ac:dyDescent="0.25">
      <c r="A1566" t="s">
        <v>1877</v>
      </c>
    </row>
    <row r="1567" spans="1:1" x14ac:dyDescent="0.25">
      <c r="A1567" t="s">
        <v>1874</v>
      </c>
    </row>
    <row r="1568" spans="1:1" x14ac:dyDescent="0.25">
      <c r="A1568" t="s">
        <v>1875</v>
      </c>
    </row>
    <row r="1569" spans="1:1" x14ac:dyDescent="0.25">
      <c r="A1569" t="s">
        <v>1496</v>
      </c>
    </row>
    <row r="1570" spans="1:1" x14ac:dyDescent="0.25">
      <c r="A1570" t="s">
        <v>1497</v>
      </c>
    </row>
    <row r="1571" spans="1:1" x14ac:dyDescent="0.25">
      <c r="A1571" t="s">
        <v>1512</v>
      </c>
    </row>
    <row r="1572" spans="1:1" x14ac:dyDescent="0.25">
      <c r="A1572" t="s">
        <v>1942</v>
      </c>
    </row>
    <row r="1573" spans="1:1" x14ac:dyDescent="0.25">
      <c r="A1573" t="s">
        <v>1499</v>
      </c>
    </row>
    <row r="1574" spans="1:1" x14ac:dyDescent="0.25">
      <c r="A1574" t="s">
        <v>2092</v>
      </c>
    </row>
    <row r="1575" spans="1:1" x14ac:dyDescent="0.25">
      <c r="A1575" t="s">
        <v>2089</v>
      </c>
    </row>
    <row r="1576" spans="1:1" x14ac:dyDescent="0.25">
      <c r="A1576" t="s">
        <v>178</v>
      </c>
    </row>
    <row r="1577" spans="1:1" x14ac:dyDescent="0.25">
      <c r="A1577" t="s">
        <v>313</v>
      </c>
    </row>
    <row r="1578" spans="1:1" x14ac:dyDescent="0.25">
      <c r="A1578" t="s">
        <v>155</v>
      </c>
    </row>
    <row r="1579" spans="1:1" x14ac:dyDescent="0.25">
      <c r="A1579" t="s">
        <v>156</v>
      </c>
    </row>
    <row r="1580" spans="1:1" x14ac:dyDescent="0.25">
      <c r="A1580" t="s">
        <v>151</v>
      </c>
    </row>
    <row r="1581" spans="1:1" x14ac:dyDescent="0.25">
      <c r="A1581" t="s">
        <v>152</v>
      </c>
    </row>
    <row r="1582" spans="1:1" x14ac:dyDescent="0.25">
      <c r="A1582" t="s">
        <v>452</v>
      </c>
    </row>
    <row r="1583" spans="1:1" x14ac:dyDescent="0.25">
      <c r="A1583" t="s">
        <v>1872</v>
      </c>
    </row>
    <row r="1584" spans="1:1" x14ac:dyDescent="0.25">
      <c r="A1584" t="s">
        <v>1873</v>
      </c>
    </row>
    <row r="1585" spans="1:1" x14ac:dyDescent="0.25">
      <c r="A1585" t="s">
        <v>1876</v>
      </c>
    </row>
    <row r="1586" spans="1:1" x14ac:dyDescent="0.25">
      <c r="A1586" t="s">
        <v>1877</v>
      </c>
    </row>
    <row r="1587" spans="1:1" x14ac:dyDescent="0.25">
      <c r="A1587" t="s">
        <v>1874</v>
      </c>
    </row>
    <row r="1588" spans="1:1" x14ac:dyDescent="0.25">
      <c r="A1588" t="s">
        <v>1875</v>
      </c>
    </row>
    <row r="1589" spans="1:1" x14ac:dyDescent="0.25">
      <c r="A1589" t="s">
        <v>1878</v>
      </c>
    </row>
    <row r="1590" spans="1:1" x14ac:dyDescent="0.25">
      <c r="A1590" t="s">
        <v>1879</v>
      </c>
    </row>
    <row r="1591" spans="1:1" x14ac:dyDescent="0.25">
      <c r="A1591" t="s">
        <v>1880</v>
      </c>
    </row>
    <row r="1592" spans="1:1" x14ac:dyDescent="0.25">
      <c r="A1592" t="s">
        <v>1881</v>
      </c>
    </row>
    <row r="1593" spans="1:1" x14ac:dyDescent="0.25">
      <c r="A1593" t="s">
        <v>1882</v>
      </c>
    </row>
    <row r="1594" spans="1:1" x14ac:dyDescent="0.25">
      <c r="A1594" t="s">
        <v>2092</v>
      </c>
    </row>
    <row r="1595" spans="1:1" x14ac:dyDescent="0.25">
      <c r="A1595" t="s">
        <v>2089</v>
      </c>
    </row>
    <row r="1596" spans="1:1" x14ac:dyDescent="0.25">
      <c r="A1596" t="s">
        <v>202</v>
      </c>
    </row>
    <row r="1597" spans="1:1" x14ac:dyDescent="0.25">
      <c r="A1597" t="s">
        <v>203</v>
      </c>
    </row>
    <row r="1598" spans="1:1" x14ac:dyDescent="0.25">
      <c r="A1598" t="s">
        <v>204</v>
      </c>
    </row>
    <row r="1599" spans="1:1" x14ac:dyDescent="0.25">
      <c r="A1599" t="s">
        <v>156</v>
      </c>
    </row>
    <row r="1600" spans="1:1" x14ac:dyDescent="0.25">
      <c r="A1600" t="s">
        <v>151</v>
      </c>
    </row>
    <row r="1601" spans="1:1" x14ac:dyDescent="0.25">
      <c r="A1601" t="s">
        <v>152</v>
      </c>
    </row>
    <row r="1602" spans="1:1" x14ac:dyDescent="0.25">
      <c r="A1602" t="s">
        <v>452</v>
      </c>
    </row>
    <row r="1603" spans="1:1" x14ac:dyDescent="0.25">
      <c r="A1603" t="s">
        <v>1872</v>
      </c>
    </row>
    <row r="1604" spans="1:1" x14ac:dyDescent="0.25">
      <c r="A1604" t="s">
        <v>1873</v>
      </c>
    </row>
    <row r="1605" spans="1:1" x14ac:dyDescent="0.25">
      <c r="A1605" t="s">
        <v>1876</v>
      </c>
    </row>
    <row r="1606" spans="1:1" x14ac:dyDescent="0.25">
      <c r="A1606" t="s">
        <v>1877</v>
      </c>
    </row>
    <row r="1607" spans="1:1" x14ac:dyDescent="0.25">
      <c r="A1607" t="s">
        <v>1874</v>
      </c>
    </row>
    <row r="1608" spans="1:1" x14ac:dyDescent="0.25">
      <c r="A1608" t="s">
        <v>1875</v>
      </c>
    </row>
    <row r="1609" spans="1:1" x14ac:dyDescent="0.25">
      <c r="A1609" t="s">
        <v>1878</v>
      </c>
    </row>
    <row r="1610" spans="1:1" x14ac:dyDescent="0.25">
      <c r="A1610" t="s">
        <v>1879</v>
      </c>
    </row>
    <row r="1611" spans="1:1" x14ac:dyDescent="0.25">
      <c r="A1611" t="s">
        <v>1880</v>
      </c>
    </row>
    <row r="1612" spans="1:1" x14ac:dyDescent="0.25">
      <c r="A1612" t="s">
        <v>1881</v>
      </c>
    </row>
    <row r="1613" spans="1:1" x14ac:dyDescent="0.25">
      <c r="A1613" t="s">
        <v>1882</v>
      </c>
    </row>
    <row r="1614" spans="1:1" x14ac:dyDescent="0.25">
      <c r="A1614" t="s">
        <v>2092</v>
      </c>
    </row>
    <row r="1615" spans="1:1" x14ac:dyDescent="0.25">
      <c r="A1615" t="s">
        <v>2089</v>
      </c>
    </row>
    <row r="1616" spans="1:1" x14ac:dyDescent="0.25">
      <c r="A1616" t="s">
        <v>205</v>
      </c>
    </row>
    <row r="1617" spans="1:1" x14ac:dyDescent="0.25">
      <c r="A1617" t="s">
        <v>203</v>
      </c>
    </row>
    <row r="1618" spans="1:1" x14ac:dyDescent="0.25">
      <c r="A1618" t="s">
        <v>206</v>
      </c>
    </row>
    <row r="1619" spans="1:1" x14ac:dyDescent="0.25">
      <c r="A1619" t="s">
        <v>156</v>
      </c>
    </row>
    <row r="1620" spans="1:1" x14ac:dyDescent="0.25">
      <c r="A1620" t="s">
        <v>151</v>
      </c>
    </row>
    <row r="1621" spans="1:1" x14ac:dyDescent="0.25">
      <c r="A1621" t="s">
        <v>152</v>
      </c>
    </row>
    <row r="1622" spans="1:1" x14ac:dyDescent="0.25">
      <c r="A1622" t="s">
        <v>568</v>
      </c>
    </row>
    <row r="1623" spans="1:1" x14ac:dyDescent="0.25">
      <c r="A1623" t="s">
        <v>1872</v>
      </c>
    </row>
    <row r="1624" spans="1:1" x14ac:dyDescent="0.25">
      <c r="A1624" t="s">
        <v>1873</v>
      </c>
    </row>
    <row r="1625" spans="1:1" x14ac:dyDescent="0.25">
      <c r="A1625" t="s">
        <v>1876</v>
      </c>
    </row>
    <row r="1626" spans="1:1" x14ac:dyDescent="0.25">
      <c r="A1626" t="s">
        <v>1877</v>
      </c>
    </row>
    <row r="1627" spans="1:1" x14ac:dyDescent="0.25">
      <c r="A1627" t="s">
        <v>1874</v>
      </c>
    </row>
    <row r="1628" spans="1:1" x14ac:dyDescent="0.25">
      <c r="A1628" t="s">
        <v>1875</v>
      </c>
    </row>
    <row r="1629" spans="1:1" x14ac:dyDescent="0.25">
      <c r="A1629" t="s">
        <v>1878</v>
      </c>
    </row>
    <row r="1630" spans="1:1" x14ac:dyDescent="0.25">
      <c r="A1630" t="s">
        <v>1879</v>
      </c>
    </row>
    <row r="1631" spans="1:1" x14ac:dyDescent="0.25">
      <c r="A1631" t="s">
        <v>1880</v>
      </c>
    </row>
    <row r="1632" spans="1:1" x14ac:dyDescent="0.25">
      <c r="A1632" t="s">
        <v>1881</v>
      </c>
    </row>
    <row r="1633" spans="1:1" x14ac:dyDescent="0.25">
      <c r="A1633" t="s">
        <v>1882</v>
      </c>
    </row>
    <row r="1634" spans="1:1" x14ac:dyDescent="0.25">
      <c r="A1634" t="s">
        <v>2092</v>
      </c>
    </row>
    <row r="1635" spans="1:1" x14ac:dyDescent="0.25">
      <c r="A1635" t="s">
        <v>2089</v>
      </c>
    </row>
    <row r="1636" spans="1:1" x14ac:dyDescent="0.25">
      <c r="A1636" t="s">
        <v>195</v>
      </c>
    </row>
    <row r="1637" spans="1:1" x14ac:dyDescent="0.25">
      <c r="A1637" t="s">
        <v>416</v>
      </c>
    </row>
    <row r="1638" spans="1:1" x14ac:dyDescent="0.25">
      <c r="A1638" t="s">
        <v>155</v>
      </c>
    </row>
    <row r="1639" spans="1:1" x14ac:dyDescent="0.25">
      <c r="A1639" t="s">
        <v>156</v>
      </c>
    </row>
    <row r="1640" spans="1:1" x14ac:dyDescent="0.25">
      <c r="A1640" t="s">
        <v>151</v>
      </c>
    </row>
    <row r="1641" spans="1:1" x14ac:dyDescent="0.25">
      <c r="A1641" t="s">
        <v>152</v>
      </c>
    </row>
    <row r="1642" spans="1:1" x14ac:dyDescent="0.25">
      <c r="A1642" t="s">
        <v>482</v>
      </c>
    </row>
    <row r="1643" spans="1:1" x14ac:dyDescent="0.25">
      <c r="A1643" t="s">
        <v>1500</v>
      </c>
    </row>
    <row r="1644" spans="1:1" x14ac:dyDescent="0.25">
      <c r="A1644" t="s">
        <v>1501</v>
      </c>
    </row>
    <row r="1645" spans="1:1" x14ac:dyDescent="0.25">
      <c r="A1645" t="s">
        <v>1876</v>
      </c>
    </row>
    <row r="1646" spans="1:1" x14ac:dyDescent="0.25">
      <c r="A1646" t="s">
        <v>1877</v>
      </c>
    </row>
    <row r="1647" spans="1:1" x14ac:dyDescent="0.25">
      <c r="A1647" t="s">
        <v>1874</v>
      </c>
    </row>
    <row r="1648" spans="1:1" x14ac:dyDescent="0.25">
      <c r="A1648" t="s">
        <v>1875</v>
      </c>
    </row>
    <row r="1649" spans="1:1" x14ac:dyDescent="0.25">
      <c r="A1649" t="s">
        <v>1502</v>
      </c>
    </row>
    <row r="1650" spans="1:1" x14ac:dyDescent="0.25">
      <c r="A1650" t="s">
        <v>1503</v>
      </c>
    </row>
    <row r="1651" spans="1:1" x14ac:dyDescent="0.25">
      <c r="A1651" t="s">
        <v>1880</v>
      </c>
    </row>
    <row r="1652" spans="1:1" x14ac:dyDescent="0.25">
      <c r="A1652" t="s">
        <v>1881</v>
      </c>
    </row>
    <row r="1653" spans="1:1" x14ac:dyDescent="0.25">
      <c r="A1653" t="s">
        <v>1504</v>
      </c>
    </row>
    <row r="1654" spans="1:1" x14ac:dyDescent="0.25">
      <c r="A1654" t="s">
        <v>2092</v>
      </c>
    </row>
    <row r="1655" spans="1:1" x14ac:dyDescent="0.25">
      <c r="A1655" t="s">
        <v>2089</v>
      </c>
    </row>
    <row r="1656" spans="1:1" x14ac:dyDescent="0.25">
      <c r="A1656" t="s">
        <v>271</v>
      </c>
    </row>
    <row r="1657" spans="1:1" x14ac:dyDescent="0.25">
      <c r="A1657" t="s">
        <v>269</v>
      </c>
    </row>
    <row r="1658" spans="1:1" x14ac:dyDescent="0.25">
      <c r="A1658" t="s">
        <v>272</v>
      </c>
    </row>
    <row r="1659" spans="1:1" x14ac:dyDescent="0.25">
      <c r="A1659" t="s">
        <v>156</v>
      </c>
    </row>
    <row r="1660" spans="1:1" x14ac:dyDescent="0.25">
      <c r="A1660" t="s">
        <v>151</v>
      </c>
    </row>
    <row r="1661" spans="1:1" x14ac:dyDescent="0.25">
      <c r="A1661" t="s">
        <v>152</v>
      </c>
    </row>
    <row r="1662" spans="1:1" x14ac:dyDescent="0.25">
      <c r="A1662" t="s">
        <v>446</v>
      </c>
    </row>
    <row r="1663" spans="1:1" x14ac:dyDescent="0.25">
      <c r="A1663" t="s">
        <v>1872</v>
      </c>
    </row>
    <row r="1664" spans="1:1" x14ac:dyDescent="0.25">
      <c r="A1664" t="s">
        <v>1873</v>
      </c>
    </row>
    <row r="1665" spans="1:1" x14ac:dyDescent="0.25">
      <c r="A1665" t="s">
        <v>1876</v>
      </c>
    </row>
    <row r="1666" spans="1:1" x14ac:dyDescent="0.25">
      <c r="A1666" t="s">
        <v>1877</v>
      </c>
    </row>
    <row r="1667" spans="1:1" x14ac:dyDescent="0.25">
      <c r="A1667" t="s">
        <v>1874</v>
      </c>
    </row>
    <row r="1668" spans="1:1" x14ac:dyDescent="0.25">
      <c r="A1668" t="s">
        <v>1875</v>
      </c>
    </row>
    <row r="1669" spans="1:1" x14ac:dyDescent="0.25">
      <c r="A1669" t="s">
        <v>1878</v>
      </c>
    </row>
    <row r="1670" spans="1:1" x14ac:dyDescent="0.25">
      <c r="A1670" t="s">
        <v>1879</v>
      </c>
    </row>
    <row r="1671" spans="1:1" x14ac:dyDescent="0.25">
      <c r="A1671" t="s">
        <v>1880</v>
      </c>
    </row>
    <row r="1672" spans="1:1" x14ac:dyDescent="0.25">
      <c r="A1672" t="s">
        <v>1881</v>
      </c>
    </row>
    <row r="1673" spans="1:1" x14ac:dyDescent="0.25">
      <c r="A1673" t="s">
        <v>1882</v>
      </c>
    </row>
    <row r="1674" spans="1:1" x14ac:dyDescent="0.25">
      <c r="A1674" t="s">
        <v>2092</v>
      </c>
    </row>
    <row r="1675" spans="1:1" x14ac:dyDescent="0.25">
      <c r="A1675" t="s">
        <v>2089</v>
      </c>
    </row>
    <row r="1676" spans="1:1" x14ac:dyDescent="0.25">
      <c r="A1676" t="s">
        <v>178</v>
      </c>
    </row>
    <row r="1677" spans="1:1" x14ac:dyDescent="0.25">
      <c r="A1677" t="s">
        <v>179</v>
      </c>
    </row>
    <row r="1678" spans="1:1" x14ac:dyDescent="0.25">
      <c r="A1678" t="s">
        <v>155</v>
      </c>
    </row>
    <row r="1679" spans="1:1" x14ac:dyDescent="0.25">
      <c r="A1679" t="s">
        <v>156</v>
      </c>
    </row>
    <row r="1680" spans="1:1" x14ac:dyDescent="0.25">
      <c r="A1680" t="s">
        <v>151</v>
      </c>
    </row>
    <row r="1681" spans="1:1" x14ac:dyDescent="0.25">
      <c r="A1681" t="s">
        <v>152</v>
      </c>
    </row>
    <row r="1682" spans="1:1" x14ac:dyDescent="0.25">
      <c r="A1682" t="s">
        <v>516</v>
      </c>
    </row>
    <row r="1683" spans="1:1" x14ac:dyDescent="0.25">
      <c r="A1683" t="s">
        <v>1872</v>
      </c>
    </row>
    <row r="1684" spans="1:1" x14ac:dyDescent="0.25">
      <c r="A1684" t="s">
        <v>1873</v>
      </c>
    </row>
    <row r="1685" spans="1:1" x14ac:dyDescent="0.25">
      <c r="A1685" t="s">
        <v>1876</v>
      </c>
    </row>
    <row r="1686" spans="1:1" x14ac:dyDescent="0.25">
      <c r="A1686" t="s">
        <v>1877</v>
      </c>
    </row>
    <row r="1687" spans="1:1" x14ac:dyDescent="0.25">
      <c r="A1687" t="s">
        <v>1874</v>
      </c>
    </row>
    <row r="1688" spans="1:1" x14ac:dyDescent="0.25">
      <c r="A1688" t="s">
        <v>1875</v>
      </c>
    </row>
    <row r="1689" spans="1:1" x14ac:dyDescent="0.25">
      <c r="A1689" t="s">
        <v>1878</v>
      </c>
    </row>
    <row r="1690" spans="1:1" x14ac:dyDescent="0.25">
      <c r="A1690" t="s">
        <v>1879</v>
      </c>
    </row>
    <row r="1691" spans="1:1" x14ac:dyDescent="0.25">
      <c r="A1691" t="s">
        <v>1880</v>
      </c>
    </row>
    <row r="1692" spans="1:1" x14ac:dyDescent="0.25">
      <c r="A1692" t="s">
        <v>1881</v>
      </c>
    </row>
    <row r="1693" spans="1:1" x14ac:dyDescent="0.25">
      <c r="A1693" t="s">
        <v>1882</v>
      </c>
    </row>
    <row r="1694" spans="1:1" x14ac:dyDescent="0.25">
      <c r="A1694" t="s">
        <v>2092</v>
      </c>
    </row>
    <row r="1695" spans="1:1" x14ac:dyDescent="0.25">
      <c r="A1695" t="s">
        <v>2089</v>
      </c>
    </row>
    <row r="1696" spans="1:1" x14ac:dyDescent="0.25">
      <c r="A1696" t="s">
        <v>195</v>
      </c>
    </row>
    <row r="1697" spans="1:1" x14ac:dyDescent="0.25">
      <c r="A1697" t="s">
        <v>325</v>
      </c>
    </row>
    <row r="1698" spans="1:1" x14ac:dyDescent="0.25">
      <c r="A1698" t="s">
        <v>155</v>
      </c>
    </row>
    <row r="1699" spans="1:1" x14ac:dyDescent="0.25">
      <c r="A1699" t="s">
        <v>156</v>
      </c>
    </row>
    <row r="1700" spans="1:1" x14ac:dyDescent="0.25">
      <c r="A1700" t="s">
        <v>151</v>
      </c>
    </row>
    <row r="1701" spans="1:1" x14ac:dyDescent="0.25">
      <c r="A1701" t="s">
        <v>152</v>
      </c>
    </row>
    <row r="1702" spans="1:1" x14ac:dyDescent="0.25">
      <c r="A1702" t="s">
        <v>464</v>
      </c>
    </row>
    <row r="1703" spans="1:1" x14ac:dyDescent="0.25">
      <c r="A1703" t="s">
        <v>1872</v>
      </c>
    </row>
    <row r="1704" spans="1:1" x14ac:dyDescent="0.25">
      <c r="A1704" t="s">
        <v>1873</v>
      </c>
    </row>
    <row r="1705" spans="1:1" x14ac:dyDescent="0.25">
      <c r="A1705" t="s">
        <v>1505</v>
      </c>
    </row>
    <row r="1706" spans="1:1" x14ac:dyDescent="0.25">
      <c r="A1706" t="s">
        <v>1506</v>
      </c>
    </row>
    <row r="1707" spans="1:1" x14ac:dyDescent="0.25">
      <c r="A1707" t="s">
        <v>1874</v>
      </c>
    </row>
    <row r="1708" spans="1:1" x14ac:dyDescent="0.25">
      <c r="A1708" t="s">
        <v>1875</v>
      </c>
    </row>
    <row r="1709" spans="1:1" x14ac:dyDescent="0.25">
      <c r="A1709" t="s">
        <v>1507</v>
      </c>
    </row>
    <row r="1710" spans="1:1" x14ac:dyDescent="0.25">
      <c r="A1710" t="s">
        <v>1508</v>
      </c>
    </row>
    <row r="1711" spans="1:1" x14ac:dyDescent="0.25">
      <c r="A1711" t="s">
        <v>1943</v>
      </c>
    </row>
    <row r="1712" spans="1:1" x14ac:dyDescent="0.25">
      <c r="A1712" t="s">
        <v>1886</v>
      </c>
    </row>
    <row r="1713" spans="1:1" x14ac:dyDescent="0.25">
      <c r="A1713" t="s">
        <v>1509</v>
      </c>
    </row>
    <row r="1714" spans="1:1" x14ac:dyDescent="0.25">
      <c r="A1714" t="s">
        <v>2106</v>
      </c>
    </row>
    <row r="1715" spans="1:1" x14ac:dyDescent="0.25">
      <c r="A1715" t="s">
        <v>2108</v>
      </c>
    </row>
    <row r="1716" spans="1:1" x14ac:dyDescent="0.25">
      <c r="A1716" t="s">
        <v>236</v>
      </c>
    </row>
    <row r="1717" spans="1:1" x14ac:dyDescent="0.25">
      <c r="A1717" t="s">
        <v>237</v>
      </c>
    </row>
    <row r="1718" spans="1:1" x14ac:dyDescent="0.25">
      <c r="A1718" t="s">
        <v>238</v>
      </c>
    </row>
    <row r="1719" spans="1:1" x14ac:dyDescent="0.25">
      <c r="A1719" t="s">
        <v>156</v>
      </c>
    </row>
    <row r="1720" spans="1:1" x14ac:dyDescent="0.25">
      <c r="A1720" t="s">
        <v>151</v>
      </c>
    </row>
    <row r="1721" spans="1:1" x14ac:dyDescent="0.25">
      <c r="A1721" t="s">
        <v>152</v>
      </c>
    </row>
    <row r="1722" spans="1:1" x14ac:dyDescent="0.25">
      <c r="A1722" t="s">
        <v>464</v>
      </c>
    </row>
    <row r="1723" spans="1:1" x14ac:dyDescent="0.25">
      <c r="A1723" t="s">
        <v>1872</v>
      </c>
    </row>
    <row r="1724" spans="1:1" x14ac:dyDescent="0.25">
      <c r="A1724" t="s">
        <v>1873</v>
      </c>
    </row>
    <row r="1725" spans="1:1" x14ac:dyDescent="0.25">
      <c r="A1725" t="s">
        <v>1505</v>
      </c>
    </row>
    <row r="1726" spans="1:1" x14ac:dyDescent="0.25">
      <c r="A1726" t="s">
        <v>1506</v>
      </c>
    </row>
    <row r="1727" spans="1:1" x14ac:dyDescent="0.25">
      <c r="A1727" t="s">
        <v>1874</v>
      </c>
    </row>
    <row r="1728" spans="1:1" x14ac:dyDescent="0.25">
      <c r="A1728" t="s">
        <v>1875</v>
      </c>
    </row>
    <row r="1729" spans="1:1" x14ac:dyDescent="0.25">
      <c r="A1729" t="s">
        <v>1507</v>
      </c>
    </row>
    <row r="1730" spans="1:1" x14ac:dyDescent="0.25">
      <c r="A1730" t="s">
        <v>1508</v>
      </c>
    </row>
    <row r="1731" spans="1:1" x14ac:dyDescent="0.25">
      <c r="A1731" t="s">
        <v>1943</v>
      </c>
    </row>
    <row r="1732" spans="1:1" x14ac:dyDescent="0.25">
      <c r="A1732" t="s">
        <v>1886</v>
      </c>
    </row>
    <row r="1733" spans="1:1" x14ac:dyDescent="0.25">
      <c r="A1733" t="s">
        <v>1509</v>
      </c>
    </row>
    <row r="1734" spans="1:1" x14ac:dyDescent="0.25">
      <c r="A1734" t="s">
        <v>2106</v>
      </c>
    </row>
    <row r="1735" spans="1:1" x14ac:dyDescent="0.25">
      <c r="A1735" t="s">
        <v>2108</v>
      </c>
    </row>
    <row r="1736" spans="1:1" x14ac:dyDescent="0.25">
      <c r="A1736" t="s">
        <v>239</v>
      </c>
    </row>
    <row r="1737" spans="1:1" x14ac:dyDescent="0.25">
      <c r="A1737" t="s">
        <v>237</v>
      </c>
    </row>
    <row r="1738" spans="1:1" x14ac:dyDescent="0.25">
      <c r="A1738" t="s">
        <v>240</v>
      </c>
    </row>
    <row r="1739" spans="1:1" x14ac:dyDescent="0.25">
      <c r="A1739" t="s">
        <v>156</v>
      </c>
    </row>
    <row r="1740" spans="1:1" x14ac:dyDescent="0.25">
      <c r="A1740" t="s">
        <v>151</v>
      </c>
    </row>
    <row r="1741" spans="1:1" x14ac:dyDescent="0.25">
      <c r="A1741" t="s">
        <v>152</v>
      </c>
    </row>
    <row r="1742" spans="1:1" x14ac:dyDescent="0.25">
      <c r="A1742" t="s">
        <v>443</v>
      </c>
    </row>
    <row r="1743" spans="1:1" x14ac:dyDescent="0.25">
      <c r="A1743" t="s">
        <v>1872</v>
      </c>
    </row>
    <row r="1744" spans="1:1" x14ac:dyDescent="0.25">
      <c r="A1744" t="s">
        <v>1873</v>
      </c>
    </row>
    <row r="1745" spans="1:1" x14ac:dyDescent="0.25">
      <c r="A1745" t="s">
        <v>1419</v>
      </c>
    </row>
    <row r="1746" spans="1:1" x14ac:dyDescent="0.25">
      <c r="A1746" t="s">
        <v>1420</v>
      </c>
    </row>
    <row r="1747" spans="1:1" x14ac:dyDescent="0.25">
      <c r="A1747" t="s">
        <v>1874</v>
      </c>
    </row>
    <row r="1748" spans="1:1" x14ac:dyDescent="0.25">
      <c r="A1748" t="s">
        <v>1875</v>
      </c>
    </row>
    <row r="1749" spans="1:1" x14ac:dyDescent="0.25">
      <c r="A1749" t="s">
        <v>1510</v>
      </c>
    </row>
    <row r="1750" spans="1:1" x14ac:dyDescent="0.25">
      <c r="A1750" t="s">
        <v>1511</v>
      </c>
    </row>
    <row r="1751" spans="1:1" x14ac:dyDescent="0.25">
      <c r="A1751" t="s">
        <v>1925</v>
      </c>
    </row>
    <row r="1752" spans="1:1" x14ac:dyDescent="0.25">
      <c r="A1752" t="s">
        <v>1944</v>
      </c>
    </row>
    <row r="1753" spans="1:1" x14ac:dyDescent="0.25">
      <c r="A1753" t="s">
        <v>1513</v>
      </c>
    </row>
    <row r="1754" spans="1:1" x14ac:dyDescent="0.25">
      <c r="A1754" t="s">
        <v>2092</v>
      </c>
    </row>
    <row r="1755" spans="1:1" x14ac:dyDescent="0.25">
      <c r="A1755" t="s">
        <v>2089</v>
      </c>
    </row>
    <row r="1756" spans="1:1" x14ac:dyDescent="0.25">
      <c r="A1756" t="s">
        <v>166</v>
      </c>
    </row>
    <row r="1757" spans="1:1" x14ac:dyDescent="0.25">
      <c r="A1757" t="s">
        <v>167</v>
      </c>
    </row>
    <row r="1758" spans="1:1" x14ac:dyDescent="0.25">
      <c r="A1758" t="s">
        <v>168</v>
      </c>
    </row>
    <row r="1759" spans="1:1" x14ac:dyDescent="0.25">
      <c r="A1759" t="s">
        <v>156</v>
      </c>
    </row>
    <row r="1760" spans="1:1" x14ac:dyDescent="0.25">
      <c r="A1760" t="s">
        <v>151</v>
      </c>
    </row>
    <row r="1761" spans="1:1" x14ac:dyDescent="0.25">
      <c r="A1761" t="s">
        <v>152</v>
      </c>
    </row>
    <row r="1762" spans="1:1" x14ac:dyDescent="0.25">
      <c r="A1762" t="s">
        <v>443</v>
      </c>
    </row>
    <row r="1763" spans="1:1" x14ac:dyDescent="0.25">
      <c r="A1763" t="s">
        <v>1872</v>
      </c>
    </row>
    <row r="1764" spans="1:1" x14ac:dyDescent="0.25">
      <c r="A1764" t="s">
        <v>1873</v>
      </c>
    </row>
    <row r="1765" spans="1:1" x14ac:dyDescent="0.25">
      <c r="A1765" t="s">
        <v>1419</v>
      </c>
    </row>
    <row r="1766" spans="1:1" x14ac:dyDescent="0.25">
      <c r="A1766" t="s">
        <v>1420</v>
      </c>
    </row>
    <row r="1767" spans="1:1" x14ac:dyDescent="0.25">
      <c r="A1767" t="s">
        <v>1874</v>
      </c>
    </row>
    <row r="1768" spans="1:1" x14ac:dyDescent="0.25">
      <c r="A1768" t="s">
        <v>1875</v>
      </c>
    </row>
    <row r="1769" spans="1:1" x14ac:dyDescent="0.25">
      <c r="A1769" t="s">
        <v>1510</v>
      </c>
    </row>
    <row r="1770" spans="1:1" x14ac:dyDescent="0.25">
      <c r="A1770" t="s">
        <v>1511</v>
      </c>
    </row>
    <row r="1771" spans="1:1" x14ac:dyDescent="0.25">
      <c r="A1771" t="s">
        <v>1925</v>
      </c>
    </row>
    <row r="1772" spans="1:1" x14ac:dyDescent="0.25">
      <c r="A1772" t="s">
        <v>1944</v>
      </c>
    </row>
    <row r="1773" spans="1:1" x14ac:dyDescent="0.25">
      <c r="A1773" t="s">
        <v>1513</v>
      </c>
    </row>
    <row r="1774" spans="1:1" x14ac:dyDescent="0.25">
      <c r="A1774" t="s">
        <v>2092</v>
      </c>
    </row>
    <row r="1775" spans="1:1" x14ac:dyDescent="0.25">
      <c r="A1775" t="s">
        <v>2089</v>
      </c>
    </row>
    <row r="1776" spans="1:1" x14ac:dyDescent="0.25">
      <c r="A1776" t="s">
        <v>169</v>
      </c>
    </row>
    <row r="1777" spans="1:1" x14ac:dyDescent="0.25">
      <c r="A1777" t="s">
        <v>167</v>
      </c>
    </row>
    <row r="1778" spans="1:1" x14ac:dyDescent="0.25">
      <c r="A1778" t="s">
        <v>170</v>
      </c>
    </row>
    <row r="1779" spans="1:1" x14ac:dyDescent="0.25">
      <c r="A1779" t="s">
        <v>156</v>
      </c>
    </row>
    <row r="1780" spans="1:1" x14ac:dyDescent="0.25">
      <c r="A1780" t="s">
        <v>151</v>
      </c>
    </row>
    <row r="1781" spans="1:1" x14ac:dyDescent="0.25">
      <c r="A1781" t="s">
        <v>152</v>
      </c>
    </row>
    <row r="1782" spans="1:1" x14ac:dyDescent="0.25">
      <c r="A1782" t="s">
        <v>463</v>
      </c>
    </row>
    <row r="1783" spans="1:1" x14ac:dyDescent="0.25">
      <c r="A1783" t="s">
        <v>1872</v>
      </c>
    </row>
    <row r="1784" spans="1:1" x14ac:dyDescent="0.25">
      <c r="A1784" t="s">
        <v>1873</v>
      </c>
    </row>
    <row r="1785" spans="1:1" x14ac:dyDescent="0.25">
      <c r="A1785" t="s">
        <v>1514</v>
      </c>
    </row>
    <row r="1786" spans="1:1" x14ac:dyDescent="0.25">
      <c r="A1786" t="s">
        <v>1515</v>
      </c>
    </row>
    <row r="1787" spans="1:1" x14ac:dyDescent="0.25">
      <c r="A1787" t="s">
        <v>1874</v>
      </c>
    </row>
    <row r="1788" spans="1:1" x14ac:dyDescent="0.25">
      <c r="A1788" t="s">
        <v>1875</v>
      </c>
    </row>
    <row r="1789" spans="1:1" x14ac:dyDescent="0.25">
      <c r="A1789" t="s">
        <v>1516</v>
      </c>
    </row>
    <row r="1790" spans="1:1" x14ac:dyDescent="0.25">
      <c r="A1790" t="s">
        <v>1517</v>
      </c>
    </row>
    <row r="1791" spans="1:1" x14ac:dyDescent="0.25">
      <c r="A1791" t="s">
        <v>1945</v>
      </c>
    </row>
    <row r="1792" spans="1:1" x14ac:dyDescent="0.25">
      <c r="A1792" t="s">
        <v>1946</v>
      </c>
    </row>
    <row r="1793" spans="1:1" x14ac:dyDescent="0.25">
      <c r="A1793" t="s">
        <v>1519</v>
      </c>
    </row>
    <row r="1794" spans="1:1" x14ac:dyDescent="0.25">
      <c r="A1794" t="s">
        <v>2102</v>
      </c>
    </row>
    <row r="1795" spans="1:1" x14ac:dyDescent="0.25">
      <c r="A1795" t="s">
        <v>2134</v>
      </c>
    </row>
    <row r="1796" spans="1:1" x14ac:dyDescent="0.25">
      <c r="A1796" t="s">
        <v>234</v>
      </c>
    </row>
    <row r="1797" spans="1:1" x14ac:dyDescent="0.25">
      <c r="A1797" t="s">
        <v>235</v>
      </c>
    </row>
    <row r="1798" spans="1:1" x14ac:dyDescent="0.25">
      <c r="A1798" t="s">
        <v>155</v>
      </c>
    </row>
    <row r="1799" spans="1:1" x14ac:dyDescent="0.25">
      <c r="A1799" t="s">
        <v>156</v>
      </c>
    </row>
    <row r="1800" spans="1:1" x14ac:dyDescent="0.25">
      <c r="A1800" t="s">
        <v>151</v>
      </c>
    </row>
    <row r="1801" spans="1:1" x14ac:dyDescent="0.25">
      <c r="A1801" t="s">
        <v>152</v>
      </c>
    </row>
    <row r="1802" spans="1:1" x14ac:dyDescent="0.25">
      <c r="A1802" t="s">
        <v>525</v>
      </c>
    </row>
    <row r="1803" spans="1:1" x14ac:dyDescent="0.25">
      <c r="A1803" t="s">
        <v>1872</v>
      </c>
    </row>
    <row r="1804" spans="1:1" x14ac:dyDescent="0.25">
      <c r="A1804" t="s">
        <v>1873</v>
      </c>
    </row>
    <row r="1805" spans="1:1" x14ac:dyDescent="0.25">
      <c r="A1805" t="s">
        <v>1520</v>
      </c>
    </row>
    <row r="1806" spans="1:1" x14ac:dyDescent="0.25">
      <c r="A1806" t="s">
        <v>1521</v>
      </c>
    </row>
    <row r="1807" spans="1:1" x14ac:dyDescent="0.25">
      <c r="A1807" t="s">
        <v>1396</v>
      </c>
    </row>
    <row r="1808" spans="1:1" x14ac:dyDescent="0.25">
      <c r="A1808" t="s">
        <v>1522</v>
      </c>
    </row>
    <row r="1809" spans="1:1" x14ac:dyDescent="0.25">
      <c r="A1809" t="s">
        <v>1523</v>
      </c>
    </row>
    <row r="1810" spans="1:1" x14ac:dyDescent="0.25">
      <c r="A1810" t="s">
        <v>1240</v>
      </c>
    </row>
    <row r="1811" spans="1:1" x14ac:dyDescent="0.25">
      <c r="A1811" t="s">
        <v>1947</v>
      </c>
    </row>
    <row r="1812" spans="1:1" x14ac:dyDescent="0.25">
      <c r="A1812" t="s">
        <v>1884</v>
      </c>
    </row>
    <row r="1813" spans="1:1" x14ac:dyDescent="0.25">
      <c r="A1813" t="s">
        <v>1414</v>
      </c>
    </row>
    <row r="1814" spans="1:1" x14ac:dyDescent="0.25">
      <c r="A1814" t="s">
        <v>2100</v>
      </c>
    </row>
    <row r="1815" spans="1:1" x14ac:dyDescent="0.25">
      <c r="A1815" t="s">
        <v>2108</v>
      </c>
    </row>
    <row r="1816" spans="1:1" x14ac:dyDescent="0.25">
      <c r="A1816" t="s">
        <v>304</v>
      </c>
    </row>
    <row r="1817" spans="1:1" x14ac:dyDescent="0.25">
      <c r="A1817" t="s">
        <v>347</v>
      </c>
    </row>
    <row r="1818" spans="1:1" x14ac:dyDescent="0.25">
      <c r="A1818" t="s">
        <v>155</v>
      </c>
    </row>
    <row r="1819" spans="1:1" x14ac:dyDescent="0.25">
      <c r="A1819" t="s">
        <v>156</v>
      </c>
    </row>
    <row r="1820" spans="1:1" x14ac:dyDescent="0.25">
      <c r="A1820" t="s">
        <v>151</v>
      </c>
    </row>
    <row r="1821" spans="1:1" x14ac:dyDescent="0.25">
      <c r="A1821" t="s">
        <v>152</v>
      </c>
    </row>
    <row r="1822" spans="1:1" x14ac:dyDescent="0.25">
      <c r="A1822" t="s">
        <v>444</v>
      </c>
    </row>
    <row r="1823" spans="1:1" x14ac:dyDescent="0.25">
      <c r="A1823" t="s">
        <v>1872</v>
      </c>
    </row>
    <row r="1824" spans="1:1" x14ac:dyDescent="0.25">
      <c r="A1824" t="s">
        <v>1873</v>
      </c>
    </row>
    <row r="1825" spans="1:1" x14ac:dyDescent="0.25">
      <c r="A1825" t="s">
        <v>1524</v>
      </c>
    </row>
    <row r="1826" spans="1:1" x14ac:dyDescent="0.25">
      <c r="A1826" t="s">
        <v>1525</v>
      </c>
    </row>
    <row r="1827" spans="1:1" x14ac:dyDescent="0.25">
      <c r="A1827" t="s">
        <v>1874</v>
      </c>
    </row>
    <row r="1828" spans="1:1" x14ac:dyDescent="0.25">
      <c r="A1828" t="s">
        <v>1875</v>
      </c>
    </row>
    <row r="1829" spans="1:1" x14ac:dyDescent="0.25">
      <c r="A1829" t="s">
        <v>1526</v>
      </c>
    </row>
    <row r="1830" spans="1:1" x14ac:dyDescent="0.25">
      <c r="A1830" t="s">
        <v>1527</v>
      </c>
    </row>
    <row r="1831" spans="1:1" x14ac:dyDescent="0.25">
      <c r="A1831" t="s">
        <v>1948</v>
      </c>
    </row>
    <row r="1832" spans="1:1" x14ac:dyDescent="0.25">
      <c r="A1832" t="s">
        <v>1949</v>
      </c>
    </row>
    <row r="1833" spans="1:1" x14ac:dyDescent="0.25">
      <c r="A1833" t="s">
        <v>1528</v>
      </c>
    </row>
    <row r="1834" spans="1:1" x14ac:dyDescent="0.25">
      <c r="A1834" t="s">
        <v>2100</v>
      </c>
    </row>
    <row r="1835" spans="1:1" x14ac:dyDescent="0.25">
      <c r="A1835" t="s">
        <v>2108</v>
      </c>
    </row>
    <row r="1836" spans="1:1" x14ac:dyDescent="0.25">
      <c r="A1836" t="s">
        <v>171</v>
      </c>
    </row>
    <row r="1837" spans="1:1" x14ac:dyDescent="0.25">
      <c r="A1837" t="s">
        <v>172</v>
      </c>
    </row>
    <row r="1838" spans="1:1" x14ac:dyDescent="0.25">
      <c r="A1838" t="s">
        <v>173</v>
      </c>
    </row>
    <row r="1839" spans="1:1" x14ac:dyDescent="0.25">
      <c r="A1839" t="s">
        <v>156</v>
      </c>
    </row>
    <row r="1840" spans="1:1" x14ac:dyDescent="0.25">
      <c r="A1840" t="s">
        <v>151</v>
      </c>
    </row>
    <row r="1841" spans="1:1" x14ac:dyDescent="0.25">
      <c r="A1841" t="s">
        <v>152</v>
      </c>
    </row>
    <row r="1842" spans="1:1" x14ac:dyDescent="0.25">
      <c r="A1842" t="s">
        <v>444</v>
      </c>
    </row>
    <row r="1843" spans="1:1" x14ac:dyDescent="0.25">
      <c r="A1843" t="s">
        <v>1872</v>
      </c>
    </row>
    <row r="1844" spans="1:1" x14ac:dyDescent="0.25">
      <c r="A1844" t="s">
        <v>1873</v>
      </c>
    </row>
    <row r="1845" spans="1:1" x14ac:dyDescent="0.25">
      <c r="A1845" t="s">
        <v>1524</v>
      </c>
    </row>
    <row r="1846" spans="1:1" x14ac:dyDescent="0.25">
      <c r="A1846" t="s">
        <v>1525</v>
      </c>
    </row>
    <row r="1847" spans="1:1" x14ac:dyDescent="0.25">
      <c r="A1847" t="s">
        <v>1874</v>
      </c>
    </row>
    <row r="1848" spans="1:1" x14ac:dyDescent="0.25">
      <c r="A1848" t="s">
        <v>1875</v>
      </c>
    </row>
    <row r="1849" spans="1:1" x14ac:dyDescent="0.25">
      <c r="A1849" t="s">
        <v>1526</v>
      </c>
    </row>
    <row r="1850" spans="1:1" x14ac:dyDescent="0.25">
      <c r="A1850" t="s">
        <v>1527</v>
      </c>
    </row>
    <row r="1851" spans="1:1" x14ac:dyDescent="0.25">
      <c r="A1851" t="s">
        <v>1948</v>
      </c>
    </row>
    <row r="1852" spans="1:1" x14ac:dyDescent="0.25">
      <c r="A1852" t="s">
        <v>1949</v>
      </c>
    </row>
    <row r="1853" spans="1:1" x14ac:dyDescent="0.25">
      <c r="A1853" t="s">
        <v>1528</v>
      </c>
    </row>
    <row r="1854" spans="1:1" x14ac:dyDescent="0.25">
      <c r="A1854" t="s">
        <v>2100</v>
      </c>
    </row>
    <row r="1855" spans="1:1" x14ac:dyDescent="0.25">
      <c r="A1855" t="s">
        <v>2108</v>
      </c>
    </row>
    <row r="1856" spans="1:1" x14ac:dyDescent="0.25">
      <c r="A1856" t="s">
        <v>174</v>
      </c>
    </row>
    <row r="1857" spans="1:1" x14ac:dyDescent="0.25">
      <c r="A1857" t="s">
        <v>172</v>
      </c>
    </row>
    <row r="1858" spans="1:1" x14ac:dyDescent="0.25">
      <c r="A1858" t="s">
        <v>175</v>
      </c>
    </row>
    <row r="1859" spans="1:1" x14ac:dyDescent="0.25">
      <c r="A1859" t="s">
        <v>156</v>
      </c>
    </row>
    <row r="1860" spans="1:1" x14ac:dyDescent="0.25">
      <c r="A1860" t="s">
        <v>151</v>
      </c>
    </row>
    <row r="1861" spans="1:1" x14ac:dyDescent="0.25">
      <c r="A1861" t="s">
        <v>152</v>
      </c>
    </row>
    <row r="1862" spans="1:1" x14ac:dyDescent="0.25">
      <c r="A1862" t="s">
        <v>499</v>
      </c>
    </row>
    <row r="1863" spans="1:1" x14ac:dyDescent="0.25">
      <c r="A1863" t="s">
        <v>1872</v>
      </c>
    </row>
    <row r="1864" spans="1:1" x14ac:dyDescent="0.25">
      <c r="A1864" t="s">
        <v>1873</v>
      </c>
    </row>
    <row r="1865" spans="1:1" x14ac:dyDescent="0.25">
      <c r="A1865" t="s">
        <v>1529</v>
      </c>
    </row>
    <row r="1866" spans="1:1" x14ac:dyDescent="0.25">
      <c r="A1866" t="s">
        <v>1530</v>
      </c>
    </row>
    <row r="1867" spans="1:1" x14ac:dyDescent="0.25">
      <c r="A1867" t="s">
        <v>1874</v>
      </c>
    </row>
    <row r="1868" spans="1:1" x14ac:dyDescent="0.25">
      <c r="A1868" t="s">
        <v>1875</v>
      </c>
    </row>
    <row r="1869" spans="1:1" x14ac:dyDescent="0.25">
      <c r="A1869" t="s">
        <v>1531</v>
      </c>
    </row>
    <row r="1870" spans="1:1" x14ac:dyDescent="0.25">
      <c r="A1870" t="s">
        <v>1532</v>
      </c>
    </row>
    <row r="1871" spans="1:1" x14ac:dyDescent="0.25">
      <c r="A1871" t="s">
        <v>1950</v>
      </c>
    </row>
    <row r="1872" spans="1:1" x14ac:dyDescent="0.25">
      <c r="A1872" t="s">
        <v>1951</v>
      </c>
    </row>
    <row r="1873" spans="1:1" x14ac:dyDescent="0.25">
      <c r="A1873" t="s">
        <v>1533</v>
      </c>
    </row>
    <row r="1874" spans="1:1" x14ac:dyDescent="0.25">
      <c r="A1874" t="s">
        <v>2092</v>
      </c>
    </row>
    <row r="1875" spans="1:1" x14ac:dyDescent="0.25">
      <c r="A1875" t="s">
        <v>2089</v>
      </c>
    </row>
    <row r="1876" spans="1:1" x14ac:dyDescent="0.25">
      <c r="A1876" t="s">
        <v>234</v>
      </c>
    </row>
    <row r="1877" spans="1:1" x14ac:dyDescent="0.25">
      <c r="A1877" t="s">
        <v>296</v>
      </c>
    </row>
    <row r="1878" spans="1:1" x14ac:dyDescent="0.25">
      <c r="A1878" t="s">
        <v>155</v>
      </c>
    </row>
    <row r="1879" spans="1:1" x14ac:dyDescent="0.25">
      <c r="A1879" t="s">
        <v>156</v>
      </c>
    </row>
    <row r="1880" spans="1:1" x14ac:dyDescent="0.25">
      <c r="A1880" t="s">
        <v>151</v>
      </c>
    </row>
    <row r="1881" spans="1:1" x14ac:dyDescent="0.25">
      <c r="A1881" t="s">
        <v>152</v>
      </c>
    </row>
    <row r="1882" spans="1:1" x14ac:dyDescent="0.25">
      <c r="A1882" t="s">
        <v>497</v>
      </c>
    </row>
    <row r="1883" spans="1:1" x14ac:dyDescent="0.25">
      <c r="A1883" t="s">
        <v>1872</v>
      </c>
    </row>
    <row r="1884" spans="1:1" x14ac:dyDescent="0.25">
      <c r="A1884" t="s">
        <v>1873</v>
      </c>
    </row>
    <row r="1885" spans="1:1" x14ac:dyDescent="0.25">
      <c r="A1885" t="s">
        <v>1305</v>
      </c>
    </row>
    <row r="1886" spans="1:1" x14ac:dyDescent="0.25">
      <c r="A1886" t="s">
        <v>1534</v>
      </c>
    </row>
    <row r="1887" spans="1:1" x14ac:dyDescent="0.25">
      <c r="A1887" t="s">
        <v>1874</v>
      </c>
    </row>
    <row r="1888" spans="1:1" x14ac:dyDescent="0.25">
      <c r="A1888" t="s">
        <v>1875</v>
      </c>
    </row>
    <row r="1889" spans="1:1" x14ac:dyDescent="0.25">
      <c r="A1889" t="s">
        <v>1535</v>
      </c>
    </row>
    <row r="1890" spans="1:1" x14ac:dyDescent="0.25">
      <c r="A1890" t="s">
        <v>1536</v>
      </c>
    </row>
    <row r="1891" spans="1:1" x14ac:dyDescent="0.25">
      <c r="A1891" t="s">
        <v>1920</v>
      </c>
    </row>
    <row r="1892" spans="1:1" x14ac:dyDescent="0.25">
      <c r="A1892" t="s">
        <v>1952</v>
      </c>
    </row>
    <row r="1893" spans="1:1" x14ac:dyDescent="0.25">
      <c r="A1893" t="s">
        <v>1539</v>
      </c>
    </row>
    <row r="1894" spans="1:1" x14ac:dyDescent="0.25">
      <c r="A1894" t="s">
        <v>2106</v>
      </c>
    </row>
    <row r="1895" spans="1:1" x14ac:dyDescent="0.25">
      <c r="A1895" t="s">
        <v>2116</v>
      </c>
    </row>
    <row r="1896" spans="1:1" x14ac:dyDescent="0.25">
      <c r="A1896" t="s">
        <v>289</v>
      </c>
    </row>
    <row r="1897" spans="1:1" x14ac:dyDescent="0.25">
      <c r="A1897" t="s">
        <v>290</v>
      </c>
    </row>
    <row r="1898" spans="1:1" x14ac:dyDescent="0.25">
      <c r="A1898" t="s">
        <v>291</v>
      </c>
    </row>
    <row r="1899" spans="1:1" x14ac:dyDescent="0.25">
      <c r="A1899" t="s">
        <v>156</v>
      </c>
    </row>
    <row r="1900" spans="1:1" x14ac:dyDescent="0.25">
      <c r="A1900" t="s">
        <v>151</v>
      </c>
    </row>
    <row r="1901" spans="1:1" x14ac:dyDescent="0.25">
      <c r="A1901" t="s">
        <v>152</v>
      </c>
    </row>
    <row r="1902" spans="1:1" x14ac:dyDescent="0.25">
      <c r="A1902" t="s">
        <v>497</v>
      </c>
    </row>
    <row r="1903" spans="1:1" x14ac:dyDescent="0.25">
      <c r="A1903" t="s">
        <v>1872</v>
      </c>
    </row>
    <row r="1904" spans="1:1" x14ac:dyDescent="0.25">
      <c r="A1904" t="s">
        <v>1873</v>
      </c>
    </row>
    <row r="1905" spans="1:1" x14ac:dyDescent="0.25">
      <c r="A1905" t="s">
        <v>1305</v>
      </c>
    </row>
    <row r="1906" spans="1:1" x14ac:dyDescent="0.25">
      <c r="A1906" t="s">
        <v>1534</v>
      </c>
    </row>
    <row r="1907" spans="1:1" x14ac:dyDescent="0.25">
      <c r="A1907" t="s">
        <v>1874</v>
      </c>
    </row>
    <row r="1908" spans="1:1" x14ac:dyDescent="0.25">
      <c r="A1908" t="s">
        <v>1875</v>
      </c>
    </row>
    <row r="1909" spans="1:1" x14ac:dyDescent="0.25">
      <c r="A1909" t="s">
        <v>1535</v>
      </c>
    </row>
    <row r="1910" spans="1:1" x14ac:dyDescent="0.25">
      <c r="A1910" t="s">
        <v>1536</v>
      </c>
    </row>
    <row r="1911" spans="1:1" x14ac:dyDescent="0.25">
      <c r="A1911" t="s">
        <v>1920</v>
      </c>
    </row>
    <row r="1912" spans="1:1" x14ac:dyDescent="0.25">
      <c r="A1912" t="s">
        <v>1952</v>
      </c>
    </row>
    <row r="1913" spans="1:1" x14ac:dyDescent="0.25">
      <c r="A1913" t="s">
        <v>1539</v>
      </c>
    </row>
    <row r="1914" spans="1:1" x14ac:dyDescent="0.25">
      <c r="A1914" t="s">
        <v>2106</v>
      </c>
    </row>
    <row r="1915" spans="1:1" x14ac:dyDescent="0.25">
      <c r="A1915" t="s">
        <v>2116</v>
      </c>
    </row>
    <row r="1916" spans="1:1" x14ac:dyDescent="0.25">
      <c r="A1916" t="s">
        <v>292</v>
      </c>
    </row>
    <row r="1917" spans="1:1" x14ac:dyDescent="0.25">
      <c r="A1917" t="s">
        <v>290</v>
      </c>
    </row>
    <row r="1918" spans="1:1" x14ac:dyDescent="0.25">
      <c r="A1918" t="s">
        <v>293</v>
      </c>
    </row>
    <row r="1919" spans="1:1" x14ac:dyDescent="0.25">
      <c r="A1919" t="s">
        <v>156</v>
      </c>
    </row>
    <row r="1920" spans="1:1" x14ac:dyDescent="0.25">
      <c r="A1920" t="s">
        <v>151</v>
      </c>
    </row>
    <row r="1921" spans="1:1" x14ac:dyDescent="0.25">
      <c r="A1921" t="s">
        <v>152</v>
      </c>
    </row>
    <row r="1922" spans="1:1" x14ac:dyDescent="0.25">
      <c r="A1922" t="s">
        <v>524</v>
      </c>
    </row>
    <row r="1923" spans="1:1" x14ac:dyDescent="0.25">
      <c r="A1923" t="s">
        <v>1872</v>
      </c>
    </row>
    <row r="1924" spans="1:1" x14ac:dyDescent="0.25">
      <c r="A1924" t="s">
        <v>1873</v>
      </c>
    </row>
    <row r="1925" spans="1:1" x14ac:dyDescent="0.25">
      <c r="A1925" t="s">
        <v>1540</v>
      </c>
    </row>
    <row r="1926" spans="1:1" x14ac:dyDescent="0.25">
      <c r="A1926" t="s">
        <v>1541</v>
      </c>
    </row>
    <row r="1927" spans="1:1" x14ac:dyDescent="0.25">
      <c r="A1927" t="s">
        <v>1486</v>
      </c>
    </row>
    <row r="1928" spans="1:1" x14ac:dyDescent="0.25">
      <c r="A1928" t="s">
        <v>1542</v>
      </c>
    </row>
    <row r="1929" spans="1:1" x14ac:dyDescent="0.25">
      <c r="A1929" t="s">
        <v>1543</v>
      </c>
    </row>
    <row r="1930" spans="1:1" x14ac:dyDescent="0.25">
      <c r="A1930" t="s">
        <v>1544</v>
      </c>
    </row>
    <row r="1931" spans="1:1" x14ac:dyDescent="0.25">
      <c r="A1931" t="s">
        <v>1953</v>
      </c>
    </row>
    <row r="1932" spans="1:1" x14ac:dyDescent="0.25">
      <c r="A1932" t="s">
        <v>1941</v>
      </c>
    </row>
    <row r="1933" spans="1:1" x14ac:dyDescent="0.25">
      <c r="A1933" t="s">
        <v>1546</v>
      </c>
    </row>
    <row r="1934" spans="1:1" x14ac:dyDescent="0.25">
      <c r="A1934" t="s">
        <v>2105</v>
      </c>
    </row>
    <row r="1935" spans="1:1" x14ac:dyDescent="0.25">
      <c r="A1935" t="s">
        <v>2112</v>
      </c>
    </row>
    <row r="1936" spans="1:1" x14ac:dyDescent="0.25">
      <c r="A1936" t="s">
        <v>345</v>
      </c>
    </row>
    <row r="1937" spans="1:1" x14ac:dyDescent="0.25">
      <c r="A1937" t="s">
        <v>346</v>
      </c>
    </row>
    <row r="1938" spans="1:1" x14ac:dyDescent="0.25">
      <c r="A1938" t="s">
        <v>155</v>
      </c>
    </row>
    <row r="1939" spans="1:1" x14ac:dyDescent="0.25">
      <c r="A1939" t="s">
        <v>156</v>
      </c>
    </row>
    <row r="1940" spans="1:1" x14ac:dyDescent="0.25">
      <c r="A1940" t="s">
        <v>151</v>
      </c>
    </row>
    <row r="1941" spans="1:1" x14ac:dyDescent="0.25">
      <c r="A1941" t="s">
        <v>152</v>
      </c>
    </row>
    <row r="1942" spans="1:1" x14ac:dyDescent="0.25">
      <c r="A1942" t="s">
        <v>572</v>
      </c>
    </row>
    <row r="1943" spans="1:1" x14ac:dyDescent="0.25">
      <c r="A1943" t="s">
        <v>1547</v>
      </c>
    </row>
    <row r="1944" spans="1:1" x14ac:dyDescent="0.25">
      <c r="A1944" t="s">
        <v>1548</v>
      </c>
    </row>
    <row r="1945" spans="1:1" x14ac:dyDescent="0.25">
      <c r="A1945" t="s">
        <v>1549</v>
      </c>
    </row>
    <row r="1946" spans="1:1" x14ac:dyDescent="0.25">
      <c r="A1946" t="s">
        <v>1353</v>
      </c>
    </row>
    <row r="1947" spans="1:1" x14ac:dyDescent="0.25">
      <c r="A1947" t="s">
        <v>1550</v>
      </c>
    </row>
    <row r="1948" spans="1:1" x14ac:dyDescent="0.25">
      <c r="A1948" t="s">
        <v>1551</v>
      </c>
    </row>
    <row r="1949" spans="1:1" x14ac:dyDescent="0.25">
      <c r="A1949" t="s">
        <v>1552</v>
      </c>
    </row>
    <row r="1950" spans="1:1" x14ac:dyDescent="0.25">
      <c r="A1950" t="s">
        <v>1553</v>
      </c>
    </row>
    <row r="1951" spans="1:1" x14ac:dyDescent="0.25">
      <c r="A1951" t="s">
        <v>1954</v>
      </c>
    </row>
    <row r="1952" spans="1:1" x14ac:dyDescent="0.25">
      <c r="A1952" t="s">
        <v>1955</v>
      </c>
    </row>
    <row r="1953" spans="1:1" x14ac:dyDescent="0.25">
      <c r="A1953" t="s">
        <v>1554</v>
      </c>
    </row>
    <row r="1954" spans="1:1" x14ac:dyDescent="0.25">
      <c r="A1954" t="s">
        <v>2100</v>
      </c>
    </row>
    <row r="1955" spans="1:1" x14ac:dyDescent="0.25">
      <c r="A1955" t="s">
        <v>2108</v>
      </c>
    </row>
    <row r="1956" spans="1:1" x14ac:dyDescent="0.25">
      <c r="A1956" t="s">
        <v>162</v>
      </c>
    </row>
    <row r="1957" spans="1:1" x14ac:dyDescent="0.25">
      <c r="A1957" t="s">
        <v>420</v>
      </c>
    </row>
    <row r="1958" spans="1:1" x14ac:dyDescent="0.25">
      <c r="A1958" t="s">
        <v>155</v>
      </c>
    </row>
    <row r="1959" spans="1:1" x14ac:dyDescent="0.25">
      <c r="A1959" t="s">
        <v>156</v>
      </c>
    </row>
    <row r="1960" spans="1:1" x14ac:dyDescent="0.25">
      <c r="A1960" t="s">
        <v>151</v>
      </c>
    </row>
    <row r="1961" spans="1:1" x14ac:dyDescent="0.25">
      <c r="A1961" t="s">
        <v>152</v>
      </c>
    </row>
    <row r="1962" spans="1:1" x14ac:dyDescent="0.25">
      <c r="A1962" t="s">
        <v>482</v>
      </c>
    </row>
    <row r="1963" spans="1:1" x14ac:dyDescent="0.25">
      <c r="A1963" t="s">
        <v>1500</v>
      </c>
    </row>
    <row r="1964" spans="1:1" x14ac:dyDescent="0.25">
      <c r="A1964" t="s">
        <v>1501</v>
      </c>
    </row>
    <row r="1965" spans="1:1" x14ac:dyDescent="0.25">
      <c r="A1965" t="s">
        <v>1876</v>
      </c>
    </row>
    <row r="1966" spans="1:1" x14ac:dyDescent="0.25">
      <c r="A1966" t="s">
        <v>1877</v>
      </c>
    </row>
    <row r="1967" spans="1:1" x14ac:dyDescent="0.25">
      <c r="A1967" t="s">
        <v>1874</v>
      </c>
    </row>
    <row r="1968" spans="1:1" x14ac:dyDescent="0.25">
      <c r="A1968" t="s">
        <v>1875</v>
      </c>
    </row>
    <row r="1969" spans="1:1" x14ac:dyDescent="0.25">
      <c r="A1969" t="s">
        <v>1502</v>
      </c>
    </row>
    <row r="1970" spans="1:1" x14ac:dyDescent="0.25">
      <c r="A1970" t="s">
        <v>1503</v>
      </c>
    </row>
    <row r="1971" spans="1:1" x14ac:dyDescent="0.25">
      <c r="A1971" t="s">
        <v>1880</v>
      </c>
    </row>
    <row r="1972" spans="1:1" x14ac:dyDescent="0.25">
      <c r="A1972" t="s">
        <v>1881</v>
      </c>
    </row>
    <row r="1973" spans="1:1" x14ac:dyDescent="0.25">
      <c r="A1973" t="s">
        <v>1504</v>
      </c>
    </row>
    <row r="1974" spans="1:1" x14ac:dyDescent="0.25">
      <c r="A1974" t="s">
        <v>2092</v>
      </c>
    </row>
    <row r="1975" spans="1:1" x14ac:dyDescent="0.25">
      <c r="A1975" t="s">
        <v>2089</v>
      </c>
    </row>
    <row r="1976" spans="1:1" x14ac:dyDescent="0.25">
      <c r="A1976" t="s">
        <v>268</v>
      </c>
    </row>
    <row r="1977" spans="1:1" x14ac:dyDescent="0.25">
      <c r="A1977" t="s">
        <v>269</v>
      </c>
    </row>
    <row r="1978" spans="1:1" x14ac:dyDescent="0.25">
      <c r="A1978" t="s">
        <v>270</v>
      </c>
    </row>
    <row r="1979" spans="1:1" x14ac:dyDescent="0.25">
      <c r="A1979" t="s">
        <v>156</v>
      </c>
    </row>
    <row r="1980" spans="1:1" x14ac:dyDescent="0.25">
      <c r="A1980" t="s">
        <v>151</v>
      </c>
    </row>
    <row r="1981" spans="1:1" x14ac:dyDescent="0.25">
      <c r="A1981" t="s">
        <v>152</v>
      </c>
    </row>
    <row r="1982" spans="1:1" x14ac:dyDescent="0.25">
      <c r="A1982" t="s">
        <v>449</v>
      </c>
    </row>
    <row r="1983" spans="1:1" x14ac:dyDescent="0.25">
      <c r="A1983" t="s">
        <v>1872</v>
      </c>
    </row>
    <row r="1984" spans="1:1" x14ac:dyDescent="0.25">
      <c r="A1984" t="s">
        <v>1873</v>
      </c>
    </row>
    <row r="1985" spans="1:1" x14ac:dyDescent="0.25">
      <c r="A1985" t="s">
        <v>1876</v>
      </c>
    </row>
    <row r="1986" spans="1:1" x14ac:dyDescent="0.25">
      <c r="A1986" t="s">
        <v>1877</v>
      </c>
    </row>
    <row r="1987" spans="1:1" x14ac:dyDescent="0.25">
      <c r="A1987" t="s">
        <v>1874</v>
      </c>
    </row>
    <row r="1988" spans="1:1" x14ac:dyDescent="0.25">
      <c r="A1988" t="s">
        <v>1875</v>
      </c>
    </row>
    <row r="1989" spans="1:1" x14ac:dyDescent="0.25">
      <c r="A1989" t="s">
        <v>1878</v>
      </c>
    </row>
    <row r="1990" spans="1:1" x14ac:dyDescent="0.25">
      <c r="A1990" t="s">
        <v>1879</v>
      </c>
    </row>
    <row r="1991" spans="1:1" x14ac:dyDescent="0.25">
      <c r="A1991" t="s">
        <v>1880</v>
      </c>
    </row>
    <row r="1992" spans="1:1" x14ac:dyDescent="0.25">
      <c r="A1992" t="s">
        <v>1881</v>
      </c>
    </row>
    <row r="1993" spans="1:1" x14ac:dyDescent="0.25">
      <c r="A1993" t="s">
        <v>1882</v>
      </c>
    </row>
    <row r="1994" spans="1:1" x14ac:dyDescent="0.25">
      <c r="A1994" t="s">
        <v>2092</v>
      </c>
    </row>
    <row r="1995" spans="1:1" x14ac:dyDescent="0.25">
      <c r="A1995" t="s">
        <v>2089</v>
      </c>
    </row>
    <row r="1996" spans="1:1" x14ac:dyDescent="0.25">
      <c r="A1996" t="s">
        <v>190</v>
      </c>
    </row>
    <row r="1997" spans="1:1" x14ac:dyDescent="0.25">
      <c r="A1997" t="s">
        <v>191</v>
      </c>
    </row>
    <row r="1998" spans="1:1" x14ac:dyDescent="0.25">
      <c r="A1998" t="s">
        <v>192</v>
      </c>
    </row>
    <row r="1999" spans="1:1" x14ac:dyDescent="0.25">
      <c r="A1999" t="s">
        <v>156</v>
      </c>
    </row>
    <row r="2000" spans="1:1" x14ac:dyDescent="0.25">
      <c r="A2000" t="s">
        <v>151</v>
      </c>
    </row>
    <row r="2001" spans="1:1" x14ac:dyDescent="0.25">
      <c r="A2001" t="s">
        <v>152</v>
      </c>
    </row>
    <row r="2002" spans="1:1" x14ac:dyDescent="0.25">
      <c r="A2002" t="s">
        <v>449</v>
      </c>
    </row>
    <row r="2003" spans="1:1" x14ac:dyDescent="0.25">
      <c r="A2003" t="s">
        <v>1872</v>
      </c>
    </row>
    <row r="2004" spans="1:1" x14ac:dyDescent="0.25">
      <c r="A2004" t="s">
        <v>1873</v>
      </c>
    </row>
    <row r="2005" spans="1:1" x14ac:dyDescent="0.25">
      <c r="A2005" t="s">
        <v>1876</v>
      </c>
    </row>
    <row r="2006" spans="1:1" x14ac:dyDescent="0.25">
      <c r="A2006" t="s">
        <v>1877</v>
      </c>
    </row>
    <row r="2007" spans="1:1" x14ac:dyDescent="0.25">
      <c r="A2007" t="s">
        <v>1874</v>
      </c>
    </row>
    <row r="2008" spans="1:1" x14ac:dyDescent="0.25">
      <c r="A2008" t="s">
        <v>1875</v>
      </c>
    </row>
    <row r="2009" spans="1:1" x14ac:dyDescent="0.25">
      <c r="A2009" t="s">
        <v>1878</v>
      </c>
    </row>
    <row r="2010" spans="1:1" x14ac:dyDescent="0.25">
      <c r="A2010" t="s">
        <v>1879</v>
      </c>
    </row>
    <row r="2011" spans="1:1" x14ac:dyDescent="0.25">
      <c r="A2011" t="s">
        <v>1880</v>
      </c>
    </row>
    <row r="2012" spans="1:1" x14ac:dyDescent="0.25">
      <c r="A2012" t="s">
        <v>1881</v>
      </c>
    </row>
    <row r="2013" spans="1:1" x14ac:dyDescent="0.25">
      <c r="A2013" t="s">
        <v>1882</v>
      </c>
    </row>
    <row r="2014" spans="1:1" x14ac:dyDescent="0.25">
      <c r="A2014" t="s">
        <v>2092</v>
      </c>
    </row>
    <row r="2015" spans="1:1" x14ac:dyDescent="0.25">
      <c r="A2015" t="s">
        <v>2089</v>
      </c>
    </row>
    <row r="2016" spans="1:1" x14ac:dyDescent="0.25">
      <c r="A2016" t="s">
        <v>193</v>
      </c>
    </row>
    <row r="2017" spans="1:1" x14ac:dyDescent="0.25">
      <c r="A2017" t="s">
        <v>191</v>
      </c>
    </row>
    <row r="2018" spans="1:1" x14ac:dyDescent="0.25">
      <c r="A2018" t="s">
        <v>194</v>
      </c>
    </row>
    <row r="2019" spans="1:1" x14ac:dyDescent="0.25">
      <c r="A2019" t="s">
        <v>156</v>
      </c>
    </row>
    <row r="2020" spans="1:1" x14ac:dyDescent="0.25">
      <c r="A2020" t="s">
        <v>151</v>
      </c>
    </row>
    <row r="2021" spans="1:1" x14ac:dyDescent="0.25">
      <c r="A2021" t="s">
        <v>152</v>
      </c>
    </row>
    <row r="2022" spans="1:1" x14ac:dyDescent="0.25">
      <c r="A2022" t="s">
        <v>456</v>
      </c>
    </row>
    <row r="2023" spans="1:1" x14ac:dyDescent="0.25">
      <c r="A2023" t="s">
        <v>1872</v>
      </c>
    </row>
    <row r="2024" spans="1:1" x14ac:dyDescent="0.25">
      <c r="A2024" t="s">
        <v>1873</v>
      </c>
    </row>
    <row r="2025" spans="1:1" x14ac:dyDescent="0.25">
      <c r="A2025" t="s">
        <v>1876</v>
      </c>
    </row>
    <row r="2026" spans="1:1" x14ac:dyDescent="0.25">
      <c r="A2026" t="s">
        <v>1877</v>
      </c>
    </row>
    <row r="2027" spans="1:1" x14ac:dyDescent="0.25">
      <c r="A2027" t="s">
        <v>1874</v>
      </c>
    </row>
    <row r="2028" spans="1:1" x14ac:dyDescent="0.25">
      <c r="A2028" t="s">
        <v>1875</v>
      </c>
    </row>
    <row r="2029" spans="1:1" x14ac:dyDescent="0.25">
      <c r="A2029" t="s">
        <v>1878</v>
      </c>
    </row>
    <row r="2030" spans="1:1" x14ac:dyDescent="0.25">
      <c r="A2030" t="s">
        <v>1879</v>
      </c>
    </row>
    <row r="2031" spans="1:1" x14ac:dyDescent="0.25">
      <c r="A2031" t="s">
        <v>1880</v>
      </c>
    </row>
    <row r="2032" spans="1:1" x14ac:dyDescent="0.25">
      <c r="A2032" t="s">
        <v>1881</v>
      </c>
    </row>
    <row r="2033" spans="1:1" x14ac:dyDescent="0.25">
      <c r="A2033" t="s">
        <v>1882</v>
      </c>
    </row>
    <row r="2034" spans="1:1" x14ac:dyDescent="0.25">
      <c r="A2034" t="s">
        <v>2092</v>
      </c>
    </row>
    <row r="2035" spans="1:1" x14ac:dyDescent="0.25">
      <c r="A2035" t="s">
        <v>2089</v>
      </c>
    </row>
    <row r="2036" spans="1:1" x14ac:dyDescent="0.25">
      <c r="A2036" t="s">
        <v>222</v>
      </c>
    </row>
    <row r="2037" spans="1:1" x14ac:dyDescent="0.25">
      <c r="A2037" t="s">
        <v>223</v>
      </c>
    </row>
    <row r="2038" spans="1:1" x14ac:dyDescent="0.25">
      <c r="A2038" t="s">
        <v>155</v>
      </c>
    </row>
    <row r="2039" spans="1:1" x14ac:dyDescent="0.25">
      <c r="A2039" t="s">
        <v>156</v>
      </c>
    </row>
    <row r="2040" spans="1:1" x14ac:dyDescent="0.25">
      <c r="A2040" t="s">
        <v>151</v>
      </c>
    </row>
    <row r="2041" spans="1:1" x14ac:dyDescent="0.25">
      <c r="A2041" t="s">
        <v>152</v>
      </c>
    </row>
    <row r="2042" spans="1:1" x14ac:dyDescent="0.25">
      <c r="A2042" t="s">
        <v>454</v>
      </c>
    </row>
    <row r="2043" spans="1:1" x14ac:dyDescent="0.25">
      <c r="A2043" t="s">
        <v>1366</v>
      </c>
    </row>
    <row r="2044" spans="1:1" x14ac:dyDescent="0.25">
      <c r="A2044" t="s">
        <v>1367</v>
      </c>
    </row>
    <row r="2045" spans="1:1" x14ac:dyDescent="0.25">
      <c r="A2045" t="s">
        <v>1368</v>
      </c>
    </row>
    <row r="2046" spans="1:1" x14ac:dyDescent="0.25">
      <c r="A2046" t="s">
        <v>1369</v>
      </c>
    </row>
    <row r="2047" spans="1:1" x14ac:dyDescent="0.25">
      <c r="A2047" t="s">
        <v>1874</v>
      </c>
    </row>
    <row r="2048" spans="1:1" x14ac:dyDescent="0.25">
      <c r="A2048" t="s">
        <v>1875</v>
      </c>
    </row>
    <row r="2049" spans="1:1" x14ac:dyDescent="0.25">
      <c r="A2049" t="s">
        <v>1370</v>
      </c>
    </row>
    <row r="2050" spans="1:1" x14ac:dyDescent="0.25">
      <c r="A2050" t="s">
        <v>1371</v>
      </c>
    </row>
    <row r="2051" spans="1:1" x14ac:dyDescent="0.25">
      <c r="A2051" t="s">
        <v>1913</v>
      </c>
    </row>
    <row r="2052" spans="1:1" x14ac:dyDescent="0.25">
      <c r="A2052" t="s">
        <v>1881</v>
      </c>
    </row>
    <row r="2053" spans="1:1" x14ac:dyDescent="0.25">
      <c r="A2053" t="s">
        <v>1373</v>
      </c>
    </row>
    <row r="2054" spans="1:1" x14ac:dyDescent="0.25">
      <c r="A2054" t="s">
        <v>2092</v>
      </c>
    </row>
    <row r="2055" spans="1:1" x14ac:dyDescent="0.25">
      <c r="A2055" t="s">
        <v>2089</v>
      </c>
    </row>
    <row r="2056" spans="1:1" x14ac:dyDescent="0.25">
      <c r="A2056" t="s">
        <v>215</v>
      </c>
    </row>
    <row r="2057" spans="1:1" x14ac:dyDescent="0.25">
      <c r="A2057" t="s">
        <v>213</v>
      </c>
    </row>
    <row r="2058" spans="1:1" x14ac:dyDescent="0.25">
      <c r="A2058" t="s">
        <v>216</v>
      </c>
    </row>
    <row r="2059" spans="1:1" x14ac:dyDescent="0.25">
      <c r="A2059" t="s">
        <v>156</v>
      </c>
    </row>
    <row r="2060" spans="1:1" x14ac:dyDescent="0.25">
      <c r="A2060" t="s">
        <v>151</v>
      </c>
    </row>
    <row r="2061" spans="1:1" x14ac:dyDescent="0.25">
      <c r="A2061" t="s">
        <v>152</v>
      </c>
    </row>
    <row r="2062" spans="1:1" x14ac:dyDescent="0.25">
      <c r="A2062" t="s">
        <v>478</v>
      </c>
    </row>
    <row r="2063" spans="1:1" x14ac:dyDescent="0.25">
      <c r="A2063" t="s">
        <v>1872</v>
      </c>
    </row>
    <row r="2064" spans="1:1" x14ac:dyDescent="0.25">
      <c r="A2064" t="s">
        <v>1873</v>
      </c>
    </row>
    <row r="2065" spans="1:1" x14ac:dyDescent="0.25">
      <c r="A2065" t="s">
        <v>1555</v>
      </c>
    </row>
    <row r="2066" spans="1:1" x14ac:dyDescent="0.25">
      <c r="A2066" t="s">
        <v>1556</v>
      </c>
    </row>
    <row r="2067" spans="1:1" x14ac:dyDescent="0.25">
      <c r="A2067" t="s">
        <v>1874</v>
      </c>
    </row>
    <row r="2068" spans="1:1" x14ac:dyDescent="0.25">
      <c r="A2068" t="s">
        <v>1875</v>
      </c>
    </row>
    <row r="2069" spans="1:1" x14ac:dyDescent="0.25">
      <c r="A2069" t="s">
        <v>1557</v>
      </c>
    </row>
    <row r="2070" spans="1:1" x14ac:dyDescent="0.25">
      <c r="A2070" t="s">
        <v>1879</v>
      </c>
    </row>
    <row r="2071" spans="1:1" x14ac:dyDescent="0.25">
      <c r="A2071" t="s">
        <v>1956</v>
      </c>
    </row>
    <row r="2072" spans="1:1" x14ac:dyDescent="0.25">
      <c r="A2072" t="s">
        <v>1881</v>
      </c>
    </row>
    <row r="2073" spans="1:1" x14ac:dyDescent="0.25">
      <c r="A2073" t="s">
        <v>1558</v>
      </c>
    </row>
    <row r="2074" spans="1:1" x14ac:dyDescent="0.25">
      <c r="A2074" t="s">
        <v>2119</v>
      </c>
    </row>
    <row r="2075" spans="1:1" x14ac:dyDescent="0.25">
      <c r="A2075" t="s">
        <v>2135</v>
      </c>
    </row>
    <row r="2076" spans="1:1" x14ac:dyDescent="0.25">
      <c r="A2076" t="s">
        <v>195</v>
      </c>
    </row>
    <row r="2077" spans="1:1" x14ac:dyDescent="0.25">
      <c r="A2077" t="s">
        <v>263</v>
      </c>
    </row>
    <row r="2078" spans="1:1" x14ac:dyDescent="0.25">
      <c r="A2078" t="s">
        <v>155</v>
      </c>
    </row>
    <row r="2079" spans="1:1" x14ac:dyDescent="0.25">
      <c r="A2079" t="s">
        <v>156</v>
      </c>
    </row>
    <row r="2080" spans="1:1" x14ac:dyDescent="0.25">
      <c r="A2080" t="s">
        <v>151</v>
      </c>
    </row>
    <row r="2081" spans="1:1" x14ac:dyDescent="0.25">
      <c r="A2081" t="s">
        <v>152</v>
      </c>
    </row>
    <row r="2082" spans="1:1" x14ac:dyDescent="0.25">
      <c r="A2082" t="s">
        <v>477</v>
      </c>
    </row>
    <row r="2083" spans="1:1" x14ac:dyDescent="0.25">
      <c r="A2083" t="s">
        <v>1872</v>
      </c>
    </row>
    <row r="2084" spans="1:1" x14ac:dyDescent="0.25">
      <c r="A2084" t="s">
        <v>1873</v>
      </c>
    </row>
    <row r="2085" spans="1:1" x14ac:dyDescent="0.25">
      <c r="A2085" t="s">
        <v>1559</v>
      </c>
    </row>
    <row r="2086" spans="1:1" x14ac:dyDescent="0.25">
      <c r="A2086" t="s">
        <v>1560</v>
      </c>
    </row>
    <row r="2087" spans="1:1" x14ac:dyDescent="0.25">
      <c r="A2087" t="s">
        <v>1874</v>
      </c>
    </row>
    <row r="2088" spans="1:1" x14ac:dyDescent="0.25">
      <c r="A2088" t="s">
        <v>1875</v>
      </c>
    </row>
    <row r="2089" spans="1:1" x14ac:dyDescent="0.25">
      <c r="A2089" t="s">
        <v>1561</v>
      </c>
    </row>
    <row r="2090" spans="1:1" x14ac:dyDescent="0.25">
      <c r="A2090" t="s">
        <v>1879</v>
      </c>
    </row>
    <row r="2091" spans="1:1" x14ac:dyDescent="0.25">
      <c r="A2091" t="s">
        <v>1957</v>
      </c>
    </row>
    <row r="2092" spans="1:1" x14ac:dyDescent="0.25">
      <c r="A2092" t="s">
        <v>1881</v>
      </c>
    </row>
    <row r="2093" spans="1:1" x14ac:dyDescent="0.25">
      <c r="A2093" t="s">
        <v>1562</v>
      </c>
    </row>
    <row r="2094" spans="1:1" x14ac:dyDescent="0.25">
      <c r="A2094" t="s">
        <v>2103</v>
      </c>
    </row>
    <row r="2095" spans="1:1" x14ac:dyDescent="0.25">
      <c r="A2095" t="s">
        <v>2115</v>
      </c>
    </row>
    <row r="2096" spans="1:1" x14ac:dyDescent="0.25">
      <c r="A2096" t="s">
        <v>195</v>
      </c>
    </row>
    <row r="2097" spans="1:1" x14ac:dyDescent="0.25">
      <c r="A2097" t="s">
        <v>262</v>
      </c>
    </row>
    <row r="2098" spans="1:1" x14ac:dyDescent="0.25">
      <c r="A2098" t="s">
        <v>155</v>
      </c>
    </row>
    <row r="2099" spans="1:1" x14ac:dyDescent="0.25">
      <c r="A2099" t="s">
        <v>156</v>
      </c>
    </row>
    <row r="2100" spans="1:1" x14ac:dyDescent="0.25">
      <c r="A2100" t="s">
        <v>151</v>
      </c>
    </row>
    <row r="2101" spans="1:1" x14ac:dyDescent="0.25">
      <c r="A2101" t="s">
        <v>152</v>
      </c>
    </row>
    <row r="2102" spans="1:1" x14ac:dyDescent="0.25">
      <c r="A2102" t="s">
        <v>476</v>
      </c>
    </row>
    <row r="2103" spans="1:1" x14ac:dyDescent="0.25">
      <c r="A2103" t="s">
        <v>1872</v>
      </c>
    </row>
    <row r="2104" spans="1:1" x14ac:dyDescent="0.25">
      <c r="A2104" t="s">
        <v>1873</v>
      </c>
    </row>
    <row r="2105" spans="1:1" x14ac:dyDescent="0.25">
      <c r="A2105" t="s">
        <v>1563</v>
      </c>
    </row>
    <row r="2106" spans="1:1" x14ac:dyDescent="0.25">
      <c r="A2106" t="s">
        <v>1564</v>
      </c>
    </row>
    <row r="2107" spans="1:1" x14ac:dyDescent="0.25">
      <c r="A2107" t="s">
        <v>1874</v>
      </c>
    </row>
    <row r="2108" spans="1:1" x14ac:dyDescent="0.25">
      <c r="A2108" t="s">
        <v>1875</v>
      </c>
    </row>
    <row r="2109" spans="1:1" x14ac:dyDescent="0.25">
      <c r="A2109" t="s">
        <v>1565</v>
      </c>
    </row>
    <row r="2110" spans="1:1" x14ac:dyDescent="0.25">
      <c r="A2110" t="s">
        <v>1879</v>
      </c>
    </row>
    <row r="2111" spans="1:1" x14ac:dyDescent="0.25">
      <c r="A2111" t="s">
        <v>1958</v>
      </c>
    </row>
    <row r="2112" spans="1:1" x14ac:dyDescent="0.25">
      <c r="A2112" t="s">
        <v>1881</v>
      </c>
    </row>
    <row r="2113" spans="1:1" x14ac:dyDescent="0.25">
      <c r="A2113" t="s">
        <v>1566</v>
      </c>
    </row>
    <row r="2114" spans="1:1" x14ac:dyDescent="0.25">
      <c r="A2114" t="s">
        <v>2099</v>
      </c>
    </row>
    <row r="2115" spans="1:1" x14ac:dyDescent="0.25">
      <c r="A2115" t="s">
        <v>2136</v>
      </c>
    </row>
    <row r="2116" spans="1:1" x14ac:dyDescent="0.25">
      <c r="A2116" t="s">
        <v>195</v>
      </c>
    </row>
    <row r="2117" spans="1:1" x14ac:dyDescent="0.25">
      <c r="A2117" t="s">
        <v>258</v>
      </c>
    </row>
    <row r="2118" spans="1:1" x14ac:dyDescent="0.25">
      <c r="A2118" t="s">
        <v>259</v>
      </c>
    </row>
    <row r="2119" spans="1:1" x14ac:dyDescent="0.25">
      <c r="A2119" t="s">
        <v>156</v>
      </c>
    </row>
    <row r="2120" spans="1:1" x14ac:dyDescent="0.25">
      <c r="A2120" t="s">
        <v>151</v>
      </c>
    </row>
    <row r="2121" spans="1:1" x14ac:dyDescent="0.25">
      <c r="A2121" t="s">
        <v>152</v>
      </c>
    </row>
    <row r="2122" spans="1:1" x14ac:dyDescent="0.25">
      <c r="A2122" t="s">
        <v>476</v>
      </c>
    </row>
    <row r="2123" spans="1:1" x14ac:dyDescent="0.25">
      <c r="A2123" t="s">
        <v>1872</v>
      </c>
    </row>
    <row r="2124" spans="1:1" x14ac:dyDescent="0.25">
      <c r="A2124" t="s">
        <v>1873</v>
      </c>
    </row>
    <row r="2125" spans="1:1" x14ac:dyDescent="0.25">
      <c r="A2125" t="s">
        <v>1563</v>
      </c>
    </row>
    <row r="2126" spans="1:1" x14ac:dyDescent="0.25">
      <c r="A2126" t="s">
        <v>1564</v>
      </c>
    </row>
    <row r="2127" spans="1:1" x14ac:dyDescent="0.25">
      <c r="A2127" t="s">
        <v>1874</v>
      </c>
    </row>
    <row r="2128" spans="1:1" x14ac:dyDescent="0.25">
      <c r="A2128" t="s">
        <v>1875</v>
      </c>
    </row>
    <row r="2129" spans="1:1" x14ac:dyDescent="0.25">
      <c r="A2129" t="s">
        <v>1565</v>
      </c>
    </row>
    <row r="2130" spans="1:1" x14ac:dyDescent="0.25">
      <c r="A2130" t="s">
        <v>1879</v>
      </c>
    </row>
    <row r="2131" spans="1:1" x14ac:dyDescent="0.25">
      <c r="A2131" t="s">
        <v>1958</v>
      </c>
    </row>
    <row r="2132" spans="1:1" x14ac:dyDescent="0.25">
      <c r="A2132" t="s">
        <v>1881</v>
      </c>
    </row>
    <row r="2133" spans="1:1" x14ac:dyDescent="0.25">
      <c r="A2133" t="s">
        <v>1566</v>
      </c>
    </row>
    <row r="2134" spans="1:1" x14ac:dyDescent="0.25">
      <c r="A2134" t="s">
        <v>2099</v>
      </c>
    </row>
    <row r="2135" spans="1:1" x14ac:dyDescent="0.25">
      <c r="A2135" t="s">
        <v>2136</v>
      </c>
    </row>
    <row r="2136" spans="1:1" x14ac:dyDescent="0.25">
      <c r="A2136" t="s">
        <v>260</v>
      </c>
    </row>
    <row r="2137" spans="1:1" x14ac:dyDescent="0.25">
      <c r="A2137" t="s">
        <v>258</v>
      </c>
    </row>
    <row r="2138" spans="1:1" x14ac:dyDescent="0.25">
      <c r="A2138" t="s">
        <v>261</v>
      </c>
    </row>
    <row r="2139" spans="1:1" x14ac:dyDescent="0.25">
      <c r="A2139" t="s">
        <v>156</v>
      </c>
    </row>
    <row r="2140" spans="1:1" x14ac:dyDescent="0.25">
      <c r="A2140" t="s">
        <v>151</v>
      </c>
    </row>
    <row r="2141" spans="1:1" x14ac:dyDescent="0.25">
      <c r="A2141" t="s">
        <v>152</v>
      </c>
    </row>
    <row r="2142" spans="1:1" x14ac:dyDescent="0.25">
      <c r="A2142" t="s">
        <v>483</v>
      </c>
    </row>
    <row r="2143" spans="1:1" x14ac:dyDescent="0.25">
      <c r="A2143" t="s">
        <v>1567</v>
      </c>
    </row>
    <row r="2144" spans="1:1" x14ac:dyDescent="0.25">
      <c r="A2144" t="s">
        <v>1568</v>
      </c>
    </row>
    <row r="2145" spans="1:1" x14ac:dyDescent="0.25">
      <c r="A2145" t="s">
        <v>1569</v>
      </c>
    </row>
    <row r="2146" spans="1:1" x14ac:dyDescent="0.25">
      <c r="A2146" t="s">
        <v>1570</v>
      </c>
    </row>
    <row r="2147" spans="1:1" x14ac:dyDescent="0.25">
      <c r="A2147" t="s">
        <v>1874</v>
      </c>
    </row>
    <row r="2148" spans="1:1" x14ac:dyDescent="0.25">
      <c r="A2148" t="s">
        <v>1875</v>
      </c>
    </row>
    <row r="2149" spans="1:1" x14ac:dyDescent="0.25">
      <c r="A2149" t="s">
        <v>1571</v>
      </c>
    </row>
    <row r="2150" spans="1:1" x14ac:dyDescent="0.25">
      <c r="A2150" t="s">
        <v>1572</v>
      </c>
    </row>
    <row r="2151" spans="1:1" x14ac:dyDescent="0.25">
      <c r="A2151" t="s">
        <v>1537</v>
      </c>
    </row>
    <row r="2152" spans="1:1" x14ac:dyDescent="0.25">
      <c r="A2152" t="s">
        <v>1881</v>
      </c>
    </row>
    <row r="2153" spans="1:1" x14ac:dyDescent="0.25">
      <c r="A2153" t="s">
        <v>1573</v>
      </c>
    </row>
    <row r="2154" spans="1:1" x14ac:dyDescent="0.25">
      <c r="A2154" t="s">
        <v>2092</v>
      </c>
    </row>
    <row r="2155" spans="1:1" x14ac:dyDescent="0.25">
      <c r="A2155" t="s">
        <v>2089</v>
      </c>
    </row>
    <row r="2156" spans="1:1" x14ac:dyDescent="0.25">
      <c r="A2156" t="s">
        <v>273</v>
      </c>
    </row>
    <row r="2157" spans="1:1" x14ac:dyDescent="0.25">
      <c r="A2157" t="s">
        <v>274</v>
      </c>
    </row>
    <row r="2158" spans="1:1" x14ac:dyDescent="0.25">
      <c r="A2158" t="s">
        <v>155</v>
      </c>
    </row>
    <row r="2159" spans="1:1" x14ac:dyDescent="0.25">
      <c r="A2159" t="s">
        <v>156</v>
      </c>
    </row>
    <row r="2160" spans="1:1" x14ac:dyDescent="0.25">
      <c r="A2160" t="s">
        <v>151</v>
      </c>
    </row>
    <row r="2161" spans="1:1" x14ac:dyDescent="0.25">
      <c r="A2161" t="s">
        <v>152</v>
      </c>
    </row>
    <row r="2162" spans="1:1" x14ac:dyDescent="0.25">
      <c r="A2162" t="s">
        <v>551</v>
      </c>
    </row>
    <row r="2163" spans="1:1" x14ac:dyDescent="0.25">
      <c r="A2163" t="s">
        <v>1872</v>
      </c>
    </row>
    <row r="2164" spans="1:1" x14ac:dyDescent="0.25">
      <c r="A2164" t="s">
        <v>1873</v>
      </c>
    </row>
    <row r="2165" spans="1:1" x14ac:dyDescent="0.25">
      <c r="A2165" t="s">
        <v>1876</v>
      </c>
    </row>
    <row r="2166" spans="1:1" x14ac:dyDescent="0.25">
      <c r="A2166" t="s">
        <v>1877</v>
      </c>
    </row>
    <row r="2167" spans="1:1" x14ac:dyDescent="0.25">
      <c r="A2167" t="s">
        <v>1874</v>
      </c>
    </row>
    <row r="2168" spans="1:1" x14ac:dyDescent="0.25">
      <c r="A2168" t="s">
        <v>1875</v>
      </c>
    </row>
    <row r="2169" spans="1:1" x14ac:dyDescent="0.25">
      <c r="A2169" t="s">
        <v>1878</v>
      </c>
    </row>
    <row r="2170" spans="1:1" x14ac:dyDescent="0.25">
      <c r="A2170" t="s">
        <v>1879</v>
      </c>
    </row>
    <row r="2171" spans="1:1" x14ac:dyDescent="0.25">
      <c r="A2171" t="s">
        <v>1880</v>
      </c>
    </row>
    <row r="2172" spans="1:1" x14ac:dyDescent="0.25">
      <c r="A2172" t="s">
        <v>1881</v>
      </c>
    </row>
    <row r="2173" spans="1:1" x14ac:dyDescent="0.25">
      <c r="A2173" t="s">
        <v>1882</v>
      </c>
    </row>
    <row r="2174" spans="1:1" x14ac:dyDescent="0.25">
      <c r="A2174" t="s">
        <v>2092</v>
      </c>
    </row>
    <row r="2175" spans="1:1" x14ac:dyDescent="0.25">
      <c r="A2175" t="s">
        <v>2089</v>
      </c>
    </row>
    <row r="2176" spans="1:1" x14ac:dyDescent="0.25">
      <c r="A2176" t="s">
        <v>343</v>
      </c>
    </row>
    <row r="2177" spans="1:1" x14ac:dyDescent="0.25">
      <c r="A2177" t="s">
        <v>390</v>
      </c>
    </row>
    <row r="2178" spans="1:1" x14ac:dyDescent="0.25">
      <c r="A2178" t="s">
        <v>155</v>
      </c>
    </row>
    <row r="2179" spans="1:1" x14ac:dyDescent="0.25">
      <c r="A2179" t="s">
        <v>156</v>
      </c>
    </row>
    <row r="2180" spans="1:1" x14ac:dyDescent="0.25">
      <c r="A2180" t="s">
        <v>151</v>
      </c>
    </row>
    <row r="2181" spans="1:1" x14ac:dyDescent="0.25">
      <c r="A2181" t="s">
        <v>152</v>
      </c>
    </row>
    <row r="2182" spans="1:1" x14ac:dyDescent="0.25">
      <c r="A2182" t="s">
        <v>494</v>
      </c>
    </row>
    <row r="2183" spans="1:1" x14ac:dyDescent="0.25">
      <c r="A2183" t="s">
        <v>1872</v>
      </c>
    </row>
    <row r="2184" spans="1:1" x14ac:dyDescent="0.25">
      <c r="A2184" t="s">
        <v>1873</v>
      </c>
    </row>
    <row r="2185" spans="1:1" x14ac:dyDescent="0.25">
      <c r="A2185" t="s">
        <v>1876</v>
      </c>
    </row>
    <row r="2186" spans="1:1" x14ac:dyDescent="0.25">
      <c r="A2186" t="s">
        <v>1877</v>
      </c>
    </row>
    <row r="2187" spans="1:1" x14ac:dyDescent="0.25">
      <c r="A2187" t="s">
        <v>1874</v>
      </c>
    </row>
    <row r="2188" spans="1:1" x14ac:dyDescent="0.25">
      <c r="A2188" t="s">
        <v>1875</v>
      </c>
    </row>
    <row r="2189" spans="1:1" x14ac:dyDescent="0.25">
      <c r="A2189" t="s">
        <v>1878</v>
      </c>
    </row>
    <row r="2190" spans="1:1" x14ac:dyDescent="0.25">
      <c r="A2190" t="s">
        <v>1879</v>
      </c>
    </row>
    <row r="2191" spans="1:1" x14ac:dyDescent="0.25">
      <c r="A2191" t="s">
        <v>1880</v>
      </c>
    </row>
    <row r="2192" spans="1:1" x14ac:dyDescent="0.25">
      <c r="A2192" t="s">
        <v>1881</v>
      </c>
    </row>
    <row r="2193" spans="1:1" x14ac:dyDescent="0.25">
      <c r="A2193" t="s">
        <v>1882</v>
      </c>
    </row>
    <row r="2194" spans="1:1" x14ac:dyDescent="0.25">
      <c r="A2194" t="s">
        <v>2092</v>
      </c>
    </row>
    <row r="2195" spans="1:1" x14ac:dyDescent="0.25">
      <c r="A2195" t="s">
        <v>2089</v>
      </c>
    </row>
    <row r="2196" spans="1:1" x14ac:dyDescent="0.25">
      <c r="A2196" t="s">
        <v>195</v>
      </c>
    </row>
    <row r="2197" spans="1:1" x14ac:dyDescent="0.25">
      <c r="A2197" t="s">
        <v>286</v>
      </c>
    </row>
    <row r="2198" spans="1:1" x14ac:dyDescent="0.25">
      <c r="A2198" t="s">
        <v>155</v>
      </c>
    </row>
    <row r="2199" spans="1:1" x14ac:dyDescent="0.25">
      <c r="A2199" t="s">
        <v>156</v>
      </c>
    </row>
    <row r="2200" spans="1:1" x14ac:dyDescent="0.25">
      <c r="A2200" t="s">
        <v>151</v>
      </c>
    </row>
    <row r="2201" spans="1:1" x14ac:dyDescent="0.25">
      <c r="A2201" t="s">
        <v>152</v>
      </c>
    </row>
    <row r="2202" spans="1:1" x14ac:dyDescent="0.25">
      <c r="A2202" t="s">
        <v>552</v>
      </c>
    </row>
    <row r="2203" spans="1:1" x14ac:dyDescent="0.25">
      <c r="A2203" t="s">
        <v>1872</v>
      </c>
    </row>
    <row r="2204" spans="1:1" x14ac:dyDescent="0.25">
      <c r="A2204" t="s">
        <v>1873</v>
      </c>
    </row>
    <row r="2205" spans="1:1" x14ac:dyDescent="0.25">
      <c r="A2205" t="s">
        <v>1574</v>
      </c>
    </row>
    <row r="2206" spans="1:1" x14ac:dyDescent="0.25">
      <c r="A2206" t="s">
        <v>1575</v>
      </c>
    </row>
    <row r="2207" spans="1:1" x14ac:dyDescent="0.25">
      <c r="A2207" t="s">
        <v>1874</v>
      </c>
    </row>
    <row r="2208" spans="1:1" x14ac:dyDescent="0.25">
      <c r="A2208" t="s">
        <v>1875</v>
      </c>
    </row>
    <row r="2209" spans="1:1" x14ac:dyDescent="0.25">
      <c r="A2209" t="s">
        <v>1576</v>
      </c>
    </row>
    <row r="2210" spans="1:1" x14ac:dyDescent="0.25">
      <c r="A2210" t="s">
        <v>1879</v>
      </c>
    </row>
    <row r="2211" spans="1:1" x14ac:dyDescent="0.25">
      <c r="A2211" t="s">
        <v>1959</v>
      </c>
    </row>
    <row r="2212" spans="1:1" x14ac:dyDescent="0.25">
      <c r="A2212" t="s">
        <v>1881</v>
      </c>
    </row>
    <row r="2213" spans="1:1" x14ac:dyDescent="0.25">
      <c r="A2213" t="s">
        <v>1577</v>
      </c>
    </row>
    <row r="2214" spans="1:1" x14ac:dyDescent="0.25">
      <c r="A2214" t="s">
        <v>2102</v>
      </c>
    </row>
    <row r="2215" spans="1:1" x14ac:dyDescent="0.25">
      <c r="A2215" t="s">
        <v>2137</v>
      </c>
    </row>
    <row r="2216" spans="1:1" x14ac:dyDescent="0.25">
      <c r="A2216" t="s">
        <v>195</v>
      </c>
    </row>
    <row r="2217" spans="1:1" x14ac:dyDescent="0.25">
      <c r="A2217" t="s">
        <v>391</v>
      </c>
    </row>
    <row r="2218" spans="1:1" x14ac:dyDescent="0.25">
      <c r="A2218" t="s">
        <v>155</v>
      </c>
    </row>
    <row r="2219" spans="1:1" x14ac:dyDescent="0.25">
      <c r="A2219" t="s">
        <v>156</v>
      </c>
    </row>
    <row r="2220" spans="1:1" x14ac:dyDescent="0.25">
      <c r="A2220" t="s">
        <v>151</v>
      </c>
    </row>
    <row r="2221" spans="1:1" x14ac:dyDescent="0.25">
      <c r="A2221" t="s">
        <v>152</v>
      </c>
    </row>
    <row r="2222" spans="1:1" x14ac:dyDescent="0.25">
      <c r="A2222" t="s">
        <v>514</v>
      </c>
    </row>
    <row r="2223" spans="1:1" x14ac:dyDescent="0.25">
      <c r="A2223" t="s">
        <v>1872</v>
      </c>
    </row>
    <row r="2224" spans="1:1" x14ac:dyDescent="0.25">
      <c r="A2224" t="s">
        <v>1873</v>
      </c>
    </row>
    <row r="2225" spans="1:1" x14ac:dyDescent="0.25">
      <c r="A2225" t="s">
        <v>1578</v>
      </c>
    </row>
    <row r="2226" spans="1:1" x14ac:dyDescent="0.25">
      <c r="A2226" t="s">
        <v>1579</v>
      </c>
    </row>
    <row r="2227" spans="1:1" x14ac:dyDescent="0.25">
      <c r="A2227" t="s">
        <v>1580</v>
      </c>
    </row>
    <row r="2228" spans="1:1" x14ac:dyDescent="0.25">
      <c r="A2228" t="s">
        <v>1335</v>
      </c>
    </row>
    <row r="2229" spans="1:1" x14ac:dyDescent="0.25">
      <c r="A2229" t="s">
        <v>1446</v>
      </c>
    </row>
    <row r="2230" spans="1:1" x14ac:dyDescent="0.25">
      <c r="A2230" t="s">
        <v>1879</v>
      </c>
    </row>
    <row r="2231" spans="1:1" x14ac:dyDescent="0.25">
      <c r="A2231" t="s">
        <v>1960</v>
      </c>
    </row>
    <row r="2232" spans="1:1" x14ac:dyDescent="0.25">
      <c r="A2232" t="s">
        <v>1961</v>
      </c>
    </row>
    <row r="2233" spans="1:1" x14ac:dyDescent="0.25">
      <c r="A2233" t="s">
        <v>1449</v>
      </c>
    </row>
    <row r="2234" spans="1:1" x14ac:dyDescent="0.25">
      <c r="A2234" t="s">
        <v>2102</v>
      </c>
    </row>
    <row r="2235" spans="1:1" x14ac:dyDescent="0.25">
      <c r="A2235" t="s">
        <v>2138</v>
      </c>
    </row>
    <row r="2236" spans="1:1" x14ac:dyDescent="0.25">
      <c r="A2236" t="s">
        <v>322</v>
      </c>
    </row>
    <row r="2237" spans="1:1" x14ac:dyDescent="0.25">
      <c r="A2237" t="s">
        <v>323</v>
      </c>
    </row>
    <row r="2238" spans="1:1" x14ac:dyDescent="0.25">
      <c r="A2238" t="s">
        <v>155</v>
      </c>
    </row>
    <row r="2239" spans="1:1" x14ac:dyDescent="0.25">
      <c r="A2239" t="s">
        <v>156</v>
      </c>
    </row>
    <row r="2240" spans="1:1" x14ac:dyDescent="0.25">
      <c r="A2240" t="s">
        <v>151</v>
      </c>
    </row>
    <row r="2241" spans="1:1" x14ac:dyDescent="0.25">
      <c r="A2241" t="s">
        <v>152</v>
      </c>
    </row>
    <row r="2242" spans="1:1" x14ac:dyDescent="0.25">
      <c r="A2242" t="s">
        <v>550</v>
      </c>
    </row>
    <row r="2243" spans="1:1" x14ac:dyDescent="0.25">
      <c r="A2243" t="s">
        <v>1872</v>
      </c>
    </row>
    <row r="2244" spans="1:1" x14ac:dyDescent="0.25">
      <c r="A2244" t="s">
        <v>1873</v>
      </c>
    </row>
    <row r="2245" spans="1:1" x14ac:dyDescent="0.25">
      <c r="A2245" t="s">
        <v>1581</v>
      </c>
    </row>
    <row r="2246" spans="1:1" x14ac:dyDescent="0.25">
      <c r="A2246" t="s">
        <v>1582</v>
      </c>
    </row>
    <row r="2247" spans="1:1" x14ac:dyDescent="0.25">
      <c r="A2247" t="s">
        <v>1874</v>
      </c>
    </row>
    <row r="2248" spans="1:1" x14ac:dyDescent="0.25">
      <c r="A2248" t="s">
        <v>1875</v>
      </c>
    </row>
    <row r="2249" spans="1:1" x14ac:dyDescent="0.25">
      <c r="A2249" t="s">
        <v>1265</v>
      </c>
    </row>
    <row r="2250" spans="1:1" x14ac:dyDescent="0.25">
      <c r="A2250" t="s">
        <v>1879</v>
      </c>
    </row>
    <row r="2251" spans="1:1" x14ac:dyDescent="0.25">
      <c r="A2251" t="s">
        <v>1962</v>
      </c>
    </row>
    <row r="2252" spans="1:1" x14ac:dyDescent="0.25">
      <c r="A2252" t="s">
        <v>1881</v>
      </c>
    </row>
    <row r="2253" spans="1:1" x14ac:dyDescent="0.25">
      <c r="A2253" t="s">
        <v>1267</v>
      </c>
    </row>
    <row r="2254" spans="1:1" x14ac:dyDescent="0.25">
      <c r="A2254" t="s">
        <v>2090</v>
      </c>
    </row>
    <row r="2255" spans="1:1" x14ac:dyDescent="0.25">
      <c r="A2255" t="s">
        <v>2109</v>
      </c>
    </row>
    <row r="2256" spans="1:1" x14ac:dyDescent="0.25">
      <c r="A2256" t="s">
        <v>195</v>
      </c>
    </row>
    <row r="2257" spans="1:1" x14ac:dyDescent="0.25">
      <c r="A2257" t="s">
        <v>389</v>
      </c>
    </row>
    <row r="2258" spans="1:1" x14ac:dyDescent="0.25">
      <c r="A2258" t="s">
        <v>155</v>
      </c>
    </row>
    <row r="2259" spans="1:1" x14ac:dyDescent="0.25">
      <c r="A2259" t="s">
        <v>156</v>
      </c>
    </row>
    <row r="2260" spans="1:1" x14ac:dyDescent="0.25">
      <c r="A2260" t="s">
        <v>151</v>
      </c>
    </row>
    <row r="2261" spans="1:1" x14ac:dyDescent="0.25">
      <c r="A2261" t="s">
        <v>152</v>
      </c>
    </row>
    <row r="2262" spans="1:1" x14ac:dyDescent="0.25">
      <c r="A2262" t="s">
        <v>513</v>
      </c>
    </row>
    <row r="2263" spans="1:1" x14ac:dyDescent="0.25">
      <c r="A2263" t="s">
        <v>1872</v>
      </c>
    </row>
    <row r="2264" spans="1:1" x14ac:dyDescent="0.25">
      <c r="A2264" t="s">
        <v>1873</v>
      </c>
    </row>
    <row r="2265" spans="1:1" x14ac:dyDescent="0.25">
      <c r="A2265" t="s">
        <v>1583</v>
      </c>
    </row>
    <row r="2266" spans="1:1" x14ac:dyDescent="0.25">
      <c r="A2266" t="s">
        <v>1584</v>
      </c>
    </row>
    <row r="2267" spans="1:1" x14ac:dyDescent="0.25">
      <c r="A2267" t="s">
        <v>1585</v>
      </c>
    </row>
    <row r="2268" spans="1:1" x14ac:dyDescent="0.25">
      <c r="A2268" t="s">
        <v>1586</v>
      </c>
    </row>
    <row r="2269" spans="1:1" x14ac:dyDescent="0.25">
      <c r="A2269" t="s">
        <v>1587</v>
      </c>
    </row>
    <row r="2270" spans="1:1" x14ac:dyDescent="0.25">
      <c r="A2270" t="s">
        <v>1879</v>
      </c>
    </row>
    <row r="2271" spans="1:1" x14ac:dyDescent="0.25">
      <c r="A2271" t="s">
        <v>1963</v>
      </c>
    </row>
    <row r="2272" spans="1:1" x14ac:dyDescent="0.25">
      <c r="A2272" t="s">
        <v>1964</v>
      </c>
    </row>
    <row r="2273" spans="1:1" x14ac:dyDescent="0.25">
      <c r="A2273" t="s">
        <v>1588</v>
      </c>
    </row>
    <row r="2274" spans="1:1" x14ac:dyDescent="0.25">
      <c r="A2274" t="s">
        <v>2092</v>
      </c>
    </row>
    <row r="2275" spans="1:1" x14ac:dyDescent="0.25">
      <c r="A2275" t="s">
        <v>2089</v>
      </c>
    </row>
    <row r="2276" spans="1:1" x14ac:dyDescent="0.25">
      <c r="A2276" t="s">
        <v>195</v>
      </c>
    </row>
    <row r="2277" spans="1:1" x14ac:dyDescent="0.25">
      <c r="A2277" t="s">
        <v>318</v>
      </c>
    </row>
    <row r="2278" spans="1:1" x14ac:dyDescent="0.25">
      <c r="A2278" t="s">
        <v>319</v>
      </c>
    </row>
    <row r="2279" spans="1:1" x14ac:dyDescent="0.25">
      <c r="A2279" t="s">
        <v>156</v>
      </c>
    </row>
    <row r="2280" spans="1:1" x14ac:dyDescent="0.25">
      <c r="A2280" t="s">
        <v>151</v>
      </c>
    </row>
    <row r="2281" spans="1:1" x14ac:dyDescent="0.25">
      <c r="A2281" t="s">
        <v>152</v>
      </c>
    </row>
    <row r="2282" spans="1:1" x14ac:dyDescent="0.25">
      <c r="A2282" t="s">
        <v>513</v>
      </c>
    </row>
    <row r="2283" spans="1:1" x14ac:dyDescent="0.25">
      <c r="A2283" t="s">
        <v>1872</v>
      </c>
    </row>
    <row r="2284" spans="1:1" x14ac:dyDescent="0.25">
      <c r="A2284" t="s">
        <v>1873</v>
      </c>
    </row>
    <row r="2285" spans="1:1" x14ac:dyDescent="0.25">
      <c r="A2285" t="s">
        <v>1583</v>
      </c>
    </row>
    <row r="2286" spans="1:1" x14ac:dyDescent="0.25">
      <c r="A2286" t="s">
        <v>1584</v>
      </c>
    </row>
    <row r="2287" spans="1:1" x14ac:dyDescent="0.25">
      <c r="A2287" t="s">
        <v>1585</v>
      </c>
    </row>
    <row r="2288" spans="1:1" x14ac:dyDescent="0.25">
      <c r="A2288" t="s">
        <v>1586</v>
      </c>
    </row>
    <row r="2289" spans="1:1" x14ac:dyDescent="0.25">
      <c r="A2289" t="s">
        <v>1587</v>
      </c>
    </row>
    <row r="2290" spans="1:1" x14ac:dyDescent="0.25">
      <c r="A2290" t="s">
        <v>1879</v>
      </c>
    </row>
    <row r="2291" spans="1:1" x14ac:dyDescent="0.25">
      <c r="A2291" t="s">
        <v>1963</v>
      </c>
    </row>
    <row r="2292" spans="1:1" x14ac:dyDescent="0.25">
      <c r="A2292" t="s">
        <v>1964</v>
      </c>
    </row>
    <row r="2293" spans="1:1" x14ac:dyDescent="0.25">
      <c r="A2293" t="s">
        <v>1588</v>
      </c>
    </row>
    <row r="2294" spans="1:1" x14ac:dyDescent="0.25">
      <c r="A2294" t="s">
        <v>2092</v>
      </c>
    </row>
    <row r="2295" spans="1:1" x14ac:dyDescent="0.25">
      <c r="A2295" t="s">
        <v>2089</v>
      </c>
    </row>
    <row r="2296" spans="1:1" x14ac:dyDescent="0.25">
      <c r="A2296" t="s">
        <v>320</v>
      </c>
    </row>
    <row r="2297" spans="1:1" x14ac:dyDescent="0.25">
      <c r="A2297" t="s">
        <v>318</v>
      </c>
    </row>
    <row r="2298" spans="1:1" x14ac:dyDescent="0.25">
      <c r="A2298" t="s">
        <v>321</v>
      </c>
    </row>
    <row r="2299" spans="1:1" x14ac:dyDescent="0.25">
      <c r="A2299" t="s">
        <v>156</v>
      </c>
    </row>
    <row r="2300" spans="1:1" x14ac:dyDescent="0.25">
      <c r="A2300" t="s">
        <v>151</v>
      </c>
    </row>
    <row r="2301" spans="1:1" x14ac:dyDescent="0.25">
      <c r="A2301" t="s">
        <v>152</v>
      </c>
    </row>
    <row r="2302" spans="1:1" x14ac:dyDescent="0.25">
      <c r="A2302" t="s">
        <v>549</v>
      </c>
    </row>
    <row r="2303" spans="1:1" x14ac:dyDescent="0.25">
      <c r="A2303" t="s">
        <v>1872</v>
      </c>
    </row>
    <row r="2304" spans="1:1" x14ac:dyDescent="0.25">
      <c r="A2304" t="s">
        <v>1873</v>
      </c>
    </row>
    <row r="2305" spans="1:1" x14ac:dyDescent="0.25">
      <c r="A2305" t="s">
        <v>1589</v>
      </c>
    </row>
    <row r="2306" spans="1:1" x14ac:dyDescent="0.25">
      <c r="A2306" t="s">
        <v>1590</v>
      </c>
    </row>
    <row r="2307" spans="1:1" x14ac:dyDescent="0.25">
      <c r="A2307" t="s">
        <v>1874</v>
      </c>
    </row>
    <row r="2308" spans="1:1" x14ac:dyDescent="0.25">
      <c r="A2308" t="s">
        <v>1875</v>
      </c>
    </row>
    <row r="2309" spans="1:1" x14ac:dyDescent="0.25">
      <c r="A2309" t="s">
        <v>1591</v>
      </c>
    </row>
    <row r="2310" spans="1:1" x14ac:dyDescent="0.25">
      <c r="A2310" t="s">
        <v>1879</v>
      </c>
    </row>
    <row r="2311" spans="1:1" x14ac:dyDescent="0.25">
      <c r="A2311" t="s">
        <v>1965</v>
      </c>
    </row>
    <row r="2312" spans="1:1" x14ac:dyDescent="0.25">
      <c r="A2312" t="s">
        <v>1881</v>
      </c>
    </row>
    <row r="2313" spans="1:1" x14ac:dyDescent="0.25">
      <c r="A2313" t="s">
        <v>1592</v>
      </c>
    </row>
    <row r="2314" spans="1:1" x14ac:dyDescent="0.25">
      <c r="A2314" t="s">
        <v>2092</v>
      </c>
    </row>
    <row r="2315" spans="1:1" x14ac:dyDescent="0.25">
      <c r="A2315" t="s">
        <v>2089</v>
      </c>
    </row>
    <row r="2316" spans="1:1" x14ac:dyDescent="0.25">
      <c r="A2316" t="s">
        <v>195</v>
      </c>
    </row>
    <row r="2317" spans="1:1" x14ac:dyDescent="0.25">
      <c r="A2317" t="s">
        <v>388</v>
      </c>
    </row>
    <row r="2318" spans="1:1" x14ac:dyDescent="0.25">
      <c r="A2318" t="s">
        <v>155</v>
      </c>
    </row>
    <row r="2319" spans="1:1" x14ac:dyDescent="0.25">
      <c r="A2319" t="s">
        <v>156</v>
      </c>
    </row>
    <row r="2320" spans="1:1" x14ac:dyDescent="0.25">
      <c r="A2320" t="s">
        <v>151</v>
      </c>
    </row>
    <row r="2321" spans="1:1" x14ac:dyDescent="0.25">
      <c r="A2321" t="s">
        <v>152</v>
      </c>
    </row>
    <row r="2322" spans="1:1" x14ac:dyDescent="0.25">
      <c r="A2322" t="s">
        <v>461</v>
      </c>
    </row>
    <row r="2323" spans="1:1" x14ac:dyDescent="0.25">
      <c r="A2323" t="s">
        <v>1872</v>
      </c>
    </row>
    <row r="2324" spans="1:1" x14ac:dyDescent="0.25">
      <c r="A2324" t="s">
        <v>1873</v>
      </c>
    </row>
    <row r="2325" spans="1:1" x14ac:dyDescent="0.25">
      <c r="A2325" t="s">
        <v>1593</v>
      </c>
    </row>
    <row r="2326" spans="1:1" x14ac:dyDescent="0.25">
      <c r="A2326" t="s">
        <v>1594</v>
      </c>
    </row>
    <row r="2327" spans="1:1" x14ac:dyDescent="0.25">
      <c r="A2327" t="s">
        <v>1595</v>
      </c>
    </row>
    <row r="2328" spans="1:1" x14ac:dyDescent="0.25">
      <c r="A2328" t="s">
        <v>1596</v>
      </c>
    </row>
    <row r="2329" spans="1:1" x14ac:dyDescent="0.25">
      <c r="A2329" t="s">
        <v>1597</v>
      </c>
    </row>
    <row r="2330" spans="1:1" x14ac:dyDescent="0.25">
      <c r="A2330" t="s">
        <v>1598</v>
      </c>
    </row>
    <row r="2331" spans="1:1" x14ac:dyDescent="0.25">
      <c r="A2331" t="s">
        <v>1628</v>
      </c>
    </row>
    <row r="2332" spans="1:1" x14ac:dyDescent="0.25">
      <c r="A2332" t="s">
        <v>1966</v>
      </c>
    </row>
    <row r="2333" spans="1:1" x14ac:dyDescent="0.25">
      <c r="A2333" t="s">
        <v>1599</v>
      </c>
    </row>
    <row r="2334" spans="1:1" x14ac:dyDescent="0.25">
      <c r="A2334" t="s">
        <v>2096</v>
      </c>
    </row>
    <row r="2335" spans="1:1" x14ac:dyDescent="0.25">
      <c r="A2335" t="s">
        <v>2126</v>
      </c>
    </row>
    <row r="2336" spans="1:1" x14ac:dyDescent="0.25">
      <c r="A2336" t="s">
        <v>231</v>
      </c>
    </row>
    <row r="2337" spans="1:1" x14ac:dyDescent="0.25">
      <c r="A2337" t="s">
        <v>232</v>
      </c>
    </row>
    <row r="2338" spans="1:1" x14ac:dyDescent="0.25">
      <c r="A2338" t="s">
        <v>155</v>
      </c>
    </row>
    <row r="2339" spans="1:1" x14ac:dyDescent="0.25">
      <c r="A2339" t="s">
        <v>156</v>
      </c>
    </row>
    <row r="2340" spans="1:1" x14ac:dyDescent="0.25">
      <c r="A2340" t="s">
        <v>151</v>
      </c>
    </row>
    <row r="2341" spans="1:1" x14ac:dyDescent="0.25">
      <c r="A2341" t="s">
        <v>152</v>
      </c>
    </row>
    <row r="2342" spans="1:1" x14ac:dyDescent="0.25">
      <c r="A2342" t="s">
        <v>523</v>
      </c>
    </row>
    <row r="2343" spans="1:1" x14ac:dyDescent="0.25">
      <c r="A2343" t="s">
        <v>1872</v>
      </c>
    </row>
    <row r="2344" spans="1:1" x14ac:dyDescent="0.25">
      <c r="A2344" t="s">
        <v>1873</v>
      </c>
    </row>
    <row r="2345" spans="1:1" x14ac:dyDescent="0.25">
      <c r="A2345" t="s">
        <v>1600</v>
      </c>
    </row>
    <row r="2346" spans="1:1" x14ac:dyDescent="0.25">
      <c r="A2346" t="s">
        <v>1601</v>
      </c>
    </row>
    <row r="2347" spans="1:1" x14ac:dyDescent="0.25">
      <c r="A2347" t="s">
        <v>1602</v>
      </c>
    </row>
    <row r="2348" spans="1:1" x14ac:dyDescent="0.25">
      <c r="A2348" t="s">
        <v>1603</v>
      </c>
    </row>
    <row r="2349" spans="1:1" x14ac:dyDescent="0.25">
      <c r="A2349" t="s">
        <v>1604</v>
      </c>
    </row>
    <row r="2350" spans="1:1" x14ac:dyDescent="0.25">
      <c r="A2350" t="s">
        <v>1879</v>
      </c>
    </row>
    <row r="2351" spans="1:1" x14ac:dyDescent="0.25">
      <c r="A2351" t="s">
        <v>1967</v>
      </c>
    </row>
    <row r="2352" spans="1:1" x14ac:dyDescent="0.25">
      <c r="A2352" t="s">
        <v>1968</v>
      </c>
    </row>
    <row r="2353" spans="1:1" x14ac:dyDescent="0.25">
      <c r="A2353" t="s">
        <v>1605</v>
      </c>
    </row>
    <row r="2354" spans="1:1" x14ac:dyDescent="0.25">
      <c r="A2354" t="s">
        <v>2092</v>
      </c>
    </row>
    <row r="2355" spans="1:1" x14ac:dyDescent="0.25">
      <c r="A2355" t="s">
        <v>2089</v>
      </c>
    </row>
    <row r="2356" spans="1:1" x14ac:dyDescent="0.25">
      <c r="A2356" t="s">
        <v>343</v>
      </c>
    </row>
    <row r="2357" spans="1:1" x14ac:dyDescent="0.25">
      <c r="A2357" t="s">
        <v>344</v>
      </c>
    </row>
    <row r="2358" spans="1:1" x14ac:dyDescent="0.25">
      <c r="A2358" t="s">
        <v>155</v>
      </c>
    </row>
    <row r="2359" spans="1:1" x14ac:dyDescent="0.25">
      <c r="A2359" t="s">
        <v>156</v>
      </c>
    </row>
    <row r="2360" spans="1:1" x14ac:dyDescent="0.25">
      <c r="A2360" t="s">
        <v>151</v>
      </c>
    </row>
    <row r="2361" spans="1:1" x14ac:dyDescent="0.25">
      <c r="A2361" t="s">
        <v>152</v>
      </c>
    </row>
    <row r="2362" spans="1:1" x14ac:dyDescent="0.25">
      <c r="A2362" t="s">
        <v>473</v>
      </c>
    </row>
    <row r="2363" spans="1:1" x14ac:dyDescent="0.25">
      <c r="A2363" t="s">
        <v>1606</v>
      </c>
    </row>
    <row r="2364" spans="1:1" x14ac:dyDescent="0.25">
      <c r="A2364" t="s">
        <v>1607</v>
      </c>
    </row>
    <row r="2365" spans="1:1" x14ac:dyDescent="0.25">
      <c r="A2365" t="s">
        <v>1876</v>
      </c>
    </row>
    <row r="2366" spans="1:1" x14ac:dyDescent="0.25">
      <c r="A2366" t="s">
        <v>1877</v>
      </c>
    </row>
    <row r="2367" spans="1:1" x14ac:dyDescent="0.25">
      <c r="A2367" t="s">
        <v>1874</v>
      </c>
    </row>
    <row r="2368" spans="1:1" x14ac:dyDescent="0.25">
      <c r="A2368" t="s">
        <v>1875</v>
      </c>
    </row>
    <row r="2369" spans="1:1" x14ac:dyDescent="0.25">
      <c r="A2369" t="s">
        <v>1608</v>
      </c>
    </row>
    <row r="2370" spans="1:1" x14ac:dyDescent="0.25">
      <c r="A2370" t="s">
        <v>1609</v>
      </c>
    </row>
    <row r="2371" spans="1:1" x14ac:dyDescent="0.25">
      <c r="A2371" t="s">
        <v>1969</v>
      </c>
    </row>
    <row r="2372" spans="1:1" x14ac:dyDescent="0.25">
      <c r="A2372" t="s">
        <v>1970</v>
      </c>
    </row>
    <row r="2373" spans="1:1" x14ac:dyDescent="0.25">
      <c r="A2373" t="s">
        <v>1610</v>
      </c>
    </row>
    <row r="2374" spans="1:1" x14ac:dyDescent="0.25">
      <c r="A2374" t="s">
        <v>2101</v>
      </c>
    </row>
    <row r="2375" spans="1:1" x14ac:dyDescent="0.25">
      <c r="A2375" t="s">
        <v>2115</v>
      </c>
    </row>
    <row r="2376" spans="1:1" x14ac:dyDescent="0.25">
      <c r="A2376" t="s">
        <v>253</v>
      </c>
    </row>
    <row r="2377" spans="1:1" x14ac:dyDescent="0.25">
      <c r="A2377" t="s">
        <v>254</v>
      </c>
    </row>
    <row r="2378" spans="1:1" x14ac:dyDescent="0.25">
      <c r="A2378" t="s">
        <v>155</v>
      </c>
    </row>
    <row r="2379" spans="1:1" x14ac:dyDescent="0.25">
      <c r="A2379" t="s">
        <v>156</v>
      </c>
    </row>
    <row r="2380" spans="1:1" x14ac:dyDescent="0.25">
      <c r="A2380" t="s">
        <v>151</v>
      </c>
    </row>
    <row r="2381" spans="1:1" x14ac:dyDescent="0.25">
      <c r="A2381" t="s">
        <v>152</v>
      </c>
    </row>
    <row r="2382" spans="1:1" x14ac:dyDescent="0.25">
      <c r="A2382" t="s">
        <v>450</v>
      </c>
    </row>
    <row r="2383" spans="1:1" x14ac:dyDescent="0.25">
      <c r="A2383" t="s">
        <v>1872</v>
      </c>
    </row>
    <row r="2384" spans="1:1" x14ac:dyDescent="0.25">
      <c r="A2384" t="s">
        <v>1873</v>
      </c>
    </row>
    <row r="2385" spans="1:1" x14ac:dyDescent="0.25">
      <c r="A2385" t="s">
        <v>1876</v>
      </c>
    </row>
    <row r="2386" spans="1:1" x14ac:dyDescent="0.25">
      <c r="A2386" t="s">
        <v>1877</v>
      </c>
    </row>
    <row r="2387" spans="1:1" x14ac:dyDescent="0.25">
      <c r="A2387" t="s">
        <v>1874</v>
      </c>
    </row>
    <row r="2388" spans="1:1" x14ac:dyDescent="0.25">
      <c r="A2388" t="s">
        <v>1875</v>
      </c>
    </row>
    <row r="2389" spans="1:1" x14ac:dyDescent="0.25">
      <c r="A2389" t="s">
        <v>1878</v>
      </c>
    </row>
    <row r="2390" spans="1:1" x14ac:dyDescent="0.25">
      <c r="A2390" t="s">
        <v>1879</v>
      </c>
    </row>
    <row r="2391" spans="1:1" x14ac:dyDescent="0.25">
      <c r="A2391" t="s">
        <v>1880</v>
      </c>
    </row>
    <row r="2392" spans="1:1" x14ac:dyDescent="0.25">
      <c r="A2392" t="s">
        <v>1881</v>
      </c>
    </row>
    <row r="2393" spans="1:1" x14ac:dyDescent="0.25">
      <c r="A2393" t="s">
        <v>1882</v>
      </c>
    </row>
    <row r="2394" spans="1:1" x14ac:dyDescent="0.25">
      <c r="A2394" t="s">
        <v>2092</v>
      </c>
    </row>
    <row r="2395" spans="1:1" x14ac:dyDescent="0.25">
      <c r="A2395" t="s">
        <v>2089</v>
      </c>
    </row>
    <row r="2396" spans="1:1" x14ac:dyDescent="0.25">
      <c r="A2396" t="s">
        <v>195</v>
      </c>
    </row>
    <row r="2397" spans="1:1" x14ac:dyDescent="0.25">
      <c r="A2397" t="s">
        <v>196</v>
      </c>
    </row>
    <row r="2398" spans="1:1" x14ac:dyDescent="0.25">
      <c r="A2398" t="s">
        <v>155</v>
      </c>
    </row>
    <row r="2399" spans="1:1" x14ac:dyDescent="0.25">
      <c r="A2399" t="s">
        <v>156</v>
      </c>
    </row>
    <row r="2400" spans="1:1" x14ac:dyDescent="0.25">
      <c r="A2400" t="s">
        <v>151</v>
      </c>
    </row>
    <row r="2401" spans="1:1" x14ac:dyDescent="0.25">
      <c r="A2401" t="s">
        <v>152</v>
      </c>
    </row>
    <row r="2402" spans="1:1" x14ac:dyDescent="0.25">
      <c r="A2402" t="s">
        <v>472</v>
      </c>
    </row>
    <row r="2403" spans="1:1" x14ac:dyDescent="0.25">
      <c r="A2403" t="s">
        <v>1611</v>
      </c>
    </row>
    <row r="2404" spans="1:1" x14ac:dyDescent="0.25">
      <c r="A2404" t="s">
        <v>1612</v>
      </c>
    </row>
    <row r="2405" spans="1:1" x14ac:dyDescent="0.25">
      <c r="A2405" t="s">
        <v>1876</v>
      </c>
    </row>
    <row r="2406" spans="1:1" x14ac:dyDescent="0.25">
      <c r="A2406" t="s">
        <v>1877</v>
      </c>
    </row>
    <row r="2407" spans="1:1" x14ac:dyDescent="0.25">
      <c r="A2407" t="s">
        <v>1874</v>
      </c>
    </row>
    <row r="2408" spans="1:1" x14ac:dyDescent="0.25">
      <c r="A2408" t="s">
        <v>1875</v>
      </c>
    </row>
    <row r="2409" spans="1:1" x14ac:dyDescent="0.25">
      <c r="A2409" t="s">
        <v>1561</v>
      </c>
    </row>
    <row r="2410" spans="1:1" x14ac:dyDescent="0.25">
      <c r="A2410" t="s">
        <v>1613</v>
      </c>
    </row>
    <row r="2411" spans="1:1" x14ac:dyDescent="0.25">
      <c r="A2411" t="s">
        <v>1971</v>
      </c>
    </row>
    <row r="2412" spans="1:1" x14ac:dyDescent="0.25">
      <c r="A2412" t="s">
        <v>1972</v>
      </c>
    </row>
    <row r="2413" spans="1:1" x14ac:dyDescent="0.25">
      <c r="A2413" t="s">
        <v>1562</v>
      </c>
    </row>
    <row r="2414" spans="1:1" x14ac:dyDescent="0.25">
      <c r="A2414" t="s">
        <v>2102</v>
      </c>
    </row>
    <row r="2415" spans="1:1" x14ac:dyDescent="0.25">
      <c r="A2415" t="s">
        <v>2136</v>
      </c>
    </row>
    <row r="2416" spans="1:1" x14ac:dyDescent="0.25">
      <c r="A2416" t="s">
        <v>195</v>
      </c>
    </row>
    <row r="2417" spans="1:1" x14ac:dyDescent="0.25">
      <c r="A2417" t="s">
        <v>252</v>
      </c>
    </row>
    <row r="2418" spans="1:1" x14ac:dyDescent="0.25">
      <c r="A2418" t="s">
        <v>155</v>
      </c>
    </row>
    <row r="2419" spans="1:1" x14ac:dyDescent="0.25">
      <c r="A2419" t="s">
        <v>156</v>
      </c>
    </row>
    <row r="2420" spans="1:1" x14ac:dyDescent="0.25">
      <c r="A2420" t="s">
        <v>151</v>
      </c>
    </row>
    <row r="2421" spans="1:1" x14ac:dyDescent="0.25">
      <c r="A2421" t="s">
        <v>152</v>
      </c>
    </row>
    <row r="2422" spans="1:1" x14ac:dyDescent="0.25">
      <c r="A2422" t="s">
        <v>471</v>
      </c>
    </row>
    <row r="2423" spans="1:1" x14ac:dyDescent="0.25">
      <c r="A2423" t="s">
        <v>1614</v>
      </c>
    </row>
    <row r="2424" spans="1:1" x14ac:dyDescent="0.25">
      <c r="A2424" t="s">
        <v>1615</v>
      </c>
    </row>
    <row r="2425" spans="1:1" x14ac:dyDescent="0.25">
      <c r="A2425" t="s">
        <v>1876</v>
      </c>
    </row>
    <row r="2426" spans="1:1" x14ac:dyDescent="0.25">
      <c r="A2426" t="s">
        <v>1877</v>
      </c>
    </row>
    <row r="2427" spans="1:1" x14ac:dyDescent="0.25">
      <c r="A2427" t="s">
        <v>1874</v>
      </c>
    </row>
    <row r="2428" spans="1:1" x14ac:dyDescent="0.25">
      <c r="A2428" t="s">
        <v>1875</v>
      </c>
    </row>
    <row r="2429" spans="1:1" x14ac:dyDescent="0.25">
      <c r="A2429" t="s">
        <v>1616</v>
      </c>
    </row>
    <row r="2430" spans="1:1" x14ac:dyDescent="0.25">
      <c r="A2430" t="s">
        <v>1617</v>
      </c>
    </row>
    <row r="2431" spans="1:1" x14ac:dyDescent="0.25">
      <c r="A2431" t="s">
        <v>1448</v>
      </c>
    </row>
    <row r="2432" spans="1:1" x14ac:dyDescent="0.25">
      <c r="A2432" t="s">
        <v>1944</v>
      </c>
    </row>
    <row r="2433" spans="1:1" x14ac:dyDescent="0.25">
      <c r="A2433" t="s">
        <v>1619</v>
      </c>
    </row>
    <row r="2434" spans="1:1" x14ac:dyDescent="0.25">
      <c r="A2434" t="s">
        <v>2094</v>
      </c>
    </row>
    <row r="2435" spans="1:1" x14ac:dyDescent="0.25">
      <c r="A2435" t="s">
        <v>2122</v>
      </c>
    </row>
    <row r="2436" spans="1:1" x14ac:dyDescent="0.25">
      <c r="A2436" t="s">
        <v>195</v>
      </c>
    </row>
    <row r="2437" spans="1:1" x14ac:dyDescent="0.25">
      <c r="A2437" t="s">
        <v>251</v>
      </c>
    </row>
    <row r="2438" spans="1:1" x14ac:dyDescent="0.25">
      <c r="A2438" t="s">
        <v>155</v>
      </c>
    </row>
    <row r="2439" spans="1:1" x14ac:dyDescent="0.25">
      <c r="A2439" t="s">
        <v>156</v>
      </c>
    </row>
    <row r="2440" spans="1:1" x14ac:dyDescent="0.25">
      <c r="A2440" t="s">
        <v>151</v>
      </c>
    </row>
    <row r="2441" spans="1:1" x14ac:dyDescent="0.25">
      <c r="A2441" t="s">
        <v>152</v>
      </c>
    </row>
    <row r="2442" spans="1:1" x14ac:dyDescent="0.25">
      <c r="A2442" t="s">
        <v>489</v>
      </c>
    </row>
    <row r="2443" spans="1:1" x14ac:dyDescent="0.25">
      <c r="A2443" t="s">
        <v>1620</v>
      </c>
    </row>
    <row r="2444" spans="1:1" x14ac:dyDescent="0.25">
      <c r="A2444" t="s">
        <v>1621</v>
      </c>
    </row>
    <row r="2445" spans="1:1" x14ac:dyDescent="0.25">
      <c r="A2445" t="s">
        <v>1876</v>
      </c>
    </row>
    <row r="2446" spans="1:1" x14ac:dyDescent="0.25">
      <c r="A2446" t="s">
        <v>1877</v>
      </c>
    </row>
    <row r="2447" spans="1:1" x14ac:dyDescent="0.25">
      <c r="A2447" t="s">
        <v>1874</v>
      </c>
    </row>
    <row r="2448" spans="1:1" x14ac:dyDescent="0.25">
      <c r="A2448" t="s">
        <v>1875</v>
      </c>
    </row>
    <row r="2449" spans="1:1" x14ac:dyDescent="0.25">
      <c r="A2449" t="s">
        <v>1622</v>
      </c>
    </row>
    <row r="2450" spans="1:1" x14ac:dyDescent="0.25">
      <c r="A2450" t="s">
        <v>1623</v>
      </c>
    </row>
    <row r="2451" spans="1:1" x14ac:dyDescent="0.25">
      <c r="A2451" t="s">
        <v>1973</v>
      </c>
    </row>
    <row r="2452" spans="1:1" x14ac:dyDescent="0.25">
      <c r="A2452" t="s">
        <v>1974</v>
      </c>
    </row>
    <row r="2453" spans="1:1" x14ac:dyDescent="0.25">
      <c r="A2453" t="s">
        <v>1624</v>
      </c>
    </row>
    <row r="2454" spans="1:1" x14ac:dyDescent="0.25">
      <c r="A2454" t="s">
        <v>2098</v>
      </c>
    </row>
    <row r="2455" spans="1:1" x14ac:dyDescent="0.25">
      <c r="A2455" t="s">
        <v>2122</v>
      </c>
    </row>
    <row r="2456" spans="1:1" x14ac:dyDescent="0.25">
      <c r="A2456" t="s">
        <v>280</v>
      </c>
    </row>
    <row r="2457" spans="1:1" x14ac:dyDescent="0.25">
      <c r="A2457" t="s">
        <v>281</v>
      </c>
    </row>
    <row r="2458" spans="1:1" x14ac:dyDescent="0.25">
      <c r="A2458" t="s">
        <v>155</v>
      </c>
    </row>
    <row r="2459" spans="1:1" x14ac:dyDescent="0.25">
      <c r="A2459" t="s">
        <v>156</v>
      </c>
    </row>
    <row r="2460" spans="1:1" x14ac:dyDescent="0.25">
      <c r="A2460" t="s">
        <v>151</v>
      </c>
    </row>
    <row r="2461" spans="1:1" x14ac:dyDescent="0.25">
      <c r="A2461" t="s">
        <v>152</v>
      </c>
    </row>
    <row r="2462" spans="1:1" x14ac:dyDescent="0.25">
      <c r="A2462" t="s">
        <v>579</v>
      </c>
    </row>
    <row r="2463" spans="1:1" x14ac:dyDescent="0.25">
      <c r="A2463" t="s">
        <v>1872</v>
      </c>
    </row>
    <row r="2464" spans="1:1" x14ac:dyDescent="0.25">
      <c r="A2464" t="s">
        <v>1873</v>
      </c>
    </row>
    <row r="2465" spans="1:1" x14ac:dyDescent="0.25">
      <c r="A2465" t="s">
        <v>1876</v>
      </c>
    </row>
    <row r="2466" spans="1:1" x14ac:dyDescent="0.25">
      <c r="A2466" t="s">
        <v>1877</v>
      </c>
    </row>
    <row r="2467" spans="1:1" x14ac:dyDescent="0.25">
      <c r="A2467" t="s">
        <v>1874</v>
      </c>
    </row>
    <row r="2468" spans="1:1" x14ac:dyDescent="0.25">
      <c r="A2468" t="s">
        <v>1875</v>
      </c>
    </row>
    <row r="2469" spans="1:1" x14ac:dyDescent="0.25">
      <c r="A2469" t="s">
        <v>1878</v>
      </c>
    </row>
    <row r="2470" spans="1:1" x14ac:dyDescent="0.25">
      <c r="A2470" t="s">
        <v>1879</v>
      </c>
    </row>
    <row r="2471" spans="1:1" x14ac:dyDescent="0.25">
      <c r="A2471" t="s">
        <v>1880</v>
      </c>
    </row>
    <row r="2472" spans="1:1" x14ac:dyDescent="0.25">
      <c r="A2472" t="s">
        <v>1881</v>
      </c>
    </row>
    <row r="2473" spans="1:1" x14ac:dyDescent="0.25">
      <c r="A2473" t="s">
        <v>1882</v>
      </c>
    </row>
    <row r="2474" spans="1:1" x14ac:dyDescent="0.25">
      <c r="A2474" t="s">
        <v>2102</v>
      </c>
    </row>
    <row r="2475" spans="1:1" x14ac:dyDescent="0.25">
      <c r="A2475" t="s">
        <v>2139</v>
      </c>
    </row>
    <row r="2476" spans="1:1" x14ac:dyDescent="0.25">
      <c r="A2476" t="s">
        <v>195</v>
      </c>
    </row>
    <row r="2477" spans="1:1" x14ac:dyDescent="0.25">
      <c r="A2477" t="s">
        <v>432</v>
      </c>
    </row>
    <row r="2478" spans="1:1" x14ac:dyDescent="0.25">
      <c r="A2478" t="s">
        <v>155</v>
      </c>
    </row>
    <row r="2479" spans="1:1" x14ac:dyDescent="0.25">
      <c r="A2479" t="s">
        <v>156</v>
      </c>
    </row>
    <row r="2480" spans="1:1" x14ac:dyDescent="0.25">
      <c r="A2480" t="s">
        <v>151</v>
      </c>
    </row>
    <row r="2481" spans="1:1" x14ac:dyDescent="0.25">
      <c r="A2481" t="s">
        <v>152</v>
      </c>
    </row>
    <row r="2482" spans="1:1" x14ac:dyDescent="0.25">
      <c r="A2482" t="s">
        <v>488</v>
      </c>
    </row>
    <row r="2483" spans="1:1" x14ac:dyDescent="0.25">
      <c r="A2483" t="s">
        <v>1625</v>
      </c>
    </row>
    <row r="2484" spans="1:1" x14ac:dyDescent="0.25">
      <c r="A2484" t="s">
        <v>1626</v>
      </c>
    </row>
    <row r="2485" spans="1:1" x14ac:dyDescent="0.25">
      <c r="A2485" t="s">
        <v>1876</v>
      </c>
    </row>
    <row r="2486" spans="1:1" x14ac:dyDescent="0.25">
      <c r="A2486" t="s">
        <v>1877</v>
      </c>
    </row>
    <row r="2487" spans="1:1" x14ac:dyDescent="0.25">
      <c r="A2487" t="s">
        <v>1874</v>
      </c>
    </row>
    <row r="2488" spans="1:1" x14ac:dyDescent="0.25">
      <c r="A2488" t="s">
        <v>1875</v>
      </c>
    </row>
    <row r="2489" spans="1:1" x14ac:dyDescent="0.25">
      <c r="A2489" t="s">
        <v>1328</v>
      </c>
    </row>
    <row r="2490" spans="1:1" x14ac:dyDescent="0.25">
      <c r="A2490" t="s">
        <v>1627</v>
      </c>
    </row>
    <row r="2491" spans="1:1" x14ac:dyDescent="0.25">
      <c r="A2491" t="s">
        <v>1975</v>
      </c>
    </row>
    <row r="2492" spans="1:1" x14ac:dyDescent="0.25">
      <c r="A2492" t="s">
        <v>1976</v>
      </c>
    </row>
    <row r="2493" spans="1:1" x14ac:dyDescent="0.25">
      <c r="A2493" t="s">
        <v>1331</v>
      </c>
    </row>
    <row r="2494" spans="1:1" x14ac:dyDescent="0.25">
      <c r="A2494" t="s">
        <v>2090</v>
      </c>
    </row>
    <row r="2495" spans="1:1" x14ac:dyDescent="0.25">
      <c r="A2495" t="s">
        <v>2109</v>
      </c>
    </row>
    <row r="2496" spans="1:1" x14ac:dyDescent="0.25">
      <c r="A2496" t="s">
        <v>195</v>
      </c>
    </row>
    <row r="2497" spans="1:1" x14ac:dyDescent="0.25">
      <c r="A2497" t="s">
        <v>279</v>
      </c>
    </row>
    <row r="2498" spans="1:1" x14ac:dyDescent="0.25">
      <c r="A2498" t="s">
        <v>155</v>
      </c>
    </row>
    <row r="2499" spans="1:1" x14ac:dyDescent="0.25">
      <c r="A2499" t="s">
        <v>156</v>
      </c>
    </row>
    <row r="2500" spans="1:1" x14ac:dyDescent="0.25">
      <c r="A2500" t="s">
        <v>151</v>
      </c>
    </row>
    <row r="2501" spans="1:1" x14ac:dyDescent="0.25">
      <c r="A2501" t="s">
        <v>152</v>
      </c>
    </row>
    <row r="2502" spans="1:1" x14ac:dyDescent="0.25">
      <c r="A2502" t="s">
        <v>546</v>
      </c>
    </row>
    <row r="2503" spans="1:1" x14ac:dyDescent="0.25">
      <c r="A2503" t="s">
        <v>1296</v>
      </c>
    </row>
    <row r="2504" spans="1:1" x14ac:dyDescent="0.25">
      <c r="A2504" t="s">
        <v>1629</v>
      </c>
    </row>
    <row r="2505" spans="1:1" x14ac:dyDescent="0.25">
      <c r="A2505" t="s">
        <v>1630</v>
      </c>
    </row>
    <row r="2506" spans="1:1" x14ac:dyDescent="0.25">
      <c r="A2506" t="s">
        <v>1631</v>
      </c>
    </row>
    <row r="2507" spans="1:1" x14ac:dyDescent="0.25">
      <c r="A2507" t="s">
        <v>1874</v>
      </c>
    </row>
    <row r="2508" spans="1:1" x14ac:dyDescent="0.25">
      <c r="A2508" t="s">
        <v>1875</v>
      </c>
    </row>
    <row r="2509" spans="1:1" x14ac:dyDescent="0.25">
      <c r="A2509" t="s">
        <v>1632</v>
      </c>
    </row>
    <row r="2510" spans="1:1" x14ac:dyDescent="0.25">
      <c r="A2510" t="s">
        <v>1633</v>
      </c>
    </row>
    <row r="2511" spans="1:1" x14ac:dyDescent="0.25">
      <c r="A2511" t="s">
        <v>1281</v>
      </c>
    </row>
    <row r="2512" spans="1:1" x14ac:dyDescent="0.25">
      <c r="A2512" t="s">
        <v>1977</v>
      </c>
    </row>
    <row r="2513" spans="1:1" x14ac:dyDescent="0.25">
      <c r="A2513" t="s">
        <v>1504</v>
      </c>
    </row>
    <row r="2514" spans="1:1" x14ac:dyDescent="0.25">
      <c r="A2514" t="s">
        <v>2097</v>
      </c>
    </row>
    <row r="2515" spans="1:1" x14ac:dyDescent="0.25">
      <c r="A2515" t="s">
        <v>2129</v>
      </c>
    </row>
    <row r="2516" spans="1:1" x14ac:dyDescent="0.25">
      <c r="A2516" t="s">
        <v>195</v>
      </c>
    </row>
    <row r="2517" spans="1:1" x14ac:dyDescent="0.25">
      <c r="A2517" t="s">
        <v>382</v>
      </c>
    </row>
    <row r="2518" spans="1:1" x14ac:dyDescent="0.25">
      <c r="A2518" t="s">
        <v>155</v>
      </c>
    </row>
    <row r="2519" spans="1:1" x14ac:dyDescent="0.25">
      <c r="A2519" t="s">
        <v>156</v>
      </c>
    </row>
    <row r="2520" spans="1:1" x14ac:dyDescent="0.25">
      <c r="A2520" t="s">
        <v>151</v>
      </c>
    </row>
    <row r="2521" spans="1:1" x14ac:dyDescent="0.25">
      <c r="A2521" t="s">
        <v>152</v>
      </c>
    </row>
    <row r="2522" spans="1:1" x14ac:dyDescent="0.25">
      <c r="A2522" t="s">
        <v>547</v>
      </c>
    </row>
    <row r="2523" spans="1:1" x14ac:dyDescent="0.25">
      <c r="A2523" t="s">
        <v>1635</v>
      </c>
    </row>
    <row r="2524" spans="1:1" x14ac:dyDescent="0.25">
      <c r="A2524" t="s">
        <v>1636</v>
      </c>
    </row>
    <row r="2525" spans="1:1" x14ac:dyDescent="0.25">
      <c r="A2525" t="s">
        <v>1637</v>
      </c>
    </row>
    <row r="2526" spans="1:1" x14ac:dyDescent="0.25">
      <c r="A2526" t="s">
        <v>1638</v>
      </c>
    </row>
    <row r="2527" spans="1:1" x14ac:dyDescent="0.25">
      <c r="A2527" t="s">
        <v>1874</v>
      </c>
    </row>
    <row r="2528" spans="1:1" x14ac:dyDescent="0.25">
      <c r="A2528" t="s">
        <v>1875</v>
      </c>
    </row>
    <row r="2529" spans="1:1" x14ac:dyDescent="0.25">
      <c r="A2529" t="s">
        <v>1639</v>
      </c>
    </row>
    <row r="2530" spans="1:1" x14ac:dyDescent="0.25">
      <c r="A2530" t="s">
        <v>1640</v>
      </c>
    </row>
    <row r="2531" spans="1:1" x14ac:dyDescent="0.25">
      <c r="A2531" t="s">
        <v>1978</v>
      </c>
    </row>
    <row r="2532" spans="1:1" x14ac:dyDescent="0.25">
      <c r="A2532" t="s">
        <v>1836</v>
      </c>
    </row>
    <row r="2533" spans="1:1" x14ac:dyDescent="0.25">
      <c r="A2533" t="s">
        <v>1641</v>
      </c>
    </row>
    <row r="2534" spans="1:1" x14ac:dyDescent="0.25">
      <c r="A2534" t="s">
        <v>2092</v>
      </c>
    </row>
    <row r="2535" spans="1:1" x14ac:dyDescent="0.25">
      <c r="A2535" t="s">
        <v>2089</v>
      </c>
    </row>
    <row r="2536" spans="1:1" x14ac:dyDescent="0.25">
      <c r="A2536" t="s">
        <v>195</v>
      </c>
    </row>
    <row r="2537" spans="1:1" x14ac:dyDescent="0.25">
      <c r="A2537" t="s">
        <v>383</v>
      </c>
    </row>
    <row r="2538" spans="1:1" x14ac:dyDescent="0.25">
      <c r="A2538" t="s">
        <v>384</v>
      </c>
    </row>
    <row r="2539" spans="1:1" x14ac:dyDescent="0.25">
      <c r="A2539" t="s">
        <v>156</v>
      </c>
    </row>
    <row r="2540" spans="1:1" x14ac:dyDescent="0.25">
      <c r="A2540" t="s">
        <v>151</v>
      </c>
    </row>
    <row r="2541" spans="1:1" x14ac:dyDescent="0.25">
      <c r="A2541" t="s">
        <v>152</v>
      </c>
    </row>
    <row r="2542" spans="1:1" x14ac:dyDescent="0.25">
      <c r="A2542" t="s">
        <v>547</v>
      </c>
    </row>
    <row r="2543" spans="1:1" x14ac:dyDescent="0.25">
      <c r="A2543" t="s">
        <v>1635</v>
      </c>
    </row>
    <row r="2544" spans="1:1" x14ac:dyDescent="0.25">
      <c r="A2544" t="s">
        <v>1636</v>
      </c>
    </row>
    <row r="2545" spans="1:1" x14ac:dyDescent="0.25">
      <c r="A2545" t="s">
        <v>1637</v>
      </c>
    </row>
    <row r="2546" spans="1:1" x14ac:dyDescent="0.25">
      <c r="A2546" t="s">
        <v>1638</v>
      </c>
    </row>
    <row r="2547" spans="1:1" x14ac:dyDescent="0.25">
      <c r="A2547" t="s">
        <v>1874</v>
      </c>
    </row>
    <row r="2548" spans="1:1" x14ac:dyDescent="0.25">
      <c r="A2548" t="s">
        <v>1875</v>
      </c>
    </row>
    <row r="2549" spans="1:1" x14ac:dyDescent="0.25">
      <c r="A2549" t="s">
        <v>1639</v>
      </c>
    </row>
    <row r="2550" spans="1:1" x14ac:dyDescent="0.25">
      <c r="A2550" t="s">
        <v>1640</v>
      </c>
    </row>
    <row r="2551" spans="1:1" x14ac:dyDescent="0.25">
      <c r="A2551" t="s">
        <v>1978</v>
      </c>
    </row>
    <row r="2552" spans="1:1" x14ac:dyDescent="0.25">
      <c r="A2552" t="s">
        <v>1836</v>
      </c>
    </row>
    <row r="2553" spans="1:1" x14ac:dyDescent="0.25">
      <c r="A2553" t="s">
        <v>1641</v>
      </c>
    </row>
    <row r="2554" spans="1:1" x14ac:dyDescent="0.25">
      <c r="A2554" t="s">
        <v>2092</v>
      </c>
    </row>
    <row r="2555" spans="1:1" x14ac:dyDescent="0.25">
      <c r="A2555" t="s">
        <v>2089</v>
      </c>
    </row>
    <row r="2556" spans="1:1" x14ac:dyDescent="0.25">
      <c r="A2556" t="s">
        <v>385</v>
      </c>
    </row>
    <row r="2557" spans="1:1" x14ac:dyDescent="0.25">
      <c r="A2557" t="s">
        <v>383</v>
      </c>
    </row>
    <row r="2558" spans="1:1" x14ac:dyDescent="0.25">
      <c r="A2558" t="s">
        <v>386</v>
      </c>
    </row>
    <row r="2559" spans="1:1" x14ac:dyDescent="0.25">
      <c r="A2559" t="s">
        <v>156</v>
      </c>
    </row>
    <row r="2560" spans="1:1" x14ac:dyDescent="0.25">
      <c r="A2560" t="s">
        <v>151</v>
      </c>
    </row>
    <row r="2561" spans="1:1" x14ac:dyDescent="0.25">
      <c r="A2561" t="s">
        <v>152</v>
      </c>
    </row>
    <row r="2562" spans="1:1" x14ac:dyDescent="0.25">
      <c r="A2562" t="s">
        <v>555</v>
      </c>
    </row>
    <row r="2563" spans="1:1" x14ac:dyDescent="0.25">
      <c r="A2563" t="s">
        <v>1366</v>
      </c>
    </row>
    <row r="2564" spans="1:1" x14ac:dyDescent="0.25">
      <c r="A2564" t="s">
        <v>1642</v>
      </c>
    </row>
    <row r="2565" spans="1:1" x14ac:dyDescent="0.25">
      <c r="A2565" t="s">
        <v>1643</v>
      </c>
    </row>
    <row r="2566" spans="1:1" x14ac:dyDescent="0.25">
      <c r="A2566" t="s">
        <v>1644</v>
      </c>
    </row>
    <row r="2567" spans="1:1" x14ac:dyDescent="0.25">
      <c r="A2567" t="s">
        <v>1874</v>
      </c>
    </row>
    <row r="2568" spans="1:1" x14ac:dyDescent="0.25">
      <c r="A2568" t="s">
        <v>1875</v>
      </c>
    </row>
    <row r="2569" spans="1:1" x14ac:dyDescent="0.25">
      <c r="A2569" t="s">
        <v>1319</v>
      </c>
    </row>
    <row r="2570" spans="1:1" x14ac:dyDescent="0.25">
      <c r="A2570" t="s">
        <v>1511</v>
      </c>
    </row>
    <row r="2571" spans="1:1" x14ac:dyDescent="0.25">
      <c r="A2571" t="s">
        <v>1979</v>
      </c>
    </row>
    <row r="2572" spans="1:1" x14ac:dyDescent="0.25">
      <c r="A2572" t="s">
        <v>1881</v>
      </c>
    </row>
    <row r="2573" spans="1:1" x14ac:dyDescent="0.25">
      <c r="A2573" t="s">
        <v>1645</v>
      </c>
    </row>
    <row r="2574" spans="1:1" x14ac:dyDescent="0.25">
      <c r="A2574" t="s">
        <v>2093</v>
      </c>
    </row>
    <row r="2575" spans="1:1" x14ac:dyDescent="0.25">
      <c r="A2575" t="s">
        <v>2129</v>
      </c>
    </row>
    <row r="2576" spans="1:1" x14ac:dyDescent="0.25">
      <c r="A2576" t="s">
        <v>395</v>
      </c>
    </row>
    <row r="2577" spans="1:1" x14ac:dyDescent="0.25">
      <c r="A2577" t="s">
        <v>396</v>
      </c>
    </row>
    <row r="2578" spans="1:1" x14ac:dyDescent="0.25">
      <c r="A2578" t="s">
        <v>155</v>
      </c>
    </row>
    <row r="2579" spans="1:1" x14ac:dyDescent="0.25">
      <c r="A2579" t="s">
        <v>156</v>
      </c>
    </row>
    <row r="2580" spans="1:1" x14ac:dyDescent="0.25">
      <c r="A2580" t="s">
        <v>151</v>
      </c>
    </row>
    <row r="2581" spans="1:1" x14ac:dyDescent="0.25">
      <c r="A2581" t="s">
        <v>152</v>
      </c>
    </row>
    <row r="2582" spans="1:1" x14ac:dyDescent="0.25">
      <c r="A2582" t="s">
        <v>487</v>
      </c>
    </row>
    <row r="2583" spans="1:1" x14ac:dyDescent="0.25">
      <c r="A2583" t="s">
        <v>1646</v>
      </c>
    </row>
    <row r="2584" spans="1:1" x14ac:dyDescent="0.25">
      <c r="A2584" t="s">
        <v>1647</v>
      </c>
    </row>
    <row r="2585" spans="1:1" x14ac:dyDescent="0.25">
      <c r="A2585" t="s">
        <v>1876</v>
      </c>
    </row>
    <row r="2586" spans="1:1" x14ac:dyDescent="0.25">
      <c r="A2586" t="s">
        <v>1877</v>
      </c>
    </row>
    <row r="2587" spans="1:1" x14ac:dyDescent="0.25">
      <c r="A2587" t="s">
        <v>1874</v>
      </c>
    </row>
    <row r="2588" spans="1:1" x14ac:dyDescent="0.25">
      <c r="A2588" t="s">
        <v>1875</v>
      </c>
    </row>
    <row r="2589" spans="1:1" x14ac:dyDescent="0.25">
      <c r="A2589" t="s">
        <v>1648</v>
      </c>
    </row>
    <row r="2590" spans="1:1" x14ac:dyDescent="0.25">
      <c r="A2590" t="s">
        <v>1649</v>
      </c>
    </row>
    <row r="2591" spans="1:1" x14ac:dyDescent="0.25">
      <c r="A2591" t="s">
        <v>1656</v>
      </c>
    </row>
    <row r="2592" spans="1:1" x14ac:dyDescent="0.25">
      <c r="A2592" t="s">
        <v>1980</v>
      </c>
    </row>
    <row r="2593" spans="1:1" x14ac:dyDescent="0.25">
      <c r="A2593" t="s">
        <v>1650</v>
      </c>
    </row>
    <row r="2594" spans="1:1" x14ac:dyDescent="0.25">
      <c r="A2594" t="s">
        <v>2119</v>
      </c>
    </row>
    <row r="2595" spans="1:1" x14ac:dyDescent="0.25">
      <c r="A2595" t="s">
        <v>2135</v>
      </c>
    </row>
    <row r="2596" spans="1:1" x14ac:dyDescent="0.25">
      <c r="A2596" t="s">
        <v>195</v>
      </c>
    </row>
    <row r="2597" spans="1:1" x14ac:dyDescent="0.25">
      <c r="A2597" t="s">
        <v>278</v>
      </c>
    </row>
    <row r="2598" spans="1:1" x14ac:dyDescent="0.25">
      <c r="A2598" t="s">
        <v>155</v>
      </c>
    </row>
    <row r="2599" spans="1:1" x14ac:dyDescent="0.25">
      <c r="A2599" t="s">
        <v>156</v>
      </c>
    </row>
    <row r="2600" spans="1:1" x14ac:dyDescent="0.25">
      <c r="A2600" t="s">
        <v>151</v>
      </c>
    </row>
    <row r="2601" spans="1:1" x14ac:dyDescent="0.25">
      <c r="A2601" t="s">
        <v>152</v>
      </c>
    </row>
    <row r="2602" spans="1:1" x14ac:dyDescent="0.25">
      <c r="A2602" t="s">
        <v>545</v>
      </c>
    </row>
    <row r="2603" spans="1:1" x14ac:dyDescent="0.25">
      <c r="A2603" t="s">
        <v>1651</v>
      </c>
    </row>
    <row r="2604" spans="1:1" x14ac:dyDescent="0.25">
      <c r="A2604" t="s">
        <v>1629</v>
      </c>
    </row>
    <row r="2605" spans="1:1" x14ac:dyDescent="0.25">
      <c r="A2605" t="s">
        <v>1652</v>
      </c>
    </row>
    <row r="2606" spans="1:1" x14ac:dyDescent="0.25">
      <c r="A2606" t="s">
        <v>1653</v>
      </c>
    </row>
    <row r="2607" spans="1:1" x14ac:dyDescent="0.25">
      <c r="A2607" t="s">
        <v>1874</v>
      </c>
    </row>
    <row r="2608" spans="1:1" x14ac:dyDescent="0.25">
      <c r="A2608" t="s">
        <v>1875</v>
      </c>
    </row>
    <row r="2609" spans="1:1" x14ac:dyDescent="0.25">
      <c r="A2609" t="s">
        <v>1654</v>
      </c>
    </row>
    <row r="2610" spans="1:1" x14ac:dyDescent="0.25">
      <c r="A2610" t="s">
        <v>1655</v>
      </c>
    </row>
    <row r="2611" spans="1:1" x14ac:dyDescent="0.25">
      <c r="A2611" t="s">
        <v>1981</v>
      </c>
    </row>
    <row r="2612" spans="1:1" x14ac:dyDescent="0.25">
      <c r="A2612" t="s">
        <v>1942</v>
      </c>
    </row>
    <row r="2613" spans="1:1" x14ac:dyDescent="0.25">
      <c r="A2613" t="s">
        <v>1657</v>
      </c>
    </row>
    <row r="2614" spans="1:1" x14ac:dyDescent="0.25">
      <c r="A2614" t="s">
        <v>2101</v>
      </c>
    </row>
    <row r="2615" spans="1:1" x14ac:dyDescent="0.25">
      <c r="A2615" t="s">
        <v>2136</v>
      </c>
    </row>
    <row r="2616" spans="1:1" x14ac:dyDescent="0.25">
      <c r="A2616" t="s">
        <v>380</v>
      </c>
    </row>
    <row r="2617" spans="1:1" x14ac:dyDescent="0.25">
      <c r="A2617" t="s">
        <v>381</v>
      </c>
    </row>
    <row r="2618" spans="1:1" x14ac:dyDescent="0.25">
      <c r="A2618" t="s">
        <v>155</v>
      </c>
    </row>
    <row r="2619" spans="1:1" x14ac:dyDescent="0.25">
      <c r="A2619" t="s">
        <v>156</v>
      </c>
    </row>
    <row r="2620" spans="1:1" x14ac:dyDescent="0.25">
      <c r="A2620" t="s">
        <v>151</v>
      </c>
    </row>
    <row r="2621" spans="1:1" x14ac:dyDescent="0.25">
      <c r="A2621" t="s">
        <v>152</v>
      </c>
    </row>
    <row r="2622" spans="1:1" x14ac:dyDescent="0.25">
      <c r="A2622" t="s">
        <v>559</v>
      </c>
    </row>
    <row r="2623" spans="1:1" x14ac:dyDescent="0.25">
      <c r="A2623" t="s">
        <v>1658</v>
      </c>
    </row>
    <row r="2624" spans="1:1" x14ac:dyDescent="0.25">
      <c r="A2624" t="s">
        <v>1659</v>
      </c>
    </row>
    <row r="2625" spans="1:1" x14ac:dyDescent="0.25">
      <c r="A2625" t="s">
        <v>1660</v>
      </c>
    </row>
    <row r="2626" spans="1:1" x14ac:dyDescent="0.25">
      <c r="A2626" t="s">
        <v>1661</v>
      </c>
    </row>
    <row r="2627" spans="1:1" x14ac:dyDescent="0.25">
      <c r="A2627" t="s">
        <v>1874</v>
      </c>
    </row>
    <row r="2628" spans="1:1" x14ac:dyDescent="0.25">
      <c r="A2628" t="s">
        <v>1875</v>
      </c>
    </row>
    <row r="2629" spans="1:1" x14ac:dyDescent="0.25">
      <c r="A2629" t="s">
        <v>1336</v>
      </c>
    </row>
    <row r="2630" spans="1:1" x14ac:dyDescent="0.25">
      <c r="A2630" t="s">
        <v>1662</v>
      </c>
    </row>
    <row r="2631" spans="1:1" x14ac:dyDescent="0.25">
      <c r="A2631" t="s">
        <v>1982</v>
      </c>
    </row>
    <row r="2632" spans="1:1" x14ac:dyDescent="0.25">
      <c r="A2632" t="s">
        <v>1983</v>
      </c>
    </row>
    <row r="2633" spans="1:1" x14ac:dyDescent="0.25">
      <c r="A2633" t="s">
        <v>1337</v>
      </c>
    </row>
    <row r="2634" spans="1:1" x14ac:dyDescent="0.25">
      <c r="A2634" t="s">
        <v>2119</v>
      </c>
    </row>
    <row r="2635" spans="1:1" x14ac:dyDescent="0.25">
      <c r="A2635" t="s">
        <v>2140</v>
      </c>
    </row>
    <row r="2636" spans="1:1" x14ac:dyDescent="0.25">
      <c r="A2636" t="s">
        <v>195</v>
      </c>
    </row>
    <row r="2637" spans="1:1" x14ac:dyDescent="0.25">
      <c r="A2637" t="s">
        <v>401</v>
      </c>
    </row>
    <row r="2638" spans="1:1" x14ac:dyDescent="0.25">
      <c r="A2638" t="s">
        <v>155</v>
      </c>
    </row>
    <row r="2639" spans="1:1" x14ac:dyDescent="0.25">
      <c r="A2639" t="s">
        <v>156</v>
      </c>
    </row>
    <row r="2640" spans="1:1" x14ac:dyDescent="0.25">
      <c r="A2640" t="s">
        <v>151</v>
      </c>
    </row>
    <row r="2641" spans="1:1" x14ac:dyDescent="0.25">
      <c r="A2641" t="s">
        <v>152</v>
      </c>
    </row>
    <row r="2642" spans="1:1" x14ac:dyDescent="0.25">
      <c r="A2642" t="s">
        <v>486</v>
      </c>
    </row>
    <row r="2643" spans="1:1" x14ac:dyDescent="0.25">
      <c r="A2643" t="s">
        <v>1664</v>
      </c>
    </row>
    <row r="2644" spans="1:1" x14ac:dyDescent="0.25">
      <c r="A2644" t="s">
        <v>1665</v>
      </c>
    </row>
    <row r="2645" spans="1:1" x14ac:dyDescent="0.25">
      <c r="A2645" t="s">
        <v>1876</v>
      </c>
    </row>
    <row r="2646" spans="1:1" x14ac:dyDescent="0.25">
      <c r="A2646" t="s">
        <v>1877</v>
      </c>
    </row>
    <row r="2647" spans="1:1" x14ac:dyDescent="0.25">
      <c r="A2647" t="s">
        <v>1874</v>
      </c>
    </row>
    <row r="2648" spans="1:1" x14ac:dyDescent="0.25">
      <c r="A2648" t="s">
        <v>1875</v>
      </c>
    </row>
    <row r="2649" spans="1:1" x14ac:dyDescent="0.25">
      <c r="A2649" t="s">
        <v>1608</v>
      </c>
    </row>
    <row r="2650" spans="1:1" x14ac:dyDescent="0.25">
      <c r="A2650" t="s">
        <v>1666</v>
      </c>
    </row>
    <row r="2651" spans="1:1" x14ac:dyDescent="0.25">
      <c r="A2651" t="s">
        <v>1984</v>
      </c>
    </row>
    <row r="2652" spans="1:1" x14ac:dyDescent="0.25">
      <c r="A2652" t="s">
        <v>1819</v>
      </c>
    </row>
    <row r="2653" spans="1:1" x14ac:dyDescent="0.25">
      <c r="A2653" t="s">
        <v>1610</v>
      </c>
    </row>
    <row r="2654" spans="1:1" x14ac:dyDescent="0.25">
      <c r="A2654" t="s">
        <v>2099</v>
      </c>
    </row>
    <row r="2655" spans="1:1" x14ac:dyDescent="0.25">
      <c r="A2655" t="s">
        <v>2136</v>
      </c>
    </row>
    <row r="2656" spans="1:1" x14ac:dyDescent="0.25">
      <c r="A2656" t="s">
        <v>195</v>
      </c>
    </row>
    <row r="2657" spans="1:1" x14ac:dyDescent="0.25">
      <c r="A2657" t="s">
        <v>277</v>
      </c>
    </row>
    <row r="2658" spans="1:1" x14ac:dyDescent="0.25">
      <c r="A2658" t="s">
        <v>155</v>
      </c>
    </row>
    <row r="2659" spans="1:1" x14ac:dyDescent="0.25">
      <c r="A2659" t="s">
        <v>156</v>
      </c>
    </row>
    <row r="2660" spans="1:1" x14ac:dyDescent="0.25">
      <c r="A2660" t="s">
        <v>151</v>
      </c>
    </row>
    <row r="2661" spans="1:1" x14ac:dyDescent="0.25">
      <c r="A2661" t="s">
        <v>152</v>
      </c>
    </row>
    <row r="2662" spans="1:1" x14ac:dyDescent="0.25">
      <c r="A2662" t="s">
        <v>485</v>
      </c>
    </row>
    <row r="2663" spans="1:1" x14ac:dyDescent="0.25">
      <c r="A2663" t="s">
        <v>1667</v>
      </c>
    </row>
    <row r="2664" spans="1:1" x14ac:dyDescent="0.25">
      <c r="A2664" t="s">
        <v>1668</v>
      </c>
    </row>
    <row r="2665" spans="1:1" x14ac:dyDescent="0.25">
      <c r="A2665" t="s">
        <v>1876</v>
      </c>
    </row>
    <row r="2666" spans="1:1" x14ac:dyDescent="0.25">
      <c r="A2666" t="s">
        <v>1877</v>
      </c>
    </row>
    <row r="2667" spans="1:1" x14ac:dyDescent="0.25">
      <c r="A2667" t="s">
        <v>1874</v>
      </c>
    </row>
    <row r="2668" spans="1:1" x14ac:dyDescent="0.25">
      <c r="A2668" t="s">
        <v>1875</v>
      </c>
    </row>
    <row r="2669" spans="1:1" x14ac:dyDescent="0.25">
      <c r="A2669" t="s">
        <v>1669</v>
      </c>
    </row>
    <row r="2670" spans="1:1" x14ac:dyDescent="0.25">
      <c r="A2670" t="s">
        <v>1670</v>
      </c>
    </row>
    <row r="2671" spans="1:1" x14ac:dyDescent="0.25">
      <c r="A2671" t="s">
        <v>1985</v>
      </c>
    </row>
    <row r="2672" spans="1:1" x14ac:dyDescent="0.25">
      <c r="A2672" t="s">
        <v>1678</v>
      </c>
    </row>
    <row r="2673" spans="1:1" x14ac:dyDescent="0.25">
      <c r="A2673" t="s">
        <v>1671</v>
      </c>
    </row>
    <row r="2674" spans="1:1" x14ac:dyDescent="0.25">
      <c r="A2674" t="s">
        <v>2141</v>
      </c>
    </row>
    <row r="2675" spans="1:1" x14ac:dyDescent="0.25">
      <c r="A2675" t="s">
        <v>2135</v>
      </c>
    </row>
    <row r="2676" spans="1:1" x14ac:dyDescent="0.25">
      <c r="A2676" t="s">
        <v>195</v>
      </c>
    </row>
    <row r="2677" spans="1:1" x14ac:dyDescent="0.25">
      <c r="A2677" t="s">
        <v>276</v>
      </c>
    </row>
    <row r="2678" spans="1:1" x14ac:dyDescent="0.25">
      <c r="A2678" t="s">
        <v>155</v>
      </c>
    </row>
    <row r="2679" spans="1:1" x14ac:dyDescent="0.25">
      <c r="A2679" t="s">
        <v>156</v>
      </c>
    </row>
    <row r="2680" spans="1:1" x14ac:dyDescent="0.25">
      <c r="A2680" t="s">
        <v>151</v>
      </c>
    </row>
    <row r="2681" spans="1:1" x14ac:dyDescent="0.25">
      <c r="A2681" t="s">
        <v>152</v>
      </c>
    </row>
    <row r="2682" spans="1:1" x14ac:dyDescent="0.25">
      <c r="A2682" t="s">
        <v>553</v>
      </c>
    </row>
    <row r="2683" spans="1:1" x14ac:dyDescent="0.25">
      <c r="A2683" t="s">
        <v>1672</v>
      </c>
    </row>
    <row r="2684" spans="1:1" x14ac:dyDescent="0.25">
      <c r="A2684" t="s">
        <v>1673</v>
      </c>
    </row>
    <row r="2685" spans="1:1" x14ac:dyDescent="0.25">
      <c r="A2685" t="s">
        <v>1674</v>
      </c>
    </row>
    <row r="2686" spans="1:1" x14ac:dyDescent="0.25">
      <c r="A2686" t="s">
        <v>1675</v>
      </c>
    </row>
    <row r="2687" spans="1:1" x14ac:dyDescent="0.25">
      <c r="A2687" t="s">
        <v>1874</v>
      </c>
    </row>
    <row r="2688" spans="1:1" x14ac:dyDescent="0.25">
      <c r="A2688" t="s">
        <v>1875</v>
      </c>
    </row>
    <row r="2689" spans="1:1" x14ac:dyDescent="0.25">
      <c r="A2689" t="s">
        <v>1676</v>
      </c>
    </row>
    <row r="2690" spans="1:1" x14ac:dyDescent="0.25">
      <c r="A2690" t="s">
        <v>1677</v>
      </c>
    </row>
    <row r="2691" spans="1:1" x14ac:dyDescent="0.25">
      <c r="A2691" t="s">
        <v>1986</v>
      </c>
    </row>
    <row r="2692" spans="1:1" x14ac:dyDescent="0.25">
      <c r="A2692" t="s">
        <v>1881</v>
      </c>
    </row>
    <row r="2693" spans="1:1" x14ac:dyDescent="0.25">
      <c r="A2693" t="s">
        <v>1679</v>
      </c>
    </row>
    <row r="2694" spans="1:1" x14ac:dyDescent="0.25">
      <c r="A2694" t="s">
        <v>2092</v>
      </c>
    </row>
    <row r="2695" spans="1:1" x14ac:dyDescent="0.25">
      <c r="A2695" t="s">
        <v>2089</v>
      </c>
    </row>
    <row r="2696" spans="1:1" x14ac:dyDescent="0.25">
      <c r="A2696" t="s">
        <v>195</v>
      </c>
    </row>
    <row r="2697" spans="1:1" x14ac:dyDescent="0.25">
      <c r="A2697" t="s">
        <v>392</v>
      </c>
    </row>
    <row r="2698" spans="1:1" x14ac:dyDescent="0.25">
      <c r="A2698" t="s">
        <v>155</v>
      </c>
    </row>
    <row r="2699" spans="1:1" x14ac:dyDescent="0.25">
      <c r="A2699" t="s">
        <v>156</v>
      </c>
    </row>
    <row r="2700" spans="1:1" x14ac:dyDescent="0.25">
      <c r="A2700" t="s">
        <v>151</v>
      </c>
    </row>
    <row r="2701" spans="1:1" x14ac:dyDescent="0.25">
      <c r="A2701" t="s">
        <v>152</v>
      </c>
    </row>
    <row r="2702" spans="1:1" x14ac:dyDescent="0.25">
      <c r="A2702" t="s">
        <v>554</v>
      </c>
    </row>
    <row r="2703" spans="1:1" x14ac:dyDescent="0.25">
      <c r="A2703" t="s">
        <v>1680</v>
      </c>
    </row>
    <row r="2704" spans="1:1" x14ac:dyDescent="0.25">
      <c r="A2704" t="s">
        <v>1681</v>
      </c>
    </row>
    <row r="2705" spans="1:1" x14ac:dyDescent="0.25">
      <c r="A2705" t="s">
        <v>1682</v>
      </c>
    </row>
    <row r="2706" spans="1:1" x14ac:dyDescent="0.25">
      <c r="A2706" t="s">
        <v>1653</v>
      </c>
    </row>
    <row r="2707" spans="1:1" x14ac:dyDescent="0.25">
      <c r="A2707" t="s">
        <v>1874</v>
      </c>
    </row>
    <row r="2708" spans="1:1" x14ac:dyDescent="0.25">
      <c r="A2708" t="s">
        <v>1875</v>
      </c>
    </row>
    <row r="2709" spans="1:1" x14ac:dyDescent="0.25">
      <c r="A2709" t="s">
        <v>1683</v>
      </c>
    </row>
    <row r="2710" spans="1:1" x14ac:dyDescent="0.25">
      <c r="A2710" t="s">
        <v>1684</v>
      </c>
    </row>
    <row r="2711" spans="1:1" x14ac:dyDescent="0.25">
      <c r="A2711" t="s">
        <v>1987</v>
      </c>
    </row>
    <row r="2712" spans="1:1" x14ac:dyDescent="0.25">
      <c r="A2712" t="s">
        <v>1881</v>
      </c>
    </row>
    <row r="2713" spans="1:1" x14ac:dyDescent="0.25">
      <c r="A2713" t="s">
        <v>1685</v>
      </c>
    </row>
    <row r="2714" spans="1:1" x14ac:dyDescent="0.25">
      <c r="A2714" t="s">
        <v>2102</v>
      </c>
    </row>
    <row r="2715" spans="1:1" x14ac:dyDescent="0.25">
      <c r="A2715" t="s">
        <v>2140</v>
      </c>
    </row>
    <row r="2716" spans="1:1" x14ac:dyDescent="0.25">
      <c r="A2716" t="s">
        <v>393</v>
      </c>
    </row>
    <row r="2717" spans="1:1" x14ac:dyDescent="0.25">
      <c r="A2717" t="s">
        <v>394</v>
      </c>
    </row>
    <row r="2718" spans="1:1" x14ac:dyDescent="0.25">
      <c r="A2718" t="s">
        <v>155</v>
      </c>
    </row>
    <row r="2719" spans="1:1" x14ac:dyDescent="0.25">
      <c r="A2719" t="s">
        <v>156</v>
      </c>
    </row>
    <row r="2720" spans="1:1" x14ac:dyDescent="0.25">
      <c r="A2720" t="s">
        <v>151</v>
      </c>
    </row>
    <row r="2721" spans="1:1" x14ac:dyDescent="0.25">
      <c r="A2721" t="s">
        <v>152</v>
      </c>
    </row>
    <row r="2722" spans="1:1" x14ac:dyDescent="0.25">
      <c r="A2722" t="s">
        <v>554</v>
      </c>
    </row>
    <row r="2723" spans="1:1" x14ac:dyDescent="0.25">
      <c r="A2723" t="s">
        <v>1680</v>
      </c>
    </row>
    <row r="2724" spans="1:1" x14ac:dyDescent="0.25">
      <c r="A2724" t="s">
        <v>1681</v>
      </c>
    </row>
    <row r="2725" spans="1:1" x14ac:dyDescent="0.25">
      <c r="A2725" t="s">
        <v>1682</v>
      </c>
    </row>
    <row r="2726" spans="1:1" x14ac:dyDescent="0.25">
      <c r="A2726" t="s">
        <v>1653</v>
      </c>
    </row>
    <row r="2727" spans="1:1" x14ac:dyDescent="0.25">
      <c r="A2727" t="s">
        <v>1874</v>
      </c>
    </row>
    <row r="2728" spans="1:1" x14ac:dyDescent="0.25">
      <c r="A2728" t="s">
        <v>1875</v>
      </c>
    </row>
    <row r="2729" spans="1:1" x14ac:dyDescent="0.25">
      <c r="A2729" t="s">
        <v>1683</v>
      </c>
    </row>
    <row r="2730" spans="1:1" x14ac:dyDescent="0.25">
      <c r="A2730" t="s">
        <v>1684</v>
      </c>
    </row>
    <row r="2731" spans="1:1" x14ac:dyDescent="0.25">
      <c r="A2731" t="s">
        <v>1987</v>
      </c>
    </row>
    <row r="2732" spans="1:1" x14ac:dyDescent="0.25">
      <c r="A2732" t="s">
        <v>1881</v>
      </c>
    </row>
    <row r="2733" spans="1:1" x14ac:dyDescent="0.25">
      <c r="A2733" t="s">
        <v>1685</v>
      </c>
    </row>
    <row r="2734" spans="1:1" x14ac:dyDescent="0.25">
      <c r="A2734" t="s">
        <v>2102</v>
      </c>
    </row>
    <row r="2735" spans="1:1" x14ac:dyDescent="0.25">
      <c r="A2735" t="s">
        <v>2140</v>
      </c>
    </row>
    <row r="2736" spans="1:1" x14ac:dyDescent="0.25">
      <c r="A2736" t="s">
        <v>195</v>
      </c>
    </row>
    <row r="2737" spans="1:1" x14ac:dyDescent="0.25">
      <c r="A2737" t="s">
        <v>394</v>
      </c>
    </row>
    <row r="2738" spans="1:1" x14ac:dyDescent="0.25">
      <c r="A2738" t="s">
        <v>155</v>
      </c>
    </row>
    <row r="2739" spans="1:1" x14ac:dyDescent="0.25">
      <c r="A2739" t="s">
        <v>156</v>
      </c>
    </row>
    <row r="2740" spans="1:1" x14ac:dyDescent="0.25">
      <c r="A2740" t="s">
        <v>151</v>
      </c>
    </row>
    <row r="2741" spans="1:1" x14ac:dyDescent="0.25">
      <c r="A2741" t="s">
        <v>152</v>
      </c>
    </row>
    <row r="2742" spans="1:1" x14ac:dyDescent="0.25">
      <c r="A2742" t="s">
        <v>459</v>
      </c>
    </row>
    <row r="2743" spans="1:1" x14ac:dyDescent="0.25">
      <c r="A2743" t="s">
        <v>1686</v>
      </c>
    </row>
    <row r="2744" spans="1:1" x14ac:dyDescent="0.25">
      <c r="A2744" t="s">
        <v>1687</v>
      </c>
    </row>
    <row r="2745" spans="1:1" x14ac:dyDescent="0.25">
      <c r="A2745" t="s">
        <v>1688</v>
      </c>
    </row>
    <row r="2746" spans="1:1" x14ac:dyDescent="0.25">
      <c r="A2746" t="s">
        <v>1689</v>
      </c>
    </row>
    <row r="2747" spans="1:1" x14ac:dyDescent="0.25">
      <c r="A2747" t="s">
        <v>1690</v>
      </c>
    </row>
    <row r="2748" spans="1:1" x14ac:dyDescent="0.25">
      <c r="A2748" t="s">
        <v>1691</v>
      </c>
    </row>
    <row r="2749" spans="1:1" x14ac:dyDescent="0.25">
      <c r="A2749" t="s">
        <v>1692</v>
      </c>
    </row>
    <row r="2750" spans="1:1" x14ac:dyDescent="0.25">
      <c r="A2750" t="s">
        <v>1492</v>
      </c>
    </row>
    <row r="2751" spans="1:1" x14ac:dyDescent="0.25">
      <c r="A2751" t="s">
        <v>1988</v>
      </c>
    </row>
    <row r="2752" spans="1:1" x14ac:dyDescent="0.25">
      <c r="A2752" t="s">
        <v>1989</v>
      </c>
    </row>
    <row r="2753" spans="1:1" x14ac:dyDescent="0.25">
      <c r="A2753" t="s">
        <v>1693</v>
      </c>
    </row>
    <row r="2754" spans="1:1" x14ac:dyDescent="0.25">
      <c r="A2754" t="s">
        <v>2092</v>
      </c>
    </row>
    <row r="2755" spans="1:1" x14ac:dyDescent="0.25">
      <c r="A2755" t="s">
        <v>2089</v>
      </c>
    </row>
    <row r="2756" spans="1:1" x14ac:dyDescent="0.25">
      <c r="A2756" t="s">
        <v>195</v>
      </c>
    </row>
    <row r="2757" spans="1:1" x14ac:dyDescent="0.25">
      <c r="A2757" t="s">
        <v>226</v>
      </c>
    </row>
    <row r="2758" spans="1:1" x14ac:dyDescent="0.25">
      <c r="A2758" t="s">
        <v>155</v>
      </c>
    </row>
    <row r="2759" spans="1:1" x14ac:dyDescent="0.25">
      <c r="A2759" t="s">
        <v>156</v>
      </c>
    </row>
    <row r="2760" spans="1:1" x14ac:dyDescent="0.25">
      <c r="A2760" t="s">
        <v>151</v>
      </c>
    </row>
    <row r="2761" spans="1:1" x14ac:dyDescent="0.25">
      <c r="A2761" t="s">
        <v>152</v>
      </c>
    </row>
    <row r="2762" spans="1:1" x14ac:dyDescent="0.25">
      <c r="A2762" t="s">
        <v>460</v>
      </c>
    </row>
    <row r="2763" spans="1:1" x14ac:dyDescent="0.25">
      <c r="A2763" t="s">
        <v>1694</v>
      </c>
    </row>
    <row r="2764" spans="1:1" x14ac:dyDescent="0.25">
      <c r="A2764" t="s">
        <v>1695</v>
      </c>
    </row>
    <row r="2765" spans="1:1" x14ac:dyDescent="0.25">
      <c r="A2765" t="s">
        <v>1559</v>
      </c>
    </row>
    <row r="2766" spans="1:1" x14ac:dyDescent="0.25">
      <c r="A2766" t="s">
        <v>1696</v>
      </c>
    </row>
    <row r="2767" spans="1:1" x14ac:dyDescent="0.25">
      <c r="A2767" t="s">
        <v>1697</v>
      </c>
    </row>
    <row r="2768" spans="1:1" x14ac:dyDescent="0.25">
      <c r="A2768" t="s">
        <v>1698</v>
      </c>
    </row>
    <row r="2769" spans="1:1" x14ac:dyDescent="0.25">
      <c r="A2769" t="s">
        <v>1699</v>
      </c>
    </row>
    <row r="2770" spans="1:1" x14ac:dyDescent="0.25">
      <c r="A2770" t="s">
        <v>1700</v>
      </c>
    </row>
    <row r="2771" spans="1:1" x14ac:dyDescent="0.25">
      <c r="A2771" t="s">
        <v>1990</v>
      </c>
    </row>
    <row r="2772" spans="1:1" x14ac:dyDescent="0.25">
      <c r="A2772" t="s">
        <v>1991</v>
      </c>
    </row>
    <row r="2773" spans="1:1" x14ac:dyDescent="0.25">
      <c r="A2773" t="s">
        <v>1701</v>
      </c>
    </row>
    <row r="2774" spans="1:1" x14ac:dyDescent="0.25">
      <c r="A2774" t="s">
        <v>2102</v>
      </c>
    </row>
    <row r="2775" spans="1:1" x14ac:dyDescent="0.25">
      <c r="A2775" t="s">
        <v>2125</v>
      </c>
    </row>
    <row r="2776" spans="1:1" x14ac:dyDescent="0.25">
      <c r="A2776" t="s">
        <v>195</v>
      </c>
    </row>
    <row r="2777" spans="1:1" x14ac:dyDescent="0.25">
      <c r="A2777" t="s">
        <v>227</v>
      </c>
    </row>
    <row r="2778" spans="1:1" x14ac:dyDescent="0.25">
      <c r="A2778" t="s">
        <v>228</v>
      </c>
    </row>
    <row r="2779" spans="1:1" x14ac:dyDescent="0.25">
      <c r="A2779" t="s">
        <v>156</v>
      </c>
    </row>
    <row r="2780" spans="1:1" x14ac:dyDescent="0.25">
      <c r="A2780" t="s">
        <v>151</v>
      </c>
    </row>
    <row r="2781" spans="1:1" x14ac:dyDescent="0.25">
      <c r="A2781" t="s">
        <v>152</v>
      </c>
    </row>
    <row r="2782" spans="1:1" x14ac:dyDescent="0.25">
      <c r="A2782" t="s">
        <v>460</v>
      </c>
    </row>
    <row r="2783" spans="1:1" x14ac:dyDescent="0.25">
      <c r="A2783" t="s">
        <v>1694</v>
      </c>
    </row>
    <row r="2784" spans="1:1" x14ac:dyDescent="0.25">
      <c r="A2784" t="s">
        <v>1695</v>
      </c>
    </row>
    <row r="2785" spans="1:1" x14ac:dyDescent="0.25">
      <c r="A2785" t="s">
        <v>1559</v>
      </c>
    </row>
    <row r="2786" spans="1:1" x14ac:dyDescent="0.25">
      <c r="A2786" t="s">
        <v>1696</v>
      </c>
    </row>
    <row r="2787" spans="1:1" x14ac:dyDescent="0.25">
      <c r="A2787" t="s">
        <v>1697</v>
      </c>
    </row>
    <row r="2788" spans="1:1" x14ac:dyDescent="0.25">
      <c r="A2788" t="s">
        <v>1698</v>
      </c>
    </row>
    <row r="2789" spans="1:1" x14ac:dyDescent="0.25">
      <c r="A2789" t="s">
        <v>1699</v>
      </c>
    </row>
    <row r="2790" spans="1:1" x14ac:dyDescent="0.25">
      <c r="A2790" t="s">
        <v>1700</v>
      </c>
    </row>
    <row r="2791" spans="1:1" x14ac:dyDescent="0.25">
      <c r="A2791" t="s">
        <v>1990</v>
      </c>
    </row>
    <row r="2792" spans="1:1" x14ac:dyDescent="0.25">
      <c r="A2792" t="s">
        <v>1991</v>
      </c>
    </row>
    <row r="2793" spans="1:1" x14ac:dyDescent="0.25">
      <c r="A2793" t="s">
        <v>1701</v>
      </c>
    </row>
    <row r="2794" spans="1:1" x14ac:dyDescent="0.25">
      <c r="A2794" t="s">
        <v>2102</v>
      </c>
    </row>
    <row r="2795" spans="1:1" x14ac:dyDescent="0.25">
      <c r="A2795" t="s">
        <v>2125</v>
      </c>
    </row>
    <row r="2796" spans="1:1" x14ac:dyDescent="0.25">
      <c r="A2796" t="s">
        <v>229</v>
      </c>
    </row>
    <row r="2797" spans="1:1" x14ac:dyDescent="0.25">
      <c r="A2797" t="s">
        <v>227</v>
      </c>
    </row>
    <row r="2798" spans="1:1" x14ac:dyDescent="0.25">
      <c r="A2798" t="s">
        <v>230</v>
      </c>
    </row>
    <row r="2799" spans="1:1" x14ac:dyDescent="0.25">
      <c r="A2799" t="s">
        <v>156</v>
      </c>
    </row>
    <row r="2800" spans="1:1" x14ac:dyDescent="0.25">
      <c r="A2800" t="s">
        <v>151</v>
      </c>
    </row>
    <row r="2801" spans="1:1" x14ac:dyDescent="0.25">
      <c r="A2801" t="s">
        <v>152</v>
      </c>
    </row>
    <row r="2802" spans="1:1" x14ac:dyDescent="0.25">
      <c r="A2802" t="s">
        <v>512</v>
      </c>
    </row>
    <row r="2803" spans="1:1" x14ac:dyDescent="0.25">
      <c r="A2803" t="s">
        <v>1702</v>
      </c>
    </row>
    <row r="2804" spans="1:1" x14ac:dyDescent="0.25">
      <c r="A2804" t="s">
        <v>1703</v>
      </c>
    </row>
    <row r="2805" spans="1:1" x14ac:dyDescent="0.25">
      <c r="A2805" t="s">
        <v>1704</v>
      </c>
    </row>
    <row r="2806" spans="1:1" x14ac:dyDescent="0.25">
      <c r="A2806" t="s">
        <v>1705</v>
      </c>
    </row>
    <row r="2807" spans="1:1" x14ac:dyDescent="0.25">
      <c r="A2807" t="s">
        <v>1706</v>
      </c>
    </row>
    <row r="2808" spans="1:1" x14ac:dyDescent="0.25">
      <c r="A2808" t="s">
        <v>1707</v>
      </c>
    </row>
    <row r="2809" spans="1:1" x14ac:dyDescent="0.25">
      <c r="A2809" t="s">
        <v>1708</v>
      </c>
    </row>
    <row r="2810" spans="1:1" x14ac:dyDescent="0.25">
      <c r="A2810" t="s">
        <v>1709</v>
      </c>
    </row>
    <row r="2811" spans="1:1" x14ac:dyDescent="0.25">
      <c r="A2811" t="s">
        <v>1992</v>
      </c>
    </row>
    <row r="2812" spans="1:1" x14ac:dyDescent="0.25">
      <c r="A2812" t="s">
        <v>1993</v>
      </c>
    </row>
    <row r="2813" spans="1:1" x14ac:dyDescent="0.25">
      <c r="A2813" t="s">
        <v>1710</v>
      </c>
    </row>
    <row r="2814" spans="1:1" x14ac:dyDescent="0.25">
      <c r="A2814" t="s">
        <v>2090</v>
      </c>
    </row>
    <row r="2815" spans="1:1" x14ac:dyDescent="0.25">
      <c r="A2815" t="s">
        <v>2109</v>
      </c>
    </row>
    <row r="2816" spans="1:1" x14ac:dyDescent="0.25">
      <c r="A2816" t="s">
        <v>195</v>
      </c>
    </row>
    <row r="2817" spans="1:1" x14ac:dyDescent="0.25">
      <c r="A2817" t="s">
        <v>317</v>
      </c>
    </row>
    <row r="2818" spans="1:1" x14ac:dyDescent="0.25">
      <c r="A2818" t="s">
        <v>155</v>
      </c>
    </row>
    <row r="2819" spans="1:1" x14ac:dyDescent="0.25">
      <c r="A2819" t="s">
        <v>156</v>
      </c>
    </row>
    <row r="2820" spans="1:1" x14ac:dyDescent="0.25">
      <c r="A2820" t="s">
        <v>151</v>
      </c>
    </row>
    <row r="2821" spans="1:1" x14ac:dyDescent="0.25">
      <c r="A2821" t="s">
        <v>152</v>
      </c>
    </row>
    <row r="2822" spans="1:1" x14ac:dyDescent="0.25">
      <c r="A2822" t="s">
        <v>543</v>
      </c>
    </row>
    <row r="2823" spans="1:1" x14ac:dyDescent="0.25">
      <c r="A2823" t="s">
        <v>1711</v>
      </c>
    </row>
    <row r="2824" spans="1:1" x14ac:dyDescent="0.25">
      <c r="A2824" t="s">
        <v>1712</v>
      </c>
    </row>
    <row r="2825" spans="1:1" x14ac:dyDescent="0.25">
      <c r="A2825" t="s">
        <v>1713</v>
      </c>
    </row>
    <row r="2826" spans="1:1" x14ac:dyDescent="0.25">
      <c r="A2826" t="s">
        <v>1714</v>
      </c>
    </row>
    <row r="2827" spans="1:1" x14ac:dyDescent="0.25">
      <c r="A2827" t="s">
        <v>1715</v>
      </c>
    </row>
    <row r="2828" spans="1:1" x14ac:dyDescent="0.25">
      <c r="A2828" t="s">
        <v>1716</v>
      </c>
    </row>
    <row r="2829" spans="1:1" x14ac:dyDescent="0.25">
      <c r="A2829" t="s">
        <v>1717</v>
      </c>
    </row>
    <row r="2830" spans="1:1" x14ac:dyDescent="0.25">
      <c r="A2830" t="s">
        <v>1718</v>
      </c>
    </row>
    <row r="2831" spans="1:1" x14ac:dyDescent="0.25">
      <c r="A2831" t="s">
        <v>1979</v>
      </c>
    </row>
    <row r="2832" spans="1:1" x14ac:dyDescent="0.25">
      <c r="A2832" t="s">
        <v>1994</v>
      </c>
    </row>
    <row r="2833" spans="1:1" x14ac:dyDescent="0.25">
      <c r="A2833" t="s">
        <v>1719</v>
      </c>
    </row>
    <row r="2834" spans="1:1" x14ac:dyDescent="0.25">
      <c r="A2834" t="s">
        <v>2096</v>
      </c>
    </row>
    <row r="2835" spans="1:1" x14ac:dyDescent="0.25">
      <c r="A2835" t="s">
        <v>2126</v>
      </c>
    </row>
    <row r="2836" spans="1:1" x14ac:dyDescent="0.25">
      <c r="A2836" t="s">
        <v>377</v>
      </c>
    </row>
    <row r="2837" spans="1:1" x14ac:dyDescent="0.25">
      <c r="A2837" t="s">
        <v>378</v>
      </c>
    </row>
    <row r="2838" spans="1:1" x14ac:dyDescent="0.25">
      <c r="A2838" t="s">
        <v>155</v>
      </c>
    </row>
    <row r="2839" spans="1:1" x14ac:dyDescent="0.25">
      <c r="A2839" t="s">
        <v>156</v>
      </c>
    </row>
    <row r="2840" spans="1:1" x14ac:dyDescent="0.25">
      <c r="A2840" t="s">
        <v>151</v>
      </c>
    </row>
    <row r="2841" spans="1:1" x14ac:dyDescent="0.25">
      <c r="A2841" t="s">
        <v>152</v>
      </c>
    </row>
    <row r="2842" spans="1:1" x14ac:dyDescent="0.25">
      <c r="A2842" t="s">
        <v>536</v>
      </c>
    </row>
    <row r="2843" spans="1:1" x14ac:dyDescent="0.25">
      <c r="A2843" t="s">
        <v>1872</v>
      </c>
    </row>
    <row r="2844" spans="1:1" x14ac:dyDescent="0.25">
      <c r="A2844" t="s">
        <v>1873</v>
      </c>
    </row>
    <row r="2845" spans="1:1" x14ac:dyDescent="0.25">
      <c r="A2845" t="s">
        <v>1876</v>
      </c>
    </row>
    <row r="2846" spans="1:1" x14ac:dyDescent="0.25">
      <c r="A2846" t="s">
        <v>1877</v>
      </c>
    </row>
    <row r="2847" spans="1:1" x14ac:dyDescent="0.25">
      <c r="A2847" t="s">
        <v>1874</v>
      </c>
    </row>
    <row r="2848" spans="1:1" x14ac:dyDescent="0.25">
      <c r="A2848" t="s">
        <v>1875</v>
      </c>
    </row>
    <row r="2849" spans="1:1" x14ac:dyDescent="0.25">
      <c r="A2849" t="s">
        <v>1878</v>
      </c>
    </row>
    <row r="2850" spans="1:1" x14ac:dyDescent="0.25">
      <c r="A2850" t="s">
        <v>1879</v>
      </c>
    </row>
    <row r="2851" spans="1:1" x14ac:dyDescent="0.25">
      <c r="A2851" t="s">
        <v>1880</v>
      </c>
    </row>
    <row r="2852" spans="1:1" x14ac:dyDescent="0.25">
      <c r="A2852" t="s">
        <v>1881</v>
      </c>
    </row>
    <row r="2853" spans="1:1" x14ac:dyDescent="0.25">
      <c r="A2853" t="s">
        <v>1882</v>
      </c>
    </row>
    <row r="2854" spans="1:1" x14ac:dyDescent="0.25">
      <c r="A2854" t="s">
        <v>2092</v>
      </c>
    </row>
    <row r="2855" spans="1:1" x14ac:dyDescent="0.25">
      <c r="A2855" t="s">
        <v>2089</v>
      </c>
    </row>
    <row r="2856" spans="1:1" x14ac:dyDescent="0.25">
      <c r="A2856" t="s">
        <v>195</v>
      </c>
    </row>
    <row r="2857" spans="1:1" x14ac:dyDescent="0.25">
      <c r="A2857" t="s">
        <v>368</v>
      </c>
    </row>
    <row r="2858" spans="1:1" x14ac:dyDescent="0.25">
      <c r="A2858" t="s">
        <v>155</v>
      </c>
    </row>
    <row r="2859" spans="1:1" x14ac:dyDescent="0.25">
      <c r="A2859" t="s">
        <v>156</v>
      </c>
    </row>
    <row r="2860" spans="1:1" x14ac:dyDescent="0.25">
      <c r="A2860" t="s">
        <v>151</v>
      </c>
    </row>
    <row r="2861" spans="1:1" x14ac:dyDescent="0.25">
      <c r="A2861" t="s">
        <v>152</v>
      </c>
    </row>
    <row r="2862" spans="1:1" x14ac:dyDescent="0.25">
      <c r="A2862" t="s">
        <v>537</v>
      </c>
    </row>
    <row r="2863" spans="1:1" x14ac:dyDescent="0.25">
      <c r="A2863" t="s">
        <v>1720</v>
      </c>
    </row>
    <row r="2864" spans="1:1" x14ac:dyDescent="0.25">
      <c r="A2864" t="s">
        <v>1721</v>
      </c>
    </row>
    <row r="2865" spans="1:1" x14ac:dyDescent="0.25">
      <c r="A2865" t="s">
        <v>1722</v>
      </c>
    </row>
    <row r="2866" spans="1:1" x14ac:dyDescent="0.25">
      <c r="A2866" t="s">
        <v>1723</v>
      </c>
    </row>
    <row r="2867" spans="1:1" x14ac:dyDescent="0.25">
      <c r="A2867" t="s">
        <v>1724</v>
      </c>
    </row>
    <row r="2868" spans="1:1" x14ac:dyDescent="0.25">
      <c r="A2868" t="s">
        <v>1725</v>
      </c>
    </row>
    <row r="2869" spans="1:1" x14ac:dyDescent="0.25">
      <c r="A2869" t="s">
        <v>1312</v>
      </c>
    </row>
    <row r="2870" spans="1:1" x14ac:dyDescent="0.25">
      <c r="A2870" t="s">
        <v>1726</v>
      </c>
    </row>
    <row r="2871" spans="1:1" x14ac:dyDescent="0.25">
      <c r="A2871" t="s">
        <v>1818</v>
      </c>
    </row>
    <row r="2872" spans="1:1" x14ac:dyDescent="0.25">
      <c r="A2872" t="s">
        <v>1995</v>
      </c>
    </row>
    <row r="2873" spans="1:1" x14ac:dyDescent="0.25">
      <c r="A2873" t="s">
        <v>1313</v>
      </c>
    </row>
    <row r="2874" spans="1:1" x14ac:dyDescent="0.25">
      <c r="A2874" t="s">
        <v>2101</v>
      </c>
    </row>
    <row r="2875" spans="1:1" x14ac:dyDescent="0.25">
      <c r="A2875" t="s">
        <v>2138</v>
      </c>
    </row>
    <row r="2876" spans="1:1" x14ac:dyDescent="0.25">
      <c r="A2876" t="s">
        <v>195</v>
      </c>
    </row>
    <row r="2877" spans="1:1" x14ac:dyDescent="0.25">
      <c r="A2877" t="s">
        <v>369</v>
      </c>
    </row>
    <row r="2878" spans="1:1" x14ac:dyDescent="0.25">
      <c r="A2878" t="s">
        <v>155</v>
      </c>
    </row>
    <row r="2879" spans="1:1" x14ac:dyDescent="0.25">
      <c r="A2879" t="s">
        <v>156</v>
      </c>
    </row>
    <row r="2880" spans="1:1" x14ac:dyDescent="0.25">
      <c r="A2880" t="s">
        <v>151</v>
      </c>
    </row>
    <row r="2881" spans="1:1" x14ac:dyDescent="0.25">
      <c r="A2881" t="s">
        <v>152</v>
      </c>
    </row>
    <row r="2882" spans="1:1" x14ac:dyDescent="0.25">
      <c r="A2882" t="s">
        <v>557</v>
      </c>
    </row>
    <row r="2883" spans="1:1" x14ac:dyDescent="0.25">
      <c r="A2883" t="s">
        <v>1727</v>
      </c>
    </row>
    <row r="2884" spans="1:1" x14ac:dyDescent="0.25">
      <c r="A2884" t="s">
        <v>1728</v>
      </c>
    </row>
    <row r="2885" spans="1:1" x14ac:dyDescent="0.25">
      <c r="A2885" t="s">
        <v>1729</v>
      </c>
    </row>
    <row r="2886" spans="1:1" x14ac:dyDescent="0.25">
      <c r="A2886" t="s">
        <v>1631</v>
      </c>
    </row>
    <row r="2887" spans="1:1" x14ac:dyDescent="0.25">
      <c r="A2887" t="s">
        <v>1874</v>
      </c>
    </row>
    <row r="2888" spans="1:1" x14ac:dyDescent="0.25">
      <c r="A2888" t="s">
        <v>1875</v>
      </c>
    </row>
    <row r="2889" spans="1:1" x14ac:dyDescent="0.25">
      <c r="A2889" t="s">
        <v>1730</v>
      </c>
    </row>
    <row r="2890" spans="1:1" x14ac:dyDescent="0.25">
      <c r="A2890" t="s">
        <v>1731</v>
      </c>
    </row>
    <row r="2891" spans="1:1" x14ac:dyDescent="0.25">
      <c r="A2891" t="s">
        <v>1959</v>
      </c>
    </row>
    <row r="2892" spans="1:1" x14ac:dyDescent="0.25">
      <c r="A2892" t="s">
        <v>1996</v>
      </c>
    </row>
    <row r="2893" spans="1:1" x14ac:dyDescent="0.25">
      <c r="A2893" t="s">
        <v>1732</v>
      </c>
    </row>
    <row r="2894" spans="1:1" x14ac:dyDescent="0.25">
      <c r="A2894" t="s">
        <v>2102</v>
      </c>
    </row>
    <row r="2895" spans="1:1" x14ac:dyDescent="0.25">
      <c r="A2895" t="s">
        <v>2140</v>
      </c>
    </row>
    <row r="2896" spans="1:1" x14ac:dyDescent="0.25">
      <c r="A2896" t="s">
        <v>195</v>
      </c>
    </row>
    <row r="2897" spans="1:1" x14ac:dyDescent="0.25">
      <c r="A2897" t="s">
        <v>399</v>
      </c>
    </row>
    <row r="2898" spans="1:1" x14ac:dyDescent="0.25">
      <c r="A2898" t="s">
        <v>155</v>
      </c>
    </row>
    <row r="2899" spans="1:1" x14ac:dyDescent="0.25">
      <c r="A2899" t="s">
        <v>156</v>
      </c>
    </row>
    <row r="2900" spans="1:1" x14ac:dyDescent="0.25">
      <c r="A2900" t="s">
        <v>151</v>
      </c>
    </row>
    <row r="2901" spans="1:1" x14ac:dyDescent="0.25">
      <c r="A2901" t="s">
        <v>152</v>
      </c>
    </row>
    <row r="2902" spans="1:1" x14ac:dyDescent="0.25">
      <c r="A2902" t="s">
        <v>558</v>
      </c>
    </row>
    <row r="2903" spans="1:1" x14ac:dyDescent="0.25">
      <c r="A2903" t="s">
        <v>1733</v>
      </c>
    </row>
    <row r="2904" spans="1:1" x14ac:dyDescent="0.25">
      <c r="A2904" t="s">
        <v>1734</v>
      </c>
    </row>
    <row r="2905" spans="1:1" x14ac:dyDescent="0.25">
      <c r="A2905" t="s">
        <v>1735</v>
      </c>
    </row>
    <row r="2906" spans="1:1" x14ac:dyDescent="0.25">
      <c r="A2906" t="s">
        <v>1601</v>
      </c>
    </row>
    <row r="2907" spans="1:1" x14ac:dyDescent="0.25">
      <c r="A2907" t="s">
        <v>1874</v>
      </c>
    </row>
    <row r="2908" spans="1:1" x14ac:dyDescent="0.25">
      <c r="A2908" t="s">
        <v>1875</v>
      </c>
    </row>
    <row r="2909" spans="1:1" x14ac:dyDescent="0.25">
      <c r="A2909" t="s">
        <v>1736</v>
      </c>
    </row>
    <row r="2910" spans="1:1" x14ac:dyDescent="0.25">
      <c r="A2910" t="s">
        <v>1640</v>
      </c>
    </row>
    <row r="2911" spans="1:1" x14ac:dyDescent="0.25">
      <c r="A2911" t="s">
        <v>1978</v>
      </c>
    </row>
    <row r="2912" spans="1:1" x14ac:dyDescent="0.25">
      <c r="A2912" t="s">
        <v>1836</v>
      </c>
    </row>
    <row r="2913" spans="1:1" x14ac:dyDescent="0.25">
      <c r="A2913" t="s">
        <v>1737</v>
      </c>
    </row>
    <row r="2914" spans="1:1" x14ac:dyDescent="0.25">
      <c r="A2914" t="s">
        <v>2100</v>
      </c>
    </row>
    <row r="2915" spans="1:1" x14ac:dyDescent="0.25">
      <c r="A2915" t="s">
        <v>2142</v>
      </c>
    </row>
    <row r="2916" spans="1:1" x14ac:dyDescent="0.25">
      <c r="A2916" t="s">
        <v>195</v>
      </c>
    </row>
    <row r="2917" spans="1:1" x14ac:dyDescent="0.25">
      <c r="A2917" t="s">
        <v>400</v>
      </c>
    </row>
    <row r="2918" spans="1:1" x14ac:dyDescent="0.25">
      <c r="A2918" t="s">
        <v>155</v>
      </c>
    </row>
    <row r="2919" spans="1:1" x14ac:dyDescent="0.25">
      <c r="A2919" t="s">
        <v>156</v>
      </c>
    </row>
    <row r="2920" spans="1:1" x14ac:dyDescent="0.25">
      <c r="A2920" t="s">
        <v>151</v>
      </c>
    </row>
    <row r="2921" spans="1:1" x14ac:dyDescent="0.25">
      <c r="A2921" t="s">
        <v>152</v>
      </c>
    </row>
    <row r="2922" spans="1:1" x14ac:dyDescent="0.25">
      <c r="A2922" t="s">
        <v>583</v>
      </c>
    </row>
    <row r="2923" spans="1:1" x14ac:dyDescent="0.25">
      <c r="A2923" t="s">
        <v>1417</v>
      </c>
    </row>
    <row r="2924" spans="1:1" x14ac:dyDescent="0.25">
      <c r="A2924" t="s">
        <v>1418</v>
      </c>
    </row>
    <row r="2925" spans="1:1" x14ac:dyDescent="0.25">
      <c r="A2925" t="s">
        <v>1738</v>
      </c>
    </row>
    <row r="2926" spans="1:1" x14ac:dyDescent="0.25">
      <c r="A2926" t="s">
        <v>1739</v>
      </c>
    </row>
    <row r="2927" spans="1:1" x14ac:dyDescent="0.25">
      <c r="A2927" t="s">
        <v>1740</v>
      </c>
    </row>
    <row r="2928" spans="1:1" x14ac:dyDescent="0.25">
      <c r="A2928" t="s">
        <v>1384</v>
      </c>
    </row>
    <row r="2929" spans="1:1" x14ac:dyDescent="0.25">
      <c r="A2929" t="s">
        <v>1741</v>
      </c>
    </row>
    <row r="2930" spans="1:1" x14ac:dyDescent="0.25">
      <c r="A2930" t="s">
        <v>1424</v>
      </c>
    </row>
    <row r="2931" spans="1:1" x14ac:dyDescent="0.25">
      <c r="A2931" t="s">
        <v>1372</v>
      </c>
    </row>
    <row r="2932" spans="1:1" x14ac:dyDescent="0.25">
      <c r="A2932" t="s">
        <v>1997</v>
      </c>
    </row>
    <row r="2933" spans="1:1" x14ac:dyDescent="0.25">
      <c r="A2933" t="s">
        <v>1657</v>
      </c>
    </row>
    <row r="2934" spans="1:1" x14ac:dyDescent="0.25">
      <c r="A2934" t="s">
        <v>2090</v>
      </c>
    </row>
    <row r="2935" spans="1:1" x14ac:dyDescent="0.25">
      <c r="A2935" t="s">
        <v>2109</v>
      </c>
    </row>
    <row r="2936" spans="1:1" x14ac:dyDescent="0.25">
      <c r="A2936" t="s">
        <v>437</v>
      </c>
    </row>
    <row r="2937" spans="1:1" x14ac:dyDescent="0.25">
      <c r="A2937" t="s">
        <v>438</v>
      </c>
    </row>
    <row r="2938" spans="1:1" x14ac:dyDescent="0.25">
      <c r="A2938" t="s">
        <v>155</v>
      </c>
    </row>
    <row r="2939" spans="1:1" x14ac:dyDescent="0.25">
      <c r="A2939" t="s">
        <v>156</v>
      </c>
    </row>
    <row r="2940" spans="1:1" x14ac:dyDescent="0.25">
      <c r="A2940" t="s">
        <v>151</v>
      </c>
    </row>
    <row r="2941" spans="1:1" x14ac:dyDescent="0.25">
      <c r="A2941" t="s">
        <v>152</v>
      </c>
    </row>
    <row r="2942" spans="1:1" x14ac:dyDescent="0.25">
      <c r="A2942" t="s">
        <v>493</v>
      </c>
    </row>
    <row r="2943" spans="1:1" x14ac:dyDescent="0.25">
      <c r="A2943" t="s">
        <v>1872</v>
      </c>
    </row>
    <row r="2944" spans="1:1" x14ac:dyDescent="0.25">
      <c r="A2944" t="s">
        <v>1873</v>
      </c>
    </row>
    <row r="2945" spans="1:1" x14ac:dyDescent="0.25">
      <c r="A2945" t="s">
        <v>1742</v>
      </c>
    </row>
    <row r="2946" spans="1:1" x14ac:dyDescent="0.25">
      <c r="A2946" t="s">
        <v>1743</v>
      </c>
    </row>
    <row r="2947" spans="1:1" x14ac:dyDescent="0.25">
      <c r="A2947" t="s">
        <v>1744</v>
      </c>
    </row>
    <row r="2948" spans="1:1" x14ac:dyDescent="0.25">
      <c r="A2948" t="s">
        <v>1745</v>
      </c>
    </row>
    <row r="2949" spans="1:1" x14ac:dyDescent="0.25">
      <c r="A2949" t="s">
        <v>1746</v>
      </c>
    </row>
    <row r="2950" spans="1:1" x14ac:dyDescent="0.25">
      <c r="A2950" t="s">
        <v>1747</v>
      </c>
    </row>
    <row r="2951" spans="1:1" x14ac:dyDescent="0.25">
      <c r="A2951" t="s">
        <v>1663</v>
      </c>
    </row>
    <row r="2952" spans="1:1" x14ac:dyDescent="0.25">
      <c r="A2952" t="s">
        <v>1998</v>
      </c>
    </row>
    <row r="2953" spans="1:1" x14ac:dyDescent="0.25">
      <c r="A2953" t="s">
        <v>1748</v>
      </c>
    </row>
    <row r="2954" spans="1:1" x14ac:dyDescent="0.25">
      <c r="A2954" t="s">
        <v>2102</v>
      </c>
    </row>
    <row r="2955" spans="1:1" x14ac:dyDescent="0.25">
      <c r="A2955" t="s">
        <v>2143</v>
      </c>
    </row>
    <row r="2956" spans="1:1" x14ac:dyDescent="0.25">
      <c r="A2956" t="s">
        <v>195</v>
      </c>
    </row>
    <row r="2957" spans="1:1" x14ac:dyDescent="0.25">
      <c r="A2957" t="s">
        <v>285</v>
      </c>
    </row>
    <row r="2958" spans="1:1" x14ac:dyDescent="0.25">
      <c r="A2958" t="s">
        <v>155</v>
      </c>
    </row>
    <row r="2959" spans="1:1" x14ac:dyDescent="0.25">
      <c r="A2959" t="s">
        <v>156</v>
      </c>
    </row>
    <row r="2960" spans="1:1" x14ac:dyDescent="0.25">
      <c r="A2960" t="s">
        <v>151</v>
      </c>
    </row>
    <row r="2961" spans="1:1" x14ac:dyDescent="0.25">
      <c r="A2961" t="s">
        <v>152</v>
      </c>
    </row>
    <row r="2962" spans="1:1" x14ac:dyDescent="0.25">
      <c r="A2962" t="s">
        <v>556</v>
      </c>
    </row>
    <row r="2963" spans="1:1" x14ac:dyDescent="0.25">
      <c r="A2963" t="s">
        <v>1749</v>
      </c>
    </row>
    <row r="2964" spans="1:1" x14ac:dyDescent="0.25">
      <c r="A2964" t="s">
        <v>1750</v>
      </c>
    </row>
    <row r="2965" spans="1:1" x14ac:dyDescent="0.25">
      <c r="A2965" t="s">
        <v>1876</v>
      </c>
    </row>
    <row r="2966" spans="1:1" x14ac:dyDescent="0.25">
      <c r="A2966" t="s">
        <v>1877</v>
      </c>
    </row>
    <row r="2967" spans="1:1" x14ac:dyDescent="0.25">
      <c r="A2967" t="s">
        <v>1751</v>
      </c>
    </row>
    <row r="2968" spans="1:1" x14ac:dyDescent="0.25">
      <c r="A2968" t="s">
        <v>1752</v>
      </c>
    </row>
    <row r="2969" spans="1:1" x14ac:dyDescent="0.25">
      <c r="A2969" t="s">
        <v>1753</v>
      </c>
    </row>
    <row r="2970" spans="1:1" x14ac:dyDescent="0.25">
      <c r="A2970" t="s">
        <v>1754</v>
      </c>
    </row>
    <row r="2971" spans="1:1" x14ac:dyDescent="0.25">
      <c r="A2971" t="s">
        <v>1628</v>
      </c>
    </row>
    <row r="2972" spans="1:1" x14ac:dyDescent="0.25">
      <c r="A2972" t="s">
        <v>1999</v>
      </c>
    </row>
    <row r="2973" spans="1:1" x14ac:dyDescent="0.25">
      <c r="A2973" t="s">
        <v>1755</v>
      </c>
    </row>
    <row r="2974" spans="1:1" x14ac:dyDescent="0.25">
      <c r="A2974" t="s">
        <v>2091</v>
      </c>
    </row>
    <row r="2975" spans="1:1" x14ac:dyDescent="0.25">
      <c r="A2975" t="s">
        <v>2110</v>
      </c>
    </row>
    <row r="2976" spans="1:1" x14ac:dyDescent="0.25">
      <c r="A2976" t="s">
        <v>397</v>
      </c>
    </row>
    <row r="2977" spans="1:1" x14ac:dyDescent="0.25">
      <c r="A2977" t="s">
        <v>398</v>
      </c>
    </row>
    <row r="2978" spans="1:1" x14ac:dyDescent="0.25">
      <c r="A2978" t="s">
        <v>155</v>
      </c>
    </row>
    <row r="2979" spans="1:1" x14ac:dyDescent="0.25">
      <c r="A2979" t="s">
        <v>156</v>
      </c>
    </row>
    <row r="2980" spans="1:1" x14ac:dyDescent="0.25">
      <c r="A2980" t="s">
        <v>151</v>
      </c>
    </row>
    <row r="2981" spans="1:1" x14ac:dyDescent="0.25">
      <c r="A2981" t="s">
        <v>152</v>
      </c>
    </row>
    <row r="2982" spans="1:1" x14ac:dyDescent="0.25">
      <c r="A2982" t="s">
        <v>580</v>
      </c>
    </row>
    <row r="2983" spans="1:1" x14ac:dyDescent="0.25">
      <c r="A2983" t="s">
        <v>1872</v>
      </c>
    </row>
    <row r="2984" spans="1:1" x14ac:dyDescent="0.25">
      <c r="A2984" t="s">
        <v>1873</v>
      </c>
    </row>
    <row r="2985" spans="1:1" x14ac:dyDescent="0.25">
      <c r="A2985" t="s">
        <v>1756</v>
      </c>
    </row>
    <row r="2986" spans="1:1" x14ac:dyDescent="0.25">
      <c r="A2986" t="s">
        <v>1757</v>
      </c>
    </row>
    <row r="2987" spans="1:1" x14ac:dyDescent="0.25">
      <c r="A2987" t="s">
        <v>1758</v>
      </c>
    </row>
    <row r="2988" spans="1:1" x14ac:dyDescent="0.25">
      <c r="A2988" t="s">
        <v>1384</v>
      </c>
    </row>
    <row r="2989" spans="1:1" x14ac:dyDescent="0.25">
      <c r="A2989" t="s">
        <v>1759</v>
      </c>
    </row>
    <row r="2990" spans="1:1" x14ac:dyDescent="0.25">
      <c r="A2990" t="s">
        <v>1879</v>
      </c>
    </row>
    <row r="2991" spans="1:1" x14ac:dyDescent="0.25">
      <c r="A2991" t="s">
        <v>1656</v>
      </c>
    </row>
    <row r="2992" spans="1:1" x14ac:dyDescent="0.25">
      <c r="A2992" t="s">
        <v>1951</v>
      </c>
    </row>
    <row r="2993" spans="1:1" x14ac:dyDescent="0.25">
      <c r="A2993" t="s">
        <v>1760</v>
      </c>
    </row>
    <row r="2994" spans="1:1" x14ac:dyDescent="0.25">
      <c r="A2994" t="s">
        <v>2091</v>
      </c>
    </row>
    <row r="2995" spans="1:1" x14ac:dyDescent="0.25">
      <c r="A2995" t="s">
        <v>2110</v>
      </c>
    </row>
    <row r="2996" spans="1:1" x14ac:dyDescent="0.25">
      <c r="A2996" t="s">
        <v>195</v>
      </c>
    </row>
    <row r="2997" spans="1:1" x14ac:dyDescent="0.25">
      <c r="A2997" t="s">
        <v>433</v>
      </c>
    </row>
    <row r="2998" spans="1:1" x14ac:dyDescent="0.25">
      <c r="A2998" t="s">
        <v>155</v>
      </c>
    </row>
    <row r="2999" spans="1:1" x14ac:dyDescent="0.25">
      <c r="A2999" t="s">
        <v>156</v>
      </c>
    </row>
    <row r="3000" spans="1:1" x14ac:dyDescent="0.25">
      <c r="A3000" t="s">
        <v>151</v>
      </c>
    </row>
    <row r="3001" spans="1:1" x14ac:dyDescent="0.25">
      <c r="A3001" t="s">
        <v>152</v>
      </c>
    </row>
    <row r="3002" spans="1:1" x14ac:dyDescent="0.25">
      <c r="A3002" t="s">
        <v>535</v>
      </c>
    </row>
    <row r="3003" spans="1:1" x14ac:dyDescent="0.25">
      <c r="A3003" t="s">
        <v>1761</v>
      </c>
    </row>
    <row r="3004" spans="1:1" x14ac:dyDescent="0.25">
      <c r="A3004" t="s">
        <v>1501</v>
      </c>
    </row>
    <row r="3005" spans="1:1" x14ac:dyDescent="0.25">
      <c r="A3005" t="s">
        <v>1876</v>
      </c>
    </row>
    <row r="3006" spans="1:1" x14ac:dyDescent="0.25">
      <c r="A3006" t="s">
        <v>1877</v>
      </c>
    </row>
    <row r="3007" spans="1:1" x14ac:dyDescent="0.25">
      <c r="A3007" t="s">
        <v>1874</v>
      </c>
    </row>
    <row r="3008" spans="1:1" x14ac:dyDescent="0.25">
      <c r="A3008" t="s">
        <v>1875</v>
      </c>
    </row>
    <row r="3009" spans="1:1" x14ac:dyDescent="0.25">
      <c r="A3009" t="s">
        <v>1762</v>
      </c>
    </row>
    <row r="3010" spans="1:1" x14ac:dyDescent="0.25">
      <c r="A3010" t="s">
        <v>1763</v>
      </c>
    </row>
    <row r="3011" spans="1:1" x14ac:dyDescent="0.25">
      <c r="A3011" t="s">
        <v>1880</v>
      </c>
    </row>
    <row r="3012" spans="1:1" x14ac:dyDescent="0.25">
      <c r="A3012" t="s">
        <v>1881</v>
      </c>
    </row>
    <row r="3013" spans="1:1" x14ac:dyDescent="0.25">
      <c r="A3013" t="s">
        <v>1765</v>
      </c>
    </row>
    <row r="3014" spans="1:1" x14ac:dyDescent="0.25">
      <c r="A3014" t="s">
        <v>2095</v>
      </c>
    </row>
    <row r="3015" spans="1:1" x14ac:dyDescent="0.25">
      <c r="A3015" t="s">
        <v>2125</v>
      </c>
    </row>
    <row r="3016" spans="1:1" x14ac:dyDescent="0.25">
      <c r="A3016" t="s">
        <v>195</v>
      </c>
    </row>
    <row r="3017" spans="1:1" x14ac:dyDescent="0.25">
      <c r="A3017" t="s">
        <v>367</v>
      </c>
    </row>
    <row r="3018" spans="1:1" x14ac:dyDescent="0.25">
      <c r="A3018" t="s">
        <v>155</v>
      </c>
    </row>
    <row r="3019" spans="1:1" x14ac:dyDescent="0.25">
      <c r="A3019" t="s">
        <v>156</v>
      </c>
    </row>
    <row r="3020" spans="1:1" x14ac:dyDescent="0.25">
      <c r="A3020" t="s">
        <v>151</v>
      </c>
    </row>
    <row r="3021" spans="1:1" x14ac:dyDescent="0.25">
      <c r="A3021" t="s">
        <v>152</v>
      </c>
    </row>
    <row r="3022" spans="1:1" x14ac:dyDescent="0.25">
      <c r="A3022" t="s">
        <v>490</v>
      </c>
    </row>
    <row r="3023" spans="1:1" x14ac:dyDescent="0.25">
      <c r="A3023" t="s">
        <v>1872</v>
      </c>
    </row>
    <row r="3024" spans="1:1" x14ac:dyDescent="0.25">
      <c r="A3024" t="s">
        <v>1873</v>
      </c>
    </row>
    <row r="3025" spans="1:1" x14ac:dyDescent="0.25">
      <c r="A3025" t="s">
        <v>1876</v>
      </c>
    </row>
    <row r="3026" spans="1:1" x14ac:dyDescent="0.25">
      <c r="A3026" t="s">
        <v>1877</v>
      </c>
    </row>
    <row r="3027" spans="1:1" x14ac:dyDescent="0.25">
      <c r="A3027" t="s">
        <v>1874</v>
      </c>
    </row>
    <row r="3028" spans="1:1" x14ac:dyDescent="0.25">
      <c r="A3028" t="s">
        <v>1875</v>
      </c>
    </row>
    <row r="3029" spans="1:1" x14ac:dyDescent="0.25">
      <c r="A3029" t="s">
        <v>1878</v>
      </c>
    </row>
    <row r="3030" spans="1:1" x14ac:dyDescent="0.25">
      <c r="A3030" t="s">
        <v>1879</v>
      </c>
    </row>
    <row r="3031" spans="1:1" x14ac:dyDescent="0.25">
      <c r="A3031" t="s">
        <v>1880</v>
      </c>
    </row>
    <row r="3032" spans="1:1" x14ac:dyDescent="0.25">
      <c r="A3032" t="s">
        <v>1881</v>
      </c>
    </row>
    <row r="3033" spans="1:1" x14ac:dyDescent="0.25">
      <c r="A3033" t="s">
        <v>1882</v>
      </c>
    </row>
    <row r="3034" spans="1:1" x14ac:dyDescent="0.25">
      <c r="A3034" t="s">
        <v>2100</v>
      </c>
    </row>
    <row r="3035" spans="1:1" x14ac:dyDescent="0.25">
      <c r="A3035" t="s">
        <v>2137</v>
      </c>
    </row>
    <row r="3036" spans="1:1" x14ac:dyDescent="0.25">
      <c r="A3036" t="s">
        <v>195</v>
      </c>
    </row>
    <row r="3037" spans="1:1" x14ac:dyDescent="0.25">
      <c r="A3037" t="s">
        <v>282</v>
      </c>
    </row>
    <row r="3038" spans="1:1" x14ac:dyDescent="0.25">
      <c r="A3038" t="s">
        <v>155</v>
      </c>
    </row>
    <row r="3039" spans="1:1" x14ac:dyDescent="0.25">
      <c r="A3039" t="s">
        <v>156</v>
      </c>
    </row>
    <row r="3040" spans="1:1" x14ac:dyDescent="0.25">
      <c r="A3040" t="s">
        <v>151</v>
      </c>
    </row>
    <row r="3041" spans="1:1" x14ac:dyDescent="0.25">
      <c r="A3041" t="s">
        <v>152</v>
      </c>
    </row>
    <row r="3042" spans="1:1" x14ac:dyDescent="0.25">
      <c r="A3042" t="s">
        <v>548</v>
      </c>
    </row>
    <row r="3043" spans="1:1" x14ac:dyDescent="0.25">
      <c r="A3043" t="s">
        <v>1766</v>
      </c>
    </row>
    <row r="3044" spans="1:1" x14ac:dyDescent="0.25">
      <c r="A3044" t="s">
        <v>1767</v>
      </c>
    </row>
    <row r="3045" spans="1:1" x14ac:dyDescent="0.25">
      <c r="A3045" t="s">
        <v>1768</v>
      </c>
    </row>
    <row r="3046" spans="1:1" x14ac:dyDescent="0.25">
      <c r="A3046" t="s">
        <v>1769</v>
      </c>
    </row>
    <row r="3047" spans="1:1" x14ac:dyDescent="0.25">
      <c r="A3047" t="s">
        <v>1874</v>
      </c>
    </row>
    <row r="3048" spans="1:1" x14ac:dyDescent="0.25">
      <c r="A3048" t="s">
        <v>1875</v>
      </c>
    </row>
    <row r="3049" spans="1:1" x14ac:dyDescent="0.25">
      <c r="A3049" t="s">
        <v>1770</v>
      </c>
    </row>
    <row r="3050" spans="1:1" x14ac:dyDescent="0.25">
      <c r="A3050" t="s">
        <v>1301</v>
      </c>
    </row>
    <row r="3051" spans="1:1" x14ac:dyDescent="0.25">
      <c r="A3051" t="s">
        <v>2000</v>
      </c>
    </row>
    <row r="3052" spans="1:1" x14ac:dyDescent="0.25">
      <c r="A3052" t="s">
        <v>2001</v>
      </c>
    </row>
    <row r="3053" spans="1:1" x14ac:dyDescent="0.25">
      <c r="A3053" t="s">
        <v>1771</v>
      </c>
    </row>
    <row r="3054" spans="1:1" x14ac:dyDescent="0.25">
      <c r="A3054" t="s">
        <v>2102</v>
      </c>
    </row>
    <row r="3055" spans="1:1" x14ac:dyDescent="0.25">
      <c r="A3055" t="s">
        <v>2138</v>
      </c>
    </row>
    <row r="3056" spans="1:1" x14ac:dyDescent="0.25">
      <c r="A3056" t="s">
        <v>195</v>
      </c>
    </row>
    <row r="3057" spans="1:1" x14ac:dyDescent="0.25">
      <c r="A3057" t="s">
        <v>387</v>
      </c>
    </row>
    <row r="3058" spans="1:1" x14ac:dyDescent="0.25">
      <c r="A3058" t="s">
        <v>155</v>
      </c>
    </row>
    <row r="3059" spans="1:1" x14ac:dyDescent="0.25">
      <c r="A3059" t="s">
        <v>156</v>
      </c>
    </row>
    <row r="3060" spans="1:1" x14ac:dyDescent="0.25">
      <c r="A3060" t="s">
        <v>151</v>
      </c>
    </row>
    <row r="3061" spans="1:1" x14ac:dyDescent="0.25">
      <c r="A3061" t="s">
        <v>152</v>
      </c>
    </row>
    <row r="3062" spans="1:1" x14ac:dyDescent="0.25">
      <c r="A3062" t="s">
        <v>582</v>
      </c>
    </row>
    <row r="3063" spans="1:1" x14ac:dyDescent="0.25">
      <c r="A3063" t="s">
        <v>1872</v>
      </c>
    </row>
    <row r="3064" spans="1:1" x14ac:dyDescent="0.25">
      <c r="A3064" t="s">
        <v>1873</v>
      </c>
    </row>
    <row r="3065" spans="1:1" x14ac:dyDescent="0.25">
      <c r="A3065" t="s">
        <v>1876</v>
      </c>
    </row>
    <row r="3066" spans="1:1" x14ac:dyDescent="0.25">
      <c r="A3066" t="s">
        <v>1877</v>
      </c>
    </row>
    <row r="3067" spans="1:1" x14ac:dyDescent="0.25">
      <c r="A3067" t="s">
        <v>1772</v>
      </c>
    </row>
    <row r="3068" spans="1:1" x14ac:dyDescent="0.25">
      <c r="A3068" t="s">
        <v>1773</v>
      </c>
    </row>
    <row r="3069" spans="1:1" x14ac:dyDescent="0.25">
      <c r="A3069" t="s">
        <v>1774</v>
      </c>
    </row>
    <row r="3070" spans="1:1" x14ac:dyDescent="0.25">
      <c r="A3070" t="s">
        <v>1775</v>
      </c>
    </row>
    <row r="3071" spans="1:1" x14ac:dyDescent="0.25">
      <c r="A3071" t="s">
        <v>2002</v>
      </c>
    </row>
    <row r="3072" spans="1:1" x14ac:dyDescent="0.25">
      <c r="A3072" t="s">
        <v>2003</v>
      </c>
    </row>
    <row r="3073" spans="1:1" x14ac:dyDescent="0.25">
      <c r="A3073" t="s">
        <v>1776</v>
      </c>
    </row>
    <row r="3074" spans="1:1" x14ac:dyDescent="0.25">
      <c r="A3074" t="s">
        <v>2101</v>
      </c>
    </row>
    <row r="3075" spans="1:1" x14ac:dyDescent="0.25">
      <c r="A3075" t="s">
        <v>2138</v>
      </c>
    </row>
    <row r="3076" spans="1:1" x14ac:dyDescent="0.25">
      <c r="A3076" t="s">
        <v>195</v>
      </c>
    </row>
    <row r="3077" spans="1:1" x14ac:dyDescent="0.25">
      <c r="A3077" t="s">
        <v>436</v>
      </c>
    </row>
    <row r="3078" spans="1:1" x14ac:dyDescent="0.25">
      <c r="A3078" t="s">
        <v>155</v>
      </c>
    </row>
    <row r="3079" spans="1:1" x14ac:dyDescent="0.25">
      <c r="A3079" t="s">
        <v>156</v>
      </c>
    </row>
    <row r="3080" spans="1:1" x14ac:dyDescent="0.25">
      <c r="A3080" t="s">
        <v>151</v>
      </c>
    </row>
    <row r="3081" spans="1:1" x14ac:dyDescent="0.25">
      <c r="A3081" t="s">
        <v>152</v>
      </c>
    </row>
    <row r="3082" spans="1:1" x14ac:dyDescent="0.25">
      <c r="A3082" t="s">
        <v>475</v>
      </c>
    </row>
    <row r="3083" spans="1:1" x14ac:dyDescent="0.25">
      <c r="A3083" t="s">
        <v>1777</v>
      </c>
    </row>
    <row r="3084" spans="1:1" x14ac:dyDescent="0.25">
      <c r="A3084" t="s">
        <v>1778</v>
      </c>
    </row>
    <row r="3085" spans="1:1" x14ac:dyDescent="0.25">
      <c r="A3085" t="s">
        <v>1779</v>
      </c>
    </row>
    <row r="3086" spans="1:1" x14ac:dyDescent="0.25">
      <c r="A3086" t="s">
        <v>1780</v>
      </c>
    </row>
    <row r="3087" spans="1:1" x14ac:dyDescent="0.25">
      <c r="A3087" t="s">
        <v>1781</v>
      </c>
    </row>
    <row r="3088" spans="1:1" x14ac:dyDescent="0.25">
      <c r="A3088" t="s">
        <v>1782</v>
      </c>
    </row>
    <row r="3089" spans="1:1" x14ac:dyDescent="0.25">
      <c r="A3089" t="s">
        <v>1746</v>
      </c>
    </row>
    <row r="3090" spans="1:1" x14ac:dyDescent="0.25">
      <c r="A3090" t="s">
        <v>1783</v>
      </c>
    </row>
    <row r="3091" spans="1:1" x14ac:dyDescent="0.25">
      <c r="A3091" t="s">
        <v>2004</v>
      </c>
    </row>
    <row r="3092" spans="1:1" x14ac:dyDescent="0.25">
      <c r="A3092" t="s">
        <v>2005</v>
      </c>
    </row>
    <row r="3093" spans="1:1" x14ac:dyDescent="0.25">
      <c r="A3093" t="s">
        <v>1748</v>
      </c>
    </row>
    <row r="3094" spans="1:1" x14ac:dyDescent="0.25">
      <c r="A3094" t="s">
        <v>2141</v>
      </c>
    </row>
    <row r="3095" spans="1:1" x14ac:dyDescent="0.25">
      <c r="A3095" t="s">
        <v>2136</v>
      </c>
    </row>
    <row r="3096" spans="1:1" x14ac:dyDescent="0.25">
      <c r="A3096" t="s">
        <v>195</v>
      </c>
    </row>
    <row r="3097" spans="1:1" x14ac:dyDescent="0.25">
      <c r="A3097" t="s">
        <v>257</v>
      </c>
    </row>
    <row r="3098" spans="1:1" x14ac:dyDescent="0.25">
      <c r="A3098" t="s">
        <v>155</v>
      </c>
    </row>
    <row r="3099" spans="1:1" x14ac:dyDescent="0.25">
      <c r="A3099" t="s">
        <v>156</v>
      </c>
    </row>
    <row r="3100" spans="1:1" x14ac:dyDescent="0.25">
      <c r="A3100" t="s">
        <v>151</v>
      </c>
    </row>
    <row r="3101" spans="1:1" x14ac:dyDescent="0.25">
      <c r="A3101" t="s">
        <v>152</v>
      </c>
    </row>
    <row r="3102" spans="1:1" x14ac:dyDescent="0.25">
      <c r="A3102" t="s">
        <v>496</v>
      </c>
    </row>
    <row r="3103" spans="1:1" x14ac:dyDescent="0.25">
      <c r="A3103" t="s">
        <v>1784</v>
      </c>
    </row>
    <row r="3104" spans="1:1" x14ac:dyDescent="0.25">
      <c r="A3104" t="s">
        <v>1785</v>
      </c>
    </row>
    <row r="3105" spans="1:1" x14ac:dyDescent="0.25">
      <c r="A3105" t="s">
        <v>1786</v>
      </c>
    </row>
    <row r="3106" spans="1:1" x14ac:dyDescent="0.25">
      <c r="A3106" t="s">
        <v>1787</v>
      </c>
    </row>
    <row r="3107" spans="1:1" x14ac:dyDescent="0.25">
      <c r="A3107" t="s">
        <v>1874</v>
      </c>
    </row>
    <row r="3108" spans="1:1" x14ac:dyDescent="0.25">
      <c r="A3108" t="s">
        <v>1875</v>
      </c>
    </row>
    <row r="3109" spans="1:1" x14ac:dyDescent="0.25">
      <c r="A3109" t="s">
        <v>1788</v>
      </c>
    </row>
    <row r="3110" spans="1:1" x14ac:dyDescent="0.25">
      <c r="A3110" t="s">
        <v>1789</v>
      </c>
    </row>
    <row r="3111" spans="1:1" x14ac:dyDescent="0.25">
      <c r="A3111" t="s">
        <v>2006</v>
      </c>
    </row>
    <row r="3112" spans="1:1" x14ac:dyDescent="0.25">
      <c r="A3112" t="s">
        <v>1864</v>
      </c>
    </row>
    <row r="3113" spans="1:1" x14ac:dyDescent="0.25">
      <c r="A3113" t="s">
        <v>1791</v>
      </c>
    </row>
    <row r="3114" spans="1:1" x14ac:dyDescent="0.25">
      <c r="A3114" t="s">
        <v>2102</v>
      </c>
    </row>
    <row r="3115" spans="1:1" x14ac:dyDescent="0.25">
      <c r="A3115" t="s">
        <v>2143</v>
      </c>
    </row>
    <row r="3116" spans="1:1" x14ac:dyDescent="0.25">
      <c r="A3116" t="s">
        <v>195</v>
      </c>
    </row>
    <row r="3117" spans="1:1" x14ac:dyDescent="0.25">
      <c r="A3117" t="s">
        <v>288</v>
      </c>
    </row>
    <row r="3118" spans="1:1" x14ac:dyDescent="0.25">
      <c r="A3118" t="s">
        <v>155</v>
      </c>
    </row>
    <row r="3119" spans="1:1" x14ac:dyDescent="0.25">
      <c r="A3119" t="s">
        <v>156</v>
      </c>
    </row>
    <row r="3120" spans="1:1" x14ac:dyDescent="0.25">
      <c r="A3120" t="s">
        <v>151</v>
      </c>
    </row>
    <row r="3121" spans="1:1" x14ac:dyDescent="0.25">
      <c r="A3121" t="s">
        <v>152</v>
      </c>
    </row>
    <row r="3122" spans="1:1" x14ac:dyDescent="0.25">
      <c r="A3122" t="s">
        <v>469</v>
      </c>
    </row>
    <row r="3123" spans="1:1" x14ac:dyDescent="0.25">
      <c r="A3123" t="s">
        <v>1872</v>
      </c>
    </row>
    <row r="3124" spans="1:1" x14ac:dyDescent="0.25">
      <c r="A3124" t="s">
        <v>1873</v>
      </c>
    </row>
    <row r="3125" spans="1:1" x14ac:dyDescent="0.25">
      <c r="A3125" t="s">
        <v>1738</v>
      </c>
    </row>
    <row r="3126" spans="1:1" x14ac:dyDescent="0.25">
      <c r="A3126" t="s">
        <v>1792</v>
      </c>
    </row>
    <row r="3127" spans="1:1" x14ac:dyDescent="0.25">
      <c r="A3127" t="s">
        <v>1793</v>
      </c>
    </row>
    <row r="3128" spans="1:1" x14ac:dyDescent="0.25">
      <c r="A3128" t="s">
        <v>1794</v>
      </c>
    </row>
    <row r="3129" spans="1:1" x14ac:dyDescent="0.25">
      <c r="A3129" t="s">
        <v>1256</v>
      </c>
    </row>
    <row r="3130" spans="1:1" x14ac:dyDescent="0.25">
      <c r="A3130" t="s">
        <v>1795</v>
      </c>
    </row>
    <row r="3131" spans="1:1" x14ac:dyDescent="0.25">
      <c r="A3131" t="s">
        <v>1372</v>
      </c>
    </row>
    <row r="3132" spans="1:1" x14ac:dyDescent="0.25">
      <c r="A3132" t="s">
        <v>1991</v>
      </c>
    </row>
    <row r="3133" spans="1:1" x14ac:dyDescent="0.25">
      <c r="A3133" t="s">
        <v>1258</v>
      </c>
    </row>
    <row r="3134" spans="1:1" x14ac:dyDescent="0.25">
      <c r="A3134" t="s">
        <v>2097</v>
      </c>
    </row>
    <row r="3135" spans="1:1" x14ac:dyDescent="0.25">
      <c r="A3135" t="s">
        <v>2129</v>
      </c>
    </row>
    <row r="3136" spans="1:1" x14ac:dyDescent="0.25">
      <c r="A3136" t="s">
        <v>195</v>
      </c>
    </row>
    <row r="3137" spans="1:1" x14ac:dyDescent="0.25">
      <c r="A3137" t="s">
        <v>249</v>
      </c>
    </row>
    <row r="3138" spans="1:1" x14ac:dyDescent="0.25">
      <c r="A3138" t="s">
        <v>155</v>
      </c>
    </row>
    <row r="3139" spans="1:1" x14ac:dyDescent="0.25">
      <c r="A3139" t="s">
        <v>156</v>
      </c>
    </row>
    <row r="3140" spans="1:1" x14ac:dyDescent="0.25">
      <c r="A3140" t="s">
        <v>151</v>
      </c>
    </row>
    <row r="3141" spans="1:1" x14ac:dyDescent="0.25">
      <c r="A3141" t="s">
        <v>152</v>
      </c>
    </row>
    <row r="3142" spans="1:1" x14ac:dyDescent="0.25">
      <c r="A3142" t="s">
        <v>474</v>
      </c>
    </row>
    <row r="3143" spans="1:1" x14ac:dyDescent="0.25">
      <c r="A3143" t="s">
        <v>1872</v>
      </c>
    </row>
    <row r="3144" spans="1:1" x14ac:dyDescent="0.25">
      <c r="A3144" t="s">
        <v>1873</v>
      </c>
    </row>
    <row r="3145" spans="1:1" x14ac:dyDescent="0.25">
      <c r="A3145" t="s">
        <v>1876</v>
      </c>
    </row>
    <row r="3146" spans="1:1" x14ac:dyDescent="0.25">
      <c r="A3146" t="s">
        <v>1877</v>
      </c>
    </row>
    <row r="3147" spans="1:1" x14ac:dyDescent="0.25">
      <c r="A3147" t="s">
        <v>1874</v>
      </c>
    </row>
    <row r="3148" spans="1:1" x14ac:dyDescent="0.25">
      <c r="A3148" t="s">
        <v>1875</v>
      </c>
    </row>
    <row r="3149" spans="1:1" x14ac:dyDescent="0.25">
      <c r="A3149" t="s">
        <v>1878</v>
      </c>
    </row>
    <row r="3150" spans="1:1" x14ac:dyDescent="0.25">
      <c r="A3150" t="s">
        <v>1879</v>
      </c>
    </row>
    <row r="3151" spans="1:1" x14ac:dyDescent="0.25">
      <c r="A3151" t="s">
        <v>1880</v>
      </c>
    </row>
    <row r="3152" spans="1:1" x14ac:dyDescent="0.25">
      <c r="A3152" t="s">
        <v>1881</v>
      </c>
    </row>
    <row r="3153" spans="1:1" x14ac:dyDescent="0.25">
      <c r="A3153" t="s">
        <v>1882</v>
      </c>
    </row>
    <row r="3154" spans="1:1" x14ac:dyDescent="0.25">
      <c r="A3154" t="s">
        <v>2092</v>
      </c>
    </row>
    <row r="3155" spans="1:1" x14ac:dyDescent="0.25">
      <c r="A3155" t="s">
        <v>2089</v>
      </c>
    </row>
    <row r="3156" spans="1:1" x14ac:dyDescent="0.25">
      <c r="A3156" t="s">
        <v>255</v>
      </c>
    </row>
    <row r="3157" spans="1:1" x14ac:dyDescent="0.25">
      <c r="A3157" t="s">
        <v>256</v>
      </c>
    </row>
    <row r="3158" spans="1:1" x14ac:dyDescent="0.25">
      <c r="A3158" t="s">
        <v>155</v>
      </c>
    </row>
    <row r="3159" spans="1:1" x14ac:dyDescent="0.25">
      <c r="A3159" t="s">
        <v>156</v>
      </c>
    </row>
    <row r="3160" spans="1:1" x14ac:dyDescent="0.25">
      <c r="A3160" t="s">
        <v>151</v>
      </c>
    </row>
    <row r="3161" spans="1:1" x14ac:dyDescent="0.25">
      <c r="A3161" t="s">
        <v>152</v>
      </c>
    </row>
    <row r="3162" spans="1:1" x14ac:dyDescent="0.25">
      <c r="A3162" t="s">
        <v>495</v>
      </c>
    </row>
    <row r="3163" spans="1:1" x14ac:dyDescent="0.25">
      <c r="A3163" t="s">
        <v>1796</v>
      </c>
    </row>
    <row r="3164" spans="1:1" x14ac:dyDescent="0.25">
      <c r="A3164" t="s">
        <v>1797</v>
      </c>
    </row>
    <row r="3165" spans="1:1" x14ac:dyDescent="0.25">
      <c r="A3165" t="s">
        <v>1798</v>
      </c>
    </row>
    <row r="3166" spans="1:1" x14ac:dyDescent="0.25">
      <c r="A3166" t="s">
        <v>1799</v>
      </c>
    </row>
    <row r="3167" spans="1:1" x14ac:dyDescent="0.25">
      <c r="A3167" t="s">
        <v>1874</v>
      </c>
    </row>
    <row r="3168" spans="1:1" x14ac:dyDescent="0.25">
      <c r="A3168" t="s">
        <v>1875</v>
      </c>
    </row>
    <row r="3169" spans="1:1" x14ac:dyDescent="0.25">
      <c r="A3169" t="s">
        <v>1800</v>
      </c>
    </row>
    <row r="3170" spans="1:1" x14ac:dyDescent="0.25">
      <c r="A3170" t="s">
        <v>1386</v>
      </c>
    </row>
    <row r="3171" spans="1:1" x14ac:dyDescent="0.25">
      <c r="A3171" t="s">
        <v>2007</v>
      </c>
    </row>
    <row r="3172" spans="1:1" x14ac:dyDescent="0.25">
      <c r="A3172" t="s">
        <v>1790</v>
      </c>
    </row>
    <row r="3173" spans="1:1" x14ac:dyDescent="0.25">
      <c r="A3173" t="s">
        <v>1801</v>
      </c>
    </row>
    <row r="3174" spans="1:1" x14ac:dyDescent="0.25">
      <c r="A3174" t="s">
        <v>2090</v>
      </c>
    </row>
    <row r="3175" spans="1:1" x14ac:dyDescent="0.25">
      <c r="A3175" t="s">
        <v>2109</v>
      </c>
    </row>
    <row r="3176" spans="1:1" x14ac:dyDescent="0.25">
      <c r="A3176" t="s">
        <v>195</v>
      </c>
    </row>
    <row r="3177" spans="1:1" x14ac:dyDescent="0.25">
      <c r="A3177" t="s">
        <v>287</v>
      </c>
    </row>
    <row r="3178" spans="1:1" x14ac:dyDescent="0.25">
      <c r="A3178" t="s">
        <v>155</v>
      </c>
    </row>
    <row r="3179" spans="1:1" x14ac:dyDescent="0.25">
      <c r="A3179" t="s">
        <v>156</v>
      </c>
    </row>
    <row r="3180" spans="1:1" x14ac:dyDescent="0.25">
      <c r="A3180" t="s">
        <v>151</v>
      </c>
    </row>
    <row r="3181" spans="1:1" x14ac:dyDescent="0.25">
      <c r="A3181" t="s">
        <v>152</v>
      </c>
    </row>
    <row r="3182" spans="1:1" x14ac:dyDescent="0.25">
      <c r="A3182" t="s">
        <v>480</v>
      </c>
    </row>
    <row r="3183" spans="1:1" x14ac:dyDescent="0.25">
      <c r="A3183" t="s">
        <v>1802</v>
      </c>
    </row>
    <row r="3184" spans="1:1" x14ac:dyDescent="0.25">
      <c r="A3184" t="s">
        <v>1803</v>
      </c>
    </row>
    <row r="3185" spans="1:1" x14ac:dyDescent="0.25">
      <c r="A3185" t="s">
        <v>1804</v>
      </c>
    </row>
    <row r="3186" spans="1:1" x14ac:dyDescent="0.25">
      <c r="A3186" t="s">
        <v>1631</v>
      </c>
    </row>
    <row r="3187" spans="1:1" x14ac:dyDescent="0.25">
      <c r="A3187" t="s">
        <v>1874</v>
      </c>
    </row>
    <row r="3188" spans="1:1" x14ac:dyDescent="0.25">
      <c r="A3188" t="s">
        <v>1875</v>
      </c>
    </row>
    <row r="3189" spans="1:1" x14ac:dyDescent="0.25">
      <c r="A3189" t="s">
        <v>1805</v>
      </c>
    </row>
    <row r="3190" spans="1:1" x14ac:dyDescent="0.25">
      <c r="A3190" t="s">
        <v>1775</v>
      </c>
    </row>
    <row r="3191" spans="1:1" x14ac:dyDescent="0.25">
      <c r="A3191" t="s">
        <v>2008</v>
      </c>
    </row>
    <row r="3192" spans="1:1" x14ac:dyDescent="0.25">
      <c r="A3192" t="s">
        <v>2009</v>
      </c>
    </row>
    <row r="3193" spans="1:1" x14ac:dyDescent="0.25">
      <c r="A3193" t="s">
        <v>1806</v>
      </c>
    </row>
    <row r="3194" spans="1:1" x14ac:dyDescent="0.25">
      <c r="A3194" t="s">
        <v>2103</v>
      </c>
    </row>
    <row r="3195" spans="1:1" x14ac:dyDescent="0.25">
      <c r="A3195" t="s">
        <v>2140</v>
      </c>
    </row>
    <row r="3196" spans="1:1" x14ac:dyDescent="0.25">
      <c r="A3196" t="s">
        <v>195</v>
      </c>
    </row>
    <row r="3197" spans="1:1" x14ac:dyDescent="0.25">
      <c r="A3197" t="s">
        <v>265</v>
      </c>
    </row>
    <row r="3198" spans="1:1" x14ac:dyDescent="0.25">
      <c r="A3198" t="s">
        <v>155</v>
      </c>
    </row>
    <row r="3199" spans="1:1" x14ac:dyDescent="0.25">
      <c r="A3199" t="s">
        <v>156</v>
      </c>
    </row>
    <row r="3200" spans="1:1" x14ac:dyDescent="0.25">
      <c r="A3200" t="s">
        <v>151</v>
      </c>
    </row>
    <row r="3201" spans="1:1" x14ac:dyDescent="0.25">
      <c r="A3201" t="s">
        <v>152</v>
      </c>
    </row>
    <row r="3202" spans="1:1" x14ac:dyDescent="0.25">
      <c r="A3202" t="s">
        <v>581</v>
      </c>
    </row>
    <row r="3203" spans="1:1" x14ac:dyDescent="0.25">
      <c r="A3203" t="s">
        <v>1872</v>
      </c>
    </row>
    <row r="3204" spans="1:1" x14ac:dyDescent="0.25">
      <c r="A3204" t="s">
        <v>1873</v>
      </c>
    </row>
    <row r="3205" spans="1:1" x14ac:dyDescent="0.25">
      <c r="A3205" t="s">
        <v>1876</v>
      </c>
    </row>
    <row r="3206" spans="1:1" x14ac:dyDescent="0.25">
      <c r="A3206" t="s">
        <v>1877</v>
      </c>
    </row>
    <row r="3207" spans="1:1" x14ac:dyDescent="0.25">
      <c r="A3207" t="s">
        <v>1874</v>
      </c>
    </row>
    <row r="3208" spans="1:1" x14ac:dyDescent="0.25">
      <c r="A3208" t="s">
        <v>1875</v>
      </c>
    </row>
    <row r="3209" spans="1:1" x14ac:dyDescent="0.25">
      <c r="A3209" t="s">
        <v>1878</v>
      </c>
    </row>
    <row r="3210" spans="1:1" x14ac:dyDescent="0.25">
      <c r="A3210" t="s">
        <v>1879</v>
      </c>
    </row>
    <row r="3211" spans="1:1" x14ac:dyDescent="0.25">
      <c r="A3211" t="s">
        <v>1880</v>
      </c>
    </row>
    <row r="3212" spans="1:1" x14ac:dyDescent="0.25">
      <c r="A3212" t="s">
        <v>1881</v>
      </c>
    </row>
    <row r="3213" spans="1:1" x14ac:dyDescent="0.25">
      <c r="A3213" t="s">
        <v>1882</v>
      </c>
    </row>
    <row r="3214" spans="1:1" x14ac:dyDescent="0.25">
      <c r="A3214" t="s">
        <v>2092</v>
      </c>
    </row>
    <row r="3215" spans="1:1" x14ac:dyDescent="0.25">
      <c r="A3215" t="s">
        <v>2089</v>
      </c>
    </row>
    <row r="3216" spans="1:1" x14ac:dyDescent="0.25">
      <c r="A3216" t="s">
        <v>434</v>
      </c>
    </row>
    <row r="3217" spans="1:1" x14ac:dyDescent="0.25">
      <c r="A3217" t="s">
        <v>435</v>
      </c>
    </row>
    <row r="3218" spans="1:1" x14ac:dyDescent="0.25">
      <c r="A3218" t="s">
        <v>155</v>
      </c>
    </row>
    <row r="3219" spans="1:1" x14ac:dyDescent="0.25">
      <c r="A3219" t="s">
        <v>156</v>
      </c>
    </row>
    <row r="3220" spans="1:1" x14ac:dyDescent="0.25">
      <c r="A3220" t="s">
        <v>151</v>
      </c>
    </row>
    <row r="3221" spans="1:1" x14ac:dyDescent="0.25">
      <c r="A3221" t="s">
        <v>152</v>
      </c>
    </row>
    <row r="3222" spans="1:1" x14ac:dyDescent="0.25">
      <c r="A3222" t="s">
        <v>468</v>
      </c>
    </row>
    <row r="3223" spans="1:1" x14ac:dyDescent="0.25">
      <c r="A3223" t="s">
        <v>1872</v>
      </c>
    </row>
    <row r="3224" spans="1:1" x14ac:dyDescent="0.25">
      <c r="A3224" t="s">
        <v>1873</v>
      </c>
    </row>
    <row r="3225" spans="1:1" x14ac:dyDescent="0.25">
      <c r="A3225" t="s">
        <v>1807</v>
      </c>
    </row>
    <row r="3226" spans="1:1" x14ac:dyDescent="0.25">
      <c r="A3226" t="s">
        <v>1808</v>
      </c>
    </row>
    <row r="3227" spans="1:1" x14ac:dyDescent="0.25">
      <c r="A3227" t="s">
        <v>1809</v>
      </c>
    </row>
    <row r="3228" spans="1:1" x14ac:dyDescent="0.25">
      <c r="A3228" t="s">
        <v>1810</v>
      </c>
    </row>
    <row r="3229" spans="1:1" x14ac:dyDescent="0.25">
      <c r="A3229" t="s">
        <v>1669</v>
      </c>
    </row>
    <row r="3230" spans="1:1" x14ac:dyDescent="0.25">
      <c r="A3230" t="s">
        <v>1811</v>
      </c>
    </row>
    <row r="3231" spans="1:1" x14ac:dyDescent="0.25">
      <c r="A3231" t="s">
        <v>2010</v>
      </c>
    </row>
    <row r="3232" spans="1:1" x14ac:dyDescent="0.25">
      <c r="A3232" t="s">
        <v>1634</v>
      </c>
    </row>
    <row r="3233" spans="1:1" x14ac:dyDescent="0.25">
      <c r="A3233" t="s">
        <v>1671</v>
      </c>
    </row>
    <row r="3234" spans="1:1" x14ac:dyDescent="0.25">
      <c r="A3234" t="s">
        <v>2100</v>
      </c>
    </row>
    <row r="3235" spans="1:1" x14ac:dyDescent="0.25">
      <c r="A3235" t="s">
        <v>2137</v>
      </c>
    </row>
    <row r="3236" spans="1:1" x14ac:dyDescent="0.25">
      <c r="A3236" t="s">
        <v>195</v>
      </c>
    </row>
    <row r="3237" spans="1:1" x14ac:dyDescent="0.25">
      <c r="A3237" t="s">
        <v>248</v>
      </c>
    </row>
    <row r="3238" spans="1:1" x14ac:dyDescent="0.25">
      <c r="A3238" t="s">
        <v>155</v>
      </c>
    </row>
    <row r="3239" spans="1:1" x14ac:dyDescent="0.25">
      <c r="A3239" t="s">
        <v>156</v>
      </c>
    </row>
    <row r="3240" spans="1:1" x14ac:dyDescent="0.25">
      <c r="A3240" t="s">
        <v>151</v>
      </c>
    </row>
    <row r="3241" spans="1:1" x14ac:dyDescent="0.25">
      <c r="A3241" t="s">
        <v>152</v>
      </c>
    </row>
    <row r="3242" spans="1:1" x14ac:dyDescent="0.25">
      <c r="A3242" t="s">
        <v>479</v>
      </c>
    </row>
    <row r="3243" spans="1:1" x14ac:dyDescent="0.25">
      <c r="A3243" t="s">
        <v>1812</v>
      </c>
    </row>
    <row r="3244" spans="1:1" x14ac:dyDescent="0.25">
      <c r="A3244" t="s">
        <v>1813</v>
      </c>
    </row>
    <row r="3245" spans="1:1" x14ac:dyDescent="0.25">
      <c r="A3245" t="s">
        <v>1814</v>
      </c>
    </row>
    <row r="3246" spans="1:1" x14ac:dyDescent="0.25">
      <c r="A3246" t="s">
        <v>1815</v>
      </c>
    </row>
    <row r="3247" spans="1:1" x14ac:dyDescent="0.25">
      <c r="A3247" t="s">
        <v>1874</v>
      </c>
    </row>
    <row r="3248" spans="1:1" x14ac:dyDescent="0.25">
      <c r="A3248" t="s">
        <v>1875</v>
      </c>
    </row>
    <row r="3249" spans="1:1" x14ac:dyDescent="0.25">
      <c r="A3249" t="s">
        <v>1816</v>
      </c>
    </row>
    <row r="3250" spans="1:1" x14ac:dyDescent="0.25">
      <c r="A3250" t="s">
        <v>1817</v>
      </c>
    </row>
    <row r="3251" spans="1:1" x14ac:dyDescent="0.25">
      <c r="A3251" t="s">
        <v>1900</v>
      </c>
    </row>
    <row r="3252" spans="1:1" x14ac:dyDescent="0.25">
      <c r="A3252" t="s">
        <v>1387</v>
      </c>
    </row>
    <row r="3253" spans="1:1" x14ac:dyDescent="0.25">
      <c r="A3253" t="s">
        <v>1820</v>
      </c>
    </row>
    <row r="3254" spans="1:1" x14ac:dyDescent="0.25">
      <c r="A3254" t="s">
        <v>2102</v>
      </c>
    </row>
    <row r="3255" spans="1:1" x14ac:dyDescent="0.25">
      <c r="A3255" t="s">
        <v>2139</v>
      </c>
    </row>
    <row r="3256" spans="1:1" x14ac:dyDescent="0.25">
      <c r="A3256" t="s">
        <v>195</v>
      </c>
    </row>
    <row r="3257" spans="1:1" x14ac:dyDescent="0.25">
      <c r="A3257" t="s">
        <v>264</v>
      </c>
    </row>
    <row r="3258" spans="1:1" x14ac:dyDescent="0.25">
      <c r="A3258" t="s">
        <v>155</v>
      </c>
    </row>
    <row r="3259" spans="1:1" x14ac:dyDescent="0.25">
      <c r="A3259" t="s">
        <v>156</v>
      </c>
    </row>
    <row r="3260" spans="1:1" x14ac:dyDescent="0.25">
      <c r="A3260" t="s">
        <v>151</v>
      </c>
    </row>
    <row r="3261" spans="1:1" x14ac:dyDescent="0.25">
      <c r="A3261" t="s">
        <v>152</v>
      </c>
    </row>
    <row r="3262" spans="1:1" x14ac:dyDescent="0.25">
      <c r="A3262" t="s">
        <v>491</v>
      </c>
    </row>
    <row r="3263" spans="1:1" x14ac:dyDescent="0.25">
      <c r="A3263" t="s">
        <v>1821</v>
      </c>
    </row>
    <row r="3264" spans="1:1" x14ac:dyDescent="0.25">
      <c r="A3264" t="s">
        <v>1822</v>
      </c>
    </row>
    <row r="3265" spans="1:1" x14ac:dyDescent="0.25">
      <c r="A3265" t="s">
        <v>1823</v>
      </c>
    </row>
    <row r="3266" spans="1:1" x14ac:dyDescent="0.25">
      <c r="A3266" t="s">
        <v>1824</v>
      </c>
    </row>
    <row r="3267" spans="1:1" x14ac:dyDescent="0.25">
      <c r="A3267" t="s">
        <v>1874</v>
      </c>
    </row>
    <row r="3268" spans="1:1" x14ac:dyDescent="0.25">
      <c r="A3268" t="s">
        <v>1875</v>
      </c>
    </row>
    <row r="3269" spans="1:1" x14ac:dyDescent="0.25">
      <c r="A3269" t="s">
        <v>1825</v>
      </c>
    </row>
    <row r="3270" spans="1:1" x14ac:dyDescent="0.25">
      <c r="A3270" t="s">
        <v>1826</v>
      </c>
    </row>
    <row r="3271" spans="1:1" x14ac:dyDescent="0.25">
      <c r="A3271" t="s">
        <v>2011</v>
      </c>
    </row>
    <row r="3272" spans="1:1" x14ac:dyDescent="0.25">
      <c r="A3272" t="s">
        <v>1881</v>
      </c>
    </row>
    <row r="3273" spans="1:1" x14ac:dyDescent="0.25">
      <c r="A3273" t="s">
        <v>1827</v>
      </c>
    </row>
    <row r="3274" spans="1:1" x14ac:dyDescent="0.25">
      <c r="A3274" t="s">
        <v>2099</v>
      </c>
    </row>
    <row r="3275" spans="1:1" x14ac:dyDescent="0.25">
      <c r="A3275" t="s">
        <v>2136</v>
      </c>
    </row>
    <row r="3276" spans="1:1" x14ac:dyDescent="0.25">
      <c r="A3276" t="s">
        <v>195</v>
      </c>
    </row>
    <row r="3277" spans="1:1" x14ac:dyDescent="0.25">
      <c r="A3277" t="s">
        <v>283</v>
      </c>
    </row>
    <row r="3278" spans="1:1" x14ac:dyDescent="0.25">
      <c r="A3278" t="s">
        <v>155</v>
      </c>
    </row>
    <row r="3279" spans="1:1" x14ac:dyDescent="0.25">
      <c r="A3279" t="s">
        <v>156</v>
      </c>
    </row>
    <row r="3280" spans="1:1" x14ac:dyDescent="0.25">
      <c r="A3280" t="s">
        <v>151</v>
      </c>
    </row>
    <row r="3281" spans="1:1" x14ac:dyDescent="0.25">
      <c r="A3281" t="s">
        <v>152</v>
      </c>
    </row>
    <row r="3282" spans="1:1" x14ac:dyDescent="0.25">
      <c r="A3282" t="s">
        <v>470</v>
      </c>
    </row>
    <row r="3283" spans="1:1" x14ac:dyDescent="0.25">
      <c r="A3283" t="s">
        <v>1828</v>
      </c>
    </row>
    <row r="3284" spans="1:1" x14ac:dyDescent="0.25">
      <c r="A3284" t="s">
        <v>1829</v>
      </c>
    </row>
    <row r="3285" spans="1:1" x14ac:dyDescent="0.25">
      <c r="A3285" t="s">
        <v>1830</v>
      </c>
    </row>
    <row r="3286" spans="1:1" x14ac:dyDescent="0.25">
      <c r="A3286" t="s">
        <v>1831</v>
      </c>
    </row>
    <row r="3287" spans="1:1" x14ac:dyDescent="0.25">
      <c r="A3287" t="s">
        <v>1832</v>
      </c>
    </row>
    <row r="3288" spans="1:1" x14ac:dyDescent="0.25">
      <c r="A3288" t="s">
        <v>1833</v>
      </c>
    </row>
    <row r="3289" spans="1:1" x14ac:dyDescent="0.25">
      <c r="A3289" t="s">
        <v>1834</v>
      </c>
    </row>
    <row r="3290" spans="1:1" x14ac:dyDescent="0.25">
      <c r="A3290" t="s">
        <v>1835</v>
      </c>
    </row>
    <row r="3291" spans="1:1" x14ac:dyDescent="0.25">
      <c r="A3291" t="s">
        <v>2012</v>
      </c>
    </row>
    <row r="3292" spans="1:1" x14ac:dyDescent="0.25">
      <c r="A3292" t="s">
        <v>2013</v>
      </c>
    </row>
    <row r="3293" spans="1:1" x14ac:dyDescent="0.25">
      <c r="A3293" t="s">
        <v>1837</v>
      </c>
    </row>
    <row r="3294" spans="1:1" x14ac:dyDescent="0.25">
      <c r="A3294" t="s">
        <v>2105</v>
      </c>
    </row>
    <row r="3295" spans="1:1" x14ac:dyDescent="0.25">
      <c r="A3295" t="s">
        <v>2143</v>
      </c>
    </row>
    <row r="3296" spans="1:1" x14ac:dyDescent="0.25">
      <c r="A3296" t="s">
        <v>195</v>
      </c>
    </row>
    <row r="3297" spans="1:1" x14ac:dyDescent="0.25">
      <c r="A3297" t="s">
        <v>250</v>
      </c>
    </row>
    <row r="3298" spans="1:1" x14ac:dyDescent="0.25">
      <c r="A3298" t="s">
        <v>155</v>
      </c>
    </row>
    <row r="3299" spans="1:1" x14ac:dyDescent="0.25">
      <c r="A3299" t="s">
        <v>156</v>
      </c>
    </row>
    <row r="3300" spans="1:1" x14ac:dyDescent="0.25">
      <c r="A3300" t="s">
        <v>151</v>
      </c>
    </row>
    <row r="3301" spans="1:1" x14ac:dyDescent="0.25">
      <c r="A3301" t="s">
        <v>152</v>
      </c>
    </row>
    <row r="3302" spans="1:1" x14ac:dyDescent="0.25">
      <c r="A3302" t="s">
        <v>458</v>
      </c>
    </row>
    <row r="3303" spans="1:1" x14ac:dyDescent="0.25">
      <c r="A3303" t="s">
        <v>1872</v>
      </c>
    </row>
    <row r="3304" spans="1:1" x14ac:dyDescent="0.25">
      <c r="A3304" t="s">
        <v>1873</v>
      </c>
    </row>
    <row r="3305" spans="1:1" x14ac:dyDescent="0.25">
      <c r="A3305" t="s">
        <v>1630</v>
      </c>
    </row>
    <row r="3306" spans="1:1" x14ac:dyDescent="0.25">
      <c r="A3306" t="s">
        <v>1838</v>
      </c>
    </row>
    <row r="3307" spans="1:1" x14ac:dyDescent="0.25">
      <c r="A3307" t="s">
        <v>1874</v>
      </c>
    </row>
    <row r="3308" spans="1:1" x14ac:dyDescent="0.25">
      <c r="A3308" t="s">
        <v>1875</v>
      </c>
    </row>
    <row r="3309" spans="1:1" x14ac:dyDescent="0.25">
      <c r="A3309" t="s">
        <v>1839</v>
      </c>
    </row>
    <row r="3310" spans="1:1" x14ac:dyDescent="0.25">
      <c r="A3310" t="s">
        <v>1840</v>
      </c>
    </row>
    <row r="3311" spans="1:1" x14ac:dyDescent="0.25">
      <c r="A3311" t="s">
        <v>2014</v>
      </c>
    </row>
    <row r="3312" spans="1:1" x14ac:dyDescent="0.25">
      <c r="A3312" t="s">
        <v>2015</v>
      </c>
    </row>
    <row r="3313" spans="1:1" x14ac:dyDescent="0.25">
      <c r="A3313" t="s">
        <v>1827</v>
      </c>
    </row>
    <row r="3314" spans="1:1" x14ac:dyDescent="0.25">
      <c r="A3314" t="s">
        <v>2102</v>
      </c>
    </row>
    <row r="3315" spans="1:1" x14ac:dyDescent="0.25">
      <c r="A3315" t="s">
        <v>2136</v>
      </c>
    </row>
    <row r="3316" spans="1:1" x14ac:dyDescent="0.25">
      <c r="A3316" t="s">
        <v>195</v>
      </c>
    </row>
    <row r="3317" spans="1:1" x14ac:dyDescent="0.25">
      <c r="A3317" t="s">
        <v>225</v>
      </c>
    </row>
    <row r="3318" spans="1:1" x14ac:dyDescent="0.25">
      <c r="A3318" t="s">
        <v>155</v>
      </c>
    </row>
    <row r="3319" spans="1:1" x14ac:dyDescent="0.25">
      <c r="A3319" t="s">
        <v>156</v>
      </c>
    </row>
    <row r="3320" spans="1:1" x14ac:dyDescent="0.25">
      <c r="A3320" t="s">
        <v>151</v>
      </c>
    </row>
    <row r="3321" spans="1:1" x14ac:dyDescent="0.25">
      <c r="A3321" t="s">
        <v>152</v>
      </c>
    </row>
    <row r="3322" spans="1:1" x14ac:dyDescent="0.25">
      <c r="A3322" t="s">
        <v>462</v>
      </c>
    </row>
    <row r="3323" spans="1:1" x14ac:dyDescent="0.25">
      <c r="A3323" t="s">
        <v>1841</v>
      </c>
    </row>
    <row r="3324" spans="1:1" x14ac:dyDescent="0.25">
      <c r="A3324" t="s">
        <v>1721</v>
      </c>
    </row>
    <row r="3325" spans="1:1" x14ac:dyDescent="0.25">
      <c r="A3325" t="s">
        <v>1842</v>
      </c>
    </row>
    <row r="3326" spans="1:1" x14ac:dyDescent="0.25">
      <c r="A3326" t="s">
        <v>1843</v>
      </c>
    </row>
    <row r="3327" spans="1:1" x14ac:dyDescent="0.25">
      <c r="A3327" t="s">
        <v>1874</v>
      </c>
    </row>
    <row r="3328" spans="1:1" x14ac:dyDescent="0.25">
      <c r="A3328" t="s">
        <v>1875</v>
      </c>
    </row>
    <row r="3329" spans="1:1" x14ac:dyDescent="0.25">
      <c r="A3329" t="s">
        <v>1844</v>
      </c>
    </row>
    <row r="3330" spans="1:1" x14ac:dyDescent="0.25">
      <c r="A3330" t="s">
        <v>1845</v>
      </c>
    </row>
    <row r="3331" spans="1:1" x14ac:dyDescent="0.25">
      <c r="A3331" t="s">
        <v>2016</v>
      </c>
    </row>
    <row r="3332" spans="1:1" x14ac:dyDescent="0.25">
      <c r="A3332" t="s">
        <v>1881</v>
      </c>
    </row>
    <row r="3333" spans="1:1" x14ac:dyDescent="0.25">
      <c r="A3333" t="s">
        <v>1847</v>
      </c>
    </row>
    <row r="3334" spans="1:1" x14ac:dyDescent="0.25">
      <c r="A3334" t="s">
        <v>2100</v>
      </c>
    </row>
    <row r="3335" spans="1:1" x14ac:dyDescent="0.25">
      <c r="A3335" t="s">
        <v>2115</v>
      </c>
    </row>
    <row r="3336" spans="1:1" x14ac:dyDescent="0.25">
      <c r="A3336" t="s">
        <v>195</v>
      </c>
    </row>
    <row r="3337" spans="1:1" x14ac:dyDescent="0.25">
      <c r="A3337" t="s">
        <v>233</v>
      </c>
    </row>
    <row r="3338" spans="1:1" x14ac:dyDescent="0.25">
      <c r="A3338" t="s">
        <v>155</v>
      </c>
    </row>
    <row r="3339" spans="1:1" x14ac:dyDescent="0.25">
      <c r="A3339" t="s">
        <v>156</v>
      </c>
    </row>
    <row r="3340" spans="1:1" x14ac:dyDescent="0.25">
      <c r="A3340" t="s">
        <v>151</v>
      </c>
    </row>
    <row r="3341" spans="1:1" x14ac:dyDescent="0.25">
      <c r="A3341" t="s">
        <v>152</v>
      </c>
    </row>
    <row r="3342" spans="1:1" x14ac:dyDescent="0.25">
      <c r="A3342" t="s">
        <v>544</v>
      </c>
    </row>
    <row r="3343" spans="1:1" x14ac:dyDescent="0.25">
      <c r="A3343" t="s">
        <v>1848</v>
      </c>
    </row>
    <row r="3344" spans="1:1" x14ac:dyDescent="0.25">
      <c r="A3344" t="s">
        <v>1849</v>
      </c>
    </row>
    <row r="3345" spans="1:1" x14ac:dyDescent="0.25">
      <c r="A3345" t="s">
        <v>1850</v>
      </c>
    </row>
    <row r="3346" spans="1:1" x14ac:dyDescent="0.25">
      <c r="A3346" t="s">
        <v>1451</v>
      </c>
    </row>
    <row r="3347" spans="1:1" x14ac:dyDescent="0.25">
      <c r="A3347" t="s">
        <v>1874</v>
      </c>
    </row>
    <row r="3348" spans="1:1" x14ac:dyDescent="0.25">
      <c r="A3348" t="s">
        <v>1875</v>
      </c>
    </row>
    <row r="3349" spans="1:1" x14ac:dyDescent="0.25">
      <c r="A3349" t="s">
        <v>1385</v>
      </c>
    </row>
    <row r="3350" spans="1:1" x14ac:dyDescent="0.25">
      <c r="A3350" t="s">
        <v>1851</v>
      </c>
    </row>
    <row r="3351" spans="1:1" x14ac:dyDescent="0.25">
      <c r="A3351" t="s">
        <v>1656</v>
      </c>
    </row>
    <row r="3352" spans="1:1" x14ac:dyDescent="0.25">
      <c r="A3352" t="s">
        <v>1917</v>
      </c>
    </row>
    <row r="3353" spans="1:1" x14ac:dyDescent="0.25">
      <c r="A3353" t="s">
        <v>1852</v>
      </c>
    </row>
    <row r="3354" spans="1:1" x14ac:dyDescent="0.25">
      <c r="A3354" t="s">
        <v>2102</v>
      </c>
    </row>
    <row r="3355" spans="1:1" x14ac:dyDescent="0.25">
      <c r="A3355" t="s">
        <v>2135</v>
      </c>
    </row>
    <row r="3356" spans="1:1" x14ac:dyDescent="0.25">
      <c r="A3356" t="s">
        <v>195</v>
      </c>
    </row>
    <row r="3357" spans="1:1" x14ac:dyDescent="0.25">
      <c r="A3357" t="s">
        <v>379</v>
      </c>
    </row>
    <row r="3358" spans="1:1" x14ac:dyDescent="0.25">
      <c r="A3358" t="s">
        <v>155</v>
      </c>
    </row>
    <row r="3359" spans="1:1" x14ac:dyDescent="0.25">
      <c r="A3359" t="s">
        <v>156</v>
      </c>
    </row>
    <row r="3360" spans="1:1" x14ac:dyDescent="0.25">
      <c r="A3360" t="s">
        <v>151</v>
      </c>
    </row>
    <row r="3361" spans="1:1" x14ac:dyDescent="0.25">
      <c r="A3361" t="s">
        <v>152</v>
      </c>
    </row>
    <row r="3362" spans="1:1" x14ac:dyDescent="0.25">
      <c r="A3362" t="s">
        <v>502</v>
      </c>
    </row>
    <row r="3363" spans="1:1" x14ac:dyDescent="0.25">
      <c r="A3363" t="s">
        <v>1853</v>
      </c>
    </row>
    <row r="3364" spans="1:1" x14ac:dyDescent="0.25">
      <c r="A3364" t="s">
        <v>1854</v>
      </c>
    </row>
    <row r="3365" spans="1:1" x14ac:dyDescent="0.25">
      <c r="A3365" t="s">
        <v>1756</v>
      </c>
    </row>
    <row r="3366" spans="1:1" x14ac:dyDescent="0.25">
      <c r="A3366" t="s">
        <v>1855</v>
      </c>
    </row>
    <row r="3367" spans="1:1" x14ac:dyDescent="0.25">
      <c r="A3367" t="s">
        <v>1874</v>
      </c>
    </row>
    <row r="3368" spans="1:1" x14ac:dyDescent="0.25">
      <c r="A3368" t="s">
        <v>1875</v>
      </c>
    </row>
    <row r="3369" spans="1:1" x14ac:dyDescent="0.25">
      <c r="A3369" t="s">
        <v>1856</v>
      </c>
    </row>
    <row r="3370" spans="1:1" x14ac:dyDescent="0.25">
      <c r="A3370" t="s">
        <v>1857</v>
      </c>
    </row>
    <row r="3371" spans="1:1" x14ac:dyDescent="0.25">
      <c r="A3371" t="s">
        <v>2011</v>
      </c>
    </row>
    <row r="3372" spans="1:1" x14ac:dyDescent="0.25">
      <c r="A3372" t="s">
        <v>1881</v>
      </c>
    </row>
    <row r="3373" spans="1:1" x14ac:dyDescent="0.25">
      <c r="A3373" t="s">
        <v>1858</v>
      </c>
    </row>
    <row r="3374" spans="1:1" x14ac:dyDescent="0.25">
      <c r="A3374" t="s">
        <v>2102</v>
      </c>
    </row>
    <row r="3375" spans="1:1" x14ac:dyDescent="0.25">
      <c r="A3375" t="s">
        <v>2136</v>
      </c>
    </row>
    <row r="3376" spans="1:1" x14ac:dyDescent="0.25">
      <c r="A3376" t="s">
        <v>195</v>
      </c>
    </row>
    <row r="3377" spans="1:1" x14ac:dyDescent="0.25">
      <c r="A3377" t="s">
        <v>299</v>
      </c>
    </row>
    <row r="3378" spans="1:1" x14ac:dyDescent="0.25">
      <c r="A3378" t="s">
        <v>155</v>
      </c>
    </row>
    <row r="3379" spans="1:1" x14ac:dyDescent="0.25">
      <c r="A3379" t="s">
        <v>156</v>
      </c>
    </row>
    <row r="3380" spans="1:1" x14ac:dyDescent="0.25">
      <c r="A3380" t="s">
        <v>151</v>
      </c>
    </row>
    <row r="3381" spans="1:1" x14ac:dyDescent="0.25">
      <c r="A3381" t="s">
        <v>152</v>
      </c>
    </row>
    <row r="3382" spans="1:1" x14ac:dyDescent="0.25">
      <c r="A3382" t="s">
        <v>501</v>
      </c>
    </row>
    <row r="3383" spans="1:1" x14ac:dyDescent="0.25">
      <c r="A3383" t="s">
        <v>1680</v>
      </c>
    </row>
    <row r="3384" spans="1:1" x14ac:dyDescent="0.25">
      <c r="A3384" t="s">
        <v>1822</v>
      </c>
    </row>
    <row r="3385" spans="1:1" x14ac:dyDescent="0.25">
      <c r="A3385" t="s">
        <v>1859</v>
      </c>
    </row>
    <row r="3386" spans="1:1" x14ac:dyDescent="0.25">
      <c r="A3386" t="s">
        <v>1661</v>
      </c>
    </row>
    <row r="3387" spans="1:1" x14ac:dyDescent="0.25">
      <c r="A3387" t="s">
        <v>1874</v>
      </c>
    </row>
    <row r="3388" spans="1:1" x14ac:dyDescent="0.25">
      <c r="A3388" t="s">
        <v>1875</v>
      </c>
    </row>
    <row r="3389" spans="1:1" x14ac:dyDescent="0.25">
      <c r="A3389" t="s">
        <v>1632</v>
      </c>
    </row>
    <row r="3390" spans="1:1" x14ac:dyDescent="0.25">
      <c r="A3390" t="s">
        <v>1817</v>
      </c>
    </row>
    <row r="3391" spans="1:1" x14ac:dyDescent="0.25">
      <c r="A3391" t="s">
        <v>1982</v>
      </c>
    </row>
    <row r="3392" spans="1:1" x14ac:dyDescent="0.25">
      <c r="A3392" t="s">
        <v>1881</v>
      </c>
    </row>
    <row r="3393" spans="1:1" x14ac:dyDescent="0.25">
      <c r="A3393" t="s">
        <v>1504</v>
      </c>
    </row>
    <row r="3394" spans="1:1" x14ac:dyDescent="0.25">
      <c r="A3394" t="s">
        <v>2095</v>
      </c>
    </row>
    <row r="3395" spans="1:1" x14ac:dyDescent="0.25">
      <c r="A3395" t="s">
        <v>2125</v>
      </c>
    </row>
    <row r="3396" spans="1:1" x14ac:dyDescent="0.25">
      <c r="A3396" t="s">
        <v>195</v>
      </c>
    </row>
    <row r="3397" spans="1:1" x14ac:dyDescent="0.25">
      <c r="A3397" t="s">
        <v>298</v>
      </c>
    </row>
    <row r="3398" spans="1:1" x14ac:dyDescent="0.25">
      <c r="A3398" t="s">
        <v>155</v>
      </c>
    </row>
    <row r="3399" spans="1:1" x14ac:dyDescent="0.25">
      <c r="A3399" t="s">
        <v>156</v>
      </c>
    </row>
    <row r="3400" spans="1:1" x14ac:dyDescent="0.25">
      <c r="A3400" t="s">
        <v>151</v>
      </c>
    </row>
    <row r="3401" spans="1:1" x14ac:dyDescent="0.25">
      <c r="A3401" t="s">
        <v>152</v>
      </c>
    </row>
    <row r="3402" spans="1:1" x14ac:dyDescent="0.25">
      <c r="A3402" t="s">
        <v>492</v>
      </c>
    </row>
    <row r="3403" spans="1:1" x14ac:dyDescent="0.25">
      <c r="A3403" t="s">
        <v>1860</v>
      </c>
    </row>
    <row r="3404" spans="1:1" x14ac:dyDescent="0.25">
      <c r="A3404" t="s">
        <v>1861</v>
      </c>
    </row>
    <row r="3405" spans="1:1" x14ac:dyDescent="0.25">
      <c r="A3405" t="s">
        <v>1876</v>
      </c>
    </row>
    <row r="3406" spans="1:1" x14ac:dyDescent="0.25">
      <c r="A3406" t="s">
        <v>1877</v>
      </c>
    </row>
    <row r="3407" spans="1:1" x14ac:dyDescent="0.25">
      <c r="A3407" t="s">
        <v>1874</v>
      </c>
    </row>
    <row r="3408" spans="1:1" x14ac:dyDescent="0.25">
      <c r="A3408" t="s">
        <v>1875</v>
      </c>
    </row>
    <row r="3409" spans="1:1" x14ac:dyDescent="0.25">
      <c r="A3409" t="s">
        <v>1862</v>
      </c>
    </row>
    <row r="3410" spans="1:1" x14ac:dyDescent="0.25">
      <c r="A3410" t="s">
        <v>1863</v>
      </c>
    </row>
    <row r="3411" spans="1:1" x14ac:dyDescent="0.25">
      <c r="A3411" t="s">
        <v>1880</v>
      </c>
    </row>
    <row r="3412" spans="1:1" x14ac:dyDescent="0.25">
      <c r="A3412" t="s">
        <v>1881</v>
      </c>
    </row>
    <row r="3413" spans="1:1" x14ac:dyDescent="0.25">
      <c r="A3413" t="s">
        <v>1865</v>
      </c>
    </row>
    <row r="3414" spans="1:1" x14ac:dyDescent="0.25">
      <c r="A3414" t="s">
        <v>2095</v>
      </c>
    </row>
    <row r="3415" spans="1:1" x14ac:dyDescent="0.25">
      <c r="A3415" t="s">
        <v>2125</v>
      </c>
    </row>
    <row r="3416" spans="1:1" x14ac:dyDescent="0.25">
      <c r="A3416" t="s">
        <v>195</v>
      </c>
    </row>
    <row r="3417" spans="1:1" x14ac:dyDescent="0.25">
      <c r="A3417" t="s">
        <v>284</v>
      </c>
    </row>
    <row r="3418" spans="1:1" x14ac:dyDescent="0.25">
      <c r="A3418" t="s">
        <v>155</v>
      </c>
    </row>
    <row r="3419" spans="1:1" x14ac:dyDescent="0.25">
      <c r="A3419" t="s">
        <v>156</v>
      </c>
    </row>
    <row r="3420" spans="1:1" x14ac:dyDescent="0.25">
      <c r="A3420" t="s">
        <v>151</v>
      </c>
    </row>
    <row r="3421" spans="1:1" x14ac:dyDescent="0.25">
      <c r="A3421" t="s">
        <v>152</v>
      </c>
    </row>
    <row r="3422" spans="1:1" x14ac:dyDescent="0.25">
      <c r="A3422" t="s">
        <v>457</v>
      </c>
    </row>
    <row r="3423" spans="1:1" x14ac:dyDescent="0.25">
      <c r="A3423" t="s">
        <v>1872</v>
      </c>
    </row>
    <row r="3424" spans="1:1" x14ac:dyDescent="0.25">
      <c r="A3424" t="s">
        <v>1873</v>
      </c>
    </row>
    <row r="3425" spans="1:1" x14ac:dyDescent="0.25">
      <c r="A3425" t="s">
        <v>1876</v>
      </c>
    </row>
    <row r="3426" spans="1:1" x14ac:dyDescent="0.25">
      <c r="A3426" t="s">
        <v>1877</v>
      </c>
    </row>
    <row r="3427" spans="1:1" x14ac:dyDescent="0.25">
      <c r="A3427" t="s">
        <v>1874</v>
      </c>
    </row>
    <row r="3428" spans="1:1" x14ac:dyDescent="0.25">
      <c r="A3428" t="s">
        <v>1875</v>
      </c>
    </row>
    <row r="3429" spans="1:1" x14ac:dyDescent="0.25">
      <c r="A3429" t="s">
        <v>1866</v>
      </c>
    </row>
    <row r="3430" spans="1:1" x14ac:dyDescent="0.25">
      <c r="A3430" t="s">
        <v>1867</v>
      </c>
    </row>
    <row r="3431" spans="1:1" x14ac:dyDescent="0.25">
      <c r="A3431" t="s">
        <v>2017</v>
      </c>
    </row>
    <row r="3432" spans="1:1" x14ac:dyDescent="0.25">
      <c r="A3432" t="s">
        <v>2018</v>
      </c>
    </row>
    <row r="3433" spans="1:1" x14ac:dyDescent="0.25">
      <c r="A3433" t="s">
        <v>1868</v>
      </c>
    </row>
    <row r="3434" spans="1:1" x14ac:dyDescent="0.25">
      <c r="A3434" t="s">
        <v>2102</v>
      </c>
    </row>
    <row r="3435" spans="1:1" x14ac:dyDescent="0.25">
      <c r="A3435" t="s">
        <v>2135</v>
      </c>
    </row>
    <row r="3436" spans="1:1" x14ac:dyDescent="0.25">
      <c r="A3436" t="s">
        <v>195</v>
      </c>
    </row>
    <row r="3437" spans="1:1" x14ac:dyDescent="0.25">
      <c r="A3437" t="s">
        <v>224</v>
      </c>
    </row>
    <row r="3438" spans="1:1" x14ac:dyDescent="0.25">
      <c r="A3438" t="s">
        <v>155</v>
      </c>
    </row>
    <row r="3439" spans="1:1" x14ac:dyDescent="0.25">
      <c r="A3439" t="s">
        <v>156</v>
      </c>
    </row>
    <row r="3440" spans="1:1" x14ac:dyDescent="0.25">
      <c r="A3440" t="s">
        <v>151</v>
      </c>
    </row>
    <row r="3441" spans="1:1" x14ac:dyDescent="0.25">
      <c r="A3441" t="s">
        <v>152</v>
      </c>
    </row>
    <row r="3442" spans="1:1" x14ac:dyDescent="0.25">
      <c r="A3442" t="s">
        <v>484</v>
      </c>
    </row>
    <row r="3443" spans="1:1" x14ac:dyDescent="0.25">
      <c r="A3443" t="s">
        <v>1872</v>
      </c>
    </row>
    <row r="3444" spans="1:1" x14ac:dyDescent="0.25">
      <c r="A3444" t="s">
        <v>1873</v>
      </c>
    </row>
    <row r="3445" spans="1:1" x14ac:dyDescent="0.25">
      <c r="A3445" t="s">
        <v>1876</v>
      </c>
    </row>
    <row r="3446" spans="1:1" x14ac:dyDescent="0.25">
      <c r="A3446" t="s">
        <v>1877</v>
      </c>
    </row>
    <row r="3447" spans="1:1" x14ac:dyDescent="0.25">
      <c r="A3447" t="s">
        <v>1874</v>
      </c>
    </row>
    <row r="3448" spans="1:1" x14ac:dyDescent="0.25">
      <c r="A3448" t="s">
        <v>1875</v>
      </c>
    </row>
    <row r="3449" spans="1:1" x14ac:dyDescent="0.25">
      <c r="A3449" t="s">
        <v>1869</v>
      </c>
    </row>
    <row r="3450" spans="1:1" x14ac:dyDescent="0.25">
      <c r="A3450" t="s">
        <v>1870</v>
      </c>
    </row>
    <row r="3451" spans="1:1" x14ac:dyDescent="0.25">
      <c r="A3451" t="s">
        <v>2019</v>
      </c>
    </row>
    <row r="3452" spans="1:1" x14ac:dyDescent="0.25">
      <c r="A3452" t="s">
        <v>2020</v>
      </c>
    </row>
    <row r="3453" spans="1:1" x14ac:dyDescent="0.25">
      <c r="A3453" t="s">
        <v>1871</v>
      </c>
    </row>
    <row r="3454" spans="1:1" x14ac:dyDescent="0.25">
      <c r="A3454" t="s">
        <v>2092</v>
      </c>
    </row>
    <row r="3455" spans="1:1" x14ac:dyDescent="0.25">
      <c r="A3455" t="s">
        <v>2089</v>
      </c>
    </row>
    <row r="3456" spans="1:1" x14ac:dyDescent="0.25">
      <c r="A3456" t="s">
        <v>195</v>
      </c>
    </row>
    <row r="3457" spans="1:1" x14ac:dyDescent="0.25">
      <c r="A3457" t="s">
        <v>275</v>
      </c>
    </row>
    <row r="3458" spans="1:1" x14ac:dyDescent="0.25">
      <c r="A3458" t="s">
        <v>155</v>
      </c>
    </row>
    <row r="3459" spans="1:1" x14ac:dyDescent="0.25">
      <c r="A3459" t="s">
        <v>156</v>
      </c>
    </row>
    <row r="3460" spans="1:1" x14ac:dyDescent="0.25">
      <c r="A3460" t="s">
        <v>151</v>
      </c>
    </row>
    <row r="3461" spans="1:1" x14ac:dyDescent="0.25">
      <c r="A3461" t="s">
        <v>152</v>
      </c>
    </row>
    <row r="3462" spans="1:1" x14ac:dyDescent="0.25">
      <c r="A3462" t="s">
        <v>2030</v>
      </c>
    </row>
    <row r="3463" spans="1:1" x14ac:dyDescent="0.25">
      <c r="A3463" t="s">
        <v>2031</v>
      </c>
    </row>
    <row r="3464" spans="1:1" x14ac:dyDescent="0.25">
      <c r="A3464" t="s">
        <v>1615</v>
      </c>
    </row>
    <row r="3465" spans="1:1" x14ac:dyDescent="0.25">
      <c r="A3465" t="s">
        <v>2032</v>
      </c>
    </row>
    <row r="3466" spans="1:1" x14ac:dyDescent="0.25">
      <c r="A3466" t="s">
        <v>1843</v>
      </c>
    </row>
    <row r="3467" spans="1:1" x14ac:dyDescent="0.25">
      <c r="A3467" t="s">
        <v>2033</v>
      </c>
    </row>
    <row r="3468" spans="1:1" x14ac:dyDescent="0.25">
      <c r="A3468" t="s">
        <v>2034</v>
      </c>
    </row>
    <row r="3469" spans="1:1" x14ac:dyDescent="0.25">
      <c r="A3469" t="s">
        <v>1561</v>
      </c>
    </row>
    <row r="3470" spans="1:1" x14ac:dyDescent="0.25">
      <c r="A3470" t="s">
        <v>2035</v>
      </c>
    </row>
    <row r="3471" spans="1:1" x14ac:dyDescent="0.25">
      <c r="A3471" t="s">
        <v>1618</v>
      </c>
    </row>
    <row r="3472" spans="1:1" x14ac:dyDescent="0.25">
      <c r="A3472" t="s">
        <v>2036</v>
      </c>
    </row>
    <row r="3473" spans="1:1" x14ac:dyDescent="0.25">
      <c r="A3473" t="s">
        <v>1562</v>
      </c>
    </row>
    <row r="3474" spans="1:1" x14ac:dyDescent="0.25">
      <c r="A3474" t="s">
        <v>2105</v>
      </c>
    </row>
    <row r="3475" spans="1:1" x14ac:dyDescent="0.25">
      <c r="A3475" t="s">
        <v>2138</v>
      </c>
    </row>
    <row r="3476" spans="1:1" x14ac:dyDescent="0.25">
      <c r="A3476" t="s">
        <v>195</v>
      </c>
    </row>
    <row r="3477" spans="1:1" x14ac:dyDescent="0.25">
      <c r="A3477" t="s">
        <v>2037</v>
      </c>
    </row>
    <row r="3478" spans="1:1" x14ac:dyDescent="0.25">
      <c r="A3478" t="s">
        <v>155</v>
      </c>
    </row>
    <row r="3479" spans="1:1" x14ac:dyDescent="0.25">
      <c r="A3479" t="s">
        <v>156</v>
      </c>
    </row>
    <row r="3480" spans="1:1" x14ac:dyDescent="0.25">
      <c r="A3480" t="s">
        <v>151</v>
      </c>
    </row>
    <row r="3481" spans="1:1" x14ac:dyDescent="0.25">
      <c r="A3481" t="s">
        <v>152</v>
      </c>
    </row>
    <row r="3482" spans="1:1" x14ac:dyDescent="0.25">
      <c r="A3482" t="s">
        <v>2038</v>
      </c>
    </row>
    <row r="3483" spans="1:1" x14ac:dyDescent="0.25">
      <c r="A3483" t="s">
        <v>2039</v>
      </c>
    </row>
    <row r="3484" spans="1:1" x14ac:dyDescent="0.25">
      <c r="A3484" t="s">
        <v>2040</v>
      </c>
    </row>
    <row r="3485" spans="1:1" x14ac:dyDescent="0.25">
      <c r="A3485" t="s">
        <v>2041</v>
      </c>
    </row>
    <row r="3486" spans="1:1" x14ac:dyDescent="0.25">
      <c r="A3486" t="s">
        <v>2042</v>
      </c>
    </row>
    <row r="3487" spans="1:1" x14ac:dyDescent="0.25">
      <c r="A3487" t="s">
        <v>2043</v>
      </c>
    </row>
    <row r="3488" spans="1:1" x14ac:dyDescent="0.25">
      <c r="A3488" t="s">
        <v>2044</v>
      </c>
    </row>
    <row r="3489" spans="1:1" x14ac:dyDescent="0.25">
      <c r="A3489" t="s">
        <v>2045</v>
      </c>
    </row>
    <row r="3490" spans="1:1" x14ac:dyDescent="0.25">
      <c r="A3490" t="s">
        <v>2046</v>
      </c>
    </row>
    <row r="3491" spans="1:1" x14ac:dyDescent="0.25">
      <c r="A3491" t="s">
        <v>1914</v>
      </c>
    </row>
    <row r="3492" spans="1:1" x14ac:dyDescent="0.25">
      <c r="A3492" t="s">
        <v>2047</v>
      </c>
    </row>
    <row r="3493" spans="1:1" x14ac:dyDescent="0.25">
      <c r="A3493" t="s">
        <v>2048</v>
      </c>
    </row>
    <row r="3494" spans="1:1" x14ac:dyDescent="0.25">
      <c r="A3494" t="s">
        <v>2099</v>
      </c>
    </row>
    <row r="3495" spans="1:1" x14ac:dyDescent="0.25">
      <c r="A3495" t="s">
        <v>2115</v>
      </c>
    </row>
    <row r="3496" spans="1:1" x14ac:dyDescent="0.25">
      <c r="A3496" t="s">
        <v>195</v>
      </c>
    </row>
    <row r="3497" spans="1:1" x14ac:dyDescent="0.25">
      <c r="A3497" t="s">
        <v>2049</v>
      </c>
    </row>
    <row r="3498" spans="1:1" x14ac:dyDescent="0.25">
      <c r="A3498" t="s">
        <v>155</v>
      </c>
    </row>
    <row r="3499" spans="1:1" x14ac:dyDescent="0.25">
      <c r="A3499" t="s">
        <v>156</v>
      </c>
    </row>
    <row r="3500" spans="1:1" x14ac:dyDescent="0.25">
      <c r="A3500" t="s">
        <v>151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34"/>
  <sheetViews>
    <sheetView workbookViewId="0">
      <selection activeCell="A2" sqref="A2"/>
    </sheetView>
  </sheetViews>
  <sheetFormatPr defaultRowHeight="15" x14ac:dyDescent="0.25"/>
  <cols>
    <col min="1" max="1" width="12" bestFit="1" customWidth="1"/>
    <col min="2" max="7" width="10.28515625" customWidth="1"/>
  </cols>
  <sheetData>
    <row r="1" spans="1:7" x14ac:dyDescent="0.25">
      <c r="A1" t="s">
        <v>585</v>
      </c>
      <c r="B1" t="s">
        <v>629</v>
      </c>
      <c r="C1" t="s">
        <v>628</v>
      </c>
      <c r="D1" t="s">
        <v>627</v>
      </c>
      <c r="E1" t="s">
        <v>626</v>
      </c>
      <c r="F1" t="s">
        <v>625</v>
      </c>
      <c r="G1" t="s">
        <v>624</v>
      </c>
    </row>
    <row r="2" spans="1:7" x14ac:dyDescent="0.25">
      <c r="A2" t="s">
        <v>633</v>
      </c>
      <c r="B2">
        <v>1.0999999999999999E-8</v>
      </c>
      <c r="C2">
        <v>1.3000000000000001E-8</v>
      </c>
      <c r="D2">
        <v>9.9999999999999995E-8</v>
      </c>
      <c r="E2">
        <v>8.9000000000000003E-8</v>
      </c>
      <c r="F2">
        <v>1.1999999999999999E-7</v>
      </c>
      <c r="G2">
        <v>9.9E-8</v>
      </c>
    </row>
    <row r="3" spans="1:7" x14ac:dyDescent="0.25">
      <c r="A3" t="s">
        <v>74</v>
      </c>
      <c r="B3">
        <v>8.7000000000000003E-7</v>
      </c>
      <c r="C3">
        <v>9.9999999999999995E-7</v>
      </c>
      <c r="D3">
        <v>6.9E-6</v>
      </c>
      <c r="E3">
        <v>5.6999999999999996E-6</v>
      </c>
      <c r="F3">
        <v>7.9000000000000006E-6</v>
      </c>
      <c r="G3">
        <v>6.4999999999999996E-6</v>
      </c>
    </row>
    <row r="4" spans="1:7" x14ac:dyDescent="0.25">
      <c r="A4" t="s">
        <v>634</v>
      </c>
      <c r="B4">
        <v>9.5000000000000004E-8</v>
      </c>
      <c r="C4">
        <v>2.2000000000000001E-7</v>
      </c>
      <c r="D4">
        <v>1.1000000000000001E-6</v>
      </c>
      <c r="E4">
        <v>9.1999999999999998E-7</v>
      </c>
      <c r="F4">
        <v>1.1999999999999999E-6</v>
      </c>
      <c r="G4">
        <v>9.9999999999999995E-7</v>
      </c>
    </row>
    <row r="5" spans="1:7" x14ac:dyDescent="0.25">
      <c r="A5" t="s">
        <v>78</v>
      </c>
      <c r="B5">
        <v>5.4000000000000001E-4</v>
      </c>
      <c r="C5">
        <v>6.3000000000000003E-4</v>
      </c>
      <c r="D5">
        <v>2.1000000000000001E-4</v>
      </c>
      <c r="E5">
        <v>1.4999999999999999E-4</v>
      </c>
      <c r="F5">
        <v>6.6000000000000005E-5</v>
      </c>
      <c r="G5">
        <v>4.6999999999999997E-5</v>
      </c>
    </row>
    <row r="6" spans="1:7" x14ac:dyDescent="0.25">
      <c r="A6" t="s">
        <v>80</v>
      </c>
      <c r="B6">
        <v>2.4999999999999999E-8</v>
      </c>
      <c r="C6">
        <v>2.9000000000000002E-8</v>
      </c>
      <c r="D6">
        <v>1.6000000000000001E-8</v>
      </c>
      <c r="E6">
        <v>1.2E-8</v>
      </c>
      <c r="F6">
        <v>1.4E-8</v>
      </c>
      <c r="G6">
        <v>1.2E-8</v>
      </c>
    </row>
    <row r="7" spans="1:7" x14ac:dyDescent="0.25">
      <c r="A7" t="s">
        <v>635</v>
      </c>
      <c r="B7">
        <v>1.4E-11</v>
      </c>
      <c r="C7">
        <v>2.4000000000000001E-11</v>
      </c>
      <c r="D7">
        <v>1.7999999999999999E-11</v>
      </c>
      <c r="E7">
        <v>3.1999999999999999E-11</v>
      </c>
      <c r="F7">
        <v>1.8999999999999999E-11</v>
      </c>
      <c r="G7">
        <v>3.1999999999999999E-11</v>
      </c>
    </row>
    <row r="8" spans="1:7" x14ac:dyDescent="0.25">
      <c r="A8" t="s">
        <v>636</v>
      </c>
      <c r="B8">
        <v>1.6E-11</v>
      </c>
      <c r="C8">
        <v>2.8E-11</v>
      </c>
      <c r="D8">
        <v>2.7E-11</v>
      </c>
      <c r="E8">
        <v>4.3E-11</v>
      </c>
      <c r="F8">
        <v>2.8E-11</v>
      </c>
      <c r="G8">
        <v>4.5E-11</v>
      </c>
    </row>
    <row r="9" spans="1:7" x14ac:dyDescent="0.25">
      <c r="A9" t="s">
        <v>637</v>
      </c>
      <c r="B9">
        <v>3E-11</v>
      </c>
      <c r="C9">
        <v>5.6999999999999997E-11</v>
      </c>
      <c r="D9">
        <v>3.9000000000000001E-11</v>
      </c>
      <c r="E9">
        <v>6.8999999999999994E-11</v>
      </c>
      <c r="F9">
        <v>3.9999999999999998E-11</v>
      </c>
      <c r="G9">
        <v>7.1E-11</v>
      </c>
    </row>
    <row r="10" spans="1:7" x14ac:dyDescent="0.25">
      <c r="A10" t="s">
        <v>638</v>
      </c>
      <c r="B10">
        <v>1.6999999999999999E-11</v>
      </c>
      <c r="C10">
        <v>3.1000000000000003E-11</v>
      </c>
      <c r="D10">
        <v>2.6000000000000001E-11</v>
      </c>
      <c r="E10">
        <v>4.4000000000000003E-11</v>
      </c>
      <c r="F10">
        <v>2.7E-11</v>
      </c>
      <c r="G10">
        <v>4.5E-11</v>
      </c>
    </row>
    <row r="11" spans="1:7" x14ac:dyDescent="0.25">
      <c r="A11" t="s">
        <v>639</v>
      </c>
      <c r="B11">
        <v>5.4E-10</v>
      </c>
      <c r="C11">
        <v>8.0000000000000003E-10</v>
      </c>
      <c r="D11">
        <v>6.9E-10</v>
      </c>
      <c r="E11">
        <v>6.9999999999999996E-10</v>
      </c>
      <c r="F11">
        <v>7.7999999999999999E-10</v>
      </c>
      <c r="G11">
        <v>7.2999999999999996E-10</v>
      </c>
    </row>
    <row r="12" spans="1:7" x14ac:dyDescent="0.25">
      <c r="A12" t="s">
        <v>640</v>
      </c>
      <c r="B12">
        <v>9.7999999999999994E-12</v>
      </c>
      <c r="C12">
        <v>1.6999999999999999E-11</v>
      </c>
      <c r="D12">
        <v>1.6E-11</v>
      </c>
      <c r="E12">
        <v>2.6000000000000001E-11</v>
      </c>
      <c r="F12">
        <v>1.6E-11</v>
      </c>
      <c r="G12">
        <v>2.7E-11</v>
      </c>
    </row>
    <row r="13" spans="1:7" x14ac:dyDescent="0.25">
      <c r="A13" t="s">
        <v>641</v>
      </c>
      <c r="B13">
        <v>1.0999999999999999E-9</v>
      </c>
      <c r="C13">
        <v>1.6000000000000001E-9</v>
      </c>
      <c r="D13">
        <v>1.0999999999999999E-9</v>
      </c>
      <c r="E13">
        <v>1.5E-9</v>
      </c>
      <c r="F13">
        <v>1.0999999999999999E-9</v>
      </c>
      <c r="G13">
        <v>1.3999999999999999E-9</v>
      </c>
    </row>
    <row r="14" spans="1:7" x14ac:dyDescent="0.25">
      <c r="A14" t="s">
        <v>642</v>
      </c>
      <c r="B14">
        <v>6.1E-9</v>
      </c>
      <c r="C14">
        <v>7.3E-9</v>
      </c>
      <c r="D14">
        <v>6.9999999999999998E-9</v>
      </c>
      <c r="E14">
        <v>5.2000000000000002E-9</v>
      </c>
      <c r="F14">
        <v>3.5000000000000002E-8</v>
      </c>
      <c r="G14">
        <v>1.9000000000000001E-8</v>
      </c>
    </row>
    <row r="15" spans="1:7" x14ac:dyDescent="0.25">
      <c r="A15" t="s">
        <v>643</v>
      </c>
      <c r="B15">
        <v>5.4999999999999996E-9</v>
      </c>
      <c r="C15">
        <v>6.6999999999999996E-9</v>
      </c>
      <c r="D15">
        <v>7.2E-9</v>
      </c>
      <c r="E15">
        <v>5.8999999999999999E-9</v>
      </c>
      <c r="F15">
        <v>1.2E-8</v>
      </c>
      <c r="G15">
        <v>7.3E-9</v>
      </c>
    </row>
    <row r="16" spans="1:7" x14ac:dyDescent="0.25">
      <c r="A16" t="s">
        <v>644</v>
      </c>
      <c r="B16">
        <v>4.0999999999999998E-10</v>
      </c>
      <c r="C16">
        <v>5.7E-10</v>
      </c>
      <c r="D16">
        <v>1.5E-9</v>
      </c>
      <c r="E16">
        <v>1.5E-9</v>
      </c>
      <c r="F16">
        <v>1.6999999999999999E-9</v>
      </c>
      <c r="G16">
        <v>1.6000000000000001E-9</v>
      </c>
    </row>
    <row r="17" spans="1:7" x14ac:dyDescent="0.25">
      <c r="A17" t="s">
        <v>645</v>
      </c>
      <c r="B17">
        <v>8.2000000000000001E-11</v>
      </c>
      <c r="C17">
        <v>1.4000000000000001E-10</v>
      </c>
      <c r="D17">
        <v>1.7000000000000001E-10</v>
      </c>
      <c r="E17">
        <v>2.5000000000000002E-10</v>
      </c>
      <c r="F17">
        <v>1.8E-10</v>
      </c>
      <c r="G17">
        <v>2.5999999999999998E-10</v>
      </c>
    </row>
    <row r="18" spans="1:7" x14ac:dyDescent="0.25">
      <c r="A18" t="s">
        <v>646</v>
      </c>
      <c r="B18">
        <v>1.6E-11</v>
      </c>
      <c r="C18">
        <v>2.6000000000000001E-11</v>
      </c>
      <c r="D18">
        <v>2.8E-11</v>
      </c>
      <c r="E18">
        <v>4.3E-11</v>
      </c>
      <c r="F18">
        <v>3E-11</v>
      </c>
      <c r="G18">
        <v>4.4000000000000003E-11</v>
      </c>
    </row>
    <row r="19" spans="1:7" x14ac:dyDescent="0.25">
      <c r="A19" t="s">
        <v>647</v>
      </c>
      <c r="B19">
        <v>1.0999999999999999E-8</v>
      </c>
      <c r="C19">
        <v>1.4E-8</v>
      </c>
      <c r="D19">
        <v>1.7999999999999999E-8</v>
      </c>
      <c r="E19">
        <v>1.2E-8</v>
      </c>
      <c r="F19">
        <v>-1</v>
      </c>
      <c r="G19">
        <v>-1</v>
      </c>
    </row>
    <row r="20" spans="1:7" x14ac:dyDescent="0.25">
      <c r="A20" t="s">
        <v>648</v>
      </c>
      <c r="B20">
        <v>-1</v>
      </c>
      <c r="C20">
        <v>-1</v>
      </c>
      <c r="D20">
        <v>2.5000000000000001E-11</v>
      </c>
      <c r="E20">
        <v>3.5999999999999998E-11</v>
      </c>
      <c r="F20">
        <v>-1</v>
      </c>
      <c r="G20">
        <v>-1</v>
      </c>
    </row>
    <row r="21" spans="1:7" x14ac:dyDescent="0.25">
      <c r="A21" t="s">
        <v>649</v>
      </c>
      <c r="B21">
        <v>-1</v>
      </c>
      <c r="C21">
        <v>-1</v>
      </c>
      <c r="D21">
        <v>8.5000000000000004E-11</v>
      </c>
      <c r="E21">
        <v>6.6000000000000005E-11</v>
      </c>
      <c r="F21">
        <v>-1</v>
      </c>
      <c r="G21">
        <v>-1</v>
      </c>
    </row>
    <row r="22" spans="1:7" x14ac:dyDescent="0.25">
      <c r="A22" t="s">
        <v>650</v>
      </c>
      <c r="B22">
        <v>-1</v>
      </c>
      <c r="C22">
        <v>-1</v>
      </c>
      <c r="D22">
        <v>2.1999999999999999E-10</v>
      </c>
      <c r="E22">
        <v>2.8999999999999998E-10</v>
      </c>
      <c r="F22">
        <v>-1</v>
      </c>
      <c r="G22">
        <v>-1</v>
      </c>
    </row>
    <row r="23" spans="1:7" x14ac:dyDescent="0.25">
      <c r="A23" t="s">
        <v>651</v>
      </c>
      <c r="B23">
        <v>-1</v>
      </c>
      <c r="C23">
        <v>-1</v>
      </c>
      <c r="D23">
        <v>4.3999999999999998E-10</v>
      </c>
      <c r="E23">
        <v>5.9000000000000003E-10</v>
      </c>
      <c r="F23">
        <v>-1</v>
      </c>
      <c r="G23">
        <v>-1</v>
      </c>
    </row>
    <row r="24" spans="1:7" x14ac:dyDescent="0.25">
      <c r="A24" t="s">
        <v>102</v>
      </c>
      <c r="B24">
        <v>-1</v>
      </c>
      <c r="C24">
        <v>-1</v>
      </c>
      <c r="D24">
        <v>3.8999999999999999E-5</v>
      </c>
      <c r="E24">
        <v>2.6999999999999999E-5</v>
      </c>
      <c r="F24">
        <v>-1</v>
      </c>
      <c r="G24">
        <v>-1</v>
      </c>
    </row>
    <row r="25" spans="1:7" x14ac:dyDescent="0.25">
      <c r="A25" t="s">
        <v>134</v>
      </c>
      <c r="B25">
        <v>-1</v>
      </c>
      <c r="C25">
        <v>-1</v>
      </c>
      <c r="D25">
        <v>1.6000000000000001E-8</v>
      </c>
      <c r="E25">
        <v>1.2E-8</v>
      </c>
      <c r="F25">
        <v>-1</v>
      </c>
      <c r="G25">
        <v>-1</v>
      </c>
    </row>
    <row r="26" spans="1:7" x14ac:dyDescent="0.25">
      <c r="A26" t="s">
        <v>135</v>
      </c>
      <c r="B26">
        <v>-1</v>
      </c>
      <c r="C26">
        <v>-1</v>
      </c>
      <c r="D26">
        <v>3.4999999999999997E-5</v>
      </c>
      <c r="E26">
        <v>2.4000000000000001E-5</v>
      </c>
      <c r="F26">
        <v>-1</v>
      </c>
      <c r="G26">
        <v>-1</v>
      </c>
    </row>
    <row r="27" spans="1:7" x14ac:dyDescent="0.25">
      <c r="A27" t="s">
        <v>104</v>
      </c>
      <c r="B27">
        <v>-1</v>
      </c>
      <c r="C27">
        <v>-1</v>
      </c>
      <c r="D27">
        <v>3.8999999999999999E-5</v>
      </c>
      <c r="E27">
        <v>2.6999999999999999E-5</v>
      </c>
      <c r="F27">
        <v>-1</v>
      </c>
      <c r="G27">
        <v>-1</v>
      </c>
    </row>
    <row r="28" spans="1:7" x14ac:dyDescent="0.25">
      <c r="A28" t="s">
        <v>652</v>
      </c>
      <c r="B28">
        <v>-1</v>
      </c>
      <c r="C28">
        <v>-1</v>
      </c>
      <c r="D28">
        <v>1.9000000000000001E-9</v>
      </c>
      <c r="E28">
        <v>1.5E-9</v>
      </c>
      <c r="F28">
        <v>-1</v>
      </c>
      <c r="G28">
        <v>-1</v>
      </c>
    </row>
    <row r="29" spans="1:7" x14ac:dyDescent="0.25">
      <c r="A29" t="s">
        <v>653</v>
      </c>
      <c r="B29">
        <v>-1</v>
      </c>
      <c r="C29">
        <v>-1</v>
      </c>
      <c r="D29">
        <v>7.8999999999999999E-11</v>
      </c>
      <c r="E29">
        <v>6.2000000000000006E-11</v>
      </c>
      <c r="F29">
        <v>-1</v>
      </c>
      <c r="G29">
        <v>-1</v>
      </c>
    </row>
    <row r="30" spans="1:7" x14ac:dyDescent="0.25">
      <c r="A30" t="s">
        <v>654</v>
      </c>
      <c r="B30">
        <v>-1</v>
      </c>
      <c r="C30">
        <v>-1</v>
      </c>
      <c r="D30">
        <v>5.2999999999999998E-11</v>
      </c>
      <c r="E30">
        <v>7.5999999999999996E-11</v>
      </c>
      <c r="F30">
        <v>-1</v>
      </c>
      <c r="G30">
        <v>-1</v>
      </c>
    </row>
    <row r="31" spans="1:7" x14ac:dyDescent="0.25">
      <c r="A31" t="s">
        <v>655</v>
      </c>
      <c r="B31">
        <v>-1</v>
      </c>
      <c r="C31">
        <v>-1</v>
      </c>
      <c r="D31">
        <v>6.7999999999999998E-11</v>
      </c>
      <c r="E31">
        <v>1.0999999999999999E-10</v>
      </c>
      <c r="F31">
        <v>-1</v>
      </c>
      <c r="G31">
        <v>-1</v>
      </c>
    </row>
    <row r="32" spans="1:7" x14ac:dyDescent="0.25">
      <c r="A32" t="s">
        <v>656</v>
      </c>
      <c r="B32">
        <v>-1</v>
      </c>
      <c r="C32">
        <v>-1</v>
      </c>
      <c r="D32">
        <v>2.3000000000000001E-11</v>
      </c>
      <c r="E32">
        <v>3.7999999999999998E-11</v>
      </c>
      <c r="F32">
        <v>-1</v>
      </c>
      <c r="G32">
        <v>-1</v>
      </c>
    </row>
    <row r="33" spans="1:7" x14ac:dyDescent="0.25">
      <c r="A33" t="s">
        <v>657</v>
      </c>
      <c r="B33">
        <v>-1</v>
      </c>
      <c r="C33">
        <v>-1</v>
      </c>
      <c r="D33">
        <v>2.2000000000000002E-11</v>
      </c>
      <c r="E33">
        <v>3.5000000000000002E-11</v>
      </c>
      <c r="F33">
        <v>-1</v>
      </c>
      <c r="G33">
        <v>-1</v>
      </c>
    </row>
    <row r="34" spans="1:7" x14ac:dyDescent="0.25">
      <c r="A34" t="s">
        <v>658</v>
      </c>
      <c r="B34">
        <v>-1</v>
      </c>
      <c r="C34">
        <v>-1</v>
      </c>
      <c r="D34">
        <v>7.1999999999999997E-11</v>
      </c>
      <c r="E34">
        <v>1.2E-10</v>
      </c>
      <c r="F34">
        <v>-1</v>
      </c>
      <c r="G34">
        <v>-1</v>
      </c>
    </row>
    <row r="35" spans="1:7" x14ac:dyDescent="0.25">
      <c r="A35" t="s">
        <v>659</v>
      </c>
      <c r="B35">
        <v>-1</v>
      </c>
      <c r="C35">
        <v>-1</v>
      </c>
      <c r="D35">
        <v>4.0000000000000001E-10</v>
      </c>
      <c r="E35">
        <v>5.0000000000000003E-10</v>
      </c>
      <c r="F35">
        <v>-1</v>
      </c>
      <c r="G35">
        <v>-1</v>
      </c>
    </row>
    <row r="36" spans="1:7" x14ac:dyDescent="0.25">
      <c r="A36" t="s">
        <v>660</v>
      </c>
      <c r="B36">
        <v>-1</v>
      </c>
      <c r="C36">
        <v>-1</v>
      </c>
      <c r="D36">
        <v>9.2000000000000003E-10</v>
      </c>
      <c r="E36">
        <v>1.3000000000000001E-9</v>
      </c>
      <c r="F36">
        <v>-1</v>
      </c>
      <c r="G36">
        <v>-1</v>
      </c>
    </row>
    <row r="37" spans="1:7" x14ac:dyDescent="0.25">
      <c r="A37" t="s">
        <v>661</v>
      </c>
      <c r="B37">
        <v>-1</v>
      </c>
      <c r="C37">
        <v>-1</v>
      </c>
      <c r="D37">
        <v>9.2999999999999999E-10</v>
      </c>
      <c r="E37">
        <v>6.5000000000000003E-10</v>
      </c>
      <c r="F37">
        <v>-1</v>
      </c>
      <c r="G37">
        <v>-1</v>
      </c>
    </row>
    <row r="38" spans="1:7" x14ac:dyDescent="0.25">
      <c r="A38" t="s">
        <v>662</v>
      </c>
      <c r="B38">
        <v>-1</v>
      </c>
      <c r="C38">
        <v>-1</v>
      </c>
      <c r="D38">
        <v>2.1000000000000002E-9</v>
      </c>
      <c r="E38">
        <v>1.8E-9</v>
      </c>
      <c r="F38">
        <v>-1</v>
      </c>
      <c r="G38">
        <v>-1</v>
      </c>
    </row>
    <row r="39" spans="1:7" x14ac:dyDescent="0.25">
      <c r="A39" t="s">
        <v>663</v>
      </c>
      <c r="B39">
        <v>-1</v>
      </c>
      <c r="C39">
        <v>-1</v>
      </c>
      <c r="D39">
        <v>7.4000000000000003E-10</v>
      </c>
      <c r="E39">
        <v>9.2000000000000003E-10</v>
      </c>
      <c r="F39">
        <v>-1</v>
      </c>
      <c r="G39">
        <v>-1</v>
      </c>
    </row>
    <row r="40" spans="1:7" x14ac:dyDescent="0.25">
      <c r="A40" t="s">
        <v>664</v>
      </c>
      <c r="B40">
        <v>-1</v>
      </c>
      <c r="C40">
        <v>-1</v>
      </c>
      <c r="D40">
        <v>3.7999999999999998E-10</v>
      </c>
      <c r="E40">
        <v>4.2E-10</v>
      </c>
      <c r="F40">
        <v>-1</v>
      </c>
      <c r="G40">
        <v>-1</v>
      </c>
    </row>
    <row r="41" spans="1:7" x14ac:dyDescent="0.25">
      <c r="A41" t="s">
        <v>665</v>
      </c>
      <c r="B41">
        <v>-1</v>
      </c>
      <c r="C41">
        <v>-1</v>
      </c>
      <c r="D41">
        <v>9.2000000000000005E-11</v>
      </c>
      <c r="E41">
        <v>1.4000000000000001E-10</v>
      </c>
      <c r="F41">
        <v>-1</v>
      </c>
      <c r="G41">
        <v>-1</v>
      </c>
    </row>
    <row r="42" spans="1:7" x14ac:dyDescent="0.25">
      <c r="A42" t="s">
        <v>666</v>
      </c>
      <c r="B42">
        <v>3.4999999999999998E-10</v>
      </c>
      <c r="C42">
        <v>4.3999999999999998E-10</v>
      </c>
      <c r="D42">
        <v>2.1000000000000002E-9</v>
      </c>
      <c r="E42">
        <v>1.9000000000000001E-9</v>
      </c>
      <c r="F42">
        <v>-1</v>
      </c>
      <c r="G42">
        <v>-1</v>
      </c>
    </row>
    <row r="43" spans="1:7" x14ac:dyDescent="0.25">
      <c r="A43" t="s">
        <v>667</v>
      </c>
      <c r="B43">
        <v>1.6000000000000001E-8</v>
      </c>
      <c r="C43">
        <v>2.7E-8</v>
      </c>
      <c r="D43">
        <v>9.8000000000000004E-8</v>
      </c>
      <c r="E43">
        <v>1.1000000000000001E-7</v>
      </c>
      <c r="F43">
        <v>-1</v>
      </c>
      <c r="G43">
        <v>-1</v>
      </c>
    </row>
    <row r="44" spans="1:7" x14ac:dyDescent="0.25">
      <c r="A44" t="s">
        <v>668</v>
      </c>
      <c r="B44">
        <v>3.9000000000000001E-11</v>
      </c>
      <c r="C44">
        <v>7.1E-11</v>
      </c>
      <c r="D44">
        <v>1.0999999999999999E-10</v>
      </c>
      <c r="E44">
        <v>1.5E-10</v>
      </c>
      <c r="F44">
        <v>1.2E-10</v>
      </c>
      <c r="G44">
        <v>1.5999999999999999E-10</v>
      </c>
    </row>
    <row r="45" spans="1:7" x14ac:dyDescent="0.25">
      <c r="A45" t="s">
        <v>669</v>
      </c>
      <c r="B45">
        <v>1.5E-10</v>
      </c>
      <c r="C45">
        <v>2.8000000000000002E-10</v>
      </c>
      <c r="D45">
        <v>2.4E-10</v>
      </c>
      <c r="E45">
        <v>3.7000000000000001E-10</v>
      </c>
      <c r="F45">
        <v>2.5000000000000002E-10</v>
      </c>
      <c r="G45">
        <v>3.7999999999999998E-10</v>
      </c>
    </row>
    <row r="46" spans="1:7" x14ac:dyDescent="0.25">
      <c r="A46" t="s">
        <v>670</v>
      </c>
      <c r="B46">
        <v>7.1E-11</v>
      </c>
      <c r="C46">
        <v>1.2E-10</v>
      </c>
      <c r="D46">
        <v>1.0000000000000001E-9</v>
      </c>
      <c r="E46">
        <v>8.0000000000000003E-10</v>
      </c>
      <c r="F46">
        <v>1.6000000000000001E-9</v>
      </c>
      <c r="G46">
        <v>1.2E-9</v>
      </c>
    </row>
    <row r="47" spans="1:7" x14ac:dyDescent="0.25">
      <c r="A47" t="s">
        <v>671</v>
      </c>
      <c r="B47">
        <v>2.3000000000000001E-10</v>
      </c>
      <c r="C47">
        <v>3.9E-10</v>
      </c>
      <c r="D47">
        <v>7.5999999999999996E-10</v>
      </c>
      <c r="E47">
        <v>9.7999999999999992E-10</v>
      </c>
      <c r="F47">
        <v>8.3999999999999999E-10</v>
      </c>
      <c r="G47">
        <v>1.0999999999999999E-9</v>
      </c>
    </row>
    <row r="48" spans="1:7" x14ac:dyDescent="0.25">
      <c r="A48" t="s">
        <v>672</v>
      </c>
      <c r="B48">
        <v>3.4000000000000001E-10</v>
      </c>
      <c r="C48">
        <v>5.9000000000000003E-10</v>
      </c>
      <c r="D48">
        <v>1.6999999999999999E-9</v>
      </c>
      <c r="E48">
        <v>2.0000000000000001E-9</v>
      </c>
      <c r="F48">
        <v>1.9000000000000001E-9</v>
      </c>
      <c r="G48">
        <v>1.9000000000000001E-9</v>
      </c>
    </row>
    <row r="49" spans="1:7" x14ac:dyDescent="0.25">
      <c r="A49" t="s">
        <v>673</v>
      </c>
      <c r="B49">
        <v>1.0999999999999999E-10</v>
      </c>
      <c r="C49">
        <v>1.8999999999999999E-10</v>
      </c>
      <c r="D49">
        <v>6.8000000000000003E-10</v>
      </c>
      <c r="E49">
        <v>6.8000000000000003E-10</v>
      </c>
      <c r="F49">
        <v>7.5E-10</v>
      </c>
      <c r="G49">
        <v>7.5999999999999996E-10</v>
      </c>
    </row>
    <row r="50" spans="1:7" x14ac:dyDescent="0.25">
      <c r="A50" t="s">
        <v>674</v>
      </c>
      <c r="B50">
        <v>1.6999999999999999E-11</v>
      </c>
      <c r="C50">
        <v>3E-11</v>
      </c>
      <c r="D50">
        <v>3.5000000000000002E-11</v>
      </c>
      <c r="E50">
        <v>5.2999999999999998E-11</v>
      </c>
      <c r="F50">
        <v>3.5999999999999998E-11</v>
      </c>
      <c r="G50">
        <v>5.6E-11</v>
      </c>
    </row>
    <row r="51" spans="1:7" x14ac:dyDescent="0.25">
      <c r="A51" t="s">
        <v>675</v>
      </c>
      <c r="B51">
        <v>3.1999999999999998E-10</v>
      </c>
      <c r="C51">
        <v>5.7E-10</v>
      </c>
      <c r="D51">
        <v>6.9E-10</v>
      </c>
      <c r="E51">
        <v>9.7999999999999992E-10</v>
      </c>
      <c r="F51">
        <v>7.2999999999999996E-10</v>
      </c>
      <c r="G51">
        <v>1.0000000000000001E-9</v>
      </c>
    </row>
    <row r="52" spans="1:7" x14ac:dyDescent="0.25">
      <c r="A52" t="s">
        <v>676</v>
      </c>
      <c r="B52">
        <v>9.1999999999999996E-12</v>
      </c>
      <c r="C52">
        <v>1.6E-11</v>
      </c>
      <c r="D52">
        <v>1.6999999999999999E-11</v>
      </c>
      <c r="E52">
        <v>2.8E-11</v>
      </c>
      <c r="F52">
        <v>1.7999999999999999E-11</v>
      </c>
      <c r="G52">
        <v>2.9E-11</v>
      </c>
    </row>
    <row r="53" spans="1:7" x14ac:dyDescent="0.25">
      <c r="A53" t="s">
        <v>677</v>
      </c>
      <c r="B53">
        <v>7.8000000000000002E-11</v>
      </c>
      <c r="C53">
        <v>1.2E-10</v>
      </c>
      <c r="D53">
        <v>-1</v>
      </c>
      <c r="E53">
        <v>-1</v>
      </c>
      <c r="F53">
        <v>-1</v>
      </c>
      <c r="G53">
        <v>-1</v>
      </c>
    </row>
    <row r="54" spans="1:7" x14ac:dyDescent="0.25">
      <c r="A54" t="s">
        <v>678</v>
      </c>
      <c r="B54">
        <v>8.0000000000000003E-10</v>
      </c>
      <c r="C54">
        <v>1.3000000000000001E-9</v>
      </c>
      <c r="D54">
        <v>-1</v>
      </c>
      <c r="E54">
        <v>-1</v>
      </c>
      <c r="F54">
        <v>-1</v>
      </c>
      <c r="G54">
        <v>-1</v>
      </c>
    </row>
    <row r="55" spans="1:7" x14ac:dyDescent="0.25">
      <c r="A55" t="s">
        <v>679</v>
      </c>
      <c r="B55">
        <v>2.3000000000000001E-10</v>
      </c>
      <c r="C55">
        <v>3.4999999999999998E-10</v>
      </c>
      <c r="D55">
        <v>-1</v>
      </c>
      <c r="E55">
        <v>-1</v>
      </c>
      <c r="F55">
        <v>-1</v>
      </c>
      <c r="G55">
        <v>-1</v>
      </c>
    </row>
    <row r="56" spans="1:7" x14ac:dyDescent="0.25">
      <c r="A56" t="s">
        <v>680</v>
      </c>
      <c r="B56">
        <v>4.0999999999999999E-12</v>
      </c>
      <c r="C56">
        <v>6.4000000000000002E-12</v>
      </c>
      <c r="D56">
        <v>-1</v>
      </c>
      <c r="E56">
        <v>-1</v>
      </c>
      <c r="F56">
        <v>-1</v>
      </c>
      <c r="G56">
        <v>-1</v>
      </c>
    </row>
    <row r="57" spans="1:7" x14ac:dyDescent="0.25">
      <c r="A57" t="s">
        <v>681</v>
      </c>
      <c r="B57">
        <v>1.5E-9</v>
      </c>
      <c r="C57">
        <v>1.8E-9</v>
      </c>
      <c r="D57">
        <v>-1</v>
      </c>
      <c r="E57">
        <v>-1</v>
      </c>
      <c r="F57">
        <v>-1</v>
      </c>
      <c r="G57">
        <v>-1</v>
      </c>
    </row>
    <row r="58" spans="1:7" x14ac:dyDescent="0.25">
      <c r="A58" t="s">
        <v>682</v>
      </c>
      <c r="B58">
        <v>1.8999999999999999E-10</v>
      </c>
      <c r="C58">
        <v>2.8000000000000002E-10</v>
      </c>
      <c r="D58">
        <v>-1</v>
      </c>
      <c r="E58">
        <v>-1</v>
      </c>
      <c r="F58">
        <v>-1</v>
      </c>
      <c r="G58">
        <v>-1</v>
      </c>
    </row>
    <row r="59" spans="1:7" x14ac:dyDescent="0.25">
      <c r="A59" t="s">
        <v>683</v>
      </c>
      <c r="B59">
        <v>1.5E-10</v>
      </c>
      <c r="C59">
        <v>2.3000000000000001E-10</v>
      </c>
      <c r="D59">
        <v>-1</v>
      </c>
      <c r="E59">
        <v>-1</v>
      </c>
      <c r="F59">
        <v>-1</v>
      </c>
      <c r="G59">
        <v>-1</v>
      </c>
    </row>
    <row r="60" spans="1:7" x14ac:dyDescent="0.25">
      <c r="A60" t="s">
        <v>684</v>
      </c>
      <c r="B60">
        <v>3.5000000000000002E-11</v>
      </c>
      <c r="C60">
        <v>5.4999999999999997E-11</v>
      </c>
      <c r="D60">
        <v>-1</v>
      </c>
      <c r="E60">
        <v>-1</v>
      </c>
      <c r="F60">
        <v>-1</v>
      </c>
      <c r="G60">
        <v>-1</v>
      </c>
    </row>
    <row r="61" spans="1:7" x14ac:dyDescent="0.25">
      <c r="A61" t="s">
        <v>685</v>
      </c>
      <c r="B61">
        <v>1.0000000000000001E-9</v>
      </c>
      <c r="C61">
        <v>1.6000000000000001E-9</v>
      </c>
      <c r="D61">
        <v>-1</v>
      </c>
      <c r="E61">
        <v>-1</v>
      </c>
      <c r="F61">
        <v>-1</v>
      </c>
      <c r="G61">
        <v>-1</v>
      </c>
    </row>
    <row r="62" spans="1:7" x14ac:dyDescent="0.25">
      <c r="A62" t="s">
        <v>686</v>
      </c>
      <c r="B62">
        <v>2.2000000000000002E-11</v>
      </c>
      <c r="C62">
        <v>3.5000000000000002E-11</v>
      </c>
      <c r="D62">
        <v>-1</v>
      </c>
      <c r="E62">
        <v>-1</v>
      </c>
      <c r="F62">
        <v>-1</v>
      </c>
      <c r="G62">
        <v>-1</v>
      </c>
    </row>
    <row r="63" spans="1:7" x14ac:dyDescent="0.25">
      <c r="A63" t="s">
        <v>687</v>
      </c>
      <c r="B63">
        <v>1.6E-11</v>
      </c>
      <c r="C63">
        <v>2.7E-11</v>
      </c>
      <c r="D63">
        <v>-1</v>
      </c>
      <c r="E63">
        <v>-1</v>
      </c>
      <c r="F63">
        <v>-1</v>
      </c>
      <c r="G63">
        <v>-1</v>
      </c>
    </row>
    <row r="64" spans="1:7" x14ac:dyDescent="0.25">
      <c r="A64" t="s">
        <v>688</v>
      </c>
      <c r="B64">
        <v>-1</v>
      </c>
      <c r="C64">
        <v>-1</v>
      </c>
      <c r="D64">
        <v>9.1000000000000004E-9</v>
      </c>
      <c r="E64">
        <v>6.6999999999999996E-9</v>
      </c>
      <c r="F64">
        <v>3.2000000000000002E-8</v>
      </c>
      <c r="G64">
        <v>1.9000000000000001E-8</v>
      </c>
    </row>
    <row r="65" spans="1:7" x14ac:dyDescent="0.25">
      <c r="A65" t="s">
        <v>689</v>
      </c>
      <c r="B65">
        <v>-1</v>
      </c>
      <c r="C65">
        <v>-1</v>
      </c>
      <c r="D65">
        <v>4.8000000000000002E-11</v>
      </c>
      <c r="E65">
        <v>4.3E-11</v>
      </c>
      <c r="F65">
        <v>5.2000000000000001E-11</v>
      </c>
      <c r="G65">
        <v>4.6000000000000003E-11</v>
      </c>
    </row>
    <row r="66" spans="1:7" x14ac:dyDescent="0.25">
      <c r="A66" t="s">
        <v>690</v>
      </c>
      <c r="B66">
        <v>2.4000000000000001E-11</v>
      </c>
      <c r="C66">
        <v>4.1999999999999997E-11</v>
      </c>
      <c r="D66">
        <v>3.3999999999999999E-11</v>
      </c>
      <c r="E66">
        <v>5.6E-11</v>
      </c>
      <c r="F66">
        <v>-1</v>
      </c>
      <c r="G66">
        <v>-1</v>
      </c>
    </row>
    <row r="67" spans="1:7" x14ac:dyDescent="0.25">
      <c r="A67" t="s">
        <v>691</v>
      </c>
      <c r="B67">
        <v>4.6999999999999999E-11</v>
      </c>
      <c r="C67">
        <v>8.2999999999999998E-11</v>
      </c>
      <c r="D67">
        <v>7.0000000000000004E-11</v>
      </c>
      <c r="E67">
        <v>1.0999999999999999E-10</v>
      </c>
      <c r="F67">
        <v>-1</v>
      </c>
      <c r="G67">
        <v>-1</v>
      </c>
    </row>
    <row r="68" spans="1:7" x14ac:dyDescent="0.25">
      <c r="A68" t="s">
        <v>692</v>
      </c>
      <c r="B68">
        <v>4.6000000000000003E-11</v>
      </c>
      <c r="C68">
        <v>8.3999999999999994E-11</v>
      </c>
      <c r="D68">
        <v>5.8E-11</v>
      </c>
      <c r="E68">
        <v>1E-10</v>
      </c>
      <c r="F68">
        <v>-1</v>
      </c>
      <c r="G68">
        <v>-1</v>
      </c>
    </row>
    <row r="69" spans="1:7" x14ac:dyDescent="0.25">
      <c r="A69" t="s">
        <v>693</v>
      </c>
      <c r="B69">
        <v>2.0000000000000001E-10</v>
      </c>
      <c r="C69">
        <v>3.6E-10</v>
      </c>
      <c r="D69">
        <v>2.8000000000000002E-10</v>
      </c>
      <c r="E69">
        <v>4.5E-10</v>
      </c>
      <c r="F69">
        <v>-1</v>
      </c>
      <c r="G69">
        <v>-1</v>
      </c>
    </row>
    <row r="70" spans="1:7" x14ac:dyDescent="0.25">
      <c r="A70" t="s">
        <v>694</v>
      </c>
      <c r="B70">
        <v>4.0000000000000001E-10</v>
      </c>
      <c r="C70">
        <v>6.8000000000000003E-10</v>
      </c>
      <c r="D70">
        <v>9.2000000000000003E-10</v>
      </c>
      <c r="E70">
        <v>1.0000000000000001E-9</v>
      </c>
      <c r="F70">
        <v>-1</v>
      </c>
      <c r="G70">
        <v>-1</v>
      </c>
    </row>
    <row r="71" spans="1:7" x14ac:dyDescent="0.25">
      <c r="A71" t="s">
        <v>695</v>
      </c>
      <c r="B71">
        <v>7.8999999999999996E-10</v>
      </c>
      <c r="C71">
        <v>1.3000000000000001E-9</v>
      </c>
      <c r="D71">
        <v>1.6999999999999999E-9</v>
      </c>
      <c r="E71">
        <v>2.1000000000000002E-9</v>
      </c>
      <c r="F71">
        <v>-1</v>
      </c>
      <c r="G71">
        <v>-1</v>
      </c>
    </row>
    <row r="72" spans="1:7" x14ac:dyDescent="0.25">
      <c r="A72" t="s">
        <v>696</v>
      </c>
      <c r="B72">
        <v>5.1999999999999996E-10</v>
      </c>
      <c r="C72">
        <v>8.3999999999999999E-10</v>
      </c>
      <c r="D72">
        <v>5.2000000000000002E-9</v>
      </c>
      <c r="E72">
        <v>3.2000000000000001E-9</v>
      </c>
      <c r="F72">
        <v>-1</v>
      </c>
      <c r="G72">
        <v>-1</v>
      </c>
    </row>
    <row r="73" spans="1:7" x14ac:dyDescent="0.25">
      <c r="A73" t="s">
        <v>43</v>
      </c>
      <c r="B73">
        <v>1.0999999999999999E-9</v>
      </c>
      <c r="C73">
        <v>1.3999999999999999E-9</v>
      </c>
      <c r="D73">
        <v>8.3999999999999998E-8</v>
      </c>
      <c r="E73">
        <v>5.9999999999999995E-8</v>
      </c>
      <c r="F73">
        <v>-1</v>
      </c>
      <c r="G73">
        <v>-1</v>
      </c>
    </row>
    <row r="74" spans="1:7" x14ac:dyDescent="0.25">
      <c r="A74" t="s">
        <v>697</v>
      </c>
      <c r="B74">
        <v>4.4999999999999999E-8</v>
      </c>
      <c r="C74">
        <v>5.2999999999999998E-8</v>
      </c>
      <c r="D74">
        <v>3.1E-6</v>
      </c>
      <c r="E74">
        <v>2.0999999999999998E-6</v>
      </c>
      <c r="F74">
        <v>-1</v>
      </c>
      <c r="G74">
        <v>-1</v>
      </c>
    </row>
    <row r="75" spans="1:7" x14ac:dyDescent="0.25">
      <c r="A75" t="s">
        <v>50</v>
      </c>
      <c r="B75">
        <v>9.3000000000000006E-9</v>
      </c>
      <c r="C75">
        <v>1.4999999999999999E-8</v>
      </c>
      <c r="D75">
        <v>2.9999999999999997E-8</v>
      </c>
      <c r="E75">
        <v>3.8999999999999998E-8</v>
      </c>
      <c r="F75">
        <v>-1</v>
      </c>
      <c r="G75">
        <v>-1</v>
      </c>
    </row>
    <row r="76" spans="1:7" x14ac:dyDescent="0.25">
      <c r="A76" t="s">
        <v>53</v>
      </c>
      <c r="B76">
        <v>1.0999999999999999E-8</v>
      </c>
      <c r="C76">
        <v>1.7999999999999999E-8</v>
      </c>
      <c r="D76">
        <v>2.9000000000000002E-8</v>
      </c>
      <c r="E76">
        <v>4.1000000000000003E-8</v>
      </c>
      <c r="F76">
        <v>-1</v>
      </c>
      <c r="G76">
        <v>-1</v>
      </c>
    </row>
    <row r="77" spans="1:7" x14ac:dyDescent="0.25">
      <c r="A77" t="s">
        <v>55</v>
      </c>
      <c r="B77">
        <v>7.2E-9</v>
      </c>
      <c r="C77">
        <v>1.2E-8</v>
      </c>
      <c r="D77">
        <v>1.4E-8</v>
      </c>
      <c r="E77">
        <v>2.0999999999999999E-8</v>
      </c>
      <c r="F77">
        <v>-1</v>
      </c>
      <c r="G77">
        <v>-1</v>
      </c>
    </row>
    <row r="78" spans="1:7" x14ac:dyDescent="0.25">
      <c r="A78" t="s">
        <v>698</v>
      </c>
      <c r="B78">
        <v>-1</v>
      </c>
      <c r="C78">
        <v>-1</v>
      </c>
      <c r="D78">
        <v>2.0000000000000001E-9</v>
      </c>
      <c r="E78">
        <v>1.8E-9</v>
      </c>
      <c r="F78">
        <v>-1</v>
      </c>
      <c r="G78">
        <v>-1</v>
      </c>
    </row>
    <row r="79" spans="1:7" x14ac:dyDescent="0.25">
      <c r="A79" t="s">
        <v>699</v>
      </c>
      <c r="B79">
        <v>-1</v>
      </c>
      <c r="C79">
        <v>-1</v>
      </c>
      <c r="D79">
        <v>3.4000000000000001E-10</v>
      </c>
      <c r="E79">
        <v>4.6000000000000001E-10</v>
      </c>
      <c r="F79">
        <v>-1</v>
      </c>
      <c r="G79">
        <v>-1</v>
      </c>
    </row>
    <row r="80" spans="1:7" x14ac:dyDescent="0.25">
      <c r="A80" t="s">
        <v>700</v>
      </c>
      <c r="B80">
        <v>-1</v>
      </c>
      <c r="C80">
        <v>-1</v>
      </c>
      <c r="D80">
        <v>6.4999999999999994E-5</v>
      </c>
      <c r="E80">
        <v>4.5000000000000003E-5</v>
      </c>
      <c r="F80">
        <v>-1</v>
      </c>
      <c r="G80">
        <v>-1</v>
      </c>
    </row>
    <row r="81" spans="1:7" x14ac:dyDescent="0.25">
      <c r="A81" t="s">
        <v>701</v>
      </c>
      <c r="B81">
        <v>-1</v>
      </c>
      <c r="C81">
        <v>-1</v>
      </c>
      <c r="D81">
        <v>1.4999999999999999E-7</v>
      </c>
      <c r="E81">
        <v>9.9999999999999995E-8</v>
      </c>
      <c r="F81">
        <v>-1</v>
      </c>
      <c r="G81">
        <v>-1</v>
      </c>
    </row>
    <row r="82" spans="1:7" x14ac:dyDescent="0.25">
      <c r="A82" t="s">
        <v>702</v>
      </c>
      <c r="B82">
        <v>-1</v>
      </c>
      <c r="C82">
        <v>-1</v>
      </c>
      <c r="D82">
        <v>9.5999999999999999E-10</v>
      </c>
      <c r="E82">
        <v>7.1000000000000003E-10</v>
      </c>
      <c r="F82">
        <v>-1</v>
      </c>
      <c r="G82">
        <v>-1</v>
      </c>
    </row>
    <row r="83" spans="1:7" x14ac:dyDescent="0.25">
      <c r="A83" t="s">
        <v>703</v>
      </c>
      <c r="B83">
        <v>2.8E-11</v>
      </c>
      <c r="C83">
        <v>5.0000000000000002E-11</v>
      </c>
      <c r="D83">
        <v>4.1000000000000001E-11</v>
      </c>
      <c r="E83">
        <v>6.7999999999999998E-11</v>
      </c>
      <c r="F83">
        <v>-1</v>
      </c>
      <c r="G83">
        <v>-1</v>
      </c>
    </row>
    <row r="84" spans="1:7" x14ac:dyDescent="0.25">
      <c r="A84" t="s">
        <v>704</v>
      </c>
      <c r="B84">
        <v>4.1999999999999997E-11</v>
      </c>
      <c r="C84">
        <v>7.5E-11</v>
      </c>
      <c r="D84">
        <v>6.4999999999999995E-11</v>
      </c>
      <c r="E84">
        <v>1.0999999999999999E-10</v>
      </c>
      <c r="F84">
        <v>-1</v>
      </c>
      <c r="G84">
        <v>-1</v>
      </c>
    </row>
    <row r="85" spans="1:7" x14ac:dyDescent="0.25">
      <c r="A85" t="s">
        <v>705</v>
      </c>
      <c r="B85">
        <v>3.1000000000000003E-11</v>
      </c>
      <c r="C85">
        <v>5.6E-11</v>
      </c>
      <c r="D85">
        <v>5.4999999999999997E-11</v>
      </c>
      <c r="E85">
        <v>8.5000000000000004E-11</v>
      </c>
      <c r="F85">
        <v>-1</v>
      </c>
      <c r="G85">
        <v>-1</v>
      </c>
    </row>
    <row r="86" spans="1:7" x14ac:dyDescent="0.25">
      <c r="A86" t="s">
        <v>706</v>
      </c>
      <c r="B86">
        <v>2.5999999999999998E-10</v>
      </c>
      <c r="C86">
        <v>4.5E-10</v>
      </c>
      <c r="D86">
        <v>4.2E-10</v>
      </c>
      <c r="E86">
        <v>5.7999999999999996E-10</v>
      </c>
      <c r="F86">
        <v>-1</v>
      </c>
      <c r="G86">
        <v>-1</v>
      </c>
    </row>
    <row r="87" spans="1:7" x14ac:dyDescent="0.25">
      <c r="A87" t="s">
        <v>707</v>
      </c>
      <c r="B87">
        <v>6.7000000000000001E-11</v>
      </c>
      <c r="C87">
        <v>1.2E-10</v>
      </c>
      <c r="D87">
        <v>8.6999999999999997E-11</v>
      </c>
      <c r="E87">
        <v>1.2999999999999999E-10</v>
      </c>
      <c r="F87">
        <v>-1</v>
      </c>
      <c r="G87">
        <v>-1</v>
      </c>
    </row>
    <row r="88" spans="1:7" x14ac:dyDescent="0.25">
      <c r="A88" t="s">
        <v>708</v>
      </c>
      <c r="B88">
        <v>6.3000000000000002E-12</v>
      </c>
      <c r="C88">
        <v>1.1000000000000001E-11</v>
      </c>
      <c r="D88">
        <v>9.9999999999999994E-12</v>
      </c>
      <c r="E88">
        <v>1.6999999999999999E-11</v>
      </c>
      <c r="F88">
        <v>-1</v>
      </c>
      <c r="G88">
        <v>-1</v>
      </c>
    </row>
    <row r="89" spans="1:7" x14ac:dyDescent="0.25">
      <c r="A89" t="s">
        <v>709</v>
      </c>
      <c r="B89">
        <v>3.5000000000000002E-11</v>
      </c>
      <c r="C89">
        <v>5.8E-11</v>
      </c>
      <c r="D89">
        <v>7.5999999999999996E-11</v>
      </c>
      <c r="E89">
        <v>1E-10</v>
      </c>
      <c r="F89">
        <v>-1</v>
      </c>
      <c r="G89">
        <v>-1</v>
      </c>
    </row>
    <row r="90" spans="1:7" x14ac:dyDescent="0.25">
      <c r="A90" t="s">
        <v>710</v>
      </c>
      <c r="B90">
        <v>3.7000000000000001E-10</v>
      </c>
      <c r="C90">
        <v>6.3999999999999996E-10</v>
      </c>
      <c r="D90">
        <v>6.3999999999999996E-10</v>
      </c>
      <c r="E90">
        <v>8.7999999999999996E-10</v>
      </c>
      <c r="F90">
        <v>-1</v>
      </c>
      <c r="G90">
        <v>-1</v>
      </c>
    </row>
    <row r="91" spans="1:7" x14ac:dyDescent="0.25">
      <c r="A91" t="s">
        <v>711</v>
      </c>
      <c r="B91">
        <v>1.6999999999999999E-11</v>
      </c>
      <c r="C91">
        <v>2.9E-11</v>
      </c>
      <c r="D91">
        <v>4.8000000000000002E-11</v>
      </c>
      <c r="E91">
        <v>6.7000000000000001E-11</v>
      </c>
      <c r="F91">
        <v>-1</v>
      </c>
      <c r="G91">
        <v>-1</v>
      </c>
    </row>
    <row r="92" spans="1:7" x14ac:dyDescent="0.25">
      <c r="A92" t="s">
        <v>712</v>
      </c>
      <c r="B92">
        <v>2.3000000000000001E-11</v>
      </c>
      <c r="C92">
        <v>3.9999999999999998E-11</v>
      </c>
      <c r="D92">
        <v>3.9000000000000001E-11</v>
      </c>
      <c r="E92">
        <v>6.2000000000000006E-11</v>
      </c>
      <c r="F92">
        <v>-1</v>
      </c>
      <c r="G92">
        <v>-1</v>
      </c>
    </row>
    <row r="93" spans="1:7" x14ac:dyDescent="0.25">
      <c r="A93" t="s">
        <v>713</v>
      </c>
      <c r="B93">
        <v>-1</v>
      </c>
      <c r="C93">
        <v>-1</v>
      </c>
      <c r="D93">
        <v>1.7000000000000001E-10</v>
      </c>
      <c r="E93">
        <v>1.8999999999999999E-10</v>
      </c>
      <c r="F93">
        <v>-1</v>
      </c>
      <c r="G93">
        <v>-1</v>
      </c>
    </row>
    <row r="94" spans="1:7" x14ac:dyDescent="0.25">
      <c r="A94" t="s">
        <v>8</v>
      </c>
      <c r="B94">
        <v>-1</v>
      </c>
      <c r="C94">
        <v>-1</v>
      </c>
      <c r="D94">
        <v>2.7000000000000002E-9</v>
      </c>
      <c r="E94">
        <v>2.2999999999999999E-9</v>
      </c>
      <c r="F94">
        <v>-1</v>
      </c>
      <c r="G94">
        <v>-1</v>
      </c>
    </row>
    <row r="95" spans="1:7" x14ac:dyDescent="0.25">
      <c r="A95" t="s">
        <v>714</v>
      </c>
      <c r="B95">
        <v>-1</v>
      </c>
      <c r="C95">
        <v>-1</v>
      </c>
      <c r="D95">
        <v>1.8E-9</v>
      </c>
      <c r="E95">
        <v>2.1000000000000002E-9</v>
      </c>
      <c r="F95">
        <v>-1</v>
      </c>
      <c r="G95">
        <v>-1</v>
      </c>
    </row>
    <row r="96" spans="1:7" x14ac:dyDescent="0.25">
      <c r="A96" t="s">
        <v>715</v>
      </c>
      <c r="B96">
        <v>2.7E-11</v>
      </c>
      <c r="C96">
        <v>5.0000000000000002E-11</v>
      </c>
      <c r="D96">
        <v>3.5999999999999998E-11</v>
      </c>
      <c r="E96">
        <v>6.2000000000000006E-11</v>
      </c>
      <c r="F96">
        <v>3.7000000000000001E-11</v>
      </c>
      <c r="G96">
        <v>6.3000000000000002E-11</v>
      </c>
    </row>
    <row r="97" spans="1:7" x14ac:dyDescent="0.25">
      <c r="A97" t="s">
        <v>716</v>
      </c>
      <c r="B97">
        <v>2.3000000000000001E-11</v>
      </c>
      <c r="C97">
        <v>4.1999999999999997E-11</v>
      </c>
      <c r="D97">
        <v>8.1000000000000005E-11</v>
      </c>
      <c r="E97">
        <v>1E-10</v>
      </c>
      <c r="F97">
        <v>8.6999999999999997E-11</v>
      </c>
      <c r="G97">
        <v>1.0999999999999999E-10</v>
      </c>
    </row>
    <row r="98" spans="1:7" x14ac:dyDescent="0.25">
      <c r="A98" t="s">
        <v>717</v>
      </c>
      <c r="B98">
        <v>8.0999999999999997E-9</v>
      </c>
      <c r="C98">
        <v>9.5999999999999999E-9</v>
      </c>
      <c r="D98">
        <v>6.2000000000000001E-9</v>
      </c>
      <c r="E98">
        <v>5.1000000000000002E-9</v>
      </c>
      <c r="F98">
        <v>5.7999999999999998E-9</v>
      </c>
      <c r="G98">
        <v>4.3999999999999997E-9</v>
      </c>
    </row>
    <row r="99" spans="1:7" x14ac:dyDescent="0.25">
      <c r="A99" t="s">
        <v>145</v>
      </c>
      <c r="B99">
        <v>1.1999999999999999E-7</v>
      </c>
      <c r="C99">
        <v>1.4000000000000001E-7</v>
      </c>
      <c r="D99">
        <v>5.2999999999999998E-8</v>
      </c>
      <c r="E99">
        <v>4.3000000000000001E-8</v>
      </c>
      <c r="F99">
        <v>2.4999999999999999E-8</v>
      </c>
      <c r="G99">
        <v>2.0999999999999999E-8</v>
      </c>
    </row>
    <row r="100" spans="1:7" x14ac:dyDescent="0.25">
      <c r="A100" t="s">
        <v>115</v>
      </c>
      <c r="B100">
        <v>1.1000000000000001E-7</v>
      </c>
      <c r="C100">
        <v>1.3E-7</v>
      </c>
      <c r="D100">
        <v>4.9999999999999998E-8</v>
      </c>
      <c r="E100">
        <v>4.0000000000000001E-8</v>
      </c>
      <c r="F100">
        <v>2.9999999999999997E-8</v>
      </c>
      <c r="G100">
        <v>2.4E-8</v>
      </c>
    </row>
    <row r="101" spans="1:7" x14ac:dyDescent="0.25">
      <c r="A101" t="s">
        <v>718</v>
      </c>
      <c r="B101">
        <v>3.7000000000000001E-10</v>
      </c>
      <c r="C101">
        <v>5.4E-10</v>
      </c>
      <c r="D101">
        <v>9.6999999999999996E-10</v>
      </c>
      <c r="E101">
        <v>1.2E-9</v>
      </c>
      <c r="F101">
        <v>1.0999999999999999E-9</v>
      </c>
      <c r="G101">
        <v>1.3000000000000001E-9</v>
      </c>
    </row>
    <row r="102" spans="1:7" x14ac:dyDescent="0.25">
      <c r="A102" t="s">
        <v>719</v>
      </c>
      <c r="B102">
        <v>5.3000000000000003E-9</v>
      </c>
      <c r="C102">
        <v>6.4000000000000002E-9</v>
      </c>
      <c r="D102">
        <v>5.8999999999999999E-9</v>
      </c>
      <c r="E102">
        <v>5.4999999999999996E-9</v>
      </c>
      <c r="F102">
        <v>7.3E-9</v>
      </c>
      <c r="G102">
        <v>5.4999999999999996E-9</v>
      </c>
    </row>
    <row r="103" spans="1:7" x14ac:dyDescent="0.25">
      <c r="A103" t="s">
        <v>720</v>
      </c>
      <c r="B103">
        <v>7.3000000000000006E-11</v>
      </c>
      <c r="C103">
        <v>1.2999999999999999E-10</v>
      </c>
      <c r="D103">
        <v>1.5999999999999999E-10</v>
      </c>
      <c r="E103">
        <v>2.4E-10</v>
      </c>
      <c r="F103">
        <v>1.7000000000000001E-10</v>
      </c>
      <c r="G103">
        <v>2.5000000000000002E-10</v>
      </c>
    </row>
    <row r="104" spans="1:7" x14ac:dyDescent="0.25">
      <c r="A104" t="s">
        <v>721</v>
      </c>
      <c r="B104">
        <v>1E-10</v>
      </c>
      <c r="C104">
        <v>1.8999999999999999E-10</v>
      </c>
      <c r="D104">
        <v>2.0000000000000001E-10</v>
      </c>
      <c r="E104">
        <v>3.1000000000000002E-10</v>
      </c>
      <c r="F104">
        <v>2.1E-10</v>
      </c>
      <c r="G104">
        <v>3.1999999999999998E-10</v>
      </c>
    </row>
    <row r="105" spans="1:7" x14ac:dyDescent="0.25">
      <c r="A105" t="s">
        <v>722</v>
      </c>
      <c r="B105">
        <v>-1</v>
      </c>
      <c r="C105">
        <v>-1</v>
      </c>
      <c r="D105">
        <v>1.3000000000000001E-9</v>
      </c>
      <c r="E105">
        <v>1.5E-9</v>
      </c>
      <c r="F105">
        <v>1.3000000000000001E-9</v>
      </c>
      <c r="G105">
        <v>1.6000000000000001E-9</v>
      </c>
    </row>
    <row r="106" spans="1:7" x14ac:dyDescent="0.25">
      <c r="A106" t="s">
        <v>723</v>
      </c>
      <c r="B106">
        <v>-1</v>
      </c>
      <c r="C106">
        <v>-1</v>
      </c>
      <c r="D106">
        <v>4.8999999999999996E-10</v>
      </c>
      <c r="E106">
        <v>7.2999999999999996E-10</v>
      </c>
      <c r="F106">
        <v>5.1E-10</v>
      </c>
      <c r="G106">
        <v>7.5999999999999996E-10</v>
      </c>
    </row>
    <row r="107" spans="1:7" x14ac:dyDescent="0.25">
      <c r="A107" t="s">
        <v>724</v>
      </c>
      <c r="B107">
        <v>-1</v>
      </c>
      <c r="C107">
        <v>-1</v>
      </c>
      <c r="D107">
        <v>9.9999999999999994E-12</v>
      </c>
      <c r="E107">
        <v>1.7999999999999999E-11</v>
      </c>
      <c r="F107">
        <v>1.1000000000000001E-11</v>
      </c>
      <c r="G107">
        <v>1.8999999999999999E-11</v>
      </c>
    </row>
    <row r="108" spans="1:7" x14ac:dyDescent="0.25">
      <c r="A108" t="s">
        <v>725</v>
      </c>
      <c r="B108">
        <v>-1</v>
      </c>
      <c r="C108">
        <v>-1</v>
      </c>
      <c r="D108">
        <v>4.0000000000000001E-10</v>
      </c>
      <c r="E108">
        <v>5.4999999999999996E-10</v>
      </c>
      <c r="F108">
        <v>4.3000000000000001E-10</v>
      </c>
      <c r="G108">
        <v>5.9000000000000003E-10</v>
      </c>
    </row>
    <row r="109" spans="1:7" x14ac:dyDescent="0.25">
      <c r="A109" t="s">
        <v>726</v>
      </c>
      <c r="B109">
        <v>-1</v>
      </c>
      <c r="C109">
        <v>-1</v>
      </c>
      <c r="D109">
        <v>1.6000000000000001E-9</v>
      </c>
      <c r="E109">
        <v>1.3000000000000001E-9</v>
      </c>
      <c r="F109">
        <v>1.8E-9</v>
      </c>
      <c r="G109">
        <v>1.3999999999999999E-9</v>
      </c>
    </row>
    <row r="110" spans="1:7" x14ac:dyDescent="0.25">
      <c r="A110" t="s">
        <v>727</v>
      </c>
      <c r="B110">
        <v>-1</v>
      </c>
      <c r="C110">
        <v>-1</v>
      </c>
      <c r="D110">
        <v>3.1E-9</v>
      </c>
      <c r="E110">
        <v>2.7000000000000002E-9</v>
      </c>
      <c r="F110">
        <v>3.6E-9</v>
      </c>
      <c r="G110">
        <v>3.1E-9</v>
      </c>
    </row>
    <row r="111" spans="1:7" x14ac:dyDescent="0.25">
      <c r="A111" t="s">
        <v>728</v>
      </c>
      <c r="B111">
        <v>-1</v>
      </c>
      <c r="C111">
        <v>-1</v>
      </c>
      <c r="D111">
        <v>7.4000000000000003E-10</v>
      </c>
      <c r="E111">
        <v>9.5000000000000003E-10</v>
      </c>
      <c r="F111">
        <v>8.0999999999999999E-10</v>
      </c>
      <c r="G111">
        <v>1.0000000000000001E-9</v>
      </c>
    </row>
    <row r="112" spans="1:7" x14ac:dyDescent="0.25">
      <c r="A112" t="s">
        <v>124</v>
      </c>
      <c r="B112">
        <v>-1</v>
      </c>
      <c r="C112">
        <v>-1</v>
      </c>
      <c r="D112">
        <v>3.4E-8</v>
      </c>
      <c r="E112">
        <v>2.3000000000000001E-8</v>
      </c>
      <c r="F112">
        <v>4.9000000000000002E-8</v>
      </c>
      <c r="G112">
        <v>2.9000000000000002E-8</v>
      </c>
    </row>
    <row r="113" spans="1:7" x14ac:dyDescent="0.25">
      <c r="A113" t="s">
        <v>729</v>
      </c>
      <c r="B113">
        <v>-1</v>
      </c>
      <c r="C113">
        <v>-1</v>
      </c>
      <c r="D113">
        <v>1.3000000000000001E-8</v>
      </c>
      <c r="E113">
        <v>1.7999999999999999E-8</v>
      </c>
      <c r="F113">
        <v>-1</v>
      </c>
      <c r="G113">
        <v>-1</v>
      </c>
    </row>
    <row r="114" spans="1:7" x14ac:dyDescent="0.25">
      <c r="A114" t="s">
        <v>730</v>
      </c>
      <c r="B114">
        <v>-1</v>
      </c>
      <c r="C114">
        <v>-1</v>
      </c>
      <c r="D114">
        <v>4.2E-7</v>
      </c>
      <c r="E114">
        <v>3.4999999999999998E-7</v>
      </c>
      <c r="F114">
        <v>-1</v>
      </c>
      <c r="G114">
        <v>-1</v>
      </c>
    </row>
    <row r="115" spans="1:7" x14ac:dyDescent="0.25">
      <c r="A115" t="s">
        <v>731</v>
      </c>
      <c r="B115">
        <v>-1</v>
      </c>
      <c r="C115">
        <v>-1</v>
      </c>
      <c r="D115">
        <v>8.1999999999999994E-6</v>
      </c>
      <c r="E115">
        <v>6.1E-6</v>
      </c>
      <c r="F115">
        <v>-1</v>
      </c>
      <c r="G115">
        <v>-1</v>
      </c>
    </row>
    <row r="116" spans="1:7" x14ac:dyDescent="0.25">
      <c r="A116" t="s">
        <v>732</v>
      </c>
      <c r="B116">
        <v>-1</v>
      </c>
      <c r="C116">
        <v>-1</v>
      </c>
      <c r="D116">
        <v>6.6000000000000005E-5</v>
      </c>
      <c r="E116">
        <v>4.5000000000000003E-5</v>
      </c>
      <c r="F116">
        <v>-1</v>
      </c>
      <c r="G116">
        <v>-1</v>
      </c>
    </row>
    <row r="117" spans="1:7" x14ac:dyDescent="0.25">
      <c r="A117" t="s">
        <v>733</v>
      </c>
      <c r="B117">
        <v>-1</v>
      </c>
      <c r="C117">
        <v>-1</v>
      </c>
      <c r="D117">
        <v>3.1999999999999999E-5</v>
      </c>
      <c r="E117">
        <v>2.1999999999999999E-5</v>
      </c>
      <c r="F117">
        <v>-1</v>
      </c>
      <c r="G117">
        <v>-1</v>
      </c>
    </row>
    <row r="118" spans="1:7" x14ac:dyDescent="0.25">
      <c r="A118" t="s">
        <v>734</v>
      </c>
      <c r="B118">
        <v>-1</v>
      </c>
      <c r="C118">
        <v>-1</v>
      </c>
      <c r="D118">
        <v>6.7000000000000002E-5</v>
      </c>
      <c r="E118">
        <v>4.6E-5</v>
      </c>
      <c r="F118">
        <v>-1</v>
      </c>
      <c r="G118">
        <v>-1</v>
      </c>
    </row>
    <row r="119" spans="1:7" x14ac:dyDescent="0.25">
      <c r="A119" t="s">
        <v>735</v>
      </c>
      <c r="B119">
        <v>-1</v>
      </c>
      <c r="C119">
        <v>-1</v>
      </c>
      <c r="D119">
        <v>1.8E-5</v>
      </c>
      <c r="E119">
        <v>1.2999999999999999E-5</v>
      </c>
      <c r="F119">
        <v>-1</v>
      </c>
      <c r="G119">
        <v>-1</v>
      </c>
    </row>
    <row r="120" spans="1:7" x14ac:dyDescent="0.25">
      <c r="A120" t="s">
        <v>736</v>
      </c>
      <c r="B120">
        <v>-1</v>
      </c>
      <c r="C120">
        <v>-1</v>
      </c>
      <c r="D120">
        <v>1.1999999999999999E-6</v>
      </c>
      <c r="E120">
        <v>9.9999999999999995E-7</v>
      </c>
      <c r="F120">
        <v>-1</v>
      </c>
      <c r="G120">
        <v>-1</v>
      </c>
    </row>
    <row r="121" spans="1:7" x14ac:dyDescent="0.25">
      <c r="A121" t="s">
        <v>737</v>
      </c>
      <c r="B121">
        <v>-1</v>
      </c>
      <c r="C121">
        <v>-1</v>
      </c>
      <c r="D121">
        <v>3.6999999999999998E-5</v>
      </c>
      <c r="E121">
        <v>2.1999999999999999E-5</v>
      </c>
      <c r="F121">
        <v>-1</v>
      </c>
      <c r="G121">
        <v>-1</v>
      </c>
    </row>
    <row r="122" spans="1:7" x14ac:dyDescent="0.25">
      <c r="A122" t="s">
        <v>7</v>
      </c>
      <c r="B122">
        <v>3.4000000000000001E-10</v>
      </c>
      <c r="C122">
        <v>4.8999999999999996E-10</v>
      </c>
      <c r="D122">
        <v>6.8999999999999997E-9</v>
      </c>
      <c r="E122">
        <v>5.1000000000000002E-9</v>
      </c>
      <c r="F122">
        <v>-1</v>
      </c>
      <c r="G122">
        <v>-1</v>
      </c>
    </row>
    <row r="123" spans="1:7" x14ac:dyDescent="0.25">
      <c r="A123" t="s">
        <v>738</v>
      </c>
      <c r="B123">
        <v>2.7E-11</v>
      </c>
      <c r="C123">
        <v>4.6000000000000003E-11</v>
      </c>
      <c r="D123">
        <v>4.6999999999999999E-11</v>
      </c>
      <c r="E123">
        <v>7.3000000000000006E-11</v>
      </c>
      <c r="F123">
        <v>-1</v>
      </c>
      <c r="G123">
        <v>-1</v>
      </c>
    </row>
    <row r="124" spans="1:7" x14ac:dyDescent="0.25">
      <c r="A124" t="s">
        <v>739</v>
      </c>
      <c r="B124">
        <v>2.7E-11</v>
      </c>
      <c r="C124">
        <v>4.8000000000000002E-11</v>
      </c>
      <c r="D124">
        <v>4.8000000000000002E-11</v>
      </c>
      <c r="E124">
        <v>7.5999999999999996E-11</v>
      </c>
      <c r="F124">
        <v>-1</v>
      </c>
      <c r="G124">
        <v>-1</v>
      </c>
    </row>
    <row r="125" spans="1:7" x14ac:dyDescent="0.25">
      <c r="A125" t="s">
        <v>740</v>
      </c>
      <c r="B125">
        <v>-1</v>
      </c>
      <c r="C125">
        <v>-1</v>
      </c>
      <c r="D125">
        <v>4.1000000000000003E-9</v>
      </c>
      <c r="E125">
        <v>4.8E-9</v>
      </c>
      <c r="F125">
        <v>-1</v>
      </c>
      <c r="G125">
        <v>-1</v>
      </c>
    </row>
    <row r="126" spans="1:7" x14ac:dyDescent="0.25">
      <c r="A126" t="s">
        <v>741</v>
      </c>
      <c r="B126">
        <v>-1</v>
      </c>
      <c r="C126">
        <v>-1</v>
      </c>
      <c r="D126">
        <v>2.9000000000000002E-6</v>
      </c>
      <c r="E126">
        <v>2.3E-6</v>
      </c>
      <c r="F126">
        <v>-1</v>
      </c>
      <c r="G126">
        <v>-1</v>
      </c>
    </row>
    <row r="127" spans="1:7" x14ac:dyDescent="0.25">
      <c r="A127" t="s">
        <v>742</v>
      </c>
      <c r="B127">
        <v>-1</v>
      </c>
      <c r="C127">
        <v>-1</v>
      </c>
      <c r="D127">
        <v>3.4E-8</v>
      </c>
      <c r="E127">
        <v>2.6000000000000001E-8</v>
      </c>
      <c r="F127">
        <v>-1</v>
      </c>
      <c r="G127">
        <v>-1</v>
      </c>
    </row>
    <row r="128" spans="1:7" x14ac:dyDescent="0.25">
      <c r="A128" t="s">
        <v>136</v>
      </c>
      <c r="B128">
        <v>-1</v>
      </c>
      <c r="C128">
        <v>-1</v>
      </c>
      <c r="D128">
        <v>4.7999999999999998E-6</v>
      </c>
      <c r="E128">
        <v>3.7000000000000002E-6</v>
      </c>
      <c r="F128">
        <v>-1</v>
      </c>
      <c r="G128">
        <v>-1</v>
      </c>
    </row>
    <row r="129" spans="1:7" x14ac:dyDescent="0.25">
      <c r="A129" t="s">
        <v>105</v>
      </c>
      <c r="B129">
        <v>-1</v>
      </c>
      <c r="C129">
        <v>-1</v>
      </c>
      <c r="D129">
        <v>2.9E-5</v>
      </c>
      <c r="E129">
        <v>2.0000000000000002E-5</v>
      </c>
      <c r="F129">
        <v>-1</v>
      </c>
      <c r="G129">
        <v>-1</v>
      </c>
    </row>
    <row r="130" spans="1:7" x14ac:dyDescent="0.25">
      <c r="A130" t="s">
        <v>106</v>
      </c>
      <c r="B130">
        <v>-1</v>
      </c>
      <c r="C130">
        <v>-1</v>
      </c>
      <c r="D130">
        <v>2.5000000000000001E-5</v>
      </c>
      <c r="E130">
        <v>1.7E-5</v>
      </c>
      <c r="F130">
        <v>-1</v>
      </c>
      <c r="G130">
        <v>-1</v>
      </c>
    </row>
    <row r="131" spans="1:7" x14ac:dyDescent="0.25">
      <c r="A131" t="s">
        <v>137</v>
      </c>
      <c r="B131">
        <v>-1</v>
      </c>
      <c r="C131">
        <v>-1</v>
      </c>
      <c r="D131">
        <v>4.0000000000000003E-5</v>
      </c>
      <c r="E131">
        <v>2.6999999999999999E-5</v>
      </c>
      <c r="F131">
        <v>-1</v>
      </c>
      <c r="G131">
        <v>-1</v>
      </c>
    </row>
    <row r="132" spans="1:7" x14ac:dyDescent="0.25">
      <c r="A132" t="s">
        <v>138</v>
      </c>
      <c r="B132">
        <v>-1</v>
      </c>
      <c r="C132">
        <v>-1</v>
      </c>
      <c r="D132">
        <v>4.0000000000000003E-5</v>
      </c>
      <c r="E132">
        <v>2.6999999999999999E-5</v>
      </c>
      <c r="F132">
        <v>-1</v>
      </c>
      <c r="G132">
        <v>-1</v>
      </c>
    </row>
    <row r="133" spans="1:7" x14ac:dyDescent="0.25">
      <c r="A133" t="s">
        <v>743</v>
      </c>
      <c r="B133">
        <v>-1</v>
      </c>
      <c r="C133">
        <v>-1</v>
      </c>
      <c r="D133">
        <v>3.6000000000000001E-5</v>
      </c>
      <c r="E133">
        <v>2.5000000000000001E-5</v>
      </c>
      <c r="F133">
        <v>-1</v>
      </c>
      <c r="G133">
        <v>-1</v>
      </c>
    </row>
    <row r="134" spans="1:7" x14ac:dyDescent="0.25">
      <c r="A134" t="s">
        <v>744</v>
      </c>
      <c r="B134">
        <v>-1</v>
      </c>
      <c r="C134">
        <v>-1</v>
      </c>
      <c r="D134">
        <v>1.3999999999999999E-4</v>
      </c>
      <c r="E134">
        <v>9.5000000000000005E-5</v>
      </c>
      <c r="F134">
        <v>-1</v>
      </c>
      <c r="G134">
        <v>-1</v>
      </c>
    </row>
    <row r="135" spans="1:7" x14ac:dyDescent="0.25">
      <c r="A135" t="s">
        <v>745</v>
      </c>
      <c r="B135">
        <v>-1</v>
      </c>
      <c r="C135">
        <v>-1</v>
      </c>
      <c r="D135">
        <v>3.1999999999999999E-11</v>
      </c>
      <c r="E135">
        <v>5.0999999999999998E-11</v>
      </c>
      <c r="F135">
        <v>-1</v>
      </c>
      <c r="G135">
        <v>-1</v>
      </c>
    </row>
    <row r="136" spans="1:7" x14ac:dyDescent="0.25">
      <c r="A136" t="s">
        <v>746</v>
      </c>
      <c r="B136">
        <v>-1</v>
      </c>
      <c r="C136">
        <v>-1</v>
      </c>
      <c r="D136">
        <v>7.9000000000000001E-4</v>
      </c>
      <c r="E136">
        <v>5.4000000000000001E-4</v>
      </c>
      <c r="F136">
        <v>-1</v>
      </c>
      <c r="G136">
        <v>-1</v>
      </c>
    </row>
    <row r="137" spans="1:7" x14ac:dyDescent="0.25">
      <c r="A137" t="s">
        <v>747</v>
      </c>
      <c r="B137">
        <v>-1</v>
      </c>
      <c r="C137">
        <v>-1</v>
      </c>
      <c r="D137">
        <v>5.1E-10</v>
      </c>
      <c r="E137">
        <v>7.7999999999999999E-10</v>
      </c>
      <c r="F137">
        <v>5.4999999999999996E-10</v>
      </c>
      <c r="G137">
        <v>8.3000000000000003E-10</v>
      </c>
    </row>
    <row r="138" spans="1:7" x14ac:dyDescent="0.25">
      <c r="A138" t="s">
        <v>748</v>
      </c>
      <c r="B138">
        <v>-1</v>
      </c>
      <c r="C138">
        <v>-1</v>
      </c>
      <c r="D138">
        <v>4.5999999999999998E-9</v>
      </c>
      <c r="E138">
        <v>4.0000000000000002E-9</v>
      </c>
      <c r="F138">
        <v>6.3000000000000002E-9</v>
      </c>
      <c r="G138">
        <v>4.9E-9</v>
      </c>
    </row>
    <row r="139" spans="1:7" x14ac:dyDescent="0.25">
      <c r="A139" t="s">
        <v>12</v>
      </c>
      <c r="B139">
        <v>-1</v>
      </c>
      <c r="C139">
        <v>-1</v>
      </c>
      <c r="D139">
        <v>5.1999999999999996E-10</v>
      </c>
      <c r="E139">
        <v>3.9E-10</v>
      </c>
      <c r="F139">
        <v>9.4000000000000006E-10</v>
      </c>
      <c r="G139">
        <v>6E-10</v>
      </c>
    </row>
    <row r="140" spans="1:7" x14ac:dyDescent="0.25">
      <c r="A140" t="s">
        <v>749</v>
      </c>
      <c r="B140">
        <v>-1</v>
      </c>
      <c r="C140">
        <v>-1</v>
      </c>
      <c r="D140">
        <v>1.5E-9</v>
      </c>
      <c r="E140">
        <v>1.3999999999999999E-9</v>
      </c>
      <c r="F140">
        <v>2.0000000000000001E-9</v>
      </c>
      <c r="G140">
        <v>1.6999999999999999E-9</v>
      </c>
    </row>
    <row r="141" spans="1:7" x14ac:dyDescent="0.25">
      <c r="A141" t="s">
        <v>750</v>
      </c>
      <c r="B141">
        <v>-1</v>
      </c>
      <c r="C141">
        <v>-1</v>
      </c>
      <c r="D141">
        <v>1.3E-11</v>
      </c>
      <c r="E141">
        <v>1.5E-11</v>
      </c>
      <c r="F141">
        <v>1.6E-11</v>
      </c>
      <c r="G141">
        <v>1.6999999999999999E-11</v>
      </c>
    </row>
    <row r="142" spans="1:7" x14ac:dyDescent="0.25">
      <c r="A142" t="s">
        <v>14</v>
      </c>
      <c r="B142">
        <v>-1</v>
      </c>
      <c r="C142">
        <v>-1</v>
      </c>
      <c r="D142">
        <v>9.5999999999999999E-9</v>
      </c>
      <c r="E142">
        <v>7.0999999999999999E-9</v>
      </c>
      <c r="F142">
        <v>2.9000000000000002E-8</v>
      </c>
      <c r="G142">
        <v>1.7E-8</v>
      </c>
    </row>
    <row r="143" spans="1:7" x14ac:dyDescent="0.25">
      <c r="A143" t="s">
        <v>751</v>
      </c>
      <c r="B143">
        <v>-1</v>
      </c>
      <c r="C143">
        <v>-1</v>
      </c>
      <c r="D143">
        <v>1.1E-12</v>
      </c>
      <c r="E143">
        <v>1.1999999999999999E-12</v>
      </c>
      <c r="F143">
        <v>1.2999999999999999E-12</v>
      </c>
      <c r="G143">
        <v>1.1999999999999999E-12</v>
      </c>
    </row>
    <row r="144" spans="1:7" x14ac:dyDescent="0.25">
      <c r="A144" t="s">
        <v>752</v>
      </c>
      <c r="B144">
        <v>-1</v>
      </c>
      <c r="C144">
        <v>-1</v>
      </c>
      <c r="D144">
        <v>4.8000000000000002E-11</v>
      </c>
      <c r="E144">
        <v>7.1E-11</v>
      </c>
      <c r="F144">
        <v>5.0999999999999998E-11</v>
      </c>
      <c r="G144">
        <v>7.5E-11</v>
      </c>
    </row>
    <row r="145" spans="1:7" x14ac:dyDescent="0.25">
      <c r="A145" t="s">
        <v>753</v>
      </c>
      <c r="B145">
        <v>-1</v>
      </c>
      <c r="C145">
        <v>-1</v>
      </c>
      <c r="D145">
        <v>2.0999999999999999E-11</v>
      </c>
      <c r="E145">
        <v>3.5999999999999998E-11</v>
      </c>
      <c r="F145">
        <v>2.2000000000000002E-11</v>
      </c>
      <c r="G145">
        <v>3.7000000000000001E-11</v>
      </c>
    </row>
    <row r="146" spans="1:7" x14ac:dyDescent="0.25">
      <c r="A146" t="s">
        <v>754</v>
      </c>
      <c r="B146">
        <v>1E-10</v>
      </c>
      <c r="C146">
        <v>1.7000000000000001E-10</v>
      </c>
      <c r="D146">
        <v>2.0000000000000001E-10</v>
      </c>
      <c r="E146">
        <v>2.3000000000000001E-10</v>
      </c>
      <c r="F146">
        <v>2.1999999999999999E-10</v>
      </c>
      <c r="G146">
        <v>2.5000000000000002E-10</v>
      </c>
    </row>
    <row r="147" spans="1:7" x14ac:dyDescent="0.25">
      <c r="A147" t="s">
        <v>755</v>
      </c>
      <c r="B147">
        <v>1.9999999999999999E-11</v>
      </c>
      <c r="C147">
        <v>3.5000000000000002E-11</v>
      </c>
      <c r="D147">
        <v>3.5000000000000002E-11</v>
      </c>
      <c r="E147">
        <v>5.6E-11</v>
      </c>
      <c r="F147">
        <v>3.7000000000000001E-11</v>
      </c>
      <c r="G147">
        <v>5.9000000000000003E-11</v>
      </c>
    </row>
    <row r="148" spans="1:7" x14ac:dyDescent="0.25">
      <c r="A148" t="s">
        <v>9</v>
      </c>
      <c r="B148">
        <v>2.0999999999999999E-11</v>
      </c>
      <c r="C148">
        <v>3E-11</v>
      </c>
      <c r="D148">
        <v>3.1000000000000003E-11</v>
      </c>
      <c r="E148">
        <v>3.3999999999999999E-11</v>
      </c>
      <c r="F148">
        <v>3.5999999999999998E-11</v>
      </c>
      <c r="G148">
        <v>3.5999999999999998E-11</v>
      </c>
    </row>
    <row r="149" spans="1:7" x14ac:dyDescent="0.25">
      <c r="A149" t="s">
        <v>756</v>
      </c>
      <c r="B149">
        <v>1.3E-11</v>
      </c>
      <c r="C149">
        <v>2.3000000000000001E-11</v>
      </c>
      <c r="D149">
        <v>-1</v>
      </c>
      <c r="E149">
        <v>-1</v>
      </c>
      <c r="F149">
        <v>-1</v>
      </c>
      <c r="G149">
        <v>-1</v>
      </c>
    </row>
    <row r="150" spans="1:7" x14ac:dyDescent="0.25">
      <c r="A150" t="s">
        <v>757</v>
      </c>
      <c r="B150">
        <v>2.2000000000000002E-11</v>
      </c>
      <c r="C150">
        <v>3.9999999999999998E-11</v>
      </c>
      <c r="D150">
        <v>-1</v>
      </c>
      <c r="E150">
        <v>-1</v>
      </c>
      <c r="F150">
        <v>-1</v>
      </c>
      <c r="G150">
        <v>-1</v>
      </c>
    </row>
    <row r="151" spans="1:7" x14ac:dyDescent="0.25">
      <c r="A151" t="s">
        <v>758</v>
      </c>
      <c r="B151">
        <v>4.5E-11</v>
      </c>
      <c r="C151">
        <v>8.1000000000000005E-11</v>
      </c>
      <c r="D151">
        <v>-1</v>
      </c>
      <c r="E151">
        <v>-1</v>
      </c>
      <c r="F151">
        <v>-1</v>
      </c>
      <c r="G151">
        <v>-1</v>
      </c>
    </row>
    <row r="152" spans="1:7" x14ac:dyDescent="0.25">
      <c r="A152" t="s">
        <v>759</v>
      </c>
      <c r="B152">
        <v>8.3999999999999998E-12</v>
      </c>
      <c r="C152">
        <v>1.5E-11</v>
      </c>
      <c r="D152">
        <v>-1</v>
      </c>
      <c r="E152">
        <v>-1</v>
      </c>
      <c r="F152">
        <v>-1</v>
      </c>
      <c r="G152">
        <v>-1</v>
      </c>
    </row>
    <row r="153" spans="1:7" x14ac:dyDescent="0.25">
      <c r="A153" t="s">
        <v>760</v>
      </c>
      <c r="B153">
        <v>2.8E-11</v>
      </c>
      <c r="C153">
        <v>4.5E-11</v>
      </c>
      <c r="D153">
        <v>-1</v>
      </c>
      <c r="E153">
        <v>-1</v>
      </c>
      <c r="F153">
        <v>-1</v>
      </c>
      <c r="G153">
        <v>-1</v>
      </c>
    </row>
    <row r="154" spans="1:7" x14ac:dyDescent="0.25">
      <c r="A154" t="s">
        <v>761</v>
      </c>
      <c r="B154">
        <v>2.4E-10</v>
      </c>
      <c r="C154">
        <v>3.7999999999999998E-10</v>
      </c>
      <c r="D154">
        <v>-1</v>
      </c>
      <c r="E154">
        <v>-1</v>
      </c>
      <c r="F154">
        <v>-1</v>
      </c>
      <c r="G154">
        <v>-1</v>
      </c>
    </row>
    <row r="155" spans="1:7" x14ac:dyDescent="0.25">
      <c r="A155" t="s">
        <v>122</v>
      </c>
      <c r="B155">
        <v>6.7999999999999997E-9</v>
      </c>
      <c r="C155">
        <v>9.5999999999999999E-9</v>
      </c>
      <c r="D155">
        <v>-1</v>
      </c>
      <c r="E155">
        <v>-1</v>
      </c>
      <c r="F155">
        <v>-1</v>
      </c>
      <c r="G155">
        <v>-1</v>
      </c>
    </row>
    <row r="156" spans="1:7" x14ac:dyDescent="0.25">
      <c r="A156" t="s">
        <v>762</v>
      </c>
      <c r="B156">
        <v>1.5E-11</v>
      </c>
      <c r="C156">
        <v>2.6000000000000001E-11</v>
      </c>
      <c r="D156">
        <v>-1</v>
      </c>
      <c r="E156">
        <v>-1</v>
      </c>
      <c r="F156">
        <v>-1</v>
      </c>
      <c r="G156">
        <v>-1</v>
      </c>
    </row>
    <row r="157" spans="1:7" x14ac:dyDescent="0.25">
      <c r="A157" t="s">
        <v>123</v>
      </c>
      <c r="B157">
        <v>7.1000000000000003E-10</v>
      </c>
      <c r="C157">
        <v>9.900000000000001E-10</v>
      </c>
      <c r="D157">
        <v>-1</v>
      </c>
      <c r="E157">
        <v>-1</v>
      </c>
      <c r="F157">
        <v>-1</v>
      </c>
      <c r="G157">
        <v>-1</v>
      </c>
    </row>
    <row r="158" spans="1:7" x14ac:dyDescent="0.25">
      <c r="A158" t="s">
        <v>763</v>
      </c>
      <c r="B158">
        <v>1.3E-11</v>
      </c>
      <c r="C158">
        <v>2.4000000000000001E-11</v>
      </c>
      <c r="D158">
        <v>-1</v>
      </c>
      <c r="E158">
        <v>-1</v>
      </c>
      <c r="F158">
        <v>-1</v>
      </c>
      <c r="G158">
        <v>-1</v>
      </c>
    </row>
    <row r="159" spans="1:7" x14ac:dyDescent="0.25">
      <c r="A159" t="s">
        <v>764</v>
      </c>
      <c r="B159">
        <v>1.3000000000000001E-9</v>
      </c>
      <c r="C159">
        <v>1.9000000000000001E-9</v>
      </c>
      <c r="D159">
        <v>-1</v>
      </c>
      <c r="E159">
        <v>-1</v>
      </c>
      <c r="F159">
        <v>-1</v>
      </c>
      <c r="G159">
        <v>-1</v>
      </c>
    </row>
    <row r="160" spans="1:7" x14ac:dyDescent="0.25">
      <c r="A160" t="s">
        <v>31</v>
      </c>
      <c r="B160">
        <v>4.8E-9</v>
      </c>
      <c r="C160">
        <v>6.6999999999999996E-9</v>
      </c>
      <c r="D160">
        <v>-1</v>
      </c>
      <c r="E160">
        <v>-1</v>
      </c>
      <c r="F160">
        <v>-1</v>
      </c>
      <c r="G160">
        <v>-1</v>
      </c>
    </row>
    <row r="161" spans="1:7" x14ac:dyDescent="0.25">
      <c r="A161" t="s">
        <v>765</v>
      </c>
      <c r="B161">
        <v>2.6000000000000001E-11</v>
      </c>
      <c r="C161">
        <v>4.6000000000000003E-11</v>
      </c>
      <c r="D161">
        <v>-1</v>
      </c>
      <c r="E161">
        <v>-1</v>
      </c>
      <c r="F161">
        <v>-1</v>
      </c>
      <c r="G161">
        <v>-1</v>
      </c>
    </row>
    <row r="162" spans="1:7" x14ac:dyDescent="0.25">
      <c r="A162" t="s">
        <v>766</v>
      </c>
      <c r="B162">
        <v>2.4000000000000001E-11</v>
      </c>
      <c r="C162">
        <v>4.4000000000000003E-11</v>
      </c>
      <c r="D162">
        <v>3.5000000000000002E-11</v>
      </c>
      <c r="E162">
        <v>6E-11</v>
      </c>
      <c r="F162">
        <v>3.5999999999999998E-11</v>
      </c>
      <c r="G162">
        <v>6.2000000000000006E-11</v>
      </c>
    </row>
    <row r="163" spans="1:7" x14ac:dyDescent="0.25">
      <c r="A163" t="s">
        <v>767</v>
      </c>
      <c r="B163">
        <v>3.9999999999999998E-11</v>
      </c>
      <c r="C163">
        <v>7.3000000000000006E-11</v>
      </c>
      <c r="D163">
        <v>7.5999999999999996E-11</v>
      </c>
      <c r="E163">
        <v>1.2E-10</v>
      </c>
      <c r="F163">
        <v>7.9999999999999995E-11</v>
      </c>
      <c r="G163">
        <v>1.2E-10</v>
      </c>
    </row>
    <row r="164" spans="1:7" x14ac:dyDescent="0.25">
      <c r="A164" t="s">
        <v>16</v>
      </c>
      <c r="B164">
        <v>3.7999999999999998E-11</v>
      </c>
      <c r="C164">
        <v>6.7999999999999998E-11</v>
      </c>
      <c r="D164">
        <v>1.0999999999999999E-10</v>
      </c>
      <c r="E164">
        <v>1.5E-10</v>
      </c>
      <c r="F164">
        <v>1.2E-10</v>
      </c>
      <c r="G164">
        <v>1.5E-10</v>
      </c>
    </row>
    <row r="165" spans="1:7" x14ac:dyDescent="0.25">
      <c r="A165" t="s">
        <v>768</v>
      </c>
      <c r="B165">
        <v>1.0999999999999999E-10</v>
      </c>
      <c r="C165">
        <v>1.8E-10</v>
      </c>
      <c r="D165">
        <v>5.1999999999999996E-10</v>
      </c>
      <c r="E165">
        <v>5.3000000000000003E-10</v>
      </c>
      <c r="F165">
        <v>5.7999999999999996E-10</v>
      </c>
      <c r="G165">
        <v>5.7999999999999996E-10</v>
      </c>
    </row>
    <row r="166" spans="1:7" x14ac:dyDescent="0.25">
      <c r="A166" t="s">
        <v>769</v>
      </c>
      <c r="B166">
        <v>-1</v>
      </c>
      <c r="C166">
        <v>-1</v>
      </c>
      <c r="D166">
        <v>7.9999999999999995E-11</v>
      </c>
      <c r="E166">
        <v>1.2E-10</v>
      </c>
      <c r="F166">
        <v>-1</v>
      </c>
      <c r="G166">
        <v>-1</v>
      </c>
    </row>
    <row r="167" spans="1:7" x14ac:dyDescent="0.25">
      <c r="A167" t="s">
        <v>770</v>
      </c>
      <c r="B167">
        <v>-1</v>
      </c>
      <c r="C167">
        <v>-1</v>
      </c>
      <c r="D167">
        <v>3.1999999999999999E-11</v>
      </c>
      <c r="E167">
        <v>5.4999999999999997E-11</v>
      </c>
      <c r="F167">
        <v>-1</v>
      </c>
      <c r="G167">
        <v>-1</v>
      </c>
    </row>
    <row r="168" spans="1:7" x14ac:dyDescent="0.25">
      <c r="A168" t="s">
        <v>771</v>
      </c>
      <c r="B168">
        <v>-1</v>
      </c>
      <c r="C168">
        <v>-1</v>
      </c>
      <c r="D168">
        <v>3.4999999999999998E-10</v>
      </c>
      <c r="E168">
        <v>2.5000000000000002E-10</v>
      </c>
      <c r="F168">
        <v>-1</v>
      </c>
      <c r="G168">
        <v>-1</v>
      </c>
    </row>
    <row r="169" spans="1:7" x14ac:dyDescent="0.25">
      <c r="A169" t="s">
        <v>772</v>
      </c>
      <c r="B169">
        <v>-1</v>
      </c>
      <c r="C169">
        <v>-1</v>
      </c>
      <c r="D169">
        <v>6.0999999999999996E-11</v>
      </c>
      <c r="E169">
        <v>8.6999999999999997E-11</v>
      </c>
      <c r="F169">
        <v>-1</v>
      </c>
      <c r="G169">
        <v>-1</v>
      </c>
    </row>
    <row r="170" spans="1:7" x14ac:dyDescent="0.25">
      <c r="A170" t="s">
        <v>773</v>
      </c>
      <c r="B170">
        <v>-1</v>
      </c>
      <c r="C170">
        <v>-1</v>
      </c>
      <c r="D170">
        <v>1.8E-9</v>
      </c>
      <c r="E170">
        <v>1.8E-9</v>
      </c>
      <c r="F170">
        <v>-1</v>
      </c>
      <c r="G170">
        <v>-1</v>
      </c>
    </row>
    <row r="171" spans="1:7" x14ac:dyDescent="0.25">
      <c r="A171" t="s">
        <v>774</v>
      </c>
      <c r="B171">
        <v>-1</v>
      </c>
      <c r="C171">
        <v>-1</v>
      </c>
      <c r="D171">
        <v>5.0999999999999998E-11</v>
      </c>
      <c r="E171">
        <v>8.5000000000000004E-11</v>
      </c>
      <c r="F171">
        <v>-1</v>
      </c>
      <c r="G171">
        <v>-1</v>
      </c>
    </row>
    <row r="172" spans="1:7" x14ac:dyDescent="0.25">
      <c r="A172" t="s">
        <v>775</v>
      </c>
      <c r="B172">
        <v>-1</v>
      </c>
      <c r="C172">
        <v>-1</v>
      </c>
      <c r="D172">
        <v>8.2999999999999998E-12</v>
      </c>
      <c r="E172">
        <v>1.4E-11</v>
      </c>
      <c r="F172">
        <v>-1</v>
      </c>
      <c r="G172">
        <v>-1</v>
      </c>
    </row>
    <row r="173" spans="1:7" x14ac:dyDescent="0.25">
      <c r="A173" t="s">
        <v>776</v>
      </c>
      <c r="B173">
        <v>-1</v>
      </c>
      <c r="C173">
        <v>-1</v>
      </c>
      <c r="D173">
        <v>9.7999999999999992E-10</v>
      </c>
      <c r="E173">
        <v>9.2000000000000003E-10</v>
      </c>
      <c r="F173">
        <v>-1</v>
      </c>
      <c r="G173">
        <v>-1</v>
      </c>
    </row>
    <row r="174" spans="1:7" x14ac:dyDescent="0.25">
      <c r="A174" t="s">
        <v>777</v>
      </c>
      <c r="B174">
        <v>-1</v>
      </c>
      <c r="C174">
        <v>-1</v>
      </c>
      <c r="D174">
        <v>2.1999999999999999E-10</v>
      </c>
      <c r="E174">
        <v>3E-10</v>
      </c>
      <c r="F174">
        <v>-1</v>
      </c>
      <c r="G174">
        <v>-1</v>
      </c>
    </row>
    <row r="175" spans="1:7" x14ac:dyDescent="0.25">
      <c r="A175" t="s">
        <v>778</v>
      </c>
      <c r="B175">
        <v>-1</v>
      </c>
      <c r="C175">
        <v>-1</v>
      </c>
      <c r="D175">
        <v>1.0999999999999999E-9</v>
      </c>
      <c r="E175">
        <v>1.2E-9</v>
      </c>
      <c r="F175">
        <v>-1</v>
      </c>
      <c r="G175">
        <v>-1</v>
      </c>
    </row>
    <row r="176" spans="1:7" x14ac:dyDescent="0.25">
      <c r="A176" t="s">
        <v>779</v>
      </c>
      <c r="B176">
        <v>-1</v>
      </c>
      <c r="C176">
        <v>-1</v>
      </c>
      <c r="D176">
        <v>5.9000000000000003E-10</v>
      </c>
      <c r="E176">
        <v>4.2E-10</v>
      </c>
      <c r="F176">
        <v>-1</v>
      </c>
      <c r="G176">
        <v>-1</v>
      </c>
    </row>
    <row r="177" spans="1:7" x14ac:dyDescent="0.25">
      <c r="A177" t="s">
        <v>780</v>
      </c>
      <c r="B177">
        <v>-1</v>
      </c>
      <c r="C177">
        <v>-1</v>
      </c>
      <c r="D177">
        <v>2.0000000000000001E-9</v>
      </c>
      <c r="E177">
        <v>1.6999999999999999E-9</v>
      </c>
      <c r="F177">
        <v>-1</v>
      </c>
      <c r="G177">
        <v>-1</v>
      </c>
    </row>
    <row r="178" spans="1:7" x14ac:dyDescent="0.25">
      <c r="A178" t="s">
        <v>781</v>
      </c>
      <c r="B178">
        <v>-1</v>
      </c>
      <c r="C178">
        <v>-1</v>
      </c>
      <c r="D178">
        <v>2.5000000000000002E-6</v>
      </c>
      <c r="E178">
        <v>2.0999999999999998E-6</v>
      </c>
      <c r="F178">
        <v>-1</v>
      </c>
      <c r="G178">
        <v>-1</v>
      </c>
    </row>
    <row r="179" spans="1:7" x14ac:dyDescent="0.25">
      <c r="A179" t="s">
        <v>782</v>
      </c>
      <c r="B179">
        <v>-1</v>
      </c>
      <c r="C179">
        <v>-1</v>
      </c>
      <c r="D179">
        <v>7.9999999999999996E-6</v>
      </c>
      <c r="E179">
        <v>6.0000000000000002E-6</v>
      </c>
      <c r="F179">
        <v>-1</v>
      </c>
      <c r="G179">
        <v>-1</v>
      </c>
    </row>
    <row r="180" spans="1:7" x14ac:dyDescent="0.25">
      <c r="A180" t="s">
        <v>783</v>
      </c>
      <c r="B180">
        <v>-1</v>
      </c>
      <c r="C180">
        <v>-1</v>
      </c>
      <c r="D180">
        <v>4.4000000000000002E-7</v>
      </c>
      <c r="E180">
        <v>3.7E-7</v>
      </c>
      <c r="F180">
        <v>-1</v>
      </c>
      <c r="G180">
        <v>-1</v>
      </c>
    </row>
    <row r="181" spans="1:7" x14ac:dyDescent="0.25">
      <c r="A181" t="s">
        <v>784</v>
      </c>
      <c r="B181">
        <v>-1</v>
      </c>
      <c r="C181">
        <v>-1</v>
      </c>
      <c r="D181">
        <v>5.6000000000000003E-10</v>
      </c>
      <c r="E181">
        <v>7.2999999999999996E-10</v>
      </c>
      <c r="F181">
        <v>-1</v>
      </c>
      <c r="G181">
        <v>-1</v>
      </c>
    </row>
    <row r="182" spans="1:7" x14ac:dyDescent="0.25">
      <c r="A182" t="s">
        <v>785</v>
      </c>
      <c r="B182">
        <v>-1</v>
      </c>
      <c r="C182">
        <v>-1</v>
      </c>
      <c r="D182">
        <v>8.1999999999999996E-10</v>
      </c>
      <c r="E182">
        <v>1.2E-9</v>
      </c>
      <c r="F182">
        <v>-1</v>
      </c>
      <c r="G182">
        <v>-1</v>
      </c>
    </row>
    <row r="183" spans="1:7" x14ac:dyDescent="0.25">
      <c r="A183" t="s">
        <v>786</v>
      </c>
      <c r="B183">
        <v>-1</v>
      </c>
      <c r="C183">
        <v>-1</v>
      </c>
      <c r="D183">
        <v>1.0000000000000001E-9</v>
      </c>
      <c r="E183">
        <v>1.0000000000000001E-9</v>
      </c>
      <c r="F183">
        <v>-1</v>
      </c>
      <c r="G183">
        <v>-1</v>
      </c>
    </row>
    <row r="184" spans="1:7" x14ac:dyDescent="0.25">
      <c r="A184" t="s">
        <v>787</v>
      </c>
      <c r="B184">
        <v>-1</v>
      </c>
      <c r="C184">
        <v>-1</v>
      </c>
      <c r="D184">
        <v>2.7000000000000002E-9</v>
      </c>
      <c r="E184">
        <v>2.2999999999999999E-9</v>
      </c>
      <c r="F184">
        <v>-1</v>
      </c>
      <c r="G184">
        <v>-1</v>
      </c>
    </row>
    <row r="185" spans="1:7" x14ac:dyDescent="0.25">
      <c r="A185" t="s">
        <v>788</v>
      </c>
      <c r="B185">
        <v>-1</v>
      </c>
      <c r="C185">
        <v>-1</v>
      </c>
      <c r="D185">
        <v>2.7E-10</v>
      </c>
      <c r="E185">
        <v>2.3000000000000001E-10</v>
      </c>
      <c r="F185">
        <v>-1</v>
      </c>
      <c r="G185">
        <v>-1</v>
      </c>
    </row>
    <row r="186" spans="1:7" x14ac:dyDescent="0.25">
      <c r="A186" t="s">
        <v>789</v>
      </c>
      <c r="B186">
        <v>-1</v>
      </c>
      <c r="C186">
        <v>-1</v>
      </c>
      <c r="D186">
        <v>4.9999999999999998E-8</v>
      </c>
      <c r="E186">
        <v>3.4E-8</v>
      </c>
      <c r="F186">
        <v>-1</v>
      </c>
      <c r="G186">
        <v>-1</v>
      </c>
    </row>
    <row r="187" spans="1:7" x14ac:dyDescent="0.25">
      <c r="A187" t="s">
        <v>790</v>
      </c>
      <c r="B187">
        <v>-1</v>
      </c>
      <c r="C187">
        <v>-1</v>
      </c>
      <c r="D187">
        <v>1.8999999999999999E-10</v>
      </c>
      <c r="E187">
        <v>2.8000000000000002E-10</v>
      </c>
      <c r="F187">
        <v>-1</v>
      </c>
      <c r="G187">
        <v>-1</v>
      </c>
    </row>
    <row r="188" spans="1:7" x14ac:dyDescent="0.25">
      <c r="A188" t="s">
        <v>36</v>
      </c>
      <c r="B188">
        <v>-1</v>
      </c>
      <c r="C188">
        <v>-1</v>
      </c>
      <c r="D188">
        <v>3.8999999999999998E-8</v>
      </c>
      <c r="E188">
        <v>2.7E-8</v>
      </c>
      <c r="F188">
        <v>-1</v>
      </c>
      <c r="G188">
        <v>-1</v>
      </c>
    </row>
    <row r="189" spans="1:7" x14ac:dyDescent="0.25">
      <c r="A189" t="s">
        <v>791</v>
      </c>
      <c r="B189">
        <v>-1</v>
      </c>
      <c r="C189">
        <v>-1</v>
      </c>
      <c r="D189">
        <v>2.1999999999999999E-10</v>
      </c>
      <c r="E189">
        <v>3.1999999999999998E-10</v>
      </c>
      <c r="F189">
        <v>-1</v>
      </c>
      <c r="G189">
        <v>-1</v>
      </c>
    </row>
    <row r="190" spans="1:7" x14ac:dyDescent="0.25">
      <c r="A190" t="s">
        <v>129</v>
      </c>
      <c r="B190">
        <v>-1</v>
      </c>
      <c r="C190">
        <v>-1</v>
      </c>
      <c r="D190">
        <v>4.9999999999999998E-8</v>
      </c>
      <c r="E190">
        <v>3.5000000000000002E-8</v>
      </c>
      <c r="F190">
        <v>-1</v>
      </c>
      <c r="G190">
        <v>-1</v>
      </c>
    </row>
    <row r="191" spans="1:7" x14ac:dyDescent="0.25">
      <c r="A191" t="s">
        <v>130</v>
      </c>
      <c r="B191">
        <v>-1</v>
      </c>
      <c r="C191">
        <v>-1</v>
      </c>
      <c r="D191">
        <v>6.5000000000000003E-9</v>
      </c>
      <c r="E191">
        <v>4.6999999999999999E-9</v>
      </c>
      <c r="F191">
        <v>-1</v>
      </c>
      <c r="G191">
        <v>-1</v>
      </c>
    </row>
    <row r="192" spans="1:7" x14ac:dyDescent="0.25">
      <c r="A192" t="s">
        <v>792</v>
      </c>
      <c r="B192">
        <v>-1</v>
      </c>
      <c r="C192">
        <v>-1</v>
      </c>
      <c r="D192">
        <v>3.3000000000000002E-9</v>
      </c>
      <c r="E192">
        <v>3E-9</v>
      </c>
      <c r="F192">
        <v>-1</v>
      </c>
      <c r="G192">
        <v>-1</v>
      </c>
    </row>
    <row r="193" spans="1:7" x14ac:dyDescent="0.25">
      <c r="A193" t="s">
        <v>793</v>
      </c>
      <c r="B193">
        <v>-1</v>
      </c>
      <c r="C193">
        <v>-1</v>
      </c>
      <c r="D193">
        <v>3.1999999999999998E-10</v>
      </c>
      <c r="E193">
        <v>4.3999999999999998E-10</v>
      </c>
      <c r="F193">
        <v>-1</v>
      </c>
      <c r="G193">
        <v>-1</v>
      </c>
    </row>
    <row r="194" spans="1:7" x14ac:dyDescent="0.25">
      <c r="A194" t="s">
        <v>794</v>
      </c>
      <c r="B194">
        <v>-1</v>
      </c>
      <c r="C194">
        <v>-1</v>
      </c>
      <c r="D194">
        <v>4.8000000000000002E-11</v>
      </c>
      <c r="E194">
        <v>7.5E-11</v>
      </c>
      <c r="F194">
        <v>-1</v>
      </c>
      <c r="G194">
        <v>-1</v>
      </c>
    </row>
    <row r="195" spans="1:7" x14ac:dyDescent="0.25">
      <c r="A195" t="s">
        <v>623</v>
      </c>
      <c r="B195">
        <v>3E-11</v>
      </c>
      <c r="C195">
        <v>5.4000000000000001E-11</v>
      </c>
      <c r="D195">
        <v>5.6999999999999997E-11</v>
      </c>
      <c r="E195">
        <v>8.9000000000000003E-11</v>
      </c>
      <c r="F195">
        <v>6E-11</v>
      </c>
      <c r="G195">
        <v>9.3000000000000002E-11</v>
      </c>
    </row>
    <row r="196" spans="1:7" x14ac:dyDescent="0.25">
      <c r="A196" t="s">
        <v>795</v>
      </c>
      <c r="B196">
        <v>4.0999999999999998E-10</v>
      </c>
      <c r="C196">
        <v>6.9E-10</v>
      </c>
      <c r="D196">
        <v>6.3E-10</v>
      </c>
      <c r="E196">
        <v>9.5000000000000003E-10</v>
      </c>
      <c r="F196">
        <v>-1</v>
      </c>
      <c r="G196">
        <v>-1</v>
      </c>
    </row>
    <row r="197" spans="1:7" x14ac:dyDescent="0.25">
      <c r="A197" t="s">
        <v>11</v>
      </c>
      <c r="B197">
        <v>7.7000000000000003E-10</v>
      </c>
      <c r="C197">
        <v>9.2000000000000003E-10</v>
      </c>
      <c r="D197">
        <v>3.7000000000000001E-10</v>
      </c>
      <c r="E197">
        <v>3.3E-10</v>
      </c>
      <c r="F197">
        <v>-1</v>
      </c>
      <c r="G197">
        <v>-1</v>
      </c>
    </row>
    <row r="198" spans="1:7" x14ac:dyDescent="0.25">
      <c r="A198" t="s">
        <v>13</v>
      </c>
      <c r="B198">
        <v>2.1999999999999998E-9</v>
      </c>
      <c r="C198">
        <v>3E-9</v>
      </c>
      <c r="D198">
        <v>3.4999999999999999E-9</v>
      </c>
      <c r="E198">
        <v>3.2000000000000001E-9</v>
      </c>
      <c r="F198">
        <v>-1</v>
      </c>
      <c r="G198">
        <v>-1</v>
      </c>
    </row>
    <row r="199" spans="1:7" x14ac:dyDescent="0.25">
      <c r="A199" t="s">
        <v>796</v>
      </c>
      <c r="B199">
        <v>2.8000000000000002E-7</v>
      </c>
      <c r="C199">
        <v>3.3000000000000002E-7</v>
      </c>
      <c r="D199">
        <v>1.3E-7</v>
      </c>
      <c r="E199">
        <v>1.1999999999999999E-7</v>
      </c>
      <c r="F199">
        <v>-1</v>
      </c>
      <c r="G199">
        <v>-1</v>
      </c>
    </row>
    <row r="200" spans="1:7" x14ac:dyDescent="0.25">
      <c r="A200" t="s">
        <v>797</v>
      </c>
      <c r="B200">
        <v>-1</v>
      </c>
      <c r="C200">
        <v>-1</v>
      </c>
      <c r="D200">
        <v>2.9999999999999999E-7</v>
      </c>
      <c r="E200">
        <v>2.6E-7</v>
      </c>
      <c r="F200">
        <v>-1</v>
      </c>
      <c r="G200">
        <v>-1</v>
      </c>
    </row>
    <row r="201" spans="1:7" x14ac:dyDescent="0.25">
      <c r="A201" t="s">
        <v>798</v>
      </c>
      <c r="B201">
        <v>-1</v>
      </c>
      <c r="C201">
        <v>-1</v>
      </c>
      <c r="D201">
        <v>3.7E-7</v>
      </c>
      <c r="E201">
        <v>2.9999999999999999E-7</v>
      </c>
      <c r="F201">
        <v>-1</v>
      </c>
      <c r="G201">
        <v>-1</v>
      </c>
    </row>
    <row r="202" spans="1:7" x14ac:dyDescent="0.25">
      <c r="A202" t="s">
        <v>799</v>
      </c>
      <c r="B202">
        <v>-1</v>
      </c>
      <c r="C202">
        <v>-1</v>
      </c>
      <c r="D202">
        <v>5.5999999999999999E-8</v>
      </c>
      <c r="E202">
        <v>7.7000000000000001E-8</v>
      </c>
      <c r="F202">
        <v>-1</v>
      </c>
      <c r="G202">
        <v>-1</v>
      </c>
    </row>
    <row r="203" spans="1:7" x14ac:dyDescent="0.25">
      <c r="A203" t="s">
        <v>800</v>
      </c>
      <c r="B203">
        <v>-1</v>
      </c>
      <c r="C203">
        <v>-1</v>
      </c>
      <c r="D203">
        <v>2.4999999999999999E-7</v>
      </c>
      <c r="E203">
        <v>2.6E-7</v>
      </c>
      <c r="F203">
        <v>-1</v>
      </c>
      <c r="G203">
        <v>-1</v>
      </c>
    </row>
    <row r="204" spans="1:7" x14ac:dyDescent="0.25">
      <c r="A204" t="s">
        <v>801</v>
      </c>
      <c r="B204">
        <v>-1</v>
      </c>
      <c r="C204">
        <v>-1</v>
      </c>
      <c r="D204">
        <v>6.6000000000000003E-6</v>
      </c>
      <c r="E204">
        <v>5.2000000000000002E-6</v>
      </c>
      <c r="F204">
        <v>-1</v>
      </c>
      <c r="G204">
        <v>-1</v>
      </c>
    </row>
    <row r="205" spans="1:7" x14ac:dyDescent="0.25">
      <c r="A205" t="s">
        <v>802</v>
      </c>
      <c r="B205">
        <v>1.4E-8</v>
      </c>
      <c r="C205">
        <v>2.0999999999999999E-8</v>
      </c>
      <c r="D205">
        <v>-1</v>
      </c>
      <c r="E205">
        <v>-1</v>
      </c>
      <c r="F205">
        <v>-1</v>
      </c>
      <c r="G205">
        <v>-1</v>
      </c>
    </row>
    <row r="206" spans="1:7" x14ac:dyDescent="0.25">
      <c r="A206" t="s">
        <v>72</v>
      </c>
      <c r="B206">
        <v>9.0999999999999996E-10</v>
      </c>
      <c r="C206">
        <v>1.3000000000000001E-9</v>
      </c>
      <c r="D206">
        <v>-1</v>
      </c>
      <c r="E206">
        <v>-1</v>
      </c>
      <c r="F206">
        <v>-1</v>
      </c>
      <c r="G206">
        <v>-1</v>
      </c>
    </row>
    <row r="207" spans="1:7" x14ac:dyDescent="0.25">
      <c r="A207" t="s">
        <v>803</v>
      </c>
      <c r="B207">
        <v>1.2000000000000001E-11</v>
      </c>
      <c r="C207">
        <v>1.9999999999999999E-11</v>
      </c>
      <c r="D207">
        <v>1.7999999999999999E-11</v>
      </c>
      <c r="E207">
        <v>2.9E-11</v>
      </c>
      <c r="F207">
        <v>-1</v>
      </c>
      <c r="G207">
        <v>-1</v>
      </c>
    </row>
    <row r="208" spans="1:7" x14ac:dyDescent="0.25">
      <c r="A208" t="s">
        <v>804</v>
      </c>
      <c r="B208">
        <v>2.7E-10</v>
      </c>
      <c r="C208">
        <v>4.7000000000000003E-10</v>
      </c>
      <c r="D208">
        <v>4.6000000000000001E-10</v>
      </c>
      <c r="E208">
        <v>7.1000000000000003E-10</v>
      </c>
      <c r="F208">
        <v>-1</v>
      </c>
      <c r="G208">
        <v>-1</v>
      </c>
    </row>
    <row r="209" spans="1:7" x14ac:dyDescent="0.25">
      <c r="A209" t="s">
        <v>805</v>
      </c>
      <c r="B209">
        <v>6.7999999999999998E-11</v>
      </c>
      <c r="C209">
        <v>1.0999999999999999E-10</v>
      </c>
      <c r="D209">
        <v>2.3000000000000001E-10</v>
      </c>
      <c r="E209">
        <v>2.8000000000000002E-10</v>
      </c>
      <c r="F209">
        <v>-1</v>
      </c>
      <c r="G209">
        <v>-1</v>
      </c>
    </row>
    <row r="210" spans="1:7" x14ac:dyDescent="0.25">
      <c r="A210" t="s">
        <v>806</v>
      </c>
      <c r="B210">
        <v>2.8E-11</v>
      </c>
      <c r="C210">
        <v>4.8999999999999999E-11</v>
      </c>
      <c r="D210">
        <v>5.0999999999999998E-11</v>
      </c>
      <c r="E210">
        <v>8.1000000000000005E-11</v>
      </c>
      <c r="F210">
        <v>-1</v>
      </c>
      <c r="G210">
        <v>-1</v>
      </c>
    </row>
    <row r="211" spans="1:7" x14ac:dyDescent="0.25">
      <c r="A211" t="s">
        <v>807</v>
      </c>
      <c r="B211">
        <v>9.2999999999999996E-12</v>
      </c>
      <c r="C211">
        <v>1.6E-11</v>
      </c>
      <c r="D211">
        <v>1.6E-11</v>
      </c>
      <c r="E211">
        <v>2.6000000000000001E-11</v>
      </c>
      <c r="F211">
        <v>-1</v>
      </c>
      <c r="G211">
        <v>-1</v>
      </c>
    </row>
    <row r="212" spans="1:7" x14ac:dyDescent="0.25">
      <c r="A212" t="s">
        <v>808</v>
      </c>
      <c r="B212">
        <v>3.1000000000000002E-10</v>
      </c>
      <c r="C212">
        <v>5.6000000000000003E-10</v>
      </c>
      <c r="D212">
        <v>5.4999999999999996E-10</v>
      </c>
      <c r="E212">
        <v>8.3999999999999999E-10</v>
      </c>
      <c r="F212">
        <v>-1</v>
      </c>
      <c r="G212">
        <v>-1</v>
      </c>
    </row>
    <row r="213" spans="1:7" x14ac:dyDescent="0.25">
      <c r="A213" t="s">
        <v>809</v>
      </c>
      <c r="B213">
        <v>5.8E-11</v>
      </c>
      <c r="C213">
        <v>1E-10</v>
      </c>
      <c r="D213">
        <v>1.5E-10</v>
      </c>
      <c r="E213">
        <v>2.0000000000000001E-10</v>
      </c>
      <c r="F213">
        <v>-1</v>
      </c>
      <c r="G213">
        <v>-1</v>
      </c>
    </row>
    <row r="214" spans="1:7" x14ac:dyDescent="0.25">
      <c r="A214" t="s">
        <v>810</v>
      </c>
      <c r="B214">
        <v>1.5E-11</v>
      </c>
      <c r="C214">
        <v>2.6000000000000001E-11</v>
      </c>
      <c r="D214">
        <v>2.0999999999999999E-11</v>
      </c>
      <c r="E214">
        <v>3.5000000000000002E-11</v>
      </c>
      <c r="F214">
        <v>-1</v>
      </c>
      <c r="G214">
        <v>-1</v>
      </c>
    </row>
    <row r="215" spans="1:7" x14ac:dyDescent="0.25">
      <c r="A215" t="s">
        <v>811</v>
      </c>
      <c r="B215">
        <v>4.3999999999999997E-9</v>
      </c>
      <c r="C215">
        <v>5.2000000000000002E-9</v>
      </c>
      <c r="D215">
        <v>6E-9</v>
      </c>
      <c r="E215">
        <v>4.5999999999999998E-9</v>
      </c>
      <c r="F215">
        <v>-1</v>
      </c>
      <c r="G215">
        <v>-1</v>
      </c>
    </row>
    <row r="216" spans="1:7" x14ac:dyDescent="0.25">
      <c r="A216" t="s">
        <v>812</v>
      </c>
      <c r="B216">
        <v>2.7E-10</v>
      </c>
      <c r="C216">
        <v>4.5E-10</v>
      </c>
      <c r="D216">
        <v>4.0999999999999998E-10</v>
      </c>
      <c r="E216">
        <v>5.9000000000000003E-10</v>
      </c>
      <c r="F216">
        <v>-1</v>
      </c>
      <c r="G216">
        <v>-1</v>
      </c>
    </row>
    <row r="217" spans="1:7" x14ac:dyDescent="0.25">
      <c r="A217" t="s">
        <v>813</v>
      </c>
      <c r="B217">
        <v>2.5000000000000001E-5</v>
      </c>
      <c r="C217">
        <v>3.0000000000000001E-5</v>
      </c>
      <c r="D217">
        <v>1.1E-5</v>
      </c>
      <c r="E217">
        <v>7.1999999999999997E-6</v>
      </c>
      <c r="F217">
        <v>-1</v>
      </c>
      <c r="G217">
        <v>-1</v>
      </c>
    </row>
    <row r="218" spans="1:7" x14ac:dyDescent="0.25">
      <c r="A218" t="s">
        <v>814</v>
      </c>
      <c r="B218">
        <v>2.5999999999999998E-10</v>
      </c>
      <c r="C218">
        <v>4.5E-10</v>
      </c>
      <c r="D218">
        <v>6.9999999999999996E-10</v>
      </c>
      <c r="E218">
        <v>7.8999999999999996E-10</v>
      </c>
      <c r="F218">
        <v>-1</v>
      </c>
      <c r="G218">
        <v>-1</v>
      </c>
    </row>
    <row r="219" spans="1:7" x14ac:dyDescent="0.25">
      <c r="A219" t="s">
        <v>815</v>
      </c>
      <c r="B219">
        <v>7.7999999999999999E-10</v>
      </c>
      <c r="C219">
        <v>9.2999999999999999E-10</v>
      </c>
      <c r="D219">
        <v>8.0999999999999999E-10</v>
      </c>
      <c r="E219">
        <v>6.5000000000000003E-10</v>
      </c>
      <c r="F219">
        <v>-1</v>
      </c>
      <c r="G219">
        <v>-1</v>
      </c>
    </row>
    <row r="220" spans="1:7" x14ac:dyDescent="0.25">
      <c r="A220" t="s">
        <v>35</v>
      </c>
      <c r="B220">
        <v>1.9000000000000001E-5</v>
      </c>
      <c r="C220">
        <v>2.1999999999999999E-5</v>
      </c>
      <c r="D220">
        <v>7.4000000000000003E-6</v>
      </c>
      <c r="E220">
        <v>5.0000000000000004E-6</v>
      </c>
      <c r="F220">
        <v>-1</v>
      </c>
      <c r="G220">
        <v>-1</v>
      </c>
    </row>
    <row r="221" spans="1:7" x14ac:dyDescent="0.25">
      <c r="A221" t="s">
        <v>816</v>
      </c>
      <c r="B221">
        <v>2.1000000000000002E-9</v>
      </c>
      <c r="C221">
        <v>2.5000000000000001E-9</v>
      </c>
      <c r="D221">
        <v>1.9000000000000001E-9</v>
      </c>
      <c r="E221">
        <v>1.3999999999999999E-9</v>
      </c>
      <c r="F221">
        <v>-1</v>
      </c>
      <c r="G221">
        <v>-1</v>
      </c>
    </row>
    <row r="222" spans="1:7" x14ac:dyDescent="0.25">
      <c r="A222" t="s">
        <v>817</v>
      </c>
      <c r="B222">
        <v>1.0999999999999999E-10</v>
      </c>
      <c r="C222">
        <v>1.8E-10</v>
      </c>
      <c r="D222">
        <v>2.7E-10</v>
      </c>
      <c r="E222">
        <v>3.9E-10</v>
      </c>
      <c r="F222">
        <v>-1</v>
      </c>
      <c r="G222">
        <v>-1</v>
      </c>
    </row>
    <row r="223" spans="1:7" x14ac:dyDescent="0.25">
      <c r="A223" t="s">
        <v>818</v>
      </c>
      <c r="B223">
        <v>5.6999999999999997E-11</v>
      </c>
      <c r="C223">
        <v>9.8999999999999994E-11</v>
      </c>
      <c r="D223">
        <v>9.2000000000000005E-11</v>
      </c>
      <c r="E223">
        <v>1.2999999999999999E-10</v>
      </c>
      <c r="F223">
        <v>-1</v>
      </c>
      <c r="G223">
        <v>-1</v>
      </c>
    </row>
    <row r="224" spans="1:7" x14ac:dyDescent="0.25">
      <c r="A224" t="s">
        <v>819</v>
      </c>
      <c r="B224">
        <v>1.6E-11</v>
      </c>
      <c r="C224">
        <v>2.8E-11</v>
      </c>
      <c r="D224">
        <v>2.6000000000000001E-11</v>
      </c>
      <c r="E224">
        <v>4.1999999999999997E-11</v>
      </c>
      <c r="F224">
        <v>-1</v>
      </c>
      <c r="G224">
        <v>-1</v>
      </c>
    </row>
    <row r="225" spans="1:7" x14ac:dyDescent="0.25">
      <c r="A225" t="s">
        <v>820</v>
      </c>
      <c r="B225">
        <v>5.4E-10</v>
      </c>
      <c r="C225">
        <v>8.3000000000000003E-10</v>
      </c>
      <c r="D225">
        <v>1.3000000000000001E-8</v>
      </c>
      <c r="E225">
        <v>7.8999999999999996E-9</v>
      </c>
      <c r="F225">
        <v>-1</v>
      </c>
      <c r="G225">
        <v>-1</v>
      </c>
    </row>
    <row r="226" spans="1:7" x14ac:dyDescent="0.25">
      <c r="A226" t="s">
        <v>821</v>
      </c>
      <c r="B226">
        <v>1.4000000000000001E-10</v>
      </c>
      <c r="C226">
        <v>2.5000000000000002E-10</v>
      </c>
      <c r="D226">
        <v>2.8999999999999998E-10</v>
      </c>
      <c r="E226">
        <v>3.7000000000000001E-10</v>
      </c>
      <c r="F226">
        <v>-1</v>
      </c>
      <c r="G226">
        <v>-1</v>
      </c>
    </row>
    <row r="227" spans="1:7" x14ac:dyDescent="0.25">
      <c r="A227" t="s">
        <v>822</v>
      </c>
      <c r="B227">
        <v>4.9999999999999997E-12</v>
      </c>
      <c r="C227">
        <v>7.7999999999999999E-12</v>
      </c>
      <c r="D227">
        <v>9.9999999999999994E-12</v>
      </c>
      <c r="E227">
        <v>1.1000000000000001E-11</v>
      </c>
      <c r="F227">
        <v>-1</v>
      </c>
      <c r="G227">
        <v>-1</v>
      </c>
    </row>
    <row r="228" spans="1:7" x14ac:dyDescent="0.25">
      <c r="A228" t="s">
        <v>823</v>
      </c>
      <c r="B228">
        <v>1.6E-11</v>
      </c>
      <c r="C228">
        <v>2.7E-11</v>
      </c>
      <c r="D228">
        <v>3.7000000000000001E-11</v>
      </c>
      <c r="E228">
        <v>5.4000000000000001E-11</v>
      </c>
      <c r="F228">
        <v>-1</v>
      </c>
      <c r="G228">
        <v>-1</v>
      </c>
    </row>
    <row r="229" spans="1:7" x14ac:dyDescent="0.25">
      <c r="A229" t="s">
        <v>824</v>
      </c>
      <c r="B229">
        <v>1.5E-10</v>
      </c>
      <c r="C229">
        <v>2.5000000000000002E-10</v>
      </c>
      <c r="D229">
        <v>3.6E-10</v>
      </c>
      <c r="E229">
        <v>4.5E-10</v>
      </c>
      <c r="F229">
        <v>-1</v>
      </c>
      <c r="G229">
        <v>-1</v>
      </c>
    </row>
    <row r="230" spans="1:7" x14ac:dyDescent="0.25">
      <c r="A230" t="s">
        <v>825</v>
      </c>
      <c r="B230">
        <v>4.8000000000000002E-11</v>
      </c>
      <c r="C230">
        <v>8.1000000000000005E-11</v>
      </c>
      <c r="D230">
        <v>9.7000000000000001E-11</v>
      </c>
      <c r="E230">
        <v>1.4000000000000001E-10</v>
      </c>
      <c r="F230">
        <v>-1</v>
      </c>
      <c r="G230">
        <v>-1</v>
      </c>
    </row>
    <row r="231" spans="1:7" x14ac:dyDescent="0.25">
      <c r="A231" t="s">
        <v>826</v>
      </c>
      <c r="B231">
        <v>1.7000000000000001E-10</v>
      </c>
      <c r="C231">
        <v>2.8999999999999998E-10</v>
      </c>
      <c r="D231">
        <v>3.1999999999999998E-10</v>
      </c>
      <c r="E231">
        <v>4.3000000000000001E-10</v>
      </c>
      <c r="F231">
        <v>-1</v>
      </c>
      <c r="G231">
        <v>-1</v>
      </c>
    </row>
    <row r="232" spans="1:7" x14ac:dyDescent="0.25">
      <c r="A232" t="s">
        <v>827</v>
      </c>
      <c r="B232">
        <v>3.2000000000000002E-8</v>
      </c>
      <c r="C232">
        <v>3.7E-8</v>
      </c>
      <c r="D232">
        <v>1.9000000000000001E-8</v>
      </c>
      <c r="E232">
        <v>1.3000000000000001E-8</v>
      </c>
      <c r="F232">
        <v>-1</v>
      </c>
      <c r="G232">
        <v>-1</v>
      </c>
    </row>
    <row r="233" spans="1:7" x14ac:dyDescent="0.25">
      <c r="A233" t="s">
        <v>828</v>
      </c>
      <c r="B233">
        <v>7.8999999999999999E-11</v>
      </c>
      <c r="C233">
        <v>1.2999999999999999E-10</v>
      </c>
      <c r="D233">
        <v>1.5999999999999999E-10</v>
      </c>
      <c r="E233">
        <v>2.1999999999999999E-10</v>
      </c>
      <c r="F233">
        <v>-1</v>
      </c>
      <c r="G233">
        <v>-1</v>
      </c>
    </row>
    <row r="234" spans="1:7" x14ac:dyDescent="0.25">
      <c r="A234" t="s">
        <v>829</v>
      </c>
      <c r="B234">
        <v>7.2E-10</v>
      </c>
      <c r="C234">
        <v>8.6999999999999999E-10</v>
      </c>
      <c r="D234">
        <v>1.0999999999999999E-9</v>
      </c>
      <c r="E234">
        <v>8.7999999999999996E-10</v>
      </c>
      <c r="F234">
        <v>-1</v>
      </c>
      <c r="G234">
        <v>-1</v>
      </c>
    </row>
    <row r="235" spans="1:7" x14ac:dyDescent="0.25">
      <c r="A235" t="s">
        <v>830</v>
      </c>
      <c r="B235">
        <v>4.6999999999999999E-11</v>
      </c>
      <c r="C235">
        <v>8.3999999999999994E-11</v>
      </c>
      <c r="D235">
        <v>9.2000000000000005E-11</v>
      </c>
      <c r="E235">
        <v>1.5E-10</v>
      </c>
      <c r="F235">
        <v>-1</v>
      </c>
      <c r="G235">
        <v>-1</v>
      </c>
    </row>
    <row r="236" spans="1:7" x14ac:dyDescent="0.25">
      <c r="A236" t="s">
        <v>831</v>
      </c>
      <c r="B236">
        <v>2.6E-7</v>
      </c>
      <c r="C236">
        <v>3.1E-7</v>
      </c>
      <c r="D236">
        <v>1.1000000000000001E-7</v>
      </c>
      <c r="E236">
        <v>7.7999999999999997E-8</v>
      </c>
      <c r="F236">
        <v>-1</v>
      </c>
      <c r="G236">
        <v>-1</v>
      </c>
    </row>
    <row r="237" spans="1:7" x14ac:dyDescent="0.25">
      <c r="A237" t="s">
        <v>832</v>
      </c>
      <c r="B237">
        <v>1.0999999999999999E-9</v>
      </c>
      <c r="C237">
        <v>1.3999999999999999E-9</v>
      </c>
      <c r="D237">
        <v>3.6E-9</v>
      </c>
      <c r="E237">
        <v>3.2000000000000001E-9</v>
      </c>
      <c r="F237">
        <v>-1</v>
      </c>
      <c r="G237">
        <v>-1</v>
      </c>
    </row>
    <row r="238" spans="1:7" x14ac:dyDescent="0.25">
      <c r="A238" t="s">
        <v>833</v>
      </c>
      <c r="B238">
        <v>6.3999999999999999E-11</v>
      </c>
      <c r="C238">
        <v>1.2E-10</v>
      </c>
      <c r="D238">
        <v>1.4000000000000001E-10</v>
      </c>
      <c r="E238">
        <v>2.0000000000000001E-10</v>
      </c>
      <c r="F238">
        <v>-1</v>
      </c>
      <c r="G238">
        <v>-1</v>
      </c>
    </row>
    <row r="239" spans="1:7" x14ac:dyDescent="0.25">
      <c r="A239" t="s">
        <v>834</v>
      </c>
      <c r="B239">
        <v>1.3999999999999999E-9</v>
      </c>
      <c r="C239">
        <v>1.8E-9</v>
      </c>
      <c r="D239">
        <v>4.6999999999999999E-9</v>
      </c>
      <c r="E239">
        <v>4.1000000000000003E-9</v>
      </c>
      <c r="F239">
        <v>-1</v>
      </c>
      <c r="G239">
        <v>-1</v>
      </c>
    </row>
    <row r="240" spans="1:7" x14ac:dyDescent="0.25">
      <c r="A240" t="s">
        <v>835</v>
      </c>
      <c r="B240">
        <v>2.9999999999999999E-7</v>
      </c>
      <c r="C240">
        <v>3.5999999999999999E-7</v>
      </c>
      <c r="D240">
        <v>1.1999999999999999E-7</v>
      </c>
      <c r="E240">
        <v>8.3000000000000002E-8</v>
      </c>
      <c r="F240">
        <v>-1</v>
      </c>
      <c r="G240">
        <v>-1</v>
      </c>
    </row>
    <row r="241" spans="1:7" x14ac:dyDescent="0.25">
      <c r="A241" t="s">
        <v>836</v>
      </c>
      <c r="B241">
        <v>2.3000000000000001E-11</v>
      </c>
      <c r="C241">
        <v>3.9999999999999998E-11</v>
      </c>
      <c r="D241">
        <v>4.6999999999999999E-11</v>
      </c>
      <c r="E241">
        <v>7.1E-11</v>
      </c>
      <c r="F241">
        <v>-1</v>
      </c>
      <c r="G241">
        <v>-1</v>
      </c>
    </row>
    <row r="242" spans="1:7" x14ac:dyDescent="0.25">
      <c r="A242" t="s">
        <v>837</v>
      </c>
      <c r="B242">
        <v>2.6000000000000001E-11</v>
      </c>
      <c r="C242">
        <v>4.4000000000000003E-11</v>
      </c>
      <c r="D242">
        <v>5.8E-11</v>
      </c>
      <c r="E242">
        <v>8.2999999999999998E-11</v>
      </c>
      <c r="F242">
        <v>-1</v>
      </c>
      <c r="G242">
        <v>-1</v>
      </c>
    </row>
    <row r="243" spans="1:7" x14ac:dyDescent="0.25">
      <c r="A243" t="s">
        <v>838</v>
      </c>
      <c r="B243">
        <v>1.2999999999999999E-10</v>
      </c>
      <c r="C243">
        <v>2.3000000000000001E-10</v>
      </c>
      <c r="D243">
        <v>3.3E-10</v>
      </c>
      <c r="E243">
        <v>4.5E-10</v>
      </c>
      <c r="F243">
        <v>-1</v>
      </c>
      <c r="G243">
        <v>-1</v>
      </c>
    </row>
    <row r="244" spans="1:7" x14ac:dyDescent="0.25">
      <c r="A244" t="s">
        <v>839</v>
      </c>
      <c r="B244">
        <v>2.6000000000000001E-11</v>
      </c>
      <c r="C244">
        <v>4.6999999999999999E-11</v>
      </c>
      <c r="D244">
        <v>7.5E-11</v>
      </c>
      <c r="E244">
        <v>1E-10</v>
      </c>
      <c r="F244">
        <v>-1</v>
      </c>
      <c r="G244">
        <v>-1</v>
      </c>
    </row>
    <row r="245" spans="1:7" x14ac:dyDescent="0.25">
      <c r="A245" t="s">
        <v>840</v>
      </c>
      <c r="B245">
        <v>1.0999999999999999E-10</v>
      </c>
      <c r="C245">
        <v>2.0000000000000001E-10</v>
      </c>
      <c r="D245">
        <v>2.5999999999999998E-10</v>
      </c>
      <c r="E245">
        <v>3.7999999999999998E-10</v>
      </c>
      <c r="F245">
        <v>-1</v>
      </c>
      <c r="G245">
        <v>-1</v>
      </c>
    </row>
    <row r="246" spans="1:7" x14ac:dyDescent="0.25">
      <c r="A246" t="s">
        <v>841</v>
      </c>
      <c r="B246">
        <v>1.4999999999999999E-8</v>
      </c>
      <c r="C246">
        <v>1.9000000000000001E-8</v>
      </c>
      <c r="D246">
        <v>7.8000000000000004E-9</v>
      </c>
      <c r="E246">
        <v>5.3000000000000003E-9</v>
      </c>
      <c r="F246">
        <v>-1</v>
      </c>
      <c r="G246">
        <v>-1</v>
      </c>
    </row>
    <row r="247" spans="1:7" x14ac:dyDescent="0.25">
      <c r="A247" t="s">
        <v>842</v>
      </c>
      <c r="B247">
        <v>2.4000000000000001E-11</v>
      </c>
      <c r="C247">
        <v>4.4000000000000003E-11</v>
      </c>
      <c r="D247">
        <v>7.1999999999999997E-11</v>
      </c>
      <c r="E247">
        <v>9.2000000000000005E-11</v>
      </c>
      <c r="F247">
        <v>-1</v>
      </c>
      <c r="G247">
        <v>-1</v>
      </c>
    </row>
    <row r="248" spans="1:7" x14ac:dyDescent="0.25">
      <c r="A248" t="s">
        <v>843</v>
      </c>
      <c r="B248">
        <v>1.2999999999999999E-10</v>
      </c>
      <c r="C248">
        <v>2.1999999999999999E-10</v>
      </c>
      <c r="D248">
        <v>5.1E-10</v>
      </c>
      <c r="E248">
        <v>6.5000000000000003E-10</v>
      </c>
      <c r="F248">
        <v>-1</v>
      </c>
      <c r="G248">
        <v>-1</v>
      </c>
    </row>
    <row r="249" spans="1:7" x14ac:dyDescent="0.25">
      <c r="A249" t="s">
        <v>844</v>
      </c>
      <c r="B249">
        <v>5.0000000000000002E-11</v>
      </c>
      <c r="C249">
        <v>8.5000000000000004E-11</v>
      </c>
      <c r="D249">
        <v>2.8999999999999998E-10</v>
      </c>
      <c r="E249">
        <v>2.8000000000000002E-10</v>
      </c>
      <c r="F249">
        <v>-1</v>
      </c>
      <c r="G249">
        <v>-1</v>
      </c>
    </row>
    <row r="250" spans="1:7" x14ac:dyDescent="0.25">
      <c r="A250" t="s">
        <v>845</v>
      </c>
      <c r="B250">
        <v>1E-10</v>
      </c>
      <c r="C250">
        <v>1.8E-10</v>
      </c>
      <c r="D250">
        <v>5.1E-10</v>
      </c>
      <c r="E250">
        <v>6.6E-10</v>
      </c>
      <c r="F250">
        <v>-1</v>
      </c>
      <c r="G250">
        <v>-1</v>
      </c>
    </row>
    <row r="251" spans="1:7" x14ac:dyDescent="0.25">
      <c r="A251" t="s">
        <v>846</v>
      </c>
      <c r="B251">
        <v>1.6E-11</v>
      </c>
      <c r="C251">
        <v>2.7E-11</v>
      </c>
      <c r="D251">
        <v>3.3000000000000002E-11</v>
      </c>
      <c r="E251">
        <v>5.2000000000000001E-11</v>
      </c>
      <c r="F251">
        <v>-1</v>
      </c>
      <c r="G251">
        <v>-1</v>
      </c>
    </row>
    <row r="252" spans="1:7" x14ac:dyDescent="0.25">
      <c r="A252" t="s">
        <v>847</v>
      </c>
      <c r="B252">
        <v>5.7E-10</v>
      </c>
      <c r="C252">
        <v>7.5E-10</v>
      </c>
      <c r="D252">
        <v>2.2999999999999999E-9</v>
      </c>
      <c r="E252">
        <v>1.9000000000000001E-9</v>
      </c>
      <c r="F252">
        <v>-1</v>
      </c>
      <c r="G252">
        <v>-1</v>
      </c>
    </row>
    <row r="253" spans="1:7" x14ac:dyDescent="0.25">
      <c r="A253" t="s">
        <v>848</v>
      </c>
      <c r="B253">
        <v>-1</v>
      </c>
      <c r="C253">
        <v>-1</v>
      </c>
      <c r="D253">
        <v>1.9999999999999999E-11</v>
      </c>
      <c r="E253">
        <v>3.1999999999999999E-11</v>
      </c>
      <c r="F253">
        <v>-1</v>
      </c>
      <c r="G253">
        <v>-1</v>
      </c>
    </row>
    <row r="254" spans="1:7" x14ac:dyDescent="0.25">
      <c r="A254" t="s">
        <v>849</v>
      </c>
      <c r="B254">
        <v>-1</v>
      </c>
      <c r="C254">
        <v>-1</v>
      </c>
      <c r="D254">
        <v>4.4999999999999998E-12</v>
      </c>
      <c r="E254">
        <v>7.5999999999999999E-12</v>
      </c>
      <c r="F254">
        <v>-1</v>
      </c>
      <c r="G254">
        <v>-1</v>
      </c>
    </row>
    <row r="255" spans="1:7" x14ac:dyDescent="0.25">
      <c r="A255" t="s">
        <v>850</v>
      </c>
      <c r="B255">
        <v>-1</v>
      </c>
      <c r="C255">
        <v>-1</v>
      </c>
      <c r="D255">
        <v>6.3000000000000002E-12</v>
      </c>
      <c r="E255">
        <v>9.9999999999999994E-12</v>
      </c>
      <c r="F255">
        <v>-1</v>
      </c>
      <c r="G255">
        <v>-1</v>
      </c>
    </row>
    <row r="256" spans="1:7" x14ac:dyDescent="0.25">
      <c r="A256" t="s">
        <v>851</v>
      </c>
      <c r="B256">
        <v>-1</v>
      </c>
      <c r="C256">
        <v>-1</v>
      </c>
      <c r="D256">
        <v>6.3000000000000002E-12</v>
      </c>
      <c r="E256">
        <v>9.9999999999999994E-12</v>
      </c>
      <c r="F256">
        <v>-1</v>
      </c>
      <c r="G256">
        <v>-1</v>
      </c>
    </row>
    <row r="257" spans="1:7" x14ac:dyDescent="0.25">
      <c r="A257" t="s">
        <v>852</v>
      </c>
      <c r="B257">
        <v>-1</v>
      </c>
      <c r="C257">
        <v>-1</v>
      </c>
      <c r="D257">
        <v>2.9000000000000002E-12</v>
      </c>
      <c r="E257">
        <v>4.4999999999999998E-12</v>
      </c>
      <c r="F257">
        <v>-1</v>
      </c>
      <c r="G257">
        <v>-1</v>
      </c>
    </row>
    <row r="258" spans="1:7" x14ac:dyDescent="0.25">
      <c r="A258" t="s">
        <v>853</v>
      </c>
      <c r="B258">
        <v>-1</v>
      </c>
      <c r="C258">
        <v>-1</v>
      </c>
      <c r="D258">
        <v>2.2000000000000002E-11</v>
      </c>
      <c r="E258">
        <v>3.3000000000000002E-11</v>
      </c>
      <c r="F258">
        <v>-1</v>
      </c>
      <c r="G258">
        <v>-1</v>
      </c>
    </row>
    <row r="259" spans="1:7" x14ac:dyDescent="0.25">
      <c r="A259" t="s">
        <v>854</v>
      </c>
      <c r="B259">
        <v>-1</v>
      </c>
      <c r="C259">
        <v>-1</v>
      </c>
      <c r="D259">
        <v>8.5999999999999997E-12</v>
      </c>
      <c r="E259">
        <v>1.3E-11</v>
      </c>
      <c r="F259">
        <v>-1</v>
      </c>
      <c r="G259">
        <v>-1</v>
      </c>
    </row>
    <row r="260" spans="1:7" x14ac:dyDescent="0.25">
      <c r="A260" t="s">
        <v>855</v>
      </c>
      <c r="B260">
        <v>-1</v>
      </c>
      <c r="C260">
        <v>-1</v>
      </c>
      <c r="D260">
        <v>1.2000000000000001E-11</v>
      </c>
      <c r="E260">
        <v>1.6E-11</v>
      </c>
      <c r="F260">
        <v>-1</v>
      </c>
      <c r="G260">
        <v>-1</v>
      </c>
    </row>
    <row r="261" spans="1:7" x14ac:dyDescent="0.25">
      <c r="A261" t="s">
        <v>856</v>
      </c>
      <c r="B261">
        <v>-1</v>
      </c>
      <c r="C261">
        <v>-1</v>
      </c>
      <c r="D261">
        <v>6.6E-10</v>
      </c>
      <c r="E261">
        <v>8.3000000000000003E-10</v>
      </c>
      <c r="F261">
        <v>-1</v>
      </c>
      <c r="G261">
        <v>-1</v>
      </c>
    </row>
    <row r="262" spans="1:7" x14ac:dyDescent="0.25">
      <c r="A262" t="s">
        <v>857</v>
      </c>
      <c r="B262">
        <v>-1</v>
      </c>
      <c r="C262">
        <v>-1</v>
      </c>
      <c r="D262">
        <v>1.1000000000000001E-7</v>
      </c>
      <c r="E262">
        <v>7.7999999999999997E-8</v>
      </c>
      <c r="F262">
        <v>-1</v>
      </c>
      <c r="G262">
        <v>-1</v>
      </c>
    </row>
    <row r="263" spans="1:7" x14ac:dyDescent="0.25">
      <c r="A263" t="s">
        <v>858</v>
      </c>
      <c r="B263">
        <v>-1</v>
      </c>
      <c r="C263">
        <v>-1</v>
      </c>
      <c r="D263">
        <v>7.1E-11</v>
      </c>
      <c r="E263">
        <v>1E-10</v>
      </c>
      <c r="F263">
        <v>-1</v>
      </c>
      <c r="G263">
        <v>-1</v>
      </c>
    </row>
    <row r="264" spans="1:7" x14ac:dyDescent="0.25">
      <c r="A264" t="s">
        <v>622</v>
      </c>
      <c r="B264">
        <v>1E-10</v>
      </c>
      <c r="C264">
        <v>1.8999999999999999E-10</v>
      </c>
      <c r="D264">
        <v>-1</v>
      </c>
      <c r="E264">
        <v>-1</v>
      </c>
      <c r="F264">
        <v>-1</v>
      </c>
      <c r="G264">
        <v>-1</v>
      </c>
    </row>
    <row r="265" spans="1:7" x14ac:dyDescent="0.25">
      <c r="A265" t="s">
        <v>859</v>
      </c>
      <c r="B265">
        <v>8.6999999999999997E-11</v>
      </c>
      <c r="C265">
        <v>1.4000000000000001E-10</v>
      </c>
      <c r="D265">
        <v>-1</v>
      </c>
      <c r="E265">
        <v>-1</v>
      </c>
      <c r="F265">
        <v>-1</v>
      </c>
      <c r="G265">
        <v>-1</v>
      </c>
    </row>
    <row r="266" spans="1:7" x14ac:dyDescent="0.25">
      <c r="A266" t="s">
        <v>621</v>
      </c>
      <c r="B266">
        <v>2.8E-11</v>
      </c>
      <c r="C266">
        <v>3.9000000000000001E-11</v>
      </c>
      <c r="D266">
        <v>-1</v>
      </c>
      <c r="E266">
        <v>-1</v>
      </c>
      <c r="F266">
        <v>-1</v>
      </c>
      <c r="G266">
        <v>-1</v>
      </c>
    </row>
    <row r="267" spans="1:7" x14ac:dyDescent="0.25">
      <c r="A267" t="s">
        <v>25</v>
      </c>
      <c r="B267">
        <v>7.5999999999999996E-11</v>
      </c>
      <c r="C267">
        <v>1.0999999999999999E-10</v>
      </c>
      <c r="D267">
        <v>-1</v>
      </c>
      <c r="E267">
        <v>-1</v>
      </c>
      <c r="F267">
        <v>-1</v>
      </c>
      <c r="G267">
        <v>-1</v>
      </c>
    </row>
    <row r="268" spans="1:7" x14ac:dyDescent="0.25">
      <c r="A268" t="s">
        <v>26</v>
      </c>
      <c r="B268">
        <v>4.4999999999999998E-9</v>
      </c>
      <c r="C268">
        <v>6.3000000000000002E-9</v>
      </c>
      <c r="D268">
        <v>-1</v>
      </c>
      <c r="E268">
        <v>-1</v>
      </c>
      <c r="F268">
        <v>-1</v>
      </c>
      <c r="G268">
        <v>-1</v>
      </c>
    </row>
    <row r="269" spans="1:7" x14ac:dyDescent="0.25">
      <c r="A269" t="s">
        <v>27</v>
      </c>
      <c r="B269">
        <v>5.3000000000000003E-9</v>
      </c>
      <c r="C269">
        <v>7.3E-9</v>
      </c>
      <c r="D269">
        <v>-1</v>
      </c>
      <c r="E269">
        <v>-1</v>
      </c>
      <c r="F269">
        <v>-1</v>
      </c>
      <c r="G269">
        <v>-1</v>
      </c>
    </row>
    <row r="270" spans="1:7" x14ac:dyDescent="0.25">
      <c r="A270" t="s">
        <v>620</v>
      </c>
      <c r="B270">
        <v>1E-8</v>
      </c>
      <c r="C270">
        <v>1.4E-8</v>
      </c>
      <c r="D270">
        <v>-1</v>
      </c>
      <c r="E270">
        <v>-1</v>
      </c>
      <c r="F270">
        <v>-1</v>
      </c>
      <c r="G270">
        <v>-1</v>
      </c>
    </row>
    <row r="271" spans="1:7" x14ac:dyDescent="0.25">
      <c r="A271" t="s">
        <v>619</v>
      </c>
      <c r="B271">
        <v>1.4E-11</v>
      </c>
      <c r="C271">
        <v>2.2000000000000002E-11</v>
      </c>
      <c r="D271">
        <v>-1</v>
      </c>
      <c r="E271">
        <v>-1</v>
      </c>
      <c r="F271">
        <v>-1</v>
      </c>
      <c r="G271">
        <v>-1</v>
      </c>
    </row>
    <row r="272" spans="1:7" x14ac:dyDescent="0.25">
      <c r="A272" t="s">
        <v>28</v>
      </c>
      <c r="B272">
        <v>3.7E-8</v>
      </c>
      <c r="C272">
        <v>5.1E-8</v>
      </c>
      <c r="D272">
        <v>-1</v>
      </c>
      <c r="E272">
        <v>-1</v>
      </c>
      <c r="F272">
        <v>-1</v>
      </c>
      <c r="G272">
        <v>-1</v>
      </c>
    </row>
    <row r="273" spans="1:7" x14ac:dyDescent="0.25">
      <c r="A273" t="s">
        <v>618</v>
      </c>
      <c r="B273">
        <v>6.9E-10</v>
      </c>
      <c r="C273">
        <v>9.5999999999999999E-10</v>
      </c>
      <c r="D273">
        <v>-1</v>
      </c>
      <c r="E273">
        <v>-1</v>
      </c>
      <c r="F273">
        <v>-1</v>
      </c>
      <c r="G273">
        <v>-1</v>
      </c>
    </row>
    <row r="274" spans="1:7" x14ac:dyDescent="0.25">
      <c r="A274" t="s">
        <v>30</v>
      </c>
      <c r="B274">
        <v>7.6000000000000002E-9</v>
      </c>
      <c r="C274">
        <v>1.0999999999999999E-8</v>
      </c>
      <c r="D274">
        <v>-1</v>
      </c>
      <c r="E274">
        <v>-1</v>
      </c>
      <c r="F274">
        <v>-1</v>
      </c>
      <c r="G274">
        <v>-1</v>
      </c>
    </row>
    <row r="275" spans="1:7" x14ac:dyDescent="0.25">
      <c r="A275" t="s">
        <v>617</v>
      </c>
      <c r="B275">
        <v>9.6000000000000005E-11</v>
      </c>
      <c r="C275">
        <v>2.0000000000000001E-10</v>
      </c>
      <c r="D275">
        <v>-1</v>
      </c>
      <c r="E275">
        <v>-1</v>
      </c>
      <c r="F275">
        <v>-1</v>
      </c>
      <c r="G275">
        <v>-1</v>
      </c>
    </row>
    <row r="276" spans="1:7" x14ac:dyDescent="0.25">
      <c r="A276" t="s">
        <v>860</v>
      </c>
      <c r="B276">
        <v>8.1000000000000005E-11</v>
      </c>
      <c r="C276">
        <v>1.0999999999999999E-10</v>
      </c>
      <c r="D276">
        <v>-1</v>
      </c>
      <c r="E276">
        <v>-1</v>
      </c>
      <c r="F276">
        <v>-1</v>
      </c>
      <c r="G276">
        <v>-1</v>
      </c>
    </row>
    <row r="277" spans="1:7" x14ac:dyDescent="0.25">
      <c r="A277" t="s">
        <v>616</v>
      </c>
      <c r="B277">
        <v>1.5E-9</v>
      </c>
      <c r="C277">
        <v>2.1000000000000002E-9</v>
      </c>
      <c r="D277">
        <v>-1</v>
      </c>
      <c r="E277">
        <v>-1</v>
      </c>
      <c r="F277">
        <v>-1</v>
      </c>
      <c r="G277">
        <v>-1</v>
      </c>
    </row>
    <row r="278" spans="1:7" x14ac:dyDescent="0.25">
      <c r="A278" t="s">
        <v>615</v>
      </c>
      <c r="B278">
        <v>4.8000000000000002E-11</v>
      </c>
      <c r="C278">
        <v>7.8999999999999999E-11</v>
      </c>
      <c r="D278">
        <v>-1</v>
      </c>
      <c r="E278">
        <v>-1</v>
      </c>
      <c r="F278">
        <v>-1</v>
      </c>
      <c r="G278">
        <v>-1</v>
      </c>
    </row>
    <row r="279" spans="1:7" x14ac:dyDescent="0.25">
      <c r="A279" t="s">
        <v>614</v>
      </c>
      <c r="B279">
        <v>3.3E-10</v>
      </c>
      <c r="C279">
        <v>4.6000000000000001E-10</v>
      </c>
      <c r="D279">
        <v>-1</v>
      </c>
      <c r="E279">
        <v>-1</v>
      </c>
      <c r="F279">
        <v>-1</v>
      </c>
      <c r="G279">
        <v>-1</v>
      </c>
    </row>
    <row r="280" spans="1:7" x14ac:dyDescent="0.25">
      <c r="A280" t="s">
        <v>861</v>
      </c>
      <c r="B280">
        <v>3.1999999999999999E-11</v>
      </c>
      <c r="C280">
        <v>5.6999999999999997E-11</v>
      </c>
      <c r="D280">
        <v>4.4000000000000003E-11</v>
      </c>
      <c r="E280">
        <v>7.3000000000000006E-11</v>
      </c>
      <c r="F280">
        <v>-1</v>
      </c>
      <c r="G280">
        <v>-1</v>
      </c>
    </row>
    <row r="281" spans="1:7" x14ac:dyDescent="0.25">
      <c r="A281" t="s">
        <v>862</v>
      </c>
      <c r="B281">
        <v>1.2E-10</v>
      </c>
      <c r="C281">
        <v>2.1999999999999999E-10</v>
      </c>
      <c r="D281">
        <v>1.4000000000000001E-10</v>
      </c>
      <c r="E281">
        <v>2.5000000000000002E-10</v>
      </c>
      <c r="F281">
        <v>-1</v>
      </c>
      <c r="G281">
        <v>-1</v>
      </c>
    </row>
    <row r="282" spans="1:7" x14ac:dyDescent="0.25">
      <c r="A282" t="s">
        <v>863</v>
      </c>
      <c r="B282">
        <v>3.1000000000000003E-11</v>
      </c>
      <c r="C282">
        <v>5.4999999999999997E-11</v>
      </c>
      <c r="D282">
        <v>5.0000000000000002E-11</v>
      </c>
      <c r="E282">
        <v>8.1000000000000005E-11</v>
      </c>
      <c r="F282">
        <v>-1</v>
      </c>
      <c r="G282">
        <v>-1</v>
      </c>
    </row>
    <row r="283" spans="1:7" x14ac:dyDescent="0.25">
      <c r="A283" t="s">
        <v>864</v>
      </c>
      <c r="B283">
        <v>1.2999999999999999E-10</v>
      </c>
      <c r="C283">
        <v>2.1999999999999999E-10</v>
      </c>
      <c r="D283">
        <v>2.3000000000000001E-10</v>
      </c>
      <c r="E283">
        <v>3.1000000000000002E-10</v>
      </c>
      <c r="F283">
        <v>-1</v>
      </c>
      <c r="G283">
        <v>-1</v>
      </c>
    </row>
    <row r="284" spans="1:7" x14ac:dyDescent="0.25">
      <c r="A284" t="s">
        <v>865</v>
      </c>
      <c r="B284">
        <v>4.9999999999999997E-12</v>
      </c>
      <c r="C284">
        <v>8.5999999999999997E-12</v>
      </c>
      <c r="D284">
        <v>7.7999999999999999E-12</v>
      </c>
      <c r="E284">
        <v>1.3E-11</v>
      </c>
      <c r="F284">
        <v>-1</v>
      </c>
      <c r="G284">
        <v>-1</v>
      </c>
    </row>
    <row r="285" spans="1:7" x14ac:dyDescent="0.25">
      <c r="A285" t="s">
        <v>866</v>
      </c>
      <c r="B285">
        <v>9.9999999999999994E-12</v>
      </c>
      <c r="C285">
        <v>1.8999999999999999E-11</v>
      </c>
      <c r="D285">
        <v>1.9999999999999999E-11</v>
      </c>
      <c r="E285">
        <v>3.1999999999999999E-11</v>
      </c>
      <c r="F285">
        <v>-1</v>
      </c>
      <c r="G285">
        <v>-1</v>
      </c>
    </row>
    <row r="286" spans="1:7" x14ac:dyDescent="0.25">
      <c r="A286" t="s">
        <v>867</v>
      </c>
      <c r="B286">
        <v>9.3000000000000006E-9</v>
      </c>
      <c r="C286">
        <v>1.0999999999999999E-8</v>
      </c>
      <c r="D286">
        <v>5.8999999999999999E-9</v>
      </c>
      <c r="E286">
        <v>5.8999999999999999E-9</v>
      </c>
      <c r="F286">
        <v>-1</v>
      </c>
      <c r="G286">
        <v>-1</v>
      </c>
    </row>
    <row r="287" spans="1:7" x14ac:dyDescent="0.25">
      <c r="A287" t="s">
        <v>868</v>
      </c>
      <c r="B287">
        <v>3.9000000000000002E-7</v>
      </c>
      <c r="C287">
        <v>4.4999999999999998E-7</v>
      </c>
      <c r="D287">
        <v>1.4999999999999999E-7</v>
      </c>
      <c r="E287">
        <v>1.1000000000000001E-7</v>
      </c>
      <c r="F287">
        <v>-1</v>
      </c>
      <c r="G287">
        <v>-1</v>
      </c>
    </row>
    <row r="288" spans="1:7" x14ac:dyDescent="0.25">
      <c r="A288" t="s">
        <v>869</v>
      </c>
      <c r="B288">
        <v>2.5000000000000001E-11</v>
      </c>
      <c r="C288">
        <v>4.5E-11</v>
      </c>
      <c r="D288">
        <v>6E-11</v>
      </c>
      <c r="E288">
        <v>8.6999999999999997E-11</v>
      </c>
      <c r="F288">
        <v>-1</v>
      </c>
      <c r="G288">
        <v>-1</v>
      </c>
    </row>
    <row r="289" spans="1:7" x14ac:dyDescent="0.25">
      <c r="A289" t="s">
        <v>870</v>
      </c>
      <c r="B289">
        <v>3E-11</v>
      </c>
      <c r="C289">
        <v>5.4999999999999997E-11</v>
      </c>
      <c r="D289">
        <v>4.8000000000000002E-11</v>
      </c>
      <c r="E289">
        <v>7.9999999999999995E-11</v>
      </c>
      <c r="F289">
        <v>-1</v>
      </c>
      <c r="G289">
        <v>-1</v>
      </c>
    </row>
    <row r="290" spans="1:7" x14ac:dyDescent="0.25">
      <c r="A290" t="s">
        <v>871</v>
      </c>
      <c r="B290">
        <v>1.6E-11</v>
      </c>
      <c r="C290">
        <v>2.8E-11</v>
      </c>
      <c r="D290">
        <v>3E-11</v>
      </c>
      <c r="E290">
        <v>4.8000000000000002E-11</v>
      </c>
      <c r="F290">
        <v>-1</v>
      </c>
      <c r="G290">
        <v>-1</v>
      </c>
    </row>
    <row r="291" spans="1:7" x14ac:dyDescent="0.25">
      <c r="A291" t="s">
        <v>872</v>
      </c>
      <c r="B291">
        <v>3.1000000000000003E-11</v>
      </c>
      <c r="C291">
        <v>5.4999999999999997E-11</v>
      </c>
      <c r="D291">
        <v>7.3000000000000006E-11</v>
      </c>
      <c r="E291">
        <v>1.0999999999999999E-10</v>
      </c>
      <c r="F291">
        <v>-1</v>
      </c>
      <c r="G291">
        <v>-1</v>
      </c>
    </row>
    <row r="292" spans="1:7" x14ac:dyDescent="0.25">
      <c r="A292" t="s">
        <v>873</v>
      </c>
      <c r="B292">
        <v>1.1000000000000001E-11</v>
      </c>
      <c r="C292">
        <v>1.7999999999999999E-11</v>
      </c>
      <c r="D292">
        <v>1.7999999999999999E-11</v>
      </c>
      <c r="E292">
        <v>2.9E-11</v>
      </c>
      <c r="F292">
        <v>-1</v>
      </c>
      <c r="G292">
        <v>-1</v>
      </c>
    </row>
    <row r="293" spans="1:7" x14ac:dyDescent="0.25">
      <c r="A293" t="s">
        <v>874</v>
      </c>
      <c r="B293">
        <v>1.5E-11</v>
      </c>
      <c r="C293">
        <v>2.6000000000000001E-11</v>
      </c>
      <c r="D293">
        <v>2.4000000000000001E-11</v>
      </c>
      <c r="E293">
        <v>3.9000000000000001E-11</v>
      </c>
      <c r="F293">
        <v>2.5000000000000001E-11</v>
      </c>
      <c r="G293">
        <v>3.9999999999999998E-11</v>
      </c>
    </row>
    <row r="294" spans="1:7" x14ac:dyDescent="0.25">
      <c r="A294" t="s">
        <v>875</v>
      </c>
      <c r="B294">
        <v>6.7000000000000001E-11</v>
      </c>
      <c r="C294">
        <v>1.2E-10</v>
      </c>
      <c r="D294">
        <v>1.0999999999999999E-10</v>
      </c>
      <c r="E294">
        <v>1.8E-10</v>
      </c>
      <c r="F294">
        <v>1.2E-10</v>
      </c>
      <c r="G294">
        <v>1.8999999999999999E-10</v>
      </c>
    </row>
    <row r="295" spans="1:7" x14ac:dyDescent="0.25">
      <c r="A295" t="s">
        <v>876</v>
      </c>
      <c r="B295">
        <v>8.8000000000000006E-11</v>
      </c>
      <c r="C295">
        <v>1.5E-10</v>
      </c>
      <c r="D295">
        <v>1.8E-10</v>
      </c>
      <c r="E295">
        <v>2.5000000000000002E-10</v>
      </c>
      <c r="F295">
        <v>1.8999999999999999E-10</v>
      </c>
      <c r="G295">
        <v>2.5999999999999998E-10</v>
      </c>
    </row>
    <row r="296" spans="1:7" x14ac:dyDescent="0.25">
      <c r="A296" t="s">
        <v>877</v>
      </c>
      <c r="B296">
        <v>1.8E-10</v>
      </c>
      <c r="C296">
        <v>3.3E-10</v>
      </c>
      <c r="D296">
        <v>3.1999999999999998E-10</v>
      </c>
      <c r="E296">
        <v>4.8E-10</v>
      </c>
      <c r="F296">
        <v>3.3E-10</v>
      </c>
      <c r="G296">
        <v>5.0000000000000003E-10</v>
      </c>
    </row>
    <row r="297" spans="1:7" x14ac:dyDescent="0.25">
      <c r="A297" t="s">
        <v>878</v>
      </c>
      <c r="B297">
        <v>2.5000000000000001E-11</v>
      </c>
      <c r="C297">
        <v>4.5E-11</v>
      </c>
      <c r="D297">
        <v>4.3E-11</v>
      </c>
      <c r="E297">
        <v>6.8999999999999994E-11</v>
      </c>
      <c r="F297">
        <v>4.5E-11</v>
      </c>
      <c r="G297">
        <v>7.1E-11</v>
      </c>
    </row>
    <row r="298" spans="1:7" x14ac:dyDescent="0.25">
      <c r="A298" t="s">
        <v>879</v>
      </c>
      <c r="B298">
        <v>3.9999999999999998E-11</v>
      </c>
      <c r="C298">
        <v>7.1999999999999997E-11</v>
      </c>
      <c r="D298">
        <v>7.5E-11</v>
      </c>
      <c r="E298">
        <v>1.0999999999999999E-10</v>
      </c>
      <c r="F298">
        <v>7.8999999999999999E-11</v>
      </c>
      <c r="G298">
        <v>1.2E-10</v>
      </c>
    </row>
    <row r="299" spans="1:7" x14ac:dyDescent="0.25">
      <c r="A299" t="s">
        <v>880</v>
      </c>
      <c r="B299">
        <v>2.5999999999999998E-10</v>
      </c>
      <c r="C299">
        <v>4.3999999999999998E-10</v>
      </c>
      <c r="D299">
        <v>4.0999999999999998E-10</v>
      </c>
      <c r="E299">
        <v>6E-10</v>
      </c>
      <c r="F299">
        <v>4.3000000000000001E-10</v>
      </c>
      <c r="G299">
        <v>6.2000000000000003E-10</v>
      </c>
    </row>
    <row r="300" spans="1:7" x14ac:dyDescent="0.25">
      <c r="A300" t="s">
        <v>881</v>
      </c>
      <c r="B300">
        <v>1.0999999999999999E-10</v>
      </c>
      <c r="C300">
        <v>1.7000000000000001E-10</v>
      </c>
      <c r="D300">
        <v>4.8E-10</v>
      </c>
      <c r="E300">
        <v>4.0999999999999998E-10</v>
      </c>
      <c r="F300">
        <v>5.4999999999999996E-10</v>
      </c>
      <c r="G300">
        <v>4.6000000000000001E-10</v>
      </c>
    </row>
    <row r="301" spans="1:7" x14ac:dyDescent="0.25">
      <c r="A301" t="s">
        <v>882</v>
      </c>
      <c r="B301">
        <v>7.8999999999999996E-10</v>
      </c>
      <c r="C301">
        <v>1.2E-9</v>
      </c>
      <c r="D301">
        <v>2.0000000000000001E-9</v>
      </c>
      <c r="E301">
        <v>2.2999999999999999E-9</v>
      </c>
      <c r="F301">
        <v>2.2999999999999999E-9</v>
      </c>
      <c r="G301">
        <v>2.5000000000000001E-9</v>
      </c>
    </row>
    <row r="302" spans="1:7" x14ac:dyDescent="0.25">
      <c r="A302" t="s">
        <v>883</v>
      </c>
      <c r="B302">
        <v>3.7E-12</v>
      </c>
      <c r="C302">
        <v>5.6000000000000004E-12</v>
      </c>
      <c r="D302">
        <v>8.9999999999999996E-12</v>
      </c>
      <c r="E302">
        <v>9.9999999999999994E-12</v>
      </c>
      <c r="F302">
        <v>9.9999999999999994E-12</v>
      </c>
      <c r="G302">
        <v>1.1000000000000001E-11</v>
      </c>
    </row>
    <row r="303" spans="1:7" x14ac:dyDescent="0.25">
      <c r="A303" t="s">
        <v>884</v>
      </c>
      <c r="B303">
        <v>5.2999999999999998E-11</v>
      </c>
      <c r="C303">
        <v>9.7000000000000001E-11</v>
      </c>
      <c r="D303">
        <v>8.2999999999999998E-11</v>
      </c>
      <c r="E303">
        <v>1.4000000000000001E-10</v>
      </c>
      <c r="F303">
        <v>8.6E-11</v>
      </c>
      <c r="G303">
        <v>1.4000000000000001E-10</v>
      </c>
    </row>
    <row r="304" spans="1:7" x14ac:dyDescent="0.25">
      <c r="A304" t="s">
        <v>885</v>
      </c>
      <c r="B304">
        <v>1.8E-9</v>
      </c>
      <c r="C304">
        <v>2.1999999999999998E-9</v>
      </c>
      <c r="D304">
        <v>4.9E-9</v>
      </c>
      <c r="E304">
        <v>4.1000000000000003E-9</v>
      </c>
      <c r="F304">
        <v>6.2000000000000001E-9</v>
      </c>
      <c r="G304">
        <v>4.9E-9</v>
      </c>
    </row>
    <row r="305" spans="1:7" x14ac:dyDescent="0.25">
      <c r="A305" t="s">
        <v>886</v>
      </c>
      <c r="B305">
        <v>4.8E-9</v>
      </c>
      <c r="C305">
        <v>5.5999999999999997E-9</v>
      </c>
      <c r="D305">
        <v>5.4000000000000004E-9</v>
      </c>
      <c r="E305">
        <v>3.3999999999999998E-9</v>
      </c>
      <c r="F305">
        <v>3.5999999999999998E-8</v>
      </c>
      <c r="G305">
        <v>1.9000000000000001E-8</v>
      </c>
    </row>
    <row r="306" spans="1:7" x14ac:dyDescent="0.25">
      <c r="A306" t="s">
        <v>887</v>
      </c>
      <c r="B306">
        <v>1E-10</v>
      </c>
      <c r="C306">
        <v>1.5999999999999999E-10</v>
      </c>
      <c r="D306">
        <v>1.0000000000000001E-9</v>
      </c>
      <c r="E306">
        <v>9.0999999999999996E-10</v>
      </c>
      <c r="F306">
        <v>1.2E-9</v>
      </c>
      <c r="G306">
        <v>1.0000000000000001E-9</v>
      </c>
    </row>
    <row r="307" spans="1:7" x14ac:dyDescent="0.25">
      <c r="A307" t="s">
        <v>888</v>
      </c>
      <c r="B307">
        <v>2.1999999999999999E-10</v>
      </c>
      <c r="C307">
        <v>3.6E-10</v>
      </c>
      <c r="D307">
        <v>5.3000000000000003E-10</v>
      </c>
      <c r="E307">
        <v>7.1000000000000003E-10</v>
      </c>
      <c r="F307">
        <v>5.6000000000000003E-10</v>
      </c>
      <c r="G307">
        <v>7.5E-10</v>
      </c>
    </row>
    <row r="308" spans="1:7" x14ac:dyDescent="0.25">
      <c r="A308" t="s">
        <v>889</v>
      </c>
      <c r="B308">
        <v>5.4000000000000004E-9</v>
      </c>
      <c r="C308">
        <v>6.5000000000000003E-9</v>
      </c>
      <c r="D308">
        <v>8.5E-9</v>
      </c>
      <c r="E308">
        <v>6.5000000000000003E-9</v>
      </c>
      <c r="F308">
        <v>1.2E-8</v>
      </c>
      <c r="G308">
        <v>8.2000000000000006E-9</v>
      </c>
    </row>
    <row r="309" spans="1:7" x14ac:dyDescent="0.25">
      <c r="A309" t="s">
        <v>890</v>
      </c>
      <c r="B309">
        <v>2.6000000000000001E-11</v>
      </c>
      <c r="C309">
        <v>4.5E-11</v>
      </c>
      <c r="D309">
        <v>6.7000000000000001E-11</v>
      </c>
      <c r="E309">
        <v>9.6000000000000005E-11</v>
      </c>
      <c r="F309">
        <v>7.1999999999999997E-11</v>
      </c>
      <c r="G309">
        <v>1E-10</v>
      </c>
    </row>
    <row r="310" spans="1:7" x14ac:dyDescent="0.25">
      <c r="A310" t="s">
        <v>891</v>
      </c>
      <c r="B310">
        <v>6.4999999999999995E-11</v>
      </c>
      <c r="C310">
        <v>1.0999999999999999E-10</v>
      </c>
      <c r="D310">
        <v>1.5999999999999999E-10</v>
      </c>
      <c r="E310">
        <v>2.3000000000000001E-10</v>
      </c>
      <c r="F310">
        <v>1.7000000000000001E-10</v>
      </c>
      <c r="G310">
        <v>2.4E-10</v>
      </c>
    </row>
    <row r="311" spans="1:7" x14ac:dyDescent="0.25">
      <c r="A311" t="s">
        <v>613</v>
      </c>
      <c r="B311">
        <v>2.1000000000000002E-9</v>
      </c>
      <c r="C311">
        <v>3E-9</v>
      </c>
      <c r="D311">
        <v>-1</v>
      </c>
      <c r="E311">
        <v>-1</v>
      </c>
      <c r="F311">
        <v>-1</v>
      </c>
      <c r="G311">
        <v>-1</v>
      </c>
    </row>
    <row r="312" spans="1:7" x14ac:dyDescent="0.25">
      <c r="A312" t="s">
        <v>612</v>
      </c>
      <c r="B312">
        <v>1.2999999999999999E-10</v>
      </c>
      <c r="C312">
        <v>2.0000000000000001E-10</v>
      </c>
      <c r="D312">
        <v>-1</v>
      </c>
      <c r="E312">
        <v>-1</v>
      </c>
      <c r="F312">
        <v>-1</v>
      </c>
      <c r="G312">
        <v>-1</v>
      </c>
    </row>
    <row r="313" spans="1:7" x14ac:dyDescent="0.25">
      <c r="A313" t="s">
        <v>611</v>
      </c>
      <c r="B313">
        <v>1.5E-10</v>
      </c>
      <c r="C313">
        <v>2.5999999999999998E-10</v>
      </c>
      <c r="D313">
        <v>-1</v>
      </c>
      <c r="E313">
        <v>-1</v>
      </c>
      <c r="F313">
        <v>-1</v>
      </c>
      <c r="G313">
        <v>-1</v>
      </c>
    </row>
    <row r="314" spans="1:7" x14ac:dyDescent="0.25">
      <c r="A314" t="s">
        <v>610</v>
      </c>
      <c r="B314">
        <v>2.0999999999999999E-11</v>
      </c>
      <c r="C314">
        <v>3.7000000000000001E-11</v>
      </c>
      <c r="D314">
        <v>-1</v>
      </c>
      <c r="E314">
        <v>-1</v>
      </c>
      <c r="F314">
        <v>-1</v>
      </c>
      <c r="G314">
        <v>-1</v>
      </c>
    </row>
    <row r="315" spans="1:7" x14ac:dyDescent="0.25">
      <c r="A315" t="s">
        <v>609</v>
      </c>
      <c r="B315">
        <v>1.6E-11</v>
      </c>
      <c r="C315">
        <v>2.8E-11</v>
      </c>
      <c r="D315">
        <v>-1</v>
      </c>
      <c r="E315">
        <v>-1</v>
      </c>
      <c r="F315">
        <v>-1</v>
      </c>
      <c r="G315">
        <v>-1</v>
      </c>
    </row>
    <row r="316" spans="1:7" x14ac:dyDescent="0.25">
      <c r="A316" t="s">
        <v>892</v>
      </c>
      <c r="B316">
        <v>1.4E-11</v>
      </c>
      <c r="C316">
        <v>2.4000000000000001E-11</v>
      </c>
      <c r="D316">
        <v>2.3000000000000001E-11</v>
      </c>
      <c r="E316">
        <v>3.5999999999999998E-11</v>
      </c>
      <c r="F316">
        <v>-1</v>
      </c>
      <c r="G316">
        <v>-1</v>
      </c>
    </row>
    <row r="317" spans="1:7" x14ac:dyDescent="0.25">
      <c r="A317" t="s">
        <v>893</v>
      </c>
      <c r="B317">
        <v>1.0999999999999999E-10</v>
      </c>
      <c r="C317">
        <v>2.0000000000000001E-10</v>
      </c>
      <c r="D317">
        <v>1.7000000000000001E-10</v>
      </c>
      <c r="E317">
        <v>2.8000000000000002E-10</v>
      </c>
      <c r="F317">
        <v>-1</v>
      </c>
      <c r="G317">
        <v>-1</v>
      </c>
    </row>
    <row r="318" spans="1:7" x14ac:dyDescent="0.25">
      <c r="A318" t="s">
        <v>894</v>
      </c>
      <c r="B318">
        <v>1.1000000000000001E-11</v>
      </c>
      <c r="C318">
        <v>1.9999999999999999E-11</v>
      </c>
      <c r="D318">
        <v>1.5E-11</v>
      </c>
      <c r="E318">
        <v>2.5000000000000001E-11</v>
      </c>
      <c r="F318">
        <v>-1</v>
      </c>
      <c r="G318">
        <v>-1</v>
      </c>
    </row>
    <row r="319" spans="1:7" x14ac:dyDescent="0.25">
      <c r="A319" t="s">
        <v>895</v>
      </c>
      <c r="B319">
        <v>8.5999999999999993E-9</v>
      </c>
      <c r="C319">
        <v>1E-8</v>
      </c>
      <c r="D319">
        <v>3.3999999999999998E-9</v>
      </c>
      <c r="E319">
        <v>2.2999999999999999E-9</v>
      </c>
      <c r="F319">
        <v>-1</v>
      </c>
      <c r="G319">
        <v>-1</v>
      </c>
    </row>
    <row r="320" spans="1:7" x14ac:dyDescent="0.25">
      <c r="A320" t="s">
        <v>896</v>
      </c>
      <c r="B320">
        <v>1.4999999999999999E-7</v>
      </c>
      <c r="C320">
        <v>1.8E-7</v>
      </c>
      <c r="D320">
        <v>6.1000000000000004E-8</v>
      </c>
      <c r="E320">
        <v>4.1999999999999999E-8</v>
      </c>
      <c r="F320">
        <v>-1</v>
      </c>
      <c r="G320">
        <v>-1</v>
      </c>
    </row>
    <row r="321" spans="1:7" x14ac:dyDescent="0.25">
      <c r="A321" t="s">
        <v>897</v>
      </c>
      <c r="B321">
        <v>6E-10</v>
      </c>
      <c r="C321">
        <v>1.0000000000000001E-9</v>
      </c>
      <c r="D321">
        <v>1.0999999999999999E-9</v>
      </c>
      <c r="E321">
        <v>1.5E-9</v>
      </c>
      <c r="F321">
        <v>-1</v>
      </c>
      <c r="G321">
        <v>-1</v>
      </c>
    </row>
    <row r="322" spans="1:7" x14ac:dyDescent="0.25">
      <c r="A322" t="s">
        <v>898</v>
      </c>
      <c r="B322">
        <v>6.7000000000000001E-11</v>
      </c>
      <c r="C322">
        <v>1.0999999999999999E-10</v>
      </c>
      <c r="D322">
        <v>1.5E-10</v>
      </c>
      <c r="E322">
        <v>2.1999999999999999E-10</v>
      </c>
      <c r="F322">
        <v>-1</v>
      </c>
      <c r="G322">
        <v>-1</v>
      </c>
    </row>
    <row r="323" spans="1:7" x14ac:dyDescent="0.25">
      <c r="A323" t="s">
        <v>899</v>
      </c>
      <c r="B323">
        <v>5.6E-11</v>
      </c>
      <c r="C323">
        <v>1E-10</v>
      </c>
      <c r="D323">
        <v>9.3000000000000002E-11</v>
      </c>
      <c r="E323">
        <v>1.5E-10</v>
      </c>
      <c r="F323">
        <v>-1</v>
      </c>
      <c r="G323">
        <v>-1</v>
      </c>
    </row>
    <row r="324" spans="1:7" x14ac:dyDescent="0.25">
      <c r="A324" t="s">
        <v>900</v>
      </c>
      <c r="B324">
        <v>1.2000000000000001E-11</v>
      </c>
      <c r="C324">
        <v>1.9999999999999999E-11</v>
      </c>
      <c r="D324">
        <v>2.2000000000000002E-11</v>
      </c>
      <c r="E324">
        <v>3.3000000000000002E-11</v>
      </c>
      <c r="F324">
        <v>-1</v>
      </c>
      <c r="G324">
        <v>-1</v>
      </c>
    </row>
    <row r="325" spans="1:7" x14ac:dyDescent="0.25">
      <c r="A325" t="s">
        <v>901</v>
      </c>
      <c r="B325">
        <v>-1</v>
      </c>
      <c r="C325">
        <v>-1</v>
      </c>
      <c r="D325">
        <v>3.4999999999999998E-10</v>
      </c>
      <c r="E325">
        <v>4.7000000000000003E-10</v>
      </c>
      <c r="F325">
        <v>3.7999999999999998E-10</v>
      </c>
      <c r="G325">
        <v>4.8999999999999996E-10</v>
      </c>
    </row>
    <row r="326" spans="1:7" x14ac:dyDescent="0.25">
      <c r="A326" t="s">
        <v>902</v>
      </c>
      <c r="B326">
        <v>-1</v>
      </c>
      <c r="C326">
        <v>-1</v>
      </c>
      <c r="D326">
        <v>6.3999999999999996E-10</v>
      </c>
      <c r="E326">
        <v>9.2999999999999999E-10</v>
      </c>
      <c r="F326">
        <v>6.6999999999999996E-10</v>
      </c>
      <c r="G326">
        <v>9.5000000000000003E-10</v>
      </c>
    </row>
    <row r="327" spans="1:7" x14ac:dyDescent="0.25">
      <c r="A327" t="s">
        <v>903</v>
      </c>
      <c r="B327">
        <v>-1</v>
      </c>
      <c r="C327">
        <v>-1</v>
      </c>
      <c r="D327">
        <v>7.5999999999999996E-10</v>
      </c>
      <c r="E327">
        <v>8.7999999999999996E-10</v>
      </c>
      <c r="F327">
        <v>8.3000000000000003E-10</v>
      </c>
      <c r="G327">
        <v>9.2999999999999999E-10</v>
      </c>
    </row>
    <row r="328" spans="1:7" x14ac:dyDescent="0.25">
      <c r="A328" t="s">
        <v>904</v>
      </c>
      <c r="B328">
        <v>-1</v>
      </c>
      <c r="C328">
        <v>-1</v>
      </c>
      <c r="D328">
        <v>1.3999999999999999E-9</v>
      </c>
      <c r="E328">
        <v>1.6999999999999999E-9</v>
      </c>
      <c r="F328">
        <v>1.5E-9</v>
      </c>
      <c r="G328">
        <v>1.8E-9</v>
      </c>
    </row>
    <row r="329" spans="1:7" x14ac:dyDescent="0.25">
      <c r="A329" t="s">
        <v>905</v>
      </c>
      <c r="B329">
        <v>-1</v>
      </c>
      <c r="C329">
        <v>-1</v>
      </c>
      <c r="D329">
        <v>2.0000000000000001E-9</v>
      </c>
      <c r="E329">
        <v>1.5E-9</v>
      </c>
      <c r="F329">
        <v>2.2999999999999999E-9</v>
      </c>
      <c r="G329">
        <v>1.3999999999999999E-9</v>
      </c>
    </row>
    <row r="330" spans="1:7" x14ac:dyDescent="0.25">
      <c r="A330" t="s">
        <v>906</v>
      </c>
      <c r="B330">
        <v>-1</v>
      </c>
      <c r="C330">
        <v>-1</v>
      </c>
      <c r="D330">
        <v>4.0000000000000002E-9</v>
      </c>
      <c r="E330">
        <v>2.8999999999999999E-9</v>
      </c>
      <c r="F330">
        <v>3.9000000000000002E-9</v>
      </c>
      <c r="G330">
        <v>2.5000000000000001E-9</v>
      </c>
    </row>
    <row r="331" spans="1:7" x14ac:dyDescent="0.25">
      <c r="A331" t="s">
        <v>907</v>
      </c>
      <c r="B331">
        <v>-1</v>
      </c>
      <c r="C331">
        <v>-1</v>
      </c>
      <c r="D331">
        <v>3.3999999999999998E-9</v>
      </c>
      <c r="E331">
        <v>2.4E-9</v>
      </c>
      <c r="F331">
        <v>3.8000000000000001E-9</v>
      </c>
      <c r="G331">
        <v>2.6000000000000001E-9</v>
      </c>
    </row>
    <row r="332" spans="1:7" x14ac:dyDescent="0.25">
      <c r="A332" t="s">
        <v>908</v>
      </c>
      <c r="B332">
        <v>-1</v>
      </c>
      <c r="C332">
        <v>-1</v>
      </c>
      <c r="D332">
        <v>6.5999999999999995E-8</v>
      </c>
      <c r="E332">
        <v>4.6000000000000002E-8</v>
      </c>
      <c r="F332">
        <v>5.2000000000000002E-8</v>
      </c>
      <c r="G332">
        <v>2.9999999999999997E-8</v>
      </c>
    </row>
    <row r="333" spans="1:7" x14ac:dyDescent="0.25">
      <c r="A333" t="s">
        <v>909</v>
      </c>
      <c r="B333">
        <v>-1</v>
      </c>
      <c r="C333">
        <v>-1</v>
      </c>
      <c r="D333">
        <v>1.0999999999999999E-10</v>
      </c>
      <c r="E333">
        <v>1.5E-10</v>
      </c>
      <c r="F333">
        <v>1.2E-10</v>
      </c>
      <c r="G333">
        <v>1.5999999999999999E-10</v>
      </c>
    </row>
    <row r="334" spans="1:7" x14ac:dyDescent="0.25">
      <c r="A334" t="s">
        <v>910</v>
      </c>
      <c r="B334">
        <v>-1</v>
      </c>
      <c r="C334">
        <v>-1</v>
      </c>
      <c r="D334">
        <v>1.0000000000000001E-9</v>
      </c>
      <c r="E334">
        <v>1.0000000000000001E-9</v>
      </c>
      <c r="F334">
        <v>1.0999999999999999E-9</v>
      </c>
      <c r="G334">
        <v>1.0999999999999999E-9</v>
      </c>
    </row>
    <row r="335" spans="1:7" x14ac:dyDescent="0.25">
      <c r="A335" t="s">
        <v>911</v>
      </c>
      <c r="B335">
        <v>-1</v>
      </c>
      <c r="C335">
        <v>-1</v>
      </c>
      <c r="D335">
        <v>1.2E-8</v>
      </c>
      <c r="E335">
        <v>1E-8</v>
      </c>
      <c r="F335">
        <v>1.4999999999999999E-8</v>
      </c>
      <c r="G335">
        <v>1.2E-8</v>
      </c>
    </row>
    <row r="336" spans="1:7" x14ac:dyDescent="0.25">
      <c r="A336" t="s">
        <v>912</v>
      </c>
      <c r="B336">
        <v>-1</v>
      </c>
      <c r="C336">
        <v>-1</v>
      </c>
      <c r="D336">
        <v>2.5000000000000001E-11</v>
      </c>
      <c r="E336">
        <v>3.9000000000000001E-11</v>
      </c>
      <c r="F336">
        <v>2.6000000000000001E-11</v>
      </c>
      <c r="G336">
        <v>4.1000000000000001E-11</v>
      </c>
    </row>
    <row r="337" spans="1:7" x14ac:dyDescent="0.25">
      <c r="A337" t="s">
        <v>913</v>
      </c>
      <c r="B337">
        <v>-1</v>
      </c>
      <c r="C337">
        <v>-1</v>
      </c>
      <c r="D337">
        <v>3.3000000000000002E-11</v>
      </c>
      <c r="E337">
        <v>5.4000000000000001E-11</v>
      </c>
      <c r="F337">
        <v>3.5000000000000002E-11</v>
      </c>
      <c r="G337">
        <v>5.6E-11</v>
      </c>
    </row>
    <row r="338" spans="1:7" x14ac:dyDescent="0.25">
      <c r="A338" t="s">
        <v>914</v>
      </c>
      <c r="B338">
        <v>-1</v>
      </c>
      <c r="C338">
        <v>-1</v>
      </c>
      <c r="D338">
        <v>1.0999999999999999E-10</v>
      </c>
      <c r="E338">
        <v>1.5999999999999999E-10</v>
      </c>
      <c r="F338">
        <v>1.2E-10</v>
      </c>
      <c r="G338">
        <v>1.5999999999999999E-10</v>
      </c>
    </row>
    <row r="339" spans="1:7" x14ac:dyDescent="0.25">
      <c r="A339" t="s">
        <v>915</v>
      </c>
      <c r="B339">
        <v>-1</v>
      </c>
      <c r="C339">
        <v>-1</v>
      </c>
      <c r="D339">
        <v>2.3000000000000001E-8</v>
      </c>
      <c r="E339">
        <v>2E-8</v>
      </c>
      <c r="F339">
        <v>-1</v>
      </c>
      <c r="G339">
        <v>-1</v>
      </c>
    </row>
    <row r="340" spans="1:7" x14ac:dyDescent="0.25">
      <c r="A340" t="s">
        <v>916</v>
      </c>
      <c r="B340">
        <v>-1</v>
      </c>
      <c r="C340">
        <v>-1</v>
      </c>
      <c r="D340">
        <v>5.4999999999999999E-6</v>
      </c>
      <c r="E340">
        <v>4.4000000000000002E-6</v>
      </c>
      <c r="F340">
        <v>-1</v>
      </c>
      <c r="G340">
        <v>-1</v>
      </c>
    </row>
    <row r="341" spans="1:7" x14ac:dyDescent="0.25">
      <c r="A341" t="s">
        <v>917</v>
      </c>
      <c r="B341">
        <v>6.3999999999999996E-10</v>
      </c>
      <c r="C341">
        <v>1.0999999999999999E-9</v>
      </c>
      <c r="D341">
        <v>1.2E-9</v>
      </c>
      <c r="E341">
        <v>1.6999999999999999E-9</v>
      </c>
      <c r="F341">
        <v>-1</v>
      </c>
      <c r="G341">
        <v>-1</v>
      </c>
    </row>
    <row r="342" spans="1:7" x14ac:dyDescent="0.25">
      <c r="A342" t="s">
        <v>918</v>
      </c>
      <c r="B342">
        <v>2.4000000000000001E-11</v>
      </c>
      <c r="C342">
        <v>4.1999999999999997E-11</v>
      </c>
      <c r="D342">
        <v>4.3E-11</v>
      </c>
      <c r="E342">
        <v>6.7999999999999998E-11</v>
      </c>
      <c r="F342">
        <v>-1</v>
      </c>
      <c r="G342">
        <v>-1</v>
      </c>
    </row>
    <row r="343" spans="1:7" x14ac:dyDescent="0.25">
      <c r="A343" t="s">
        <v>919</v>
      </c>
      <c r="B343">
        <v>9.900000000000001E-10</v>
      </c>
      <c r="C343">
        <v>1.6000000000000001E-9</v>
      </c>
      <c r="D343">
        <v>1.3999999999999999E-9</v>
      </c>
      <c r="E343">
        <v>1.8E-9</v>
      </c>
      <c r="F343">
        <v>-1</v>
      </c>
      <c r="G343">
        <v>-1</v>
      </c>
    </row>
    <row r="344" spans="1:7" x14ac:dyDescent="0.25">
      <c r="A344" t="s">
        <v>920</v>
      </c>
      <c r="B344">
        <v>1.9999999999999999E-11</v>
      </c>
      <c r="C344">
        <v>3.5000000000000002E-11</v>
      </c>
      <c r="D344">
        <v>3E-11</v>
      </c>
      <c r="E344">
        <v>5.0000000000000002E-11</v>
      </c>
      <c r="F344">
        <v>-1</v>
      </c>
      <c r="G344">
        <v>-1</v>
      </c>
    </row>
    <row r="345" spans="1:7" x14ac:dyDescent="0.25">
      <c r="A345" t="s">
        <v>921</v>
      </c>
      <c r="B345">
        <v>2.9E-11</v>
      </c>
      <c r="C345">
        <v>3.5999999999999998E-11</v>
      </c>
      <c r="D345">
        <v>5.2000000000000001E-11</v>
      </c>
      <c r="E345">
        <v>3.5999999999999998E-11</v>
      </c>
      <c r="F345">
        <v>-1</v>
      </c>
      <c r="G345">
        <v>-1</v>
      </c>
    </row>
    <row r="346" spans="1:7" x14ac:dyDescent="0.25">
      <c r="A346" t="s">
        <v>10</v>
      </c>
      <c r="B346">
        <v>8.6999999999999999E-10</v>
      </c>
      <c r="C346">
        <v>1.0999999999999999E-9</v>
      </c>
      <c r="D346">
        <v>1.5E-9</v>
      </c>
      <c r="E346">
        <v>1.2E-9</v>
      </c>
      <c r="F346">
        <v>-1</v>
      </c>
      <c r="G346">
        <v>-1</v>
      </c>
    </row>
    <row r="347" spans="1:7" x14ac:dyDescent="0.25">
      <c r="A347" t="s">
        <v>922</v>
      </c>
      <c r="B347">
        <v>6.8999999999999994E-11</v>
      </c>
      <c r="C347">
        <v>1.2E-10</v>
      </c>
      <c r="D347">
        <v>1.2999999999999999E-10</v>
      </c>
      <c r="E347">
        <v>2.0000000000000001E-10</v>
      </c>
      <c r="F347">
        <v>-1</v>
      </c>
      <c r="G347">
        <v>-1</v>
      </c>
    </row>
    <row r="348" spans="1:7" x14ac:dyDescent="0.25">
      <c r="A348" t="s">
        <v>923</v>
      </c>
      <c r="B348">
        <v>1.5E-11</v>
      </c>
      <c r="C348">
        <v>2.7E-11</v>
      </c>
      <c r="D348">
        <v>-1</v>
      </c>
      <c r="E348">
        <v>-1</v>
      </c>
      <c r="F348">
        <v>2.7E-11</v>
      </c>
      <c r="G348">
        <v>4.5E-11</v>
      </c>
    </row>
    <row r="349" spans="1:7" x14ac:dyDescent="0.25">
      <c r="A349" t="s">
        <v>924</v>
      </c>
      <c r="B349">
        <v>1.7000000000000001E-10</v>
      </c>
      <c r="C349">
        <v>2.8999999999999998E-10</v>
      </c>
      <c r="D349">
        <v>-1</v>
      </c>
      <c r="E349">
        <v>-1</v>
      </c>
      <c r="F349">
        <v>3.7000000000000001E-10</v>
      </c>
      <c r="G349">
        <v>5.6000000000000003E-10</v>
      </c>
    </row>
    <row r="350" spans="1:7" x14ac:dyDescent="0.25">
      <c r="A350" t="s">
        <v>925</v>
      </c>
      <c r="B350">
        <v>1.0000000000000001E-9</v>
      </c>
      <c r="C350">
        <v>1.3999999999999999E-9</v>
      </c>
      <c r="D350">
        <v>-1</v>
      </c>
      <c r="E350">
        <v>-1</v>
      </c>
      <c r="F350">
        <v>2.1999999999999998E-9</v>
      </c>
      <c r="G350">
        <v>1.2E-9</v>
      </c>
    </row>
    <row r="351" spans="1:7" x14ac:dyDescent="0.25">
      <c r="A351" t="s">
        <v>926</v>
      </c>
      <c r="B351">
        <v>1E-10</v>
      </c>
      <c r="C351">
        <v>1.8999999999999999E-10</v>
      </c>
      <c r="D351">
        <v>-1</v>
      </c>
      <c r="E351">
        <v>-1</v>
      </c>
      <c r="F351">
        <v>1.8E-10</v>
      </c>
      <c r="G351">
        <v>3E-10</v>
      </c>
    </row>
    <row r="352" spans="1:7" x14ac:dyDescent="0.25">
      <c r="A352" t="s">
        <v>927</v>
      </c>
      <c r="B352">
        <v>2.3000000000000001E-10</v>
      </c>
      <c r="C352">
        <v>3.6E-10</v>
      </c>
      <c r="D352">
        <v>-1</v>
      </c>
      <c r="E352">
        <v>-1</v>
      </c>
      <c r="F352">
        <v>9.6999999999999996E-10</v>
      </c>
      <c r="G352">
        <v>1.0999999999999999E-9</v>
      </c>
    </row>
    <row r="353" spans="1:7" x14ac:dyDescent="0.25">
      <c r="A353" t="s">
        <v>3</v>
      </c>
      <c r="B353">
        <v>1.3000000000000001E-9</v>
      </c>
      <c r="C353">
        <v>2.0000000000000001E-9</v>
      </c>
      <c r="D353">
        <v>-1</v>
      </c>
      <c r="E353">
        <v>-1</v>
      </c>
      <c r="F353">
        <v>-1</v>
      </c>
      <c r="G353">
        <v>-1</v>
      </c>
    </row>
    <row r="354" spans="1:7" x14ac:dyDescent="0.25">
      <c r="A354" t="s">
        <v>928</v>
      </c>
      <c r="B354">
        <v>2.8999999999999998E-10</v>
      </c>
      <c r="C354">
        <v>5.3000000000000003E-10</v>
      </c>
      <c r="D354">
        <v>-1</v>
      </c>
      <c r="E354">
        <v>-1</v>
      </c>
      <c r="F354">
        <v>-1</v>
      </c>
      <c r="G354">
        <v>-1</v>
      </c>
    </row>
    <row r="355" spans="1:7" x14ac:dyDescent="0.25">
      <c r="A355" t="s">
        <v>929</v>
      </c>
      <c r="B355">
        <v>-1</v>
      </c>
      <c r="C355">
        <v>-1</v>
      </c>
      <c r="D355">
        <v>2.9E-11</v>
      </c>
      <c r="E355">
        <v>4.8000000000000002E-11</v>
      </c>
      <c r="F355">
        <v>3E-11</v>
      </c>
      <c r="G355">
        <v>5.0000000000000002E-11</v>
      </c>
    </row>
    <row r="356" spans="1:7" x14ac:dyDescent="0.25">
      <c r="A356" t="s">
        <v>930</v>
      </c>
      <c r="B356">
        <v>-1</v>
      </c>
      <c r="C356">
        <v>-1</v>
      </c>
      <c r="D356">
        <v>1.2E-10</v>
      </c>
      <c r="E356">
        <v>1.8E-10</v>
      </c>
      <c r="F356">
        <v>1.2999999999999999E-10</v>
      </c>
      <c r="G356">
        <v>1.8999999999999999E-10</v>
      </c>
    </row>
    <row r="357" spans="1:7" x14ac:dyDescent="0.25">
      <c r="A357" t="s">
        <v>931</v>
      </c>
      <c r="B357">
        <v>-1</v>
      </c>
      <c r="C357">
        <v>-1</v>
      </c>
      <c r="D357">
        <v>7.1E-11</v>
      </c>
      <c r="E357">
        <v>1.0999999999999999E-10</v>
      </c>
      <c r="F357">
        <v>7.4000000000000003E-11</v>
      </c>
      <c r="G357">
        <v>1.2E-10</v>
      </c>
    </row>
    <row r="358" spans="1:7" x14ac:dyDescent="0.25">
      <c r="A358" t="s">
        <v>932</v>
      </c>
      <c r="B358">
        <v>-1</v>
      </c>
      <c r="C358">
        <v>-1</v>
      </c>
      <c r="D358">
        <v>6.6E-10</v>
      </c>
      <c r="E358">
        <v>1.0000000000000001E-9</v>
      </c>
      <c r="F358">
        <v>6.9E-10</v>
      </c>
      <c r="G358">
        <v>1.0999999999999999E-9</v>
      </c>
    </row>
    <row r="359" spans="1:7" x14ac:dyDescent="0.25">
      <c r="A359" t="s">
        <v>111</v>
      </c>
      <c r="B359">
        <v>-1</v>
      </c>
      <c r="C359">
        <v>-1</v>
      </c>
      <c r="D359">
        <v>4.6000000000000001E-10</v>
      </c>
      <c r="E359">
        <v>2.8999999999999998E-10</v>
      </c>
      <c r="F359">
        <v>1.6000000000000001E-9</v>
      </c>
      <c r="G359">
        <v>8.6000000000000003E-10</v>
      </c>
    </row>
    <row r="360" spans="1:7" x14ac:dyDescent="0.25">
      <c r="A360" t="s">
        <v>933</v>
      </c>
      <c r="B360">
        <v>-1</v>
      </c>
      <c r="C360">
        <v>-1</v>
      </c>
      <c r="D360">
        <v>1E-8</v>
      </c>
      <c r="E360">
        <v>7.2E-9</v>
      </c>
      <c r="F360">
        <v>4.4999999999999999E-8</v>
      </c>
      <c r="G360">
        <v>2.4999999999999999E-8</v>
      </c>
    </row>
    <row r="361" spans="1:7" x14ac:dyDescent="0.25">
      <c r="A361" t="s">
        <v>934</v>
      </c>
      <c r="B361">
        <v>-1</v>
      </c>
      <c r="C361">
        <v>-1</v>
      </c>
      <c r="D361">
        <v>1.3999999999999999E-9</v>
      </c>
      <c r="E361">
        <v>1.3000000000000001E-9</v>
      </c>
      <c r="F361">
        <v>1.6000000000000001E-9</v>
      </c>
      <c r="G361">
        <v>1.3000000000000001E-9</v>
      </c>
    </row>
    <row r="362" spans="1:7" x14ac:dyDescent="0.25">
      <c r="A362" t="s">
        <v>935</v>
      </c>
      <c r="B362">
        <v>-1</v>
      </c>
      <c r="C362">
        <v>-1</v>
      </c>
      <c r="D362">
        <v>7.5999999999999996E-10</v>
      </c>
      <c r="E362">
        <v>7.7000000000000003E-10</v>
      </c>
      <c r="F362">
        <v>8.4999999999999996E-10</v>
      </c>
      <c r="G362">
        <v>8.4999999999999996E-10</v>
      </c>
    </row>
    <row r="363" spans="1:7" x14ac:dyDescent="0.25">
      <c r="A363" t="s">
        <v>936</v>
      </c>
      <c r="B363">
        <v>-1</v>
      </c>
      <c r="C363">
        <v>-1</v>
      </c>
      <c r="D363">
        <v>6.5000000000000003E-10</v>
      </c>
      <c r="E363">
        <v>9.6999999999999996E-10</v>
      </c>
      <c r="F363">
        <v>6.8000000000000003E-10</v>
      </c>
      <c r="G363">
        <v>1.0000000000000001E-9</v>
      </c>
    </row>
    <row r="364" spans="1:7" x14ac:dyDescent="0.25">
      <c r="A364" t="s">
        <v>937</v>
      </c>
      <c r="B364">
        <v>-1</v>
      </c>
      <c r="C364">
        <v>-1</v>
      </c>
      <c r="D364">
        <v>4.4000000000000003E-11</v>
      </c>
      <c r="E364">
        <v>6.8999999999999994E-11</v>
      </c>
      <c r="F364">
        <v>4.6999999999999999E-11</v>
      </c>
      <c r="G364">
        <v>7.1999999999999997E-11</v>
      </c>
    </row>
    <row r="365" spans="1:7" x14ac:dyDescent="0.25">
      <c r="A365" t="s">
        <v>938</v>
      </c>
      <c r="B365">
        <v>-1</v>
      </c>
      <c r="C365">
        <v>-1</v>
      </c>
      <c r="D365">
        <v>5.9000000000000003E-11</v>
      </c>
      <c r="E365">
        <v>9.6000000000000005E-11</v>
      </c>
      <c r="F365">
        <v>6.0999999999999996E-11</v>
      </c>
      <c r="G365">
        <v>9.8999999999999994E-11</v>
      </c>
    </row>
    <row r="366" spans="1:7" x14ac:dyDescent="0.25">
      <c r="A366" t="s">
        <v>939</v>
      </c>
      <c r="B366">
        <v>-1</v>
      </c>
      <c r="C366">
        <v>-1</v>
      </c>
      <c r="D366">
        <v>5.2999999999999998E-11</v>
      </c>
      <c r="E366">
        <v>8.5000000000000004E-11</v>
      </c>
      <c r="F366">
        <v>5.6E-11</v>
      </c>
      <c r="G366">
        <v>8.9000000000000003E-11</v>
      </c>
    </row>
    <row r="367" spans="1:7" x14ac:dyDescent="0.25">
      <c r="A367" t="s">
        <v>940</v>
      </c>
      <c r="B367">
        <v>-1</v>
      </c>
      <c r="C367">
        <v>-1</v>
      </c>
      <c r="D367">
        <v>2.4E-10</v>
      </c>
      <c r="E367">
        <v>3.7000000000000001E-10</v>
      </c>
      <c r="F367">
        <v>2.5999999999999998E-10</v>
      </c>
      <c r="G367">
        <v>3.7999999999999998E-10</v>
      </c>
    </row>
    <row r="368" spans="1:7" x14ac:dyDescent="0.25">
      <c r="A368" t="s">
        <v>941</v>
      </c>
      <c r="B368">
        <v>-1</v>
      </c>
      <c r="C368">
        <v>-1</v>
      </c>
      <c r="D368">
        <v>9.9999999999999994E-12</v>
      </c>
      <c r="E368">
        <v>1.6999999999999999E-11</v>
      </c>
      <c r="F368">
        <v>1.1000000000000001E-11</v>
      </c>
      <c r="G368">
        <v>1.6999999999999999E-11</v>
      </c>
    </row>
    <row r="369" spans="1:7" x14ac:dyDescent="0.25">
      <c r="A369" t="s">
        <v>942</v>
      </c>
      <c r="B369">
        <v>-1</v>
      </c>
      <c r="C369">
        <v>-1</v>
      </c>
      <c r="D369">
        <v>1.5E-10</v>
      </c>
      <c r="E369">
        <v>2.5000000000000002E-10</v>
      </c>
      <c r="F369">
        <v>1.5999999999999999E-10</v>
      </c>
      <c r="G369">
        <v>2.5000000000000002E-10</v>
      </c>
    </row>
    <row r="370" spans="1:7" x14ac:dyDescent="0.25">
      <c r="A370" t="s">
        <v>943</v>
      </c>
      <c r="B370">
        <v>-1</v>
      </c>
      <c r="C370">
        <v>-1</v>
      </c>
      <c r="D370">
        <v>5.0999999999999997E-12</v>
      </c>
      <c r="E370">
        <v>8.4999999999999997E-12</v>
      </c>
      <c r="F370">
        <v>5.2999999999999996E-12</v>
      </c>
      <c r="G370">
        <v>8.7999999999999997E-12</v>
      </c>
    </row>
    <row r="371" spans="1:7" x14ac:dyDescent="0.25">
      <c r="A371" t="s">
        <v>944</v>
      </c>
      <c r="B371">
        <v>-1</v>
      </c>
      <c r="C371">
        <v>-1</v>
      </c>
      <c r="D371">
        <v>2.0000000000000001E-9</v>
      </c>
      <c r="E371">
        <v>1.9000000000000001E-9</v>
      </c>
      <c r="F371">
        <v>2.2999999999999999E-9</v>
      </c>
      <c r="G371">
        <v>2.1000000000000002E-9</v>
      </c>
    </row>
    <row r="372" spans="1:7" x14ac:dyDescent="0.25">
      <c r="A372" t="s">
        <v>945</v>
      </c>
      <c r="B372">
        <v>-1</v>
      </c>
      <c r="C372">
        <v>-1</v>
      </c>
      <c r="D372">
        <v>8.5000000000000004E-11</v>
      </c>
      <c r="E372">
        <v>1.2E-10</v>
      </c>
      <c r="F372">
        <v>8.9999999999999999E-11</v>
      </c>
      <c r="G372">
        <v>1.2999999999999999E-10</v>
      </c>
    </row>
    <row r="373" spans="1:7" x14ac:dyDescent="0.25">
      <c r="A373" t="s">
        <v>946</v>
      </c>
      <c r="B373">
        <v>-1</v>
      </c>
      <c r="C373">
        <v>-1</v>
      </c>
      <c r="D373">
        <v>1.6999999999999999E-11</v>
      </c>
      <c r="E373">
        <v>2.8E-11</v>
      </c>
      <c r="F373">
        <v>1.7999999999999999E-11</v>
      </c>
      <c r="G373">
        <v>2.9E-11</v>
      </c>
    </row>
    <row r="374" spans="1:7" x14ac:dyDescent="0.25">
      <c r="A374" t="s">
        <v>947</v>
      </c>
      <c r="B374">
        <v>5.1E-10</v>
      </c>
      <c r="C374">
        <v>7.8999999999999996E-10</v>
      </c>
      <c r="D374">
        <v>8.6000000000000003E-10</v>
      </c>
      <c r="E374">
        <v>9.5999999999999999E-10</v>
      </c>
      <c r="F374">
        <v>-1</v>
      </c>
      <c r="G374">
        <v>-1</v>
      </c>
    </row>
    <row r="375" spans="1:7" x14ac:dyDescent="0.25">
      <c r="A375" t="s">
        <v>948</v>
      </c>
      <c r="B375">
        <v>2.8000000000000002E-10</v>
      </c>
      <c r="C375">
        <v>5.0000000000000003E-10</v>
      </c>
      <c r="D375">
        <v>5.1E-10</v>
      </c>
      <c r="E375">
        <v>7.5999999999999996E-10</v>
      </c>
      <c r="F375">
        <v>-1</v>
      </c>
      <c r="G375">
        <v>-1</v>
      </c>
    </row>
    <row r="376" spans="1:7" x14ac:dyDescent="0.25">
      <c r="A376" t="s">
        <v>108</v>
      </c>
      <c r="B376">
        <v>1.8E-10</v>
      </c>
      <c r="C376">
        <v>2.1999999999999999E-10</v>
      </c>
      <c r="D376">
        <v>1.2999999999999999E-10</v>
      </c>
      <c r="E376">
        <v>9.3999999999999999E-11</v>
      </c>
      <c r="F376">
        <v>-1</v>
      </c>
      <c r="G376">
        <v>-1</v>
      </c>
    </row>
    <row r="377" spans="1:7" x14ac:dyDescent="0.25">
      <c r="A377" t="s">
        <v>15</v>
      </c>
      <c r="B377">
        <v>4.3999999999999998E-10</v>
      </c>
      <c r="C377">
        <v>5.1999999999999996E-10</v>
      </c>
      <c r="D377">
        <v>4.3999999999999998E-10</v>
      </c>
      <c r="E377">
        <v>3.1000000000000002E-10</v>
      </c>
      <c r="F377">
        <v>-1</v>
      </c>
      <c r="G377">
        <v>-1</v>
      </c>
    </row>
    <row r="378" spans="1:7" x14ac:dyDescent="0.25">
      <c r="A378" t="s">
        <v>949</v>
      </c>
      <c r="B378">
        <v>4.4000000000000003E-11</v>
      </c>
      <c r="C378">
        <v>7.5E-11</v>
      </c>
      <c r="D378">
        <v>8.6999999999999997E-11</v>
      </c>
      <c r="E378">
        <v>1.2999999999999999E-10</v>
      </c>
      <c r="F378">
        <v>-1</v>
      </c>
      <c r="G378">
        <v>-1</v>
      </c>
    </row>
    <row r="379" spans="1:7" x14ac:dyDescent="0.25">
      <c r="A379" t="s">
        <v>950</v>
      </c>
      <c r="B379">
        <v>4.5E-10</v>
      </c>
      <c r="C379">
        <v>7.5999999999999996E-10</v>
      </c>
      <c r="D379">
        <v>1.6000000000000001E-9</v>
      </c>
      <c r="E379">
        <v>1.9000000000000001E-9</v>
      </c>
      <c r="F379">
        <v>-1</v>
      </c>
      <c r="G379">
        <v>-1</v>
      </c>
    </row>
    <row r="380" spans="1:7" x14ac:dyDescent="0.25">
      <c r="A380" t="s">
        <v>951</v>
      </c>
      <c r="B380">
        <v>-1</v>
      </c>
      <c r="C380">
        <v>-1</v>
      </c>
      <c r="D380">
        <v>4.6999999999999999E-11</v>
      </c>
      <c r="E380">
        <v>3.5000000000000002E-11</v>
      </c>
      <c r="F380">
        <v>-1</v>
      </c>
      <c r="G380">
        <v>-1</v>
      </c>
    </row>
    <row r="381" spans="1:7" x14ac:dyDescent="0.25">
      <c r="A381" t="s">
        <v>952</v>
      </c>
      <c r="B381">
        <v>-1</v>
      </c>
      <c r="C381">
        <v>-1</v>
      </c>
      <c r="D381">
        <v>1.7E-12</v>
      </c>
      <c r="E381">
        <v>3.0000000000000001E-12</v>
      </c>
      <c r="F381">
        <v>-1</v>
      </c>
      <c r="G381">
        <v>-1</v>
      </c>
    </row>
    <row r="382" spans="1:7" x14ac:dyDescent="0.25">
      <c r="A382" t="s">
        <v>953</v>
      </c>
      <c r="B382">
        <v>-1</v>
      </c>
      <c r="C382">
        <v>-1</v>
      </c>
      <c r="D382">
        <v>5.4E-10</v>
      </c>
      <c r="E382">
        <v>7.2999999999999996E-10</v>
      </c>
      <c r="F382">
        <v>-1</v>
      </c>
      <c r="G382">
        <v>-1</v>
      </c>
    </row>
    <row r="383" spans="1:7" x14ac:dyDescent="0.25">
      <c r="A383" t="s">
        <v>954</v>
      </c>
      <c r="B383">
        <v>-1</v>
      </c>
      <c r="C383">
        <v>-1</v>
      </c>
      <c r="D383">
        <v>4.0000000000000001E-10</v>
      </c>
      <c r="E383">
        <v>2.7E-10</v>
      </c>
      <c r="F383">
        <v>-1</v>
      </c>
      <c r="G383">
        <v>-1</v>
      </c>
    </row>
    <row r="384" spans="1:7" x14ac:dyDescent="0.25">
      <c r="A384" t="s">
        <v>131</v>
      </c>
      <c r="B384">
        <v>-1</v>
      </c>
      <c r="C384">
        <v>-1</v>
      </c>
      <c r="D384">
        <v>3.0000000000000001E-6</v>
      </c>
      <c r="E384">
        <v>1.9999999999999999E-6</v>
      </c>
      <c r="F384">
        <v>-1</v>
      </c>
      <c r="G384">
        <v>-1</v>
      </c>
    </row>
    <row r="385" spans="1:7" x14ac:dyDescent="0.25">
      <c r="A385" t="s">
        <v>955</v>
      </c>
      <c r="B385">
        <v>-1</v>
      </c>
      <c r="C385">
        <v>-1</v>
      </c>
      <c r="D385">
        <v>5.0000000000000001E-9</v>
      </c>
      <c r="E385">
        <v>3.6E-9</v>
      </c>
      <c r="F385">
        <v>-1</v>
      </c>
      <c r="G385">
        <v>-1</v>
      </c>
    </row>
    <row r="386" spans="1:7" x14ac:dyDescent="0.25">
      <c r="A386" t="s">
        <v>95</v>
      </c>
      <c r="B386">
        <v>-1</v>
      </c>
      <c r="C386">
        <v>-1</v>
      </c>
      <c r="D386">
        <v>2.0999999999999999E-5</v>
      </c>
      <c r="E386">
        <v>1.5E-5</v>
      </c>
      <c r="F386">
        <v>-1</v>
      </c>
      <c r="G386">
        <v>-1</v>
      </c>
    </row>
    <row r="387" spans="1:7" x14ac:dyDescent="0.25">
      <c r="A387" t="s">
        <v>149</v>
      </c>
      <c r="B387">
        <v>-1</v>
      </c>
      <c r="C387">
        <v>-1</v>
      </c>
      <c r="D387">
        <v>2.0000000000000001E-9</v>
      </c>
      <c r="E387">
        <v>1.6999999999999999E-9</v>
      </c>
      <c r="F387">
        <v>-1</v>
      </c>
      <c r="G387">
        <v>-1</v>
      </c>
    </row>
    <row r="388" spans="1:7" x14ac:dyDescent="0.25">
      <c r="A388" t="s">
        <v>100</v>
      </c>
      <c r="B388">
        <v>-1</v>
      </c>
      <c r="C388">
        <v>-1</v>
      </c>
      <c r="D388">
        <v>8.9999999999999999E-10</v>
      </c>
      <c r="E388">
        <v>1.0999999999999999E-9</v>
      </c>
      <c r="F388">
        <v>-1</v>
      </c>
      <c r="G388">
        <v>-1</v>
      </c>
    </row>
    <row r="389" spans="1:7" x14ac:dyDescent="0.25">
      <c r="A389" t="s">
        <v>956</v>
      </c>
      <c r="B389">
        <v>-1</v>
      </c>
      <c r="C389">
        <v>-1</v>
      </c>
      <c r="D389">
        <v>8.6999999999999997E-11</v>
      </c>
      <c r="E389">
        <v>1.2999999999999999E-10</v>
      </c>
      <c r="F389">
        <v>-1</v>
      </c>
      <c r="G389">
        <v>-1</v>
      </c>
    </row>
    <row r="390" spans="1:7" x14ac:dyDescent="0.25">
      <c r="A390" t="s">
        <v>957</v>
      </c>
      <c r="B390">
        <v>8.7999999999999997E-12</v>
      </c>
      <c r="C390">
        <v>1.6E-11</v>
      </c>
      <c r="D390">
        <v>1.4E-11</v>
      </c>
      <c r="E390">
        <v>2.4000000000000001E-11</v>
      </c>
      <c r="F390">
        <v>1.5E-11</v>
      </c>
      <c r="G390">
        <v>2.5000000000000001E-11</v>
      </c>
    </row>
    <row r="391" spans="1:7" x14ac:dyDescent="0.25">
      <c r="A391" t="s">
        <v>958</v>
      </c>
      <c r="B391">
        <v>3.5999999999999998E-11</v>
      </c>
      <c r="C391">
        <v>6.3999999999999999E-11</v>
      </c>
      <c r="D391">
        <v>6.3000000000000002E-11</v>
      </c>
      <c r="E391">
        <v>9.6000000000000005E-11</v>
      </c>
      <c r="F391">
        <v>6.6000000000000005E-11</v>
      </c>
      <c r="G391">
        <v>1E-10</v>
      </c>
    </row>
    <row r="392" spans="1:7" x14ac:dyDescent="0.25">
      <c r="A392" t="s">
        <v>959</v>
      </c>
      <c r="B392">
        <v>1.8999999999999999E-10</v>
      </c>
      <c r="C392">
        <v>3.1999999999999998E-10</v>
      </c>
      <c r="D392">
        <v>3.7000000000000001E-10</v>
      </c>
      <c r="E392">
        <v>5.0000000000000003E-10</v>
      </c>
      <c r="F392">
        <v>3.9E-10</v>
      </c>
      <c r="G392">
        <v>5.1999999999999996E-10</v>
      </c>
    </row>
    <row r="393" spans="1:7" x14ac:dyDescent="0.25">
      <c r="A393" t="s">
        <v>960</v>
      </c>
      <c r="B393">
        <v>1.0999999999999999E-9</v>
      </c>
      <c r="C393">
        <v>1.3999999999999999E-9</v>
      </c>
      <c r="D393">
        <v>1.2E-9</v>
      </c>
      <c r="E393">
        <v>1.0000000000000001E-9</v>
      </c>
      <c r="F393">
        <v>1.5E-9</v>
      </c>
      <c r="G393">
        <v>1.0999999999999999E-9</v>
      </c>
    </row>
    <row r="394" spans="1:7" x14ac:dyDescent="0.25">
      <c r="A394" t="s">
        <v>961</v>
      </c>
      <c r="B394">
        <v>2.6999999999999998E-12</v>
      </c>
      <c r="C394">
        <v>5.1999999999999997E-12</v>
      </c>
      <c r="D394">
        <v>5.0999999999999997E-12</v>
      </c>
      <c r="E394">
        <v>7.5999999999999999E-12</v>
      </c>
      <c r="F394">
        <v>5.3999999999999996E-12</v>
      </c>
      <c r="G394">
        <v>7.8999999999999999E-12</v>
      </c>
    </row>
    <row r="395" spans="1:7" x14ac:dyDescent="0.25">
      <c r="A395" t="s">
        <v>962</v>
      </c>
      <c r="B395">
        <v>2.5000000000000002E-10</v>
      </c>
      <c r="C395">
        <v>3.4999999999999998E-10</v>
      </c>
      <c r="D395">
        <v>1.5E-9</v>
      </c>
      <c r="E395">
        <v>1.3000000000000001E-9</v>
      </c>
      <c r="F395">
        <v>1.8E-9</v>
      </c>
      <c r="G395">
        <v>1.5E-9</v>
      </c>
    </row>
    <row r="396" spans="1:7" x14ac:dyDescent="0.25">
      <c r="A396" t="s">
        <v>963</v>
      </c>
      <c r="B396">
        <v>2.6000000000000001E-11</v>
      </c>
      <c r="C396">
        <v>4.1000000000000001E-11</v>
      </c>
      <c r="D396">
        <v>1.2999999999999999E-10</v>
      </c>
      <c r="E396">
        <v>1.2999999999999999E-10</v>
      </c>
      <c r="F396">
        <v>1.5E-10</v>
      </c>
      <c r="G396">
        <v>1.4000000000000001E-10</v>
      </c>
    </row>
    <row r="397" spans="1:7" x14ac:dyDescent="0.25">
      <c r="A397" t="s">
        <v>964</v>
      </c>
      <c r="B397">
        <v>1.7000000000000001E-10</v>
      </c>
      <c r="C397">
        <v>2.8000000000000002E-10</v>
      </c>
      <c r="D397">
        <v>4.7000000000000003E-10</v>
      </c>
      <c r="E397">
        <v>6.3999999999999996E-10</v>
      </c>
      <c r="F397">
        <v>5.1E-10</v>
      </c>
      <c r="G397">
        <v>6.8000000000000003E-10</v>
      </c>
    </row>
    <row r="398" spans="1:7" x14ac:dyDescent="0.25">
      <c r="A398" t="s">
        <v>965</v>
      </c>
      <c r="B398">
        <v>1.0999999999999999E-8</v>
      </c>
      <c r="C398">
        <v>1.3000000000000001E-8</v>
      </c>
      <c r="D398">
        <v>2E-8</v>
      </c>
      <c r="E398">
        <v>1.3000000000000001E-8</v>
      </c>
      <c r="F398">
        <v>7.9000000000000006E-8</v>
      </c>
      <c r="G398">
        <v>4.1999999999999999E-8</v>
      </c>
    </row>
    <row r="399" spans="1:7" x14ac:dyDescent="0.25">
      <c r="A399" t="s">
        <v>4</v>
      </c>
      <c r="B399">
        <v>8.0000000000000003E-10</v>
      </c>
      <c r="C399">
        <v>1.0999999999999999E-9</v>
      </c>
      <c r="D399">
        <v>3.2000000000000001E-9</v>
      </c>
      <c r="E399">
        <v>2.8999999999999999E-9</v>
      </c>
      <c r="F399">
        <v>-1</v>
      </c>
      <c r="G399">
        <v>-1</v>
      </c>
    </row>
    <row r="400" spans="1:7" x14ac:dyDescent="0.25">
      <c r="A400" t="s">
        <v>5</v>
      </c>
      <c r="B400">
        <v>9.6000000000000005E-11</v>
      </c>
      <c r="C400">
        <v>1.4000000000000001E-10</v>
      </c>
      <c r="D400">
        <v>1.3999999999999999E-9</v>
      </c>
      <c r="E400">
        <v>1.3000000000000001E-9</v>
      </c>
      <c r="F400">
        <v>-1</v>
      </c>
      <c r="G400">
        <v>-1</v>
      </c>
    </row>
    <row r="401" spans="1:7" x14ac:dyDescent="0.25">
      <c r="A401" t="s">
        <v>966</v>
      </c>
      <c r="B401">
        <v>-1</v>
      </c>
      <c r="C401">
        <v>-1</v>
      </c>
      <c r="D401">
        <v>7.0000000000000005E-8</v>
      </c>
      <c r="E401">
        <v>8.9999999999999999E-8</v>
      </c>
      <c r="F401">
        <v>7.6000000000000006E-8</v>
      </c>
      <c r="G401">
        <v>9.6999999999999995E-8</v>
      </c>
    </row>
    <row r="402" spans="1:7" x14ac:dyDescent="0.25">
      <c r="A402" t="s">
        <v>967</v>
      </c>
      <c r="B402">
        <v>-1</v>
      </c>
      <c r="C402">
        <v>-1</v>
      </c>
      <c r="D402">
        <v>5.8999999999999999E-8</v>
      </c>
      <c r="E402">
        <v>4.6000000000000002E-8</v>
      </c>
      <c r="F402">
        <v>6.8999999999999996E-8</v>
      </c>
      <c r="G402">
        <v>5.1E-8</v>
      </c>
    </row>
    <row r="403" spans="1:7" x14ac:dyDescent="0.25">
      <c r="A403" t="s">
        <v>968</v>
      </c>
      <c r="B403">
        <v>-1</v>
      </c>
      <c r="C403">
        <v>-1</v>
      </c>
      <c r="D403">
        <v>5.6000000000000004E-7</v>
      </c>
      <c r="E403">
        <v>4.5999999999999999E-7</v>
      </c>
      <c r="F403">
        <v>7.0999999999999998E-7</v>
      </c>
      <c r="G403">
        <v>5.7000000000000005E-7</v>
      </c>
    </row>
    <row r="404" spans="1:7" x14ac:dyDescent="0.25">
      <c r="A404" t="s">
        <v>84</v>
      </c>
      <c r="B404">
        <v>-1</v>
      </c>
      <c r="C404">
        <v>-1</v>
      </c>
      <c r="D404">
        <v>1.2999999999999999E-4</v>
      </c>
      <c r="E404">
        <v>8.8999999999999995E-5</v>
      </c>
      <c r="F404">
        <v>3.1999999999999999E-5</v>
      </c>
      <c r="G404">
        <v>1.7E-5</v>
      </c>
    </row>
    <row r="405" spans="1:7" x14ac:dyDescent="0.25">
      <c r="A405" t="s">
        <v>969</v>
      </c>
      <c r="B405">
        <v>-1</v>
      </c>
      <c r="C405">
        <v>-1</v>
      </c>
      <c r="D405">
        <v>9.5000000000000007E-9</v>
      </c>
      <c r="E405">
        <v>6.7999999999999997E-9</v>
      </c>
      <c r="F405">
        <v>3.2000000000000001E-9</v>
      </c>
      <c r="G405">
        <v>2.0000000000000001E-9</v>
      </c>
    </row>
    <row r="406" spans="1:7" x14ac:dyDescent="0.25">
      <c r="A406" t="s">
        <v>88</v>
      </c>
      <c r="B406">
        <v>-1</v>
      </c>
      <c r="C406">
        <v>-1</v>
      </c>
      <c r="D406">
        <v>3.1E-9</v>
      </c>
      <c r="E406">
        <v>2.7999999999999998E-9</v>
      </c>
      <c r="F406">
        <v>3.7E-9</v>
      </c>
      <c r="G406">
        <v>3.2000000000000001E-9</v>
      </c>
    </row>
    <row r="407" spans="1:7" x14ac:dyDescent="0.25">
      <c r="A407" t="s">
        <v>90</v>
      </c>
      <c r="B407">
        <v>-1</v>
      </c>
      <c r="C407">
        <v>-1</v>
      </c>
      <c r="D407">
        <v>3.7999999999999998E-10</v>
      </c>
      <c r="E407">
        <v>5.4999999999999996E-10</v>
      </c>
      <c r="F407">
        <v>4.0000000000000001E-10</v>
      </c>
      <c r="G407">
        <v>5.7999999999999996E-10</v>
      </c>
    </row>
    <row r="408" spans="1:7" x14ac:dyDescent="0.25">
      <c r="A408" t="s">
        <v>970</v>
      </c>
      <c r="B408">
        <v>1.6999999999999999E-11</v>
      </c>
      <c r="C408">
        <v>3E-11</v>
      </c>
      <c r="D408">
        <v>-1</v>
      </c>
      <c r="E408">
        <v>-1</v>
      </c>
      <c r="F408">
        <v>-1</v>
      </c>
      <c r="G408">
        <v>-1</v>
      </c>
    </row>
    <row r="409" spans="1:7" x14ac:dyDescent="0.25">
      <c r="A409" t="s">
        <v>971</v>
      </c>
      <c r="B409">
        <v>4.6999999999999999E-11</v>
      </c>
      <c r="C409">
        <v>8.6999999999999997E-11</v>
      </c>
      <c r="D409">
        <v>-1</v>
      </c>
      <c r="E409">
        <v>-1</v>
      </c>
      <c r="F409">
        <v>-1</v>
      </c>
      <c r="G409">
        <v>-1</v>
      </c>
    </row>
    <row r="410" spans="1:7" x14ac:dyDescent="0.25">
      <c r="A410" t="s">
        <v>972</v>
      </c>
      <c r="B410">
        <v>2.6000000000000001E-11</v>
      </c>
      <c r="C410">
        <v>4.8000000000000002E-11</v>
      </c>
      <c r="D410">
        <v>-1</v>
      </c>
      <c r="E410">
        <v>-1</v>
      </c>
      <c r="F410">
        <v>-1</v>
      </c>
      <c r="G410">
        <v>-1</v>
      </c>
    </row>
    <row r="411" spans="1:7" x14ac:dyDescent="0.25">
      <c r="A411" t="s">
        <v>973</v>
      </c>
      <c r="B411">
        <v>1.5E-10</v>
      </c>
      <c r="C411">
        <v>2.5999999999999998E-10</v>
      </c>
      <c r="D411">
        <v>-1</v>
      </c>
      <c r="E411">
        <v>-1</v>
      </c>
      <c r="F411">
        <v>-1</v>
      </c>
      <c r="G411">
        <v>-1</v>
      </c>
    </row>
    <row r="412" spans="1:7" x14ac:dyDescent="0.25">
      <c r="A412" t="s">
        <v>974</v>
      </c>
      <c r="B412">
        <v>6.4999999999999995E-11</v>
      </c>
      <c r="C412">
        <v>1.2E-10</v>
      </c>
      <c r="D412">
        <v>-1</v>
      </c>
      <c r="E412">
        <v>-1</v>
      </c>
      <c r="F412">
        <v>-1</v>
      </c>
      <c r="G412">
        <v>-1</v>
      </c>
    </row>
    <row r="413" spans="1:7" x14ac:dyDescent="0.25">
      <c r="A413" t="s">
        <v>975</v>
      </c>
      <c r="B413">
        <v>1.0999999999999999E-8</v>
      </c>
      <c r="C413">
        <v>1.4E-8</v>
      </c>
      <c r="D413">
        <v>-1</v>
      </c>
      <c r="E413">
        <v>-1</v>
      </c>
      <c r="F413">
        <v>-1</v>
      </c>
      <c r="G413">
        <v>-1</v>
      </c>
    </row>
    <row r="414" spans="1:7" x14ac:dyDescent="0.25">
      <c r="A414" t="s">
        <v>976</v>
      </c>
      <c r="B414">
        <v>6.7000000000000001E-11</v>
      </c>
      <c r="C414">
        <v>1.2E-10</v>
      </c>
      <c r="D414">
        <v>-1</v>
      </c>
      <c r="E414">
        <v>-1</v>
      </c>
      <c r="F414">
        <v>-1</v>
      </c>
      <c r="G414">
        <v>-1</v>
      </c>
    </row>
    <row r="415" spans="1:7" x14ac:dyDescent="0.25">
      <c r="A415" t="s">
        <v>977</v>
      </c>
      <c r="B415">
        <v>9.0999999999999996E-11</v>
      </c>
      <c r="C415">
        <v>1.5999999999999999E-10</v>
      </c>
      <c r="D415">
        <v>-1</v>
      </c>
      <c r="E415">
        <v>-1</v>
      </c>
      <c r="F415">
        <v>-1</v>
      </c>
      <c r="G415">
        <v>-1</v>
      </c>
    </row>
    <row r="416" spans="1:7" x14ac:dyDescent="0.25">
      <c r="A416" t="s">
        <v>978</v>
      </c>
      <c r="B416">
        <v>3.4000000000000001E-10</v>
      </c>
      <c r="C416">
        <v>4.0999999999999998E-10</v>
      </c>
      <c r="D416">
        <v>-1</v>
      </c>
      <c r="E416">
        <v>-1</v>
      </c>
      <c r="F416">
        <v>-1</v>
      </c>
      <c r="G416">
        <v>-1</v>
      </c>
    </row>
    <row r="417" spans="1:7" x14ac:dyDescent="0.25">
      <c r="A417" t="s">
        <v>40</v>
      </c>
      <c r="B417">
        <v>1.7999999999999999E-11</v>
      </c>
      <c r="C417">
        <v>3.1999999999999999E-11</v>
      </c>
      <c r="D417">
        <v>-1</v>
      </c>
      <c r="E417">
        <v>-1</v>
      </c>
      <c r="F417">
        <v>-1</v>
      </c>
      <c r="G417">
        <v>-1</v>
      </c>
    </row>
    <row r="418" spans="1:7" x14ac:dyDescent="0.25">
      <c r="A418" t="s">
        <v>44</v>
      </c>
      <c r="B418">
        <v>8.8999999999999995E-7</v>
      </c>
      <c r="C418">
        <v>1.1000000000000001E-6</v>
      </c>
      <c r="D418">
        <v>-1</v>
      </c>
      <c r="E418">
        <v>-1</v>
      </c>
      <c r="F418">
        <v>-1</v>
      </c>
      <c r="G418">
        <v>-1</v>
      </c>
    </row>
    <row r="419" spans="1:7" x14ac:dyDescent="0.25">
      <c r="A419" t="s">
        <v>48</v>
      </c>
      <c r="B419">
        <v>3.9000000000000002E-9</v>
      </c>
      <c r="C419">
        <v>5.5999999999999997E-9</v>
      </c>
      <c r="D419">
        <v>-1</v>
      </c>
      <c r="E419">
        <v>-1</v>
      </c>
      <c r="F419">
        <v>-1</v>
      </c>
      <c r="G419">
        <v>-1</v>
      </c>
    </row>
    <row r="420" spans="1:7" x14ac:dyDescent="0.25">
      <c r="A420" t="s">
        <v>51</v>
      </c>
      <c r="B420">
        <v>1.9000000000000001E-8</v>
      </c>
      <c r="C420">
        <v>3.2999999999999998E-8</v>
      </c>
      <c r="D420">
        <v>-1</v>
      </c>
      <c r="E420">
        <v>-1</v>
      </c>
      <c r="F420">
        <v>-1</v>
      </c>
      <c r="G420">
        <v>-1</v>
      </c>
    </row>
    <row r="421" spans="1:7" x14ac:dyDescent="0.25">
      <c r="A421" t="s">
        <v>56</v>
      </c>
      <c r="B421">
        <v>2.8999999999999999E-9</v>
      </c>
      <c r="C421">
        <v>4.8E-9</v>
      </c>
      <c r="D421">
        <v>-1</v>
      </c>
      <c r="E421">
        <v>-1</v>
      </c>
      <c r="F421">
        <v>-1</v>
      </c>
      <c r="G421">
        <v>-1</v>
      </c>
    </row>
    <row r="422" spans="1:7" x14ac:dyDescent="0.25">
      <c r="A422" t="s">
        <v>979</v>
      </c>
      <c r="B422">
        <v>4.8999999999999996E-10</v>
      </c>
      <c r="C422">
        <v>7.5999999999999996E-10</v>
      </c>
      <c r="D422">
        <v>7.8999999999999996E-10</v>
      </c>
      <c r="E422">
        <v>9.5000000000000003E-10</v>
      </c>
      <c r="F422">
        <v>8.3000000000000003E-10</v>
      </c>
      <c r="G422">
        <v>9.6999999999999996E-10</v>
      </c>
    </row>
    <row r="423" spans="1:7" x14ac:dyDescent="0.25">
      <c r="A423" t="s">
        <v>980</v>
      </c>
      <c r="B423">
        <v>4.1999999999999997E-11</v>
      </c>
      <c r="C423">
        <v>7.5E-11</v>
      </c>
      <c r="D423">
        <v>6.2000000000000006E-11</v>
      </c>
      <c r="E423">
        <v>9.7999999999999998E-11</v>
      </c>
      <c r="F423">
        <v>6.3999999999999999E-11</v>
      </c>
      <c r="G423">
        <v>1E-10</v>
      </c>
    </row>
    <row r="424" spans="1:7" x14ac:dyDescent="0.25">
      <c r="A424" t="s">
        <v>981</v>
      </c>
      <c r="B424">
        <v>8.9999999999999999E-11</v>
      </c>
      <c r="C424">
        <v>1.2E-10</v>
      </c>
      <c r="D424">
        <v>3.4999999999999998E-10</v>
      </c>
      <c r="E424">
        <v>3E-10</v>
      </c>
      <c r="F424">
        <v>4.0000000000000001E-10</v>
      </c>
      <c r="G424">
        <v>2.8999999999999998E-10</v>
      </c>
    </row>
    <row r="425" spans="1:7" x14ac:dyDescent="0.25">
      <c r="A425" t="s">
        <v>114</v>
      </c>
      <c r="B425">
        <v>2.6000000000000001E-11</v>
      </c>
      <c r="C425">
        <v>3.3000000000000002E-11</v>
      </c>
      <c r="D425">
        <v>7.9999999999999995E-11</v>
      </c>
      <c r="E425">
        <v>5.2000000000000001E-11</v>
      </c>
      <c r="F425">
        <v>5.4999999999999996E-10</v>
      </c>
      <c r="G425">
        <v>2.8999999999999998E-10</v>
      </c>
    </row>
    <row r="426" spans="1:7" x14ac:dyDescent="0.25">
      <c r="A426" t="s">
        <v>982</v>
      </c>
      <c r="B426">
        <v>1.2E-10</v>
      </c>
      <c r="C426">
        <v>2.1E-10</v>
      </c>
      <c r="D426">
        <v>3.4000000000000001E-10</v>
      </c>
      <c r="E426">
        <v>4.7000000000000003E-10</v>
      </c>
      <c r="F426">
        <v>3.6E-10</v>
      </c>
      <c r="G426">
        <v>5.0000000000000003E-10</v>
      </c>
    </row>
    <row r="427" spans="1:7" x14ac:dyDescent="0.25">
      <c r="A427" t="s">
        <v>983</v>
      </c>
      <c r="B427">
        <v>-1</v>
      </c>
      <c r="C427">
        <v>-1</v>
      </c>
      <c r="D427">
        <v>1.5E-11</v>
      </c>
      <c r="E427">
        <v>2.4000000000000001E-11</v>
      </c>
      <c r="F427">
        <v>1.6E-11</v>
      </c>
      <c r="G427">
        <v>2.5000000000000001E-11</v>
      </c>
    </row>
    <row r="428" spans="1:7" x14ac:dyDescent="0.25">
      <c r="A428" t="s">
        <v>984</v>
      </c>
      <c r="B428">
        <v>-1</v>
      </c>
      <c r="C428">
        <v>-1</v>
      </c>
      <c r="D428">
        <v>1.3999999999999999E-9</v>
      </c>
      <c r="E428">
        <v>9.5999999999999999E-10</v>
      </c>
      <c r="F428">
        <v>1.3000000000000001E-9</v>
      </c>
      <c r="G428">
        <v>8.3000000000000003E-10</v>
      </c>
    </row>
    <row r="429" spans="1:7" x14ac:dyDescent="0.25">
      <c r="A429" t="s">
        <v>985</v>
      </c>
      <c r="B429">
        <v>-1</v>
      </c>
      <c r="C429">
        <v>-1</v>
      </c>
      <c r="D429">
        <v>7.8000000000000004E-9</v>
      </c>
      <c r="E429">
        <v>5.4000000000000004E-9</v>
      </c>
      <c r="F429">
        <v>6.9999999999999998E-9</v>
      </c>
      <c r="G429">
        <v>3.9000000000000002E-9</v>
      </c>
    </row>
    <row r="430" spans="1:7" x14ac:dyDescent="0.25">
      <c r="A430" t="s">
        <v>986</v>
      </c>
      <c r="B430">
        <v>-1</v>
      </c>
      <c r="C430">
        <v>-1</v>
      </c>
      <c r="D430">
        <v>3.3999999999999998E-9</v>
      </c>
      <c r="E430">
        <v>2.4E-9</v>
      </c>
      <c r="F430">
        <v>2.1000000000000002E-9</v>
      </c>
      <c r="G430">
        <v>1.2E-9</v>
      </c>
    </row>
    <row r="431" spans="1:7" x14ac:dyDescent="0.25">
      <c r="A431" t="s">
        <v>126</v>
      </c>
      <c r="B431">
        <v>-1</v>
      </c>
      <c r="C431">
        <v>-1</v>
      </c>
      <c r="D431">
        <v>1.9000000000000001E-8</v>
      </c>
      <c r="E431">
        <v>1.3000000000000001E-8</v>
      </c>
      <c r="F431">
        <v>1.6000000000000001E-8</v>
      </c>
      <c r="G431">
        <v>8.9999999999999995E-9</v>
      </c>
    </row>
    <row r="432" spans="1:7" x14ac:dyDescent="0.25">
      <c r="A432" t="s">
        <v>127</v>
      </c>
      <c r="B432">
        <v>-1</v>
      </c>
      <c r="C432">
        <v>-1</v>
      </c>
      <c r="D432">
        <v>4.6999999999999999E-9</v>
      </c>
      <c r="E432">
        <v>3.4999999999999999E-9</v>
      </c>
      <c r="F432">
        <v>4.5999999999999998E-9</v>
      </c>
      <c r="G432">
        <v>3.2000000000000001E-9</v>
      </c>
    </row>
    <row r="433" spans="1:7" x14ac:dyDescent="0.25">
      <c r="A433" t="s">
        <v>987</v>
      </c>
      <c r="B433">
        <v>-1</v>
      </c>
      <c r="C433">
        <v>-1</v>
      </c>
      <c r="D433">
        <v>2.0000000000000001E-9</v>
      </c>
      <c r="E433">
        <v>2.1000000000000002E-9</v>
      </c>
      <c r="F433">
        <v>2.1000000000000002E-9</v>
      </c>
      <c r="G433">
        <v>2.1999999999999998E-9</v>
      </c>
    </row>
    <row r="434" spans="1:7" x14ac:dyDescent="0.25">
      <c r="A434" t="s">
        <v>988</v>
      </c>
      <c r="B434">
        <v>-1</v>
      </c>
      <c r="C434">
        <v>-1</v>
      </c>
      <c r="D434">
        <v>4.9E-9</v>
      </c>
      <c r="E434">
        <v>4.1000000000000003E-9</v>
      </c>
      <c r="F434">
        <v>5.4000000000000004E-9</v>
      </c>
      <c r="G434">
        <v>4.2999999999999996E-9</v>
      </c>
    </row>
    <row r="435" spans="1:7" x14ac:dyDescent="0.25">
      <c r="A435" t="s">
        <v>989</v>
      </c>
      <c r="B435">
        <v>-1</v>
      </c>
      <c r="C435">
        <v>-1</v>
      </c>
      <c r="D435">
        <v>6.6E-10</v>
      </c>
      <c r="E435">
        <v>7.5999999999999996E-10</v>
      </c>
      <c r="F435">
        <v>7.2E-10</v>
      </c>
      <c r="G435">
        <v>8.1999999999999996E-10</v>
      </c>
    </row>
    <row r="436" spans="1:7" x14ac:dyDescent="0.25">
      <c r="A436" t="s">
        <v>990</v>
      </c>
      <c r="B436">
        <v>-1</v>
      </c>
      <c r="C436">
        <v>-1</v>
      </c>
      <c r="D436">
        <v>1.2999999999999999E-10</v>
      </c>
      <c r="E436">
        <v>2.0000000000000001E-10</v>
      </c>
      <c r="F436">
        <v>1.4000000000000001E-10</v>
      </c>
      <c r="G436">
        <v>2.1E-10</v>
      </c>
    </row>
    <row r="437" spans="1:7" x14ac:dyDescent="0.25">
      <c r="A437" t="s">
        <v>991</v>
      </c>
      <c r="B437">
        <v>-1</v>
      </c>
      <c r="C437">
        <v>-1</v>
      </c>
      <c r="D437">
        <v>4.2E-10</v>
      </c>
      <c r="E437">
        <v>6.0999999999999996E-10</v>
      </c>
      <c r="F437">
        <v>4.5E-10</v>
      </c>
      <c r="G437">
        <v>6.3999999999999996E-10</v>
      </c>
    </row>
    <row r="438" spans="1:7" x14ac:dyDescent="0.25">
      <c r="A438" t="s">
        <v>992</v>
      </c>
      <c r="B438">
        <v>2.5000000000000001E-11</v>
      </c>
      <c r="C438">
        <v>4.5E-11</v>
      </c>
      <c r="D438">
        <v>3.5999999999999998E-11</v>
      </c>
      <c r="E438">
        <v>6.0999999999999996E-11</v>
      </c>
      <c r="F438">
        <v>-1</v>
      </c>
      <c r="G438">
        <v>-1</v>
      </c>
    </row>
    <row r="439" spans="1:7" x14ac:dyDescent="0.25">
      <c r="A439" t="s">
        <v>993</v>
      </c>
      <c r="B439">
        <v>3.5000000000000002E-11</v>
      </c>
      <c r="C439">
        <v>6E-11</v>
      </c>
      <c r="D439">
        <v>6.3999999999999999E-11</v>
      </c>
      <c r="E439">
        <v>8.9000000000000003E-11</v>
      </c>
      <c r="F439">
        <v>-1</v>
      </c>
      <c r="G439">
        <v>-1</v>
      </c>
    </row>
    <row r="440" spans="1:7" x14ac:dyDescent="0.25">
      <c r="A440" t="s">
        <v>994</v>
      </c>
      <c r="B440">
        <v>6.3000000000000002E-11</v>
      </c>
      <c r="C440">
        <v>1.2E-10</v>
      </c>
      <c r="D440">
        <v>8.3999999999999994E-11</v>
      </c>
      <c r="E440">
        <v>1.5E-10</v>
      </c>
      <c r="F440">
        <v>-1</v>
      </c>
      <c r="G440">
        <v>-1</v>
      </c>
    </row>
    <row r="441" spans="1:7" x14ac:dyDescent="0.25">
      <c r="A441" t="s">
        <v>42</v>
      </c>
      <c r="B441">
        <v>5.9999999999999997E-7</v>
      </c>
      <c r="C441">
        <v>7.0999999999999998E-7</v>
      </c>
      <c r="D441">
        <v>3.0000000000000001E-6</v>
      </c>
      <c r="E441">
        <v>2.2000000000000001E-6</v>
      </c>
      <c r="F441">
        <v>-1</v>
      </c>
      <c r="G441">
        <v>-1</v>
      </c>
    </row>
    <row r="442" spans="1:7" x14ac:dyDescent="0.25">
      <c r="A442" t="s">
        <v>995</v>
      </c>
      <c r="B442">
        <v>-1</v>
      </c>
      <c r="C442">
        <v>-1</v>
      </c>
      <c r="D442">
        <v>1.4E-11</v>
      </c>
      <c r="E442">
        <v>2.4000000000000001E-11</v>
      </c>
      <c r="F442">
        <v>1.5E-11</v>
      </c>
      <c r="G442">
        <v>2.5000000000000001E-11</v>
      </c>
    </row>
    <row r="443" spans="1:7" x14ac:dyDescent="0.25">
      <c r="A443" t="s">
        <v>996</v>
      </c>
      <c r="B443">
        <v>-1</v>
      </c>
      <c r="C443">
        <v>-1</v>
      </c>
      <c r="D443">
        <v>2.0999999999999999E-11</v>
      </c>
      <c r="E443">
        <v>3.3999999999999999E-11</v>
      </c>
      <c r="F443">
        <v>2.2000000000000002E-11</v>
      </c>
      <c r="G443">
        <v>3.5000000000000002E-11</v>
      </c>
    </row>
    <row r="444" spans="1:7" x14ac:dyDescent="0.25">
      <c r="A444" t="s">
        <v>997</v>
      </c>
      <c r="B444">
        <v>-1</v>
      </c>
      <c r="C444">
        <v>-1</v>
      </c>
      <c r="D444">
        <v>7.5999999999999996E-11</v>
      </c>
      <c r="E444">
        <v>1.2999999999999999E-10</v>
      </c>
      <c r="F444">
        <v>7.8999999999999999E-11</v>
      </c>
      <c r="G444">
        <v>1.2999999999999999E-10</v>
      </c>
    </row>
    <row r="445" spans="1:7" x14ac:dyDescent="0.25">
      <c r="A445" t="s">
        <v>998</v>
      </c>
      <c r="B445">
        <v>-1</v>
      </c>
      <c r="C445">
        <v>-1</v>
      </c>
      <c r="D445">
        <v>1.8999999999999999E-11</v>
      </c>
      <c r="E445">
        <v>2.9E-11</v>
      </c>
      <c r="F445">
        <v>1.9999999999999999E-11</v>
      </c>
      <c r="G445">
        <v>3E-11</v>
      </c>
    </row>
    <row r="446" spans="1:7" x14ac:dyDescent="0.25">
      <c r="A446" t="s">
        <v>999</v>
      </c>
      <c r="B446">
        <v>-1</v>
      </c>
      <c r="C446">
        <v>-1</v>
      </c>
      <c r="D446">
        <v>5.3000000000000003E-10</v>
      </c>
      <c r="E446">
        <v>6.9999999999999996E-10</v>
      </c>
      <c r="F446">
        <v>5.6000000000000003E-10</v>
      </c>
      <c r="G446">
        <v>7.4000000000000003E-10</v>
      </c>
    </row>
    <row r="447" spans="1:7" x14ac:dyDescent="0.25">
      <c r="A447" t="s">
        <v>1000</v>
      </c>
      <c r="B447">
        <v>-1</v>
      </c>
      <c r="C447">
        <v>-1</v>
      </c>
      <c r="D447">
        <v>6.7000000000000001E-12</v>
      </c>
      <c r="E447">
        <v>8.8999999999999996E-12</v>
      </c>
      <c r="F447">
        <v>7.1E-12</v>
      </c>
      <c r="G447">
        <v>9.3999999999999995E-12</v>
      </c>
    </row>
    <row r="448" spans="1:7" x14ac:dyDescent="0.25">
      <c r="A448" t="s">
        <v>1001</v>
      </c>
      <c r="B448">
        <v>-1</v>
      </c>
      <c r="C448">
        <v>-1</v>
      </c>
      <c r="D448">
        <v>2.1000000000000002E-9</v>
      </c>
      <c r="E448">
        <v>1.9000000000000001E-9</v>
      </c>
      <c r="F448">
        <v>2.2999999999999999E-9</v>
      </c>
      <c r="G448">
        <v>2.1999999999999998E-9</v>
      </c>
    </row>
    <row r="449" spans="1:7" x14ac:dyDescent="0.25">
      <c r="A449" t="s">
        <v>125</v>
      </c>
      <c r="B449">
        <v>-1</v>
      </c>
      <c r="C449">
        <v>-1</v>
      </c>
      <c r="D449">
        <v>1.7999999999999999E-11</v>
      </c>
      <c r="E449">
        <v>2.9E-11</v>
      </c>
      <c r="F449">
        <v>1.8999999999999999E-11</v>
      </c>
      <c r="G449">
        <v>3E-11</v>
      </c>
    </row>
    <row r="450" spans="1:7" x14ac:dyDescent="0.25">
      <c r="A450" t="s">
        <v>1002</v>
      </c>
      <c r="B450">
        <v>-1</v>
      </c>
      <c r="C450">
        <v>-1</v>
      </c>
      <c r="D450">
        <v>1.5999999999999999E-10</v>
      </c>
      <c r="E450">
        <v>2.5000000000000002E-10</v>
      </c>
      <c r="F450">
        <v>1.7000000000000001E-10</v>
      </c>
      <c r="G450">
        <v>2.5999999999999998E-10</v>
      </c>
    </row>
    <row r="451" spans="1:7" x14ac:dyDescent="0.25">
      <c r="A451" t="s">
        <v>1003</v>
      </c>
      <c r="B451">
        <v>-1</v>
      </c>
      <c r="C451">
        <v>-1</v>
      </c>
      <c r="D451">
        <v>1.7999999999999999E-11</v>
      </c>
      <c r="E451">
        <v>2.9E-11</v>
      </c>
      <c r="F451">
        <v>1.8999999999999999E-11</v>
      </c>
      <c r="G451">
        <v>3E-11</v>
      </c>
    </row>
    <row r="452" spans="1:7" x14ac:dyDescent="0.25">
      <c r="A452" t="s">
        <v>1004</v>
      </c>
      <c r="B452">
        <v>3.5999999999999998E-11</v>
      </c>
      <c r="C452">
        <v>6.6000000000000005E-11</v>
      </c>
      <c r="D452">
        <v>-1</v>
      </c>
      <c r="E452">
        <v>-1</v>
      </c>
      <c r="F452">
        <v>-1</v>
      </c>
      <c r="G452">
        <v>-1</v>
      </c>
    </row>
    <row r="453" spans="1:7" x14ac:dyDescent="0.25">
      <c r="A453" t="s">
        <v>1005</v>
      </c>
      <c r="B453">
        <v>4.3000000000000001E-10</v>
      </c>
      <c r="C453">
        <v>6.3E-10</v>
      </c>
      <c r="D453">
        <v>-1</v>
      </c>
      <c r="E453">
        <v>-1</v>
      </c>
      <c r="F453">
        <v>-1</v>
      </c>
      <c r="G453">
        <v>-1</v>
      </c>
    </row>
    <row r="454" spans="1:7" x14ac:dyDescent="0.25">
      <c r="A454" t="s">
        <v>1006</v>
      </c>
      <c r="B454">
        <v>4.1000000000000001E-11</v>
      </c>
      <c r="C454">
        <v>7.3000000000000006E-11</v>
      </c>
      <c r="D454">
        <v>-1</v>
      </c>
      <c r="E454">
        <v>-1</v>
      </c>
      <c r="F454">
        <v>-1</v>
      </c>
      <c r="G454">
        <v>-1</v>
      </c>
    </row>
    <row r="455" spans="1:7" x14ac:dyDescent="0.25">
      <c r="A455" t="s">
        <v>1007</v>
      </c>
      <c r="B455">
        <v>1.0999999999999999E-10</v>
      </c>
      <c r="C455">
        <v>1.8999999999999999E-10</v>
      </c>
      <c r="D455">
        <v>-1</v>
      </c>
      <c r="E455">
        <v>-1</v>
      </c>
      <c r="F455">
        <v>-1</v>
      </c>
      <c r="G455">
        <v>-1</v>
      </c>
    </row>
    <row r="456" spans="1:7" x14ac:dyDescent="0.25">
      <c r="A456" t="s">
        <v>1008</v>
      </c>
      <c r="B456">
        <v>2.0999999999999999E-11</v>
      </c>
      <c r="C456">
        <v>2.7E-11</v>
      </c>
      <c r="D456">
        <v>-1</v>
      </c>
      <c r="E456">
        <v>-1</v>
      </c>
      <c r="F456">
        <v>-1</v>
      </c>
      <c r="G456">
        <v>-1</v>
      </c>
    </row>
    <row r="457" spans="1:7" x14ac:dyDescent="0.25">
      <c r="A457" t="s">
        <v>1009</v>
      </c>
      <c r="B457">
        <v>1.2999999999999999E-10</v>
      </c>
      <c r="C457">
        <v>2.1E-10</v>
      </c>
      <c r="D457">
        <v>-1</v>
      </c>
      <c r="E457">
        <v>-1</v>
      </c>
      <c r="F457">
        <v>-1</v>
      </c>
      <c r="G457">
        <v>-1</v>
      </c>
    </row>
    <row r="458" spans="1:7" x14ac:dyDescent="0.25">
      <c r="A458" t="s">
        <v>1010</v>
      </c>
      <c r="B458">
        <v>1.8999999999999999E-10</v>
      </c>
      <c r="C458">
        <v>3.1000000000000002E-10</v>
      </c>
      <c r="D458">
        <v>-1</v>
      </c>
      <c r="E458">
        <v>-1</v>
      </c>
      <c r="F458">
        <v>-1</v>
      </c>
      <c r="G458">
        <v>-1</v>
      </c>
    </row>
    <row r="459" spans="1:7" x14ac:dyDescent="0.25">
      <c r="A459" t="s">
        <v>1011</v>
      </c>
      <c r="B459">
        <v>9.0999999999999996E-11</v>
      </c>
      <c r="C459">
        <v>1.5999999999999999E-10</v>
      </c>
      <c r="D459">
        <v>-1</v>
      </c>
      <c r="E459">
        <v>-1</v>
      </c>
      <c r="F459">
        <v>-1</v>
      </c>
      <c r="G459">
        <v>-1</v>
      </c>
    </row>
    <row r="460" spans="1:7" x14ac:dyDescent="0.25">
      <c r="A460" t="s">
        <v>1012</v>
      </c>
      <c r="B460">
        <v>2.5000000000000001E-11</v>
      </c>
      <c r="C460">
        <v>4.3E-11</v>
      </c>
      <c r="D460">
        <v>-1</v>
      </c>
      <c r="E460">
        <v>-1</v>
      </c>
      <c r="F460">
        <v>-1</v>
      </c>
      <c r="G460">
        <v>-1</v>
      </c>
    </row>
    <row r="461" spans="1:7" x14ac:dyDescent="0.25">
      <c r="A461" t="s">
        <v>1013</v>
      </c>
      <c r="B461">
        <v>1.3E-11</v>
      </c>
      <c r="C461">
        <v>2.2000000000000002E-11</v>
      </c>
      <c r="D461">
        <v>-1</v>
      </c>
      <c r="E461">
        <v>-1</v>
      </c>
      <c r="F461">
        <v>-1</v>
      </c>
      <c r="G461">
        <v>-1</v>
      </c>
    </row>
    <row r="462" spans="1:7" x14ac:dyDescent="0.25">
      <c r="A462" t="s">
        <v>1014</v>
      </c>
      <c r="B462">
        <v>2.4E-10</v>
      </c>
      <c r="C462">
        <v>4.0000000000000001E-10</v>
      </c>
      <c r="D462">
        <v>-1</v>
      </c>
      <c r="E462">
        <v>-1</v>
      </c>
      <c r="F462">
        <v>-1</v>
      </c>
      <c r="G462">
        <v>-1</v>
      </c>
    </row>
    <row r="463" spans="1:7" x14ac:dyDescent="0.25">
      <c r="A463" t="s">
        <v>1015</v>
      </c>
      <c r="B463">
        <v>-1</v>
      </c>
      <c r="C463">
        <v>-1</v>
      </c>
      <c r="D463">
        <v>1.9000000000000001E-8</v>
      </c>
      <c r="E463">
        <v>1.6000000000000001E-8</v>
      </c>
      <c r="F463">
        <v>2.1999999999999998E-8</v>
      </c>
      <c r="G463">
        <v>1.7999999999999999E-8</v>
      </c>
    </row>
    <row r="464" spans="1:7" x14ac:dyDescent="0.25">
      <c r="A464" t="s">
        <v>1016</v>
      </c>
      <c r="B464">
        <v>-1</v>
      </c>
      <c r="C464">
        <v>-1</v>
      </c>
      <c r="D464">
        <v>1.5000000000000001E-12</v>
      </c>
      <c r="E464">
        <v>2.4999999999999998E-12</v>
      </c>
      <c r="F464">
        <v>1.6E-12</v>
      </c>
      <c r="G464">
        <v>2.5999999999999998E-12</v>
      </c>
    </row>
    <row r="465" spans="1:7" x14ac:dyDescent="0.25">
      <c r="A465" t="s">
        <v>132</v>
      </c>
      <c r="B465">
        <v>-1</v>
      </c>
      <c r="C465">
        <v>-1</v>
      </c>
      <c r="D465">
        <v>1.8E-5</v>
      </c>
      <c r="E465">
        <v>1.2999999999999999E-5</v>
      </c>
      <c r="F465">
        <v>9.5999999999999996E-6</v>
      </c>
      <c r="G465">
        <v>7.4000000000000003E-6</v>
      </c>
    </row>
    <row r="466" spans="1:7" x14ac:dyDescent="0.25">
      <c r="A466" t="s">
        <v>1017</v>
      </c>
      <c r="B466">
        <v>-1</v>
      </c>
      <c r="C466">
        <v>-1</v>
      </c>
      <c r="D466">
        <v>3.3E-10</v>
      </c>
      <c r="E466">
        <v>2.8999999999999998E-10</v>
      </c>
      <c r="F466">
        <v>3.6E-10</v>
      </c>
      <c r="G466">
        <v>3E-10</v>
      </c>
    </row>
    <row r="467" spans="1:7" x14ac:dyDescent="0.25">
      <c r="A467" t="s">
        <v>97</v>
      </c>
      <c r="B467">
        <v>-1</v>
      </c>
      <c r="C467">
        <v>-1</v>
      </c>
      <c r="D467">
        <v>4.3000000000000002E-5</v>
      </c>
      <c r="E467">
        <v>3.0000000000000001E-5</v>
      </c>
      <c r="F467">
        <v>1.5E-5</v>
      </c>
      <c r="G467">
        <v>1.1E-5</v>
      </c>
    </row>
    <row r="468" spans="1:7" x14ac:dyDescent="0.25">
      <c r="A468" t="s">
        <v>99</v>
      </c>
      <c r="B468">
        <v>-1</v>
      </c>
      <c r="C468">
        <v>-1</v>
      </c>
      <c r="D468">
        <v>4.6999999999999997E-5</v>
      </c>
      <c r="E468">
        <v>3.1999999999999999E-5</v>
      </c>
      <c r="F468">
        <v>1.5E-5</v>
      </c>
      <c r="G468">
        <v>8.3000000000000002E-6</v>
      </c>
    </row>
    <row r="469" spans="1:7" x14ac:dyDescent="0.25">
      <c r="A469" t="s">
        <v>101</v>
      </c>
      <c r="B469">
        <v>-1</v>
      </c>
      <c r="C469">
        <v>-1</v>
      </c>
      <c r="D469">
        <v>4.6999999999999997E-5</v>
      </c>
      <c r="E469">
        <v>3.1999999999999999E-5</v>
      </c>
      <c r="F469">
        <v>1.5E-5</v>
      </c>
      <c r="G469">
        <v>8.3000000000000002E-6</v>
      </c>
    </row>
    <row r="470" spans="1:7" x14ac:dyDescent="0.25">
      <c r="A470" t="s">
        <v>103</v>
      </c>
      <c r="B470">
        <v>-1</v>
      </c>
      <c r="C470">
        <v>-1</v>
      </c>
      <c r="D470">
        <v>8.5000000000000001E-7</v>
      </c>
      <c r="E470">
        <v>5.7999999999999995E-7</v>
      </c>
      <c r="F470">
        <v>1.6E-7</v>
      </c>
      <c r="G470">
        <v>8.3999999999999998E-8</v>
      </c>
    </row>
    <row r="471" spans="1:7" x14ac:dyDescent="0.25">
      <c r="A471" t="s">
        <v>133</v>
      </c>
      <c r="B471">
        <v>-1</v>
      </c>
      <c r="C471">
        <v>-1</v>
      </c>
      <c r="D471">
        <v>4.3999999999999999E-5</v>
      </c>
      <c r="E471">
        <v>3.1000000000000001E-5</v>
      </c>
      <c r="F471">
        <v>1.4E-5</v>
      </c>
      <c r="G471">
        <v>7.7000000000000008E-6</v>
      </c>
    </row>
    <row r="472" spans="1:7" x14ac:dyDescent="0.25">
      <c r="A472" t="s">
        <v>1018</v>
      </c>
      <c r="B472">
        <v>-1</v>
      </c>
      <c r="C472">
        <v>-1</v>
      </c>
      <c r="D472">
        <v>8.2000000000000001E-11</v>
      </c>
      <c r="E472">
        <v>1.0999999999999999E-10</v>
      </c>
      <c r="F472">
        <v>8.5000000000000004E-11</v>
      </c>
      <c r="G472">
        <v>1.0999999999999999E-10</v>
      </c>
    </row>
    <row r="473" spans="1:7" x14ac:dyDescent="0.25">
      <c r="A473" t="s">
        <v>1019</v>
      </c>
      <c r="B473">
        <v>-1</v>
      </c>
      <c r="C473">
        <v>-1</v>
      </c>
      <c r="D473">
        <v>4.3999999999999999E-5</v>
      </c>
      <c r="E473">
        <v>3.0000000000000001E-5</v>
      </c>
      <c r="F473">
        <v>1.2999999999999999E-5</v>
      </c>
      <c r="G473">
        <v>7.4000000000000003E-6</v>
      </c>
    </row>
    <row r="474" spans="1:7" x14ac:dyDescent="0.25">
      <c r="A474" t="s">
        <v>1020</v>
      </c>
      <c r="B474">
        <v>-1</v>
      </c>
      <c r="C474">
        <v>-1</v>
      </c>
      <c r="D474">
        <v>4.5E-10</v>
      </c>
      <c r="E474">
        <v>6.0999999999999996E-10</v>
      </c>
      <c r="F474">
        <v>4.8E-10</v>
      </c>
      <c r="G474">
        <v>6.5000000000000003E-10</v>
      </c>
    </row>
    <row r="475" spans="1:7" x14ac:dyDescent="0.25">
      <c r="A475" t="s">
        <v>1021</v>
      </c>
      <c r="B475">
        <v>-1</v>
      </c>
      <c r="C475">
        <v>-1</v>
      </c>
      <c r="D475">
        <v>6.9999999999999998E-9</v>
      </c>
      <c r="E475">
        <v>6.5000000000000003E-9</v>
      </c>
      <c r="F475">
        <v>7.6000000000000002E-9</v>
      </c>
      <c r="G475">
        <v>6.9999999999999998E-9</v>
      </c>
    </row>
    <row r="476" spans="1:7" x14ac:dyDescent="0.25">
      <c r="A476" t="s">
        <v>71</v>
      </c>
      <c r="B476">
        <v>-1</v>
      </c>
      <c r="C476">
        <v>-1</v>
      </c>
      <c r="D476">
        <v>6.9E-6</v>
      </c>
      <c r="E476">
        <v>5.6999999999999996E-6</v>
      </c>
      <c r="F476">
        <v>-1</v>
      </c>
      <c r="G476">
        <v>-1</v>
      </c>
    </row>
    <row r="477" spans="1:7" x14ac:dyDescent="0.25">
      <c r="A477" t="s">
        <v>73</v>
      </c>
      <c r="B477">
        <v>-1</v>
      </c>
      <c r="C477">
        <v>-1</v>
      </c>
      <c r="D477">
        <v>2.9000000000000002E-6</v>
      </c>
      <c r="E477">
        <v>2.3999999999999999E-6</v>
      </c>
      <c r="F477">
        <v>-1</v>
      </c>
      <c r="G477">
        <v>-1</v>
      </c>
    </row>
    <row r="478" spans="1:7" x14ac:dyDescent="0.25">
      <c r="A478" t="s">
        <v>75</v>
      </c>
      <c r="B478">
        <v>-1</v>
      </c>
      <c r="C478">
        <v>-1</v>
      </c>
      <c r="D478">
        <v>5.8000000000000004E-6</v>
      </c>
      <c r="E478">
        <v>4.7999999999999998E-6</v>
      </c>
      <c r="F478">
        <v>-1</v>
      </c>
      <c r="G478">
        <v>-1</v>
      </c>
    </row>
    <row r="479" spans="1:7" x14ac:dyDescent="0.25">
      <c r="A479" t="s">
        <v>76</v>
      </c>
      <c r="B479">
        <v>-1</v>
      </c>
      <c r="C479">
        <v>-1</v>
      </c>
      <c r="D479">
        <v>3.1999999999999999E-6</v>
      </c>
      <c r="E479">
        <v>2.2000000000000001E-6</v>
      </c>
      <c r="F479">
        <v>-1</v>
      </c>
      <c r="G479">
        <v>-1</v>
      </c>
    </row>
    <row r="480" spans="1:7" x14ac:dyDescent="0.25">
      <c r="A480" t="s">
        <v>1022</v>
      </c>
      <c r="B480">
        <v>-1</v>
      </c>
      <c r="C480">
        <v>-1</v>
      </c>
      <c r="D480">
        <v>2.8000000000000002E-10</v>
      </c>
      <c r="E480">
        <v>2.1E-10</v>
      </c>
      <c r="F480">
        <v>-1</v>
      </c>
      <c r="G480">
        <v>-1</v>
      </c>
    </row>
    <row r="481" spans="1:7" x14ac:dyDescent="0.25">
      <c r="A481" t="s">
        <v>81</v>
      </c>
      <c r="B481">
        <v>-1</v>
      </c>
      <c r="C481">
        <v>-1</v>
      </c>
      <c r="D481">
        <v>2.6000000000000001E-6</v>
      </c>
      <c r="E481">
        <v>1.7E-6</v>
      </c>
      <c r="F481">
        <v>-1</v>
      </c>
      <c r="G481">
        <v>-1</v>
      </c>
    </row>
    <row r="482" spans="1:7" x14ac:dyDescent="0.25">
      <c r="A482" t="s">
        <v>1023</v>
      </c>
      <c r="B482">
        <v>1.6999999999999999E-11</v>
      </c>
      <c r="C482">
        <v>3E-11</v>
      </c>
      <c r="D482">
        <v>-1</v>
      </c>
      <c r="E482">
        <v>-1</v>
      </c>
      <c r="F482">
        <v>-1</v>
      </c>
      <c r="G482">
        <v>-1</v>
      </c>
    </row>
    <row r="483" spans="1:7" x14ac:dyDescent="0.25">
      <c r="A483" t="s">
        <v>1024</v>
      </c>
      <c r="B483">
        <v>3.7000000000000001E-11</v>
      </c>
      <c r="C483">
        <v>6.7999999999999998E-11</v>
      </c>
      <c r="D483">
        <v>-1</v>
      </c>
      <c r="E483">
        <v>-1</v>
      </c>
      <c r="F483">
        <v>-1</v>
      </c>
      <c r="G483">
        <v>-1</v>
      </c>
    </row>
    <row r="484" spans="1:7" x14ac:dyDescent="0.25">
      <c r="A484" t="s">
        <v>1025</v>
      </c>
      <c r="B484">
        <v>7.3E-12</v>
      </c>
      <c r="C484">
        <v>1.3E-11</v>
      </c>
      <c r="D484">
        <v>-1</v>
      </c>
      <c r="E484">
        <v>-1</v>
      </c>
      <c r="F484">
        <v>-1</v>
      </c>
      <c r="G484">
        <v>-1</v>
      </c>
    </row>
    <row r="485" spans="1:7" x14ac:dyDescent="0.25">
      <c r="A485" t="s">
        <v>1026</v>
      </c>
      <c r="B485">
        <v>1.2E-10</v>
      </c>
      <c r="C485">
        <v>2.1999999999999999E-10</v>
      </c>
      <c r="D485">
        <v>-1</v>
      </c>
      <c r="E485">
        <v>-1</v>
      </c>
      <c r="F485">
        <v>-1</v>
      </c>
      <c r="G485">
        <v>-1</v>
      </c>
    </row>
    <row r="486" spans="1:7" x14ac:dyDescent="0.25">
      <c r="A486" t="s">
        <v>1027</v>
      </c>
      <c r="B486">
        <v>7.1000000000000003E-10</v>
      </c>
      <c r="C486">
        <v>1.0000000000000001E-9</v>
      </c>
      <c r="D486">
        <v>-1</v>
      </c>
      <c r="E486">
        <v>-1</v>
      </c>
      <c r="F486">
        <v>-1</v>
      </c>
      <c r="G486">
        <v>-1</v>
      </c>
    </row>
    <row r="487" spans="1:7" x14ac:dyDescent="0.25">
      <c r="A487" t="s">
        <v>1028</v>
      </c>
      <c r="B487">
        <v>1.0999999999999999E-9</v>
      </c>
      <c r="C487">
        <v>1.5E-9</v>
      </c>
      <c r="D487">
        <v>-1</v>
      </c>
      <c r="E487">
        <v>-1</v>
      </c>
      <c r="F487">
        <v>-1</v>
      </c>
      <c r="G487">
        <v>-1</v>
      </c>
    </row>
    <row r="488" spans="1:7" x14ac:dyDescent="0.25">
      <c r="A488" t="s">
        <v>19</v>
      </c>
      <c r="B488">
        <v>9.5999999999999999E-10</v>
      </c>
      <c r="C488">
        <v>1.3000000000000001E-9</v>
      </c>
      <c r="D488">
        <v>-1</v>
      </c>
      <c r="E488">
        <v>-1</v>
      </c>
      <c r="F488">
        <v>-1</v>
      </c>
      <c r="G488">
        <v>-1</v>
      </c>
    </row>
    <row r="489" spans="1:7" x14ac:dyDescent="0.25">
      <c r="A489" t="s">
        <v>1029</v>
      </c>
      <c r="B489">
        <v>5.1E-10</v>
      </c>
      <c r="C489">
        <v>7.5999999999999996E-10</v>
      </c>
      <c r="D489">
        <v>-1</v>
      </c>
      <c r="E489">
        <v>-1</v>
      </c>
      <c r="F489">
        <v>-1</v>
      </c>
      <c r="G489">
        <v>-1</v>
      </c>
    </row>
    <row r="490" spans="1:7" x14ac:dyDescent="0.25">
      <c r="A490" t="s">
        <v>1030</v>
      </c>
      <c r="B490">
        <v>1.6999999999999999E-11</v>
      </c>
      <c r="C490">
        <v>2.8E-11</v>
      </c>
      <c r="D490">
        <v>-1</v>
      </c>
      <c r="E490">
        <v>-1</v>
      </c>
      <c r="F490">
        <v>-1</v>
      </c>
      <c r="G490">
        <v>-1</v>
      </c>
    </row>
    <row r="491" spans="1:7" x14ac:dyDescent="0.25">
      <c r="A491" t="s">
        <v>1031</v>
      </c>
      <c r="B491">
        <v>1.4E-11</v>
      </c>
      <c r="C491">
        <v>2.5000000000000001E-11</v>
      </c>
      <c r="D491">
        <v>-1</v>
      </c>
      <c r="E491">
        <v>-1</v>
      </c>
      <c r="F491">
        <v>-1</v>
      </c>
      <c r="G491">
        <v>-1</v>
      </c>
    </row>
    <row r="492" spans="1:7" x14ac:dyDescent="0.25">
      <c r="A492" t="s">
        <v>1032</v>
      </c>
      <c r="B492">
        <v>9.9999999999999994E-12</v>
      </c>
      <c r="C492">
        <v>1.6999999999999999E-11</v>
      </c>
      <c r="D492">
        <v>1.4E-11</v>
      </c>
      <c r="E492">
        <v>2.2000000000000002E-11</v>
      </c>
      <c r="F492">
        <v>-1</v>
      </c>
      <c r="G492">
        <v>-1</v>
      </c>
    </row>
    <row r="493" spans="1:7" x14ac:dyDescent="0.25">
      <c r="A493" t="s">
        <v>1033</v>
      </c>
      <c r="B493">
        <v>1.1000000000000001E-11</v>
      </c>
      <c r="C493">
        <v>1.7999999999999999E-11</v>
      </c>
      <c r="D493">
        <v>1.5E-11</v>
      </c>
      <c r="E493">
        <v>2.4000000000000001E-11</v>
      </c>
      <c r="F493">
        <v>-1</v>
      </c>
      <c r="G493">
        <v>-1</v>
      </c>
    </row>
    <row r="494" spans="1:7" x14ac:dyDescent="0.25">
      <c r="A494" t="s">
        <v>1034</v>
      </c>
      <c r="B494">
        <v>1.8999999999999999E-10</v>
      </c>
      <c r="C494">
        <v>3E-10</v>
      </c>
      <c r="D494">
        <v>2.5000000000000002E-10</v>
      </c>
      <c r="E494">
        <v>3.7000000000000001E-10</v>
      </c>
      <c r="F494">
        <v>-1</v>
      </c>
      <c r="G494">
        <v>-1</v>
      </c>
    </row>
    <row r="495" spans="1:7" x14ac:dyDescent="0.25">
      <c r="A495" t="s">
        <v>1035</v>
      </c>
      <c r="B495">
        <v>6.8000000000000003E-10</v>
      </c>
      <c r="C495">
        <v>1.0999999999999999E-9</v>
      </c>
      <c r="D495">
        <v>1.3000000000000001E-9</v>
      </c>
      <c r="E495">
        <v>1.6999999999999999E-9</v>
      </c>
      <c r="F495">
        <v>-1</v>
      </c>
      <c r="G495">
        <v>-1</v>
      </c>
    </row>
    <row r="496" spans="1:7" x14ac:dyDescent="0.25">
      <c r="A496" t="s">
        <v>1036</v>
      </c>
      <c r="B496">
        <v>1.5E-10</v>
      </c>
      <c r="C496">
        <v>2.4E-10</v>
      </c>
      <c r="D496">
        <v>2.0000000000000001E-10</v>
      </c>
      <c r="E496">
        <v>3E-10</v>
      </c>
      <c r="F496">
        <v>-1</v>
      </c>
      <c r="G496">
        <v>-1</v>
      </c>
    </row>
    <row r="497" spans="1:7" x14ac:dyDescent="0.25">
      <c r="A497" t="s">
        <v>1037</v>
      </c>
      <c r="B497">
        <v>4.6000000000000001E-10</v>
      </c>
      <c r="C497">
        <v>6.9999999999999996E-10</v>
      </c>
      <c r="D497">
        <v>1.8E-9</v>
      </c>
      <c r="E497">
        <v>1.8E-9</v>
      </c>
      <c r="F497">
        <v>-1</v>
      </c>
      <c r="G497">
        <v>-1</v>
      </c>
    </row>
    <row r="498" spans="1:7" x14ac:dyDescent="0.25">
      <c r="A498" t="s">
        <v>1038</v>
      </c>
      <c r="B498">
        <v>6.0999999999999996E-10</v>
      </c>
      <c r="C498">
        <v>8.7999999999999996E-10</v>
      </c>
      <c r="D498">
        <v>6.1E-9</v>
      </c>
      <c r="E498">
        <v>4.8E-9</v>
      </c>
      <c r="F498">
        <v>-1</v>
      </c>
      <c r="G498">
        <v>-1</v>
      </c>
    </row>
    <row r="499" spans="1:7" x14ac:dyDescent="0.25">
      <c r="A499" t="s">
        <v>1039</v>
      </c>
      <c r="B499">
        <v>5.3000000000000003E-10</v>
      </c>
      <c r="C499">
        <v>7.2999999999999996E-10</v>
      </c>
      <c r="D499">
        <v>1.0999999999999999E-9</v>
      </c>
      <c r="E499">
        <v>1.2E-9</v>
      </c>
      <c r="F499">
        <v>-1</v>
      </c>
      <c r="G499">
        <v>-1</v>
      </c>
    </row>
    <row r="500" spans="1:7" x14ac:dyDescent="0.25">
      <c r="A500" t="s">
        <v>1040</v>
      </c>
      <c r="B500">
        <v>8.4999999999999996E-10</v>
      </c>
      <c r="C500">
        <v>1.2E-9</v>
      </c>
      <c r="D500">
        <v>1.0999999999999999E-8</v>
      </c>
      <c r="E500">
        <v>7.8999999999999996E-9</v>
      </c>
      <c r="F500">
        <v>-1</v>
      </c>
      <c r="G500">
        <v>-1</v>
      </c>
    </row>
    <row r="501" spans="1:7" x14ac:dyDescent="0.25">
      <c r="A501" t="s">
        <v>1041</v>
      </c>
      <c r="B501">
        <v>1.9E-12</v>
      </c>
      <c r="C501">
        <v>2.5999999999999998E-12</v>
      </c>
      <c r="D501">
        <v>6.0000000000000003E-12</v>
      </c>
      <c r="E501">
        <v>4.5999999999999998E-12</v>
      </c>
      <c r="F501">
        <v>-1</v>
      </c>
      <c r="G501">
        <v>-1</v>
      </c>
    </row>
    <row r="502" spans="1:7" x14ac:dyDescent="0.25">
      <c r="A502" t="s">
        <v>1042</v>
      </c>
      <c r="B502">
        <v>4.7000000000000003E-10</v>
      </c>
      <c r="C502">
        <v>6.6E-10</v>
      </c>
      <c r="D502">
        <v>5.4999999999999996E-10</v>
      </c>
      <c r="E502">
        <v>7.4000000000000003E-10</v>
      </c>
      <c r="F502">
        <v>-1</v>
      </c>
      <c r="G502">
        <v>-1</v>
      </c>
    </row>
    <row r="503" spans="1:7" x14ac:dyDescent="0.25">
      <c r="A503" t="s">
        <v>1043</v>
      </c>
      <c r="B503">
        <v>9.9999999999999994E-12</v>
      </c>
      <c r="C503">
        <v>1.6E-11</v>
      </c>
      <c r="D503">
        <v>1.4E-11</v>
      </c>
      <c r="E503">
        <v>1.9999999999999999E-11</v>
      </c>
      <c r="F503">
        <v>-1</v>
      </c>
      <c r="G503">
        <v>-1</v>
      </c>
    </row>
    <row r="504" spans="1:7" x14ac:dyDescent="0.25">
      <c r="A504" t="s">
        <v>1044</v>
      </c>
      <c r="B504">
        <v>2.7E-10</v>
      </c>
      <c r="C504">
        <v>4.3000000000000001E-10</v>
      </c>
      <c r="D504">
        <v>4.3000000000000001E-10</v>
      </c>
      <c r="E504">
        <v>6E-10</v>
      </c>
      <c r="F504">
        <v>-1</v>
      </c>
      <c r="G504">
        <v>-1</v>
      </c>
    </row>
    <row r="505" spans="1:7" x14ac:dyDescent="0.25">
      <c r="A505" t="s">
        <v>1045</v>
      </c>
      <c r="B505">
        <v>2.8000000000000002E-10</v>
      </c>
      <c r="C505">
        <v>5.1E-10</v>
      </c>
      <c r="D505">
        <v>3.6E-10</v>
      </c>
      <c r="E505">
        <v>6.2000000000000003E-10</v>
      </c>
      <c r="F505">
        <v>3.7000000000000001E-10</v>
      </c>
      <c r="G505">
        <v>6.3E-10</v>
      </c>
    </row>
    <row r="506" spans="1:7" x14ac:dyDescent="0.25">
      <c r="A506" t="s">
        <v>1046</v>
      </c>
      <c r="B506">
        <v>1.3999999999999999E-9</v>
      </c>
      <c r="C506">
        <v>1.6999999999999999E-9</v>
      </c>
      <c r="D506">
        <v>2.1999999999999998E-9</v>
      </c>
      <c r="E506">
        <v>1.6999999999999999E-9</v>
      </c>
      <c r="F506">
        <v>5.0000000000000001E-9</v>
      </c>
      <c r="G506">
        <v>3.1E-9</v>
      </c>
    </row>
    <row r="507" spans="1:7" x14ac:dyDescent="0.25">
      <c r="A507" t="s">
        <v>1047</v>
      </c>
      <c r="B507">
        <v>1E-10</v>
      </c>
      <c r="C507">
        <v>1.7000000000000001E-10</v>
      </c>
      <c r="D507">
        <v>2.0000000000000001E-10</v>
      </c>
      <c r="E507">
        <v>2.5000000000000002E-10</v>
      </c>
      <c r="F507">
        <v>2.1E-10</v>
      </c>
      <c r="G507">
        <v>2.7E-10</v>
      </c>
    </row>
    <row r="508" spans="1:7" x14ac:dyDescent="0.25">
      <c r="A508" t="s">
        <v>1048</v>
      </c>
      <c r="B508">
        <v>1.5E-9</v>
      </c>
      <c r="C508">
        <v>1.9000000000000001E-9</v>
      </c>
      <c r="D508">
        <v>3.8000000000000001E-9</v>
      </c>
      <c r="E508">
        <v>2.7000000000000002E-9</v>
      </c>
      <c r="F508">
        <v>6.6999999999999996E-9</v>
      </c>
      <c r="G508">
        <v>4.2000000000000004E-9</v>
      </c>
    </row>
    <row r="509" spans="1:7" x14ac:dyDescent="0.25">
      <c r="A509" t="s">
        <v>1049</v>
      </c>
      <c r="B509">
        <v>7.3E-9</v>
      </c>
      <c r="C509">
        <v>8.9000000000000003E-9</v>
      </c>
      <c r="D509">
        <v>6.5000000000000003E-9</v>
      </c>
      <c r="E509">
        <v>5.0000000000000001E-9</v>
      </c>
      <c r="F509">
        <v>1.6000000000000001E-8</v>
      </c>
      <c r="G509">
        <v>8.9999999999999995E-9</v>
      </c>
    </row>
    <row r="510" spans="1:7" x14ac:dyDescent="0.25">
      <c r="A510" t="s">
        <v>1050</v>
      </c>
      <c r="B510">
        <v>8.5999999999999997E-13</v>
      </c>
      <c r="C510">
        <v>1.1999999999999999E-12</v>
      </c>
      <c r="D510">
        <v>2.2999999999999999E-12</v>
      </c>
      <c r="E510">
        <v>2.3999999999999999E-12</v>
      </c>
      <c r="F510">
        <v>2.4999999999999998E-12</v>
      </c>
      <c r="G510">
        <v>2.4999999999999998E-12</v>
      </c>
    </row>
    <row r="511" spans="1:7" x14ac:dyDescent="0.25">
      <c r="A511" t="s">
        <v>1051</v>
      </c>
      <c r="B511">
        <v>8.6999999999999997E-11</v>
      </c>
      <c r="C511">
        <v>1.5E-10</v>
      </c>
      <c r="D511">
        <v>3.1000000000000002E-10</v>
      </c>
      <c r="E511">
        <v>4.0999999999999998E-10</v>
      </c>
      <c r="F511">
        <v>3.4000000000000001E-10</v>
      </c>
      <c r="G511">
        <v>4.3999999999999998E-10</v>
      </c>
    </row>
    <row r="512" spans="1:7" x14ac:dyDescent="0.25">
      <c r="A512" t="s">
        <v>1052</v>
      </c>
      <c r="B512">
        <v>7.0000000000000004E-11</v>
      </c>
      <c r="C512">
        <v>1.2999999999999999E-10</v>
      </c>
      <c r="D512">
        <v>1.0999999999999999E-10</v>
      </c>
      <c r="E512">
        <v>1.8E-10</v>
      </c>
      <c r="F512">
        <v>1.2E-10</v>
      </c>
      <c r="G512">
        <v>1.8999999999999999E-10</v>
      </c>
    </row>
    <row r="513" spans="1:7" x14ac:dyDescent="0.25">
      <c r="A513" t="s">
        <v>1053</v>
      </c>
      <c r="B513">
        <v>9.5999999999999995E-12</v>
      </c>
      <c r="C513">
        <v>1.6E-11</v>
      </c>
      <c r="D513">
        <v>1.6999999999999999E-11</v>
      </c>
      <c r="E513">
        <v>2.7E-11</v>
      </c>
      <c r="F513">
        <v>1.6999999999999999E-11</v>
      </c>
      <c r="G513">
        <v>2.8E-11</v>
      </c>
    </row>
    <row r="514" spans="1:7" x14ac:dyDescent="0.25">
      <c r="A514" t="s">
        <v>24</v>
      </c>
      <c r="B514">
        <v>3.3E-10</v>
      </c>
      <c r="C514">
        <v>4.8999999999999996E-10</v>
      </c>
      <c r="D514">
        <v>7.2999999999999996E-10</v>
      </c>
      <c r="E514">
        <v>8.1999999999999996E-10</v>
      </c>
      <c r="F514">
        <v>8.3000000000000003E-10</v>
      </c>
      <c r="G514">
        <v>8.9000000000000003E-10</v>
      </c>
    </row>
    <row r="515" spans="1:7" x14ac:dyDescent="0.25">
      <c r="A515" t="s">
        <v>1054</v>
      </c>
      <c r="B515">
        <v>3E-11</v>
      </c>
      <c r="C515">
        <v>5.6999999999999997E-11</v>
      </c>
      <c r="D515">
        <v>4.1000000000000001E-11</v>
      </c>
      <c r="E515">
        <v>7.1999999999999997E-11</v>
      </c>
      <c r="F515">
        <v>4.3E-11</v>
      </c>
      <c r="G515">
        <v>7.3000000000000006E-11</v>
      </c>
    </row>
    <row r="516" spans="1:7" x14ac:dyDescent="0.25">
      <c r="A516" t="s">
        <v>1055</v>
      </c>
      <c r="B516">
        <v>4.8999999999999996E-10</v>
      </c>
      <c r="C516">
        <v>6.8000000000000003E-10</v>
      </c>
      <c r="D516">
        <v>2.2999999999999999E-9</v>
      </c>
      <c r="E516">
        <v>1.9000000000000001E-9</v>
      </c>
      <c r="F516">
        <v>2.7999999999999998E-9</v>
      </c>
      <c r="G516">
        <v>2.1999999999999998E-9</v>
      </c>
    </row>
    <row r="517" spans="1:7" x14ac:dyDescent="0.25">
      <c r="A517" t="s">
        <v>1056</v>
      </c>
      <c r="B517">
        <v>7.1E-11</v>
      </c>
      <c r="C517">
        <v>1.2999999999999999E-10</v>
      </c>
      <c r="D517">
        <v>1.7000000000000001E-10</v>
      </c>
      <c r="E517">
        <v>2.4E-10</v>
      </c>
      <c r="F517">
        <v>1.8E-10</v>
      </c>
      <c r="G517">
        <v>2.5000000000000002E-10</v>
      </c>
    </row>
    <row r="518" spans="1:7" x14ac:dyDescent="0.25">
      <c r="A518" t="s">
        <v>112</v>
      </c>
      <c r="B518">
        <v>8.0000000000000005E-9</v>
      </c>
      <c r="C518">
        <v>9.8000000000000001E-9</v>
      </c>
      <c r="D518">
        <v>2.6000000000000001E-8</v>
      </c>
      <c r="E518">
        <v>1.7E-8</v>
      </c>
      <c r="F518">
        <v>6.1999999999999999E-8</v>
      </c>
      <c r="G518">
        <v>3.5000000000000002E-8</v>
      </c>
    </row>
    <row r="519" spans="1:7" x14ac:dyDescent="0.25">
      <c r="A519" t="s">
        <v>1057</v>
      </c>
      <c r="B519">
        <v>2.7E-11</v>
      </c>
      <c r="C519">
        <v>4.8999999999999999E-11</v>
      </c>
      <c r="D519">
        <v>4.4000000000000003E-11</v>
      </c>
      <c r="E519">
        <v>7.1999999999999997E-11</v>
      </c>
      <c r="F519">
        <v>4.6000000000000003E-11</v>
      </c>
      <c r="G519">
        <v>7.4000000000000003E-11</v>
      </c>
    </row>
    <row r="520" spans="1:7" x14ac:dyDescent="0.25">
      <c r="A520" t="s">
        <v>1058</v>
      </c>
      <c r="B520">
        <v>6.7000000000000001E-11</v>
      </c>
      <c r="C520">
        <v>1.2E-10</v>
      </c>
      <c r="D520">
        <v>1.0999999999999999E-10</v>
      </c>
      <c r="E520">
        <v>1.5999999999999999E-10</v>
      </c>
      <c r="F520">
        <v>1.0999999999999999E-10</v>
      </c>
      <c r="G520">
        <v>1.5999999999999999E-10</v>
      </c>
    </row>
    <row r="521" spans="1:7" x14ac:dyDescent="0.25">
      <c r="A521" t="s">
        <v>6</v>
      </c>
      <c r="B521">
        <v>5.2999999999999998E-11</v>
      </c>
      <c r="C521">
        <v>7.9999999999999995E-11</v>
      </c>
      <c r="D521">
        <v>1.3000000000000001E-9</v>
      </c>
      <c r="E521">
        <v>1.0999999999999999E-9</v>
      </c>
      <c r="F521">
        <v>-1</v>
      </c>
      <c r="G521">
        <v>-1</v>
      </c>
    </row>
    <row r="522" spans="1:7" x14ac:dyDescent="0.25">
      <c r="A522" t="s">
        <v>1059</v>
      </c>
      <c r="B522">
        <v>9.1999999999999996E-12</v>
      </c>
      <c r="C522">
        <v>1.6999999999999999E-11</v>
      </c>
      <c r="D522">
        <v>1.4E-11</v>
      </c>
      <c r="E522">
        <v>2.3000000000000001E-11</v>
      </c>
      <c r="F522">
        <v>-1</v>
      </c>
      <c r="G522">
        <v>-1</v>
      </c>
    </row>
    <row r="523" spans="1:7" x14ac:dyDescent="0.25">
      <c r="A523" t="s">
        <v>1060</v>
      </c>
      <c r="B523">
        <v>9.8999999999999994E-12</v>
      </c>
      <c r="C523">
        <v>1.7999999999999999E-11</v>
      </c>
      <c r="D523">
        <v>1.4E-11</v>
      </c>
      <c r="E523">
        <v>2.3000000000000001E-11</v>
      </c>
      <c r="F523">
        <v>-1</v>
      </c>
      <c r="G523">
        <v>-1</v>
      </c>
    </row>
    <row r="524" spans="1:7" x14ac:dyDescent="0.25">
      <c r="A524" t="s">
        <v>1061</v>
      </c>
      <c r="B524">
        <v>3.5000000000000002E-11</v>
      </c>
      <c r="C524">
        <v>6.3999999999999999E-11</v>
      </c>
      <c r="D524">
        <v>5.0000000000000002E-11</v>
      </c>
      <c r="E524">
        <v>8.5000000000000004E-11</v>
      </c>
      <c r="F524">
        <v>-1</v>
      </c>
      <c r="G524">
        <v>-1</v>
      </c>
    </row>
    <row r="525" spans="1:7" x14ac:dyDescent="0.25">
      <c r="A525" t="s">
        <v>1062</v>
      </c>
      <c r="B525">
        <v>9.2999999999999996E-12</v>
      </c>
      <c r="C525">
        <v>1.6999999999999999E-11</v>
      </c>
      <c r="D525">
        <v>1.6999999999999999E-11</v>
      </c>
      <c r="E525">
        <v>2.7E-11</v>
      </c>
      <c r="F525">
        <v>-1</v>
      </c>
      <c r="G525">
        <v>-1</v>
      </c>
    </row>
    <row r="526" spans="1:7" x14ac:dyDescent="0.25">
      <c r="A526" t="s">
        <v>1063</v>
      </c>
      <c r="B526">
        <v>1E-10</v>
      </c>
      <c r="C526">
        <v>1.8999999999999999E-10</v>
      </c>
      <c r="D526">
        <v>1.2999999999999999E-10</v>
      </c>
      <c r="E526">
        <v>2.3000000000000001E-10</v>
      </c>
      <c r="F526">
        <v>-1</v>
      </c>
      <c r="G526">
        <v>-1</v>
      </c>
    </row>
    <row r="527" spans="1:7" x14ac:dyDescent="0.25">
      <c r="A527" t="s">
        <v>1064</v>
      </c>
      <c r="B527">
        <v>2.5000000000000001E-11</v>
      </c>
      <c r="C527">
        <v>4.5E-11</v>
      </c>
      <c r="D527">
        <v>3.7000000000000001E-11</v>
      </c>
      <c r="E527">
        <v>5.9000000000000003E-11</v>
      </c>
      <c r="F527">
        <v>-1</v>
      </c>
      <c r="G527">
        <v>-1</v>
      </c>
    </row>
    <row r="528" spans="1:7" x14ac:dyDescent="0.25">
      <c r="A528" t="s">
        <v>1065</v>
      </c>
      <c r="B528">
        <v>4.8999999999999997E-12</v>
      </c>
      <c r="C528">
        <v>8.4999999999999997E-12</v>
      </c>
      <c r="D528">
        <v>7.4E-12</v>
      </c>
      <c r="E528">
        <v>1.2000000000000001E-11</v>
      </c>
      <c r="F528">
        <v>-1</v>
      </c>
      <c r="G528">
        <v>-1</v>
      </c>
    </row>
    <row r="529" spans="1:7" x14ac:dyDescent="0.25">
      <c r="A529" t="s">
        <v>1066</v>
      </c>
      <c r="B529">
        <v>5.9000000000000003E-10</v>
      </c>
      <c r="C529">
        <v>9.7999999999999992E-10</v>
      </c>
      <c r="D529">
        <v>1.0000000000000001E-9</v>
      </c>
      <c r="E529">
        <v>1.3000000000000001E-9</v>
      </c>
      <c r="F529">
        <v>-1</v>
      </c>
      <c r="G529">
        <v>-1</v>
      </c>
    </row>
    <row r="530" spans="1:7" x14ac:dyDescent="0.25">
      <c r="A530" t="s">
        <v>1067</v>
      </c>
      <c r="B530">
        <v>3.9E-10</v>
      </c>
      <c r="C530">
        <v>6.3E-10</v>
      </c>
      <c r="D530">
        <v>1.0000000000000001E-9</v>
      </c>
      <c r="E530">
        <v>1.2E-9</v>
      </c>
      <c r="F530">
        <v>-1</v>
      </c>
      <c r="G530">
        <v>-1</v>
      </c>
    </row>
    <row r="531" spans="1:7" x14ac:dyDescent="0.25">
      <c r="A531" t="s">
        <v>1068</v>
      </c>
      <c r="B531">
        <v>1.3000000000000001E-9</v>
      </c>
      <c r="C531">
        <v>1.9000000000000001E-9</v>
      </c>
      <c r="D531">
        <v>6.1E-9</v>
      </c>
      <c r="E531">
        <v>4.6999999999999999E-9</v>
      </c>
      <c r="F531">
        <v>-1</v>
      </c>
      <c r="G531">
        <v>-1</v>
      </c>
    </row>
    <row r="532" spans="1:7" x14ac:dyDescent="0.25">
      <c r="A532" t="s">
        <v>1069</v>
      </c>
      <c r="B532">
        <v>3.0000000000000001E-12</v>
      </c>
      <c r="C532">
        <v>5.2999999999999996E-12</v>
      </c>
      <c r="D532">
        <v>5.5000000000000004E-12</v>
      </c>
      <c r="E532">
        <v>8.2999999999999998E-12</v>
      </c>
      <c r="F532">
        <v>-1</v>
      </c>
      <c r="G532">
        <v>-1</v>
      </c>
    </row>
    <row r="533" spans="1:7" x14ac:dyDescent="0.25">
      <c r="A533" t="s">
        <v>117</v>
      </c>
      <c r="B533">
        <v>1.3999999999999999E-9</v>
      </c>
      <c r="C533">
        <v>1.6999999999999999E-9</v>
      </c>
      <c r="D533">
        <v>4.4999999999999998E-9</v>
      </c>
      <c r="E533">
        <v>3.3000000000000002E-9</v>
      </c>
      <c r="F533">
        <v>-1</v>
      </c>
      <c r="G533">
        <v>-1</v>
      </c>
    </row>
    <row r="534" spans="1:7" x14ac:dyDescent="0.25">
      <c r="A534" t="s">
        <v>121</v>
      </c>
      <c r="B534">
        <v>1.0999999999999999E-9</v>
      </c>
      <c r="C534">
        <v>1.6999999999999999E-9</v>
      </c>
      <c r="D534">
        <v>2.7000000000000002E-9</v>
      </c>
      <c r="E534">
        <v>3.2000000000000001E-9</v>
      </c>
      <c r="F534">
        <v>-1</v>
      </c>
      <c r="G534">
        <v>-1</v>
      </c>
    </row>
    <row r="535" spans="1:7" x14ac:dyDescent="0.25">
      <c r="A535" t="s">
        <v>120</v>
      </c>
      <c r="B535">
        <v>1.3E-11</v>
      </c>
      <c r="C535">
        <v>2.3000000000000001E-11</v>
      </c>
      <c r="D535">
        <v>1.9999999999999999E-11</v>
      </c>
      <c r="E535">
        <v>3.3000000000000002E-11</v>
      </c>
      <c r="F535">
        <v>-1</v>
      </c>
      <c r="G535">
        <v>-1</v>
      </c>
    </row>
    <row r="536" spans="1:7" x14ac:dyDescent="0.25">
      <c r="A536" t="s">
        <v>1070</v>
      </c>
      <c r="B536">
        <v>4.6000000000000001E-10</v>
      </c>
      <c r="C536">
        <v>7.4000000000000003E-10</v>
      </c>
      <c r="D536">
        <v>1.6000000000000001E-9</v>
      </c>
      <c r="E536">
        <v>1.6999999999999999E-9</v>
      </c>
      <c r="F536">
        <v>-1</v>
      </c>
      <c r="G536">
        <v>-1</v>
      </c>
    </row>
    <row r="537" spans="1:7" x14ac:dyDescent="0.25">
      <c r="A537" t="s">
        <v>1071</v>
      </c>
      <c r="B537">
        <v>2.5000000000000002E-10</v>
      </c>
      <c r="C537">
        <v>4.6000000000000001E-10</v>
      </c>
      <c r="D537">
        <v>4.2E-10</v>
      </c>
      <c r="E537">
        <v>6.6999999999999996E-10</v>
      </c>
      <c r="F537">
        <v>-1</v>
      </c>
      <c r="G537">
        <v>-1</v>
      </c>
    </row>
    <row r="538" spans="1:7" x14ac:dyDescent="0.25">
      <c r="A538" t="s">
        <v>1072</v>
      </c>
      <c r="B538">
        <v>1.1000000000000001E-11</v>
      </c>
      <c r="C538">
        <v>1.8999999999999999E-11</v>
      </c>
      <c r="D538">
        <v>1.5E-11</v>
      </c>
      <c r="E538">
        <v>2.6000000000000001E-11</v>
      </c>
      <c r="F538">
        <v>-1</v>
      </c>
      <c r="G538">
        <v>-1</v>
      </c>
    </row>
    <row r="539" spans="1:7" x14ac:dyDescent="0.25">
      <c r="A539" t="s">
        <v>1073</v>
      </c>
      <c r="B539">
        <v>1.0999999999999999E-10</v>
      </c>
      <c r="C539">
        <v>2.0000000000000001E-10</v>
      </c>
      <c r="D539">
        <v>2.4E-10</v>
      </c>
      <c r="E539">
        <v>3.4999999999999998E-10</v>
      </c>
      <c r="F539">
        <v>-1</v>
      </c>
      <c r="G539">
        <v>-1</v>
      </c>
    </row>
    <row r="540" spans="1:7" x14ac:dyDescent="0.25">
      <c r="A540" t="s">
        <v>1074</v>
      </c>
      <c r="B540">
        <v>3.5000000000000002E-11</v>
      </c>
      <c r="C540">
        <v>6.3000000000000002E-11</v>
      </c>
      <c r="D540">
        <v>5.4000000000000001E-11</v>
      </c>
      <c r="E540">
        <v>9.0999999999999996E-11</v>
      </c>
      <c r="F540">
        <v>-1</v>
      </c>
      <c r="G540">
        <v>-1</v>
      </c>
    </row>
    <row r="541" spans="1:7" x14ac:dyDescent="0.25">
      <c r="A541" t="s">
        <v>1075</v>
      </c>
      <c r="B541">
        <v>3.7000000000000001E-11</v>
      </c>
      <c r="C541">
        <v>5.9000000000000003E-11</v>
      </c>
      <c r="D541">
        <v>5.2000000000000001E-11</v>
      </c>
      <c r="E541">
        <v>8.2999999999999998E-11</v>
      </c>
      <c r="F541">
        <v>-1</v>
      </c>
      <c r="G541">
        <v>-1</v>
      </c>
    </row>
    <row r="542" spans="1:7" x14ac:dyDescent="0.25">
      <c r="A542" t="s">
        <v>1076</v>
      </c>
      <c r="B542">
        <v>-1</v>
      </c>
      <c r="C542">
        <v>-1</v>
      </c>
      <c r="D542">
        <v>-1</v>
      </c>
      <c r="E542">
        <v>-1</v>
      </c>
      <c r="F542">
        <v>1.2E-10</v>
      </c>
      <c r="G542">
        <v>1.8E-10</v>
      </c>
    </row>
    <row r="543" spans="1:7" x14ac:dyDescent="0.25">
      <c r="A543" t="s">
        <v>1077</v>
      </c>
      <c r="B543">
        <v>-1</v>
      </c>
      <c r="C543">
        <v>-1</v>
      </c>
      <c r="D543">
        <v>-1</v>
      </c>
      <c r="E543">
        <v>-1</v>
      </c>
      <c r="F543">
        <v>1.8999999999999999E-10</v>
      </c>
      <c r="G543">
        <v>3E-10</v>
      </c>
    </row>
    <row r="544" spans="1:7" x14ac:dyDescent="0.25">
      <c r="A544" t="s">
        <v>1078</v>
      </c>
      <c r="B544">
        <v>-1</v>
      </c>
      <c r="C544">
        <v>-1</v>
      </c>
      <c r="D544">
        <v>-1</v>
      </c>
      <c r="E544">
        <v>-1</v>
      </c>
      <c r="F544">
        <v>1.5E-9</v>
      </c>
      <c r="G544">
        <v>2.0000000000000001E-9</v>
      </c>
    </row>
    <row r="545" spans="1:7" x14ac:dyDescent="0.25">
      <c r="A545" t="s">
        <v>1079</v>
      </c>
      <c r="B545">
        <v>-1</v>
      </c>
      <c r="C545">
        <v>-1</v>
      </c>
      <c r="D545">
        <v>-1</v>
      </c>
      <c r="E545">
        <v>-1</v>
      </c>
      <c r="F545">
        <v>6.4000000000000002E-9</v>
      </c>
      <c r="G545">
        <v>4.8E-9</v>
      </c>
    </row>
    <row r="546" spans="1:7" x14ac:dyDescent="0.25">
      <c r="A546" t="s">
        <v>1080</v>
      </c>
      <c r="B546">
        <v>-1</v>
      </c>
      <c r="C546">
        <v>-1</v>
      </c>
      <c r="D546">
        <v>-1</v>
      </c>
      <c r="E546">
        <v>-1</v>
      </c>
      <c r="F546">
        <v>6.9999999999999996E-10</v>
      </c>
      <c r="G546">
        <v>7.2999999999999996E-10</v>
      </c>
    </row>
    <row r="547" spans="1:7" x14ac:dyDescent="0.25">
      <c r="A547" t="s">
        <v>1081</v>
      </c>
      <c r="B547">
        <v>-1</v>
      </c>
      <c r="C547">
        <v>-1</v>
      </c>
      <c r="D547">
        <v>-1</v>
      </c>
      <c r="E547">
        <v>-1</v>
      </c>
      <c r="F547">
        <v>1.0999999999999999E-9</v>
      </c>
      <c r="G547">
        <v>1.6000000000000001E-9</v>
      </c>
    </row>
    <row r="548" spans="1:7" x14ac:dyDescent="0.25">
      <c r="A548" t="s">
        <v>1082</v>
      </c>
      <c r="B548">
        <v>-1</v>
      </c>
      <c r="C548">
        <v>-1</v>
      </c>
      <c r="D548">
        <v>-1</v>
      </c>
      <c r="E548">
        <v>-1</v>
      </c>
      <c r="F548">
        <v>4.1000000000000001E-11</v>
      </c>
      <c r="G548">
        <v>6.0999999999999996E-11</v>
      </c>
    </row>
    <row r="549" spans="1:7" x14ac:dyDescent="0.25">
      <c r="A549" t="s">
        <v>1083</v>
      </c>
      <c r="B549">
        <v>4.5E-11</v>
      </c>
      <c r="C549">
        <v>8.2000000000000001E-11</v>
      </c>
      <c r="D549">
        <v>7.3000000000000006E-11</v>
      </c>
      <c r="E549">
        <v>1.2E-10</v>
      </c>
      <c r="F549">
        <v>-1</v>
      </c>
      <c r="G549">
        <v>-1</v>
      </c>
    </row>
    <row r="550" spans="1:7" x14ac:dyDescent="0.25">
      <c r="A550" t="s">
        <v>1084</v>
      </c>
      <c r="B550">
        <v>8.6E-11</v>
      </c>
      <c r="C550">
        <v>1.5E-10</v>
      </c>
      <c r="D550">
        <v>1.5999999999999999E-10</v>
      </c>
      <c r="E550">
        <v>2.4E-10</v>
      </c>
      <c r="F550">
        <v>-1</v>
      </c>
      <c r="G550">
        <v>-1</v>
      </c>
    </row>
    <row r="551" spans="1:7" x14ac:dyDescent="0.25">
      <c r="A551" t="s">
        <v>1085</v>
      </c>
      <c r="B551">
        <v>9.8999999999999994E-12</v>
      </c>
      <c r="C551">
        <v>1.6999999999999999E-11</v>
      </c>
      <c r="D551">
        <v>1.7999999999999999E-11</v>
      </c>
      <c r="E551">
        <v>2.7E-11</v>
      </c>
      <c r="F551">
        <v>-1</v>
      </c>
      <c r="G551">
        <v>-1</v>
      </c>
    </row>
    <row r="552" spans="1:7" x14ac:dyDescent="0.25">
      <c r="A552" t="s">
        <v>1086</v>
      </c>
      <c r="B552">
        <v>1.0000000000000001E-9</v>
      </c>
      <c r="C552">
        <v>1.3999999999999999E-9</v>
      </c>
      <c r="D552">
        <v>1.3999999999999999E-9</v>
      </c>
      <c r="E552">
        <v>1.6999999999999999E-9</v>
      </c>
      <c r="F552">
        <v>-1</v>
      </c>
      <c r="G552">
        <v>-1</v>
      </c>
    </row>
    <row r="553" spans="1:7" x14ac:dyDescent="0.25">
      <c r="A553" t="s">
        <v>109</v>
      </c>
      <c r="B553">
        <v>1.2E-9</v>
      </c>
      <c r="C553">
        <v>1.6000000000000001E-9</v>
      </c>
      <c r="D553">
        <v>2.8999999999999999E-9</v>
      </c>
      <c r="E553">
        <v>3.1E-9</v>
      </c>
      <c r="F553">
        <v>-1</v>
      </c>
      <c r="G553">
        <v>-1</v>
      </c>
    </row>
    <row r="554" spans="1:7" x14ac:dyDescent="0.25">
      <c r="A554" t="s">
        <v>1087</v>
      </c>
      <c r="B554">
        <v>8.5999999999999997E-12</v>
      </c>
      <c r="C554">
        <v>1.4E-11</v>
      </c>
      <c r="D554">
        <v>1.5E-11</v>
      </c>
      <c r="E554">
        <v>2.4000000000000001E-11</v>
      </c>
      <c r="F554">
        <v>-1</v>
      </c>
      <c r="G554">
        <v>-1</v>
      </c>
    </row>
    <row r="555" spans="1:7" x14ac:dyDescent="0.25">
      <c r="A555" t="s">
        <v>1088</v>
      </c>
      <c r="B555">
        <v>1.6999999999999999E-11</v>
      </c>
      <c r="C555">
        <v>3E-11</v>
      </c>
      <c r="D555">
        <v>4.6999999999999999E-11</v>
      </c>
      <c r="E555">
        <v>6.7999999999999998E-11</v>
      </c>
      <c r="F555">
        <v>-1</v>
      </c>
      <c r="G555">
        <v>-1</v>
      </c>
    </row>
    <row r="556" spans="1:7" x14ac:dyDescent="0.25">
      <c r="A556" t="s">
        <v>1089</v>
      </c>
      <c r="B556">
        <v>1.8999999999999999E-11</v>
      </c>
      <c r="C556">
        <v>3.3999999999999999E-11</v>
      </c>
      <c r="D556">
        <v>3.3000000000000002E-11</v>
      </c>
      <c r="E556">
        <v>5.2999999999999998E-11</v>
      </c>
      <c r="F556">
        <v>-1</v>
      </c>
      <c r="G556">
        <v>-1</v>
      </c>
    </row>
    <row r="557" spans="1:7" x14ac:dyDescent="0.25">
      <c r="A557" t="s">
        <v>1090</v>
      </c>
      <c r="B557">
        <v>2.9E-11</v>
      </c>
      <c r="C557">
        <v>5.0999999999999998E-11</v>
      </c>
      <c r="D557">
        <v>7.5E-11</v>
      </c>
      <c r="E557">
        <v>1.0999999999999999E-10</v>
      </c>
      <c r="F557">
        <v>7.9999999999999995E-11</v>
      </c>
      <c r="G557">
        <v>1.0999999999999999E-10</v>
      </c>
    </row>
    <row r="558" spans="1:7" x14ac:dyDescent="0.25">
      <c r="A558" t="s">
        <v>1091</v>
      </c>
      <c r="B558">
        <v>3.2000000000000001E-9</v>
      </c>
      <c r="C558">
        <v>3.7E-9</v>
      </c>
      <c r="D558">
        <v>1.4999999999999999E-8</v>
      </c>
      <c r="E558">
        <v>9.5999999999999999E-9</v>
      </c>
      <c r="F558">
        <v>1.1000000000000001E-7</v>
      </c>
      <c r="G558">
        <v>5.5000000000000003E-8</v>
      </c>
    </row>
    <row r="559" spans="1:7" x14ac:dyDescent="0.25">
      <c r="A559" t="s">
        <v>1092</v>
      </c>
      <c r="B559">
        <v>-1</v>
      </c>
      <c r="C559">
        <v>-1</v>
      </c>
      <c r="D559">
        <v>1.6E-11</v>
      </c>
      <c r="E559">
        <v>2.7E-11</v>
      </c>
      <c r="F559">
        <v>-1</v>
      </c>
      <c r="G559">
        <v>-1</v>
      </c>
    </row>
    <row r="560" spans="1:7" x14ac:dyDescent="0.25">
      <c r="A560" t="s">
        <v>1093</v>
      </c>
      <c r="B560">
        <v>-1</v>
      </c>
      <c r="C560">
        <v>-1</v>
      </c>
      <c r="D560">
        <v>3.3999999999999999E-11</v>
      </c>
      <c r="E560">
        <v>5.6E-11</v>
      </c>
      <c r="F560">
        <v>-1</v>
      </c>
      <c r="G560">
        <v>-1</v>
      </c>
    </row>
    <row r="561" spans="1:7" x14ac:dyDescent="0.25">
      <c r="A561" t="s">
        <v>1094</v>
      </c>
      <c r="B561">
        <v>-1</v>
      </c>
      <c r="C561">
        <v>-1</v>
      </c>
      <c r="D561">
        <v>7.4000000000000003E-11</v>
      </c>
      <c r="E561">
        <v>1.0999999999999999E-10</v>
      </c>
      <c r="F561">
        <v>-1</v>
      </c>
      <c r="G561">
        <v>-1</v>
      </c>
    </row>
    <row r="562" spans="1:7" x14ac:dyDescent="0.25">
      <c r="A562" t="s">
        <v>1095</v>
      </c>
      <c r="B562">
        <v>-1</v>
      </c>
      <c r="C562">
        <v>-1</v>
      </c>
      <c r="D562">
        <v>1.5E-9</v>
      </c>
      <c r="E562">
        <v>1.0999999999999999E-9</v>
      </c>
      <c r="F562">
        <v>-1</v>
      </c>
      <c r="G562">
        <v>-1</v>
      </c>
    </row>
    <row r="563" spans="1:7" x14ac:dyDescent="0.25">
      <c r="A563" t="s">
        <v>147</v>
      </c>
      <c r="B563">
        <v>-1</v>
      </c>
      <c r="C563">
        <v>-1</v>
      </c>
      <c r="D563">
        <v>9.9000000000000001E-6</v>
      </c>
      <c r="E563">
        <v>6.7000000000000002E-6</v>
      </c>
      <c r="F563">
        <v>-1</v>
      </c>
      <c r="G563">
        <v>-1</v>
      </c>
    </row>
    <row r="564" spans="1:7" x14ac:dyDescent="0.25">
      <c r="A564" t="s">
        <v>148</v>
      </c>
      <c r="B564">
        <v>-1</v>
      </c>
      <c r="C564">
        <v>-1</v>
      </c>
      <c r="D564">
        <v>8.8999999999999995E-6</v>
      </c>
      <c r="E564">
        <v>6.1E-6</v>
      </c>
      <c r="F564">
        <v>-1</v>
      </c>
      <c r="G564">
        <v>-1</v>
      </c>
    </row>
    <row r="565" spans="1:7" x14ac:dyDescent="0.25">
      <c r="A565" t="s">
        <v>128</v>
      </c>
      <c r="B565">
        <v>-1</v>
      </c>
      <c r="C565">
        <v>-1</v>
      </c>
      <c r="D565">
        <v>3.7E-9</v>
      </c>
      <c r="E565">
        <v>2.6000000000000001E-9</v>
      </c>
      <c r="F565">
        <v>-1</v>
      </c>
      <c r="G565">
        <v>-1</v>
      </c>
    </row>
    <row r="566" spans="1:7" x14ac:dyDescent="0.25">
      <c r="A566" t="s">
        <v>1096</v>
      </c>
      <c r="B566">
        <v>-1</v>
      </c>
      <c r="C566">
        <v>-1</v>
      </c>
      <c r="D566">
        <v>6.0999999999999996E-10</v>
      </c>
      <c r="E566">
        <v>6.8000000000000003E-10</v>
      </c>
      <c r="F566">
        <v>-1</v>
      </c>
      <c r="G566">
        <v>-1</v>
      </c>
    </row>
    <row r="567" spans="1:7" x14ac:dyDescent="0.25">
      <c r="A567" t="s">
        <v>1097</v>
      </c>
      <c r="B567">
        <v>-1</v>
      </c>
      <c r="C567">
        <v>-1</v>
      </c>
      <c r="D567">
        <v>1.6999999999999999E-11</v>
      </c>
      <c r="E567">
        <v>2.8E-11</v>
      </c>
      <c r="F567">
        <v>-1</v>
      </c>
      <c r="G567">
        <v>-1</v>
      </c>
    </row>
    <row r="568" spans="1:7" x14ac:dyDescent="0.25">
      <c r="A568" t="s">
        <v>1098</v>
      </c>
      <c r="B568">
        <v>-1</v>
      </c>
      <c r="C568">
        <v>-1</v>
      </c>
      <c r="D568">
        <v>2.1E-10</v>
      </c>
      <c r="E568">
        <v>2.8000000000000002E-10</v>
      </c>
      <c r="F568">
        <v>-1</v>
      </c>
      <c r="G568">
        <v>-1</v>
      </c>
    </row>
    <row r="569" spans="1:7" x14ac:dyDescent="0.25">
      <c r="A569" t="s">
        <v>1099</v>
      </c>
      <c r="B569">
        <v>1.0999999999999999E-10</v>
      </c>
      <c r="C569">
        <v>1.8999999999999999E-10</v>
      </c>
      <c r="D569">
        <v>1.5999999999999999E-10</v>
      </c>
      <c r="E569">
        <v>2.5999999999999998E-10</v>
      </c>
      <c r="F569">
        <v>-1</v>
      </c>
      <c r="G569">
        <v>-1</v>
      </c>
    </row>
    <row r="570" spans="1:7" x14ac:dyDescent="0.25">
      <c r="A570" t="s">
        <v>1100</v>
      </c>
      <c r="B570">
        <v>8.2999999999999998E-12</v>
      </c>
      <c r="C570">
        <v>1.5E-11</v>
      </c>
      <c r="D570">
        <v>1.4E-11</v>
      </c>
      <c r="E570">
        <v>2.2000000000000002E-11</v>
      </c>
      <c r="F570">
        <v>-1</v>
      </c>
      <c r="G570">
        <v>-1</v>
      </c>
    </row>
    <row r="571" spans="1:7" x14ac:dyDescent="0.25">
      <c r="A571" t="s">
        <v>1101</v>
      </c>
      <c r="B571">
        <v>5.4E-10</v>
      </c>
      <c r="C571">
        <v>7.8999999999999996E-10</v>
      </c>
      <c r="D571">
        <v>2.5000000000000001E-9</v>
      </c>
      <c r="E571">
        <v>1.9000000000000001E-9</v>
      </c>
      <c r="F571">
        <v>-1</v>
      </c>
      <c r="G571">
        <v>-1</v>
      </c>
    </row>
    <row r="572" spans="1:7" x14ac:dyDescent="0.25">
      <c r="A572" t="s">
        <v>1102</v>
      </c>
      <c r="B572">
        <v>2.8999999999999998E-10</v>
      </c>
      <c r="C572">
        <v>3.9E-10</v>
      </c>
      <c r="D572">
        <v>2.2999999999999999E-9</v>
      </c>
      <c r="E572">
        <v>2.1999999999999998E-9</v>
      </c>
      <c r="F572">
        <v>-1</v>
      </c>
      <c r="G572">
        <v>-1</v>
      </c>
    </row>
    <row r="573" spans="1:7" x14ac:dyDescent="0.25">
      <c r="A573" t="s">
        <v>1103</v>
      </c>
      <c r="B573">
        <v>2.8999999999999998E-10</v>
      </c>
      <c r="C573">
        <v>3.6E-10</v>
      </c>
      <c r="D573">
        <v>2.0000000000000001E-9</v>
      </c>
      <c r="E573">
        <v>1.5E-9</v>
      </c>
      <c r="F573">
        <v>-1</v>
      </c>
      <c r="G573">
        <v>-1</v>
      </c>
    </row>
    <row r="574" spans="1:7" x14ac:dyDescent="0.25">
      <c r="A574" t="s">
        <v>146</v>
      </c>
      <c r="B574">
        <v>6.3999999999999999E-11</v>
      </c>
      <c r="C574">
        <v>1E-10</v>
      </c>
      <c r="D574">
        <v>2.1999999999999999E-10</v>
      </c>
      <c r="E574">
        <v>2.8000000000000002E-10</v>
      </c>
      <c r="F574">
        <v>-1</v>
      </c>
      <c r="G574">
        <v>-1</v>
      </c>
    </row>
    <row r="575" spans="1:7" x14ac:dyDescent="0.25">
      <c r="A575" t="s">
        <v>116</v>
      </c>
      <c r="B575">
        <v>8.0000000000000003E-10</v>
      </c>
      <c r="C575">
        <v>9.6999999999999996E-10</v>
      </c>
      <c r="D575">
        <v>4.2000000000000004E-9</v>
      </c>
      <c r="E575">
        <v>3.3000000000000002E-9</v>
      </c>
      <c r="F575">
        <v>-1</v>
      </c>
      <c r="G575">
        <v>-1</v>
      </c>
    </row>
    <row r="576" spans="1:7" x14ac:dyDescent="0.25">
      <c r="A576" t="s">
        <v>1104</v>
      </c>
      <c r="B576">
        <v>1.2E-9</v>
      </c>
      <c r="C576">
        <v>1.6000000000000001E-9</v>
      </c>
      <c r="D576">
        <v>7.6999999999999995E-9</v>
      </c>
      <c r="E576">
        <v>5.5999999999999997E-9</v>
      </c>
      <c r="F576">
        <v>-1</v>
      </c>
      <c r="G576">
        <v>-1</v>
      </c>
    </row>
    <row r="577" spans="1:7" x14ac:dyDescent="0.25">
      <c r="A577" t="s">
        <v>1105</v>
      </c>
      <c r="B577">
        <v>1.4E-11</v>
      </c>
      <c r="C577">
        <v>2.4000000000000001E-11</v>
      </c>
      <c r="D577">
        <v>2.8E-11</v>
      </c>
      <c r="E577">
        <v>4.4000000000000003E-11</v>
      </c>
      <c r="F577">
        <v>-1</v>
      </c>
      <c r="G577">
        <v>-1</v>
      </c>
    </row>
    <row r="578" spans="1:7" x14ac:dyDescent="0.25">
      <c r="A578" t="s">
        <v>1106</v>
      </c>
      <c r="B578">
        <v>9.2000000000000003E-10</v>
      </c>
      <c r="C578">
        <v>1.3000000000000001E-9</v>
      </c>
      <c r="D578">
        <v>3E-9</v>
      </c>
      <c r="E578">
        <v>2.7999999999999998E-9</v>
      </c>
      <c r="F578">
        <v>-1</v>
      </c>
      <c r="G578">
        <v>-1</v>
      </c>
    </row>
    <row r="579" spans="1:7" x14ac:dyDescent="0.25">
      <c r="A579" t="s">
        <v>119</v>
      </c>
      <c r="B579">
        <v>1.0999999999999999E-8</v>
      </c>
      <c r="C579">
        <v>1.4E-8</v>
      </c>
      <c r="D579">
        <v>2.7E-8</v>
      </c>
      <c r="E579">
        <v>1.7999999999999999E-8</v>
      </c>
      <c r="F579">
        <v>-1</v>
      </c>
      <c r="G579">
        <v>-1</v>
      </c>
    </row>
    <row r="580" spans="1:7" x14ac:dyDescent="0.25">
      <c r="A580" t="s">
        <v>1107</v>
      </c>
      <c r="B580">
        <v>6.8999999999999994E-11</v>
      </c>
      <c r="C580">
        <v>1.2E-10</v>
      </c>
      <c r="D580">
        <v>1.2999999999999999E-10</v>
      </c>
      <c r="E580">
        <v>2.0000000000000001E-10</v>
      </c>
      <c r="F580">
        <v>-1</v>
      </c>
      <c r="G580">
        <v>-1</v>
      </c>
    </row>
    <row r="581" spans="1:7" x14ac:dyDescent="0.25">
      <c r="A581" t="s">
        <v>1108</v>
      </c>
      <c r="B581">
        <v>5.4000000000000001E-11</v>
      </c>
      <c r="C581">
        <v>9.4999999999999995E-11</v>
      </c>
      <c r="D581">
        <v>9.6000000000000005E-11</v>
      </c>
      <c r="E581">
        <v>1.5E-10</v>
      </c>
      <c r="F581">
        <v>-1</v>
      </c>
      <c r="G581">
        <v>-1</v>
      </c>
    </row>
    <row r="582" spans="1:7" x14ac:dyDescent="0.25">
      <c r="A582" t="s">
        <v>1109</v>
      </c>
      <c r="B582">
        <v>7.5999999999999996E-11</v>
      </c>
      <c r="C582">
        <v>1.2999999999999999E-10</v>
      </c>
      <c r="D582">
        <v>-1</v>
      </c>
      <c r="E582">
        <v>-1</v>
      </c>
      <c r="F582">
        <v>1.4000000000000001E-10</v>
      </c>
      <c r="G582">
        <v>2.1E-10</v>
      </c>
    </row>
    <row r="583" spans="1:7" x14ac:dyDescent="0.25">
      <c r="A583" t="s">
        <v>1110</v>
      </c>
      <c r="B583">
        <v>2.2000000000000002E-11</v>
      </c>
      <c r="C583">
        <v>3.9000000000000001E-11</v>
      </c>
      <c r="D583">
        <v>-1</v>
      </c>
      <c r="E583">
        <v>-1</v>
      </c>
      <c r="F583">
        <v>3.7999999999999998E-11</v>
      </c>
      <c r="G583">
        <v>6.0999999999999996E-11</v>
      </c>
    </row>
    <row r="584" spans="1:7" x14ac:dyDescent="0.25">
      <c r="A584" t="s">
        <v>1111</v>
      </c>
      <c r="B584">
        <v>2.1999999999999998E-9</v>
      </c>
      <c r="C584">
        <v>3.3000000000000002E-9</v>
      </c>
      <c r="D584">
        <v>-1</v>
      </c>
      <c r="E584">
        <v>-1</v>
      </c>
      <c r="F584">
        <v>1E-8</v>
      </c>
      <c r="G584">
        <v>7.6999999999999995E-9</v>
      </c>
    </row>
    <row r="585" spans="1:7" x14ac:dyDescent="0.25">
      <c r="A585" t="s">
        <v>1112</v>
      </c>
      <c r="B585">
        <v>1.7000000000000001E-10</v>
      </c>
      <c r="C585">
        <v>3E-10</v>
      </c>
      <c r="D585">
        <v>-1</v>
      </c>
      <c r="E585">
        <v>-1</v>
      </c>
      <c r="F585">
        <v>3.4000000000000001E-10</v>
      </c>
      <c r="G585">
        <v>4.8999999999999996E-10</v>
      </c>
    </row>
    <row r="586" spans="1:7" x14ac:dyDescent="0.25">
      <c r="A586" t="s">
        <v>1113</v>
      </c>
      <c r="B586">
        <v>3.9E-10</v>
      </c>
      <c r="C586">
        <v>5.6000000000000003E-10</v>
      </c>
      <c r="D586">
        <v>-1</v>
      </c>
      <c r="E586">
        <v>-1</v>
      </c>
      <c r="F586">
        <v>7.7000000000000003E-10</v>
      </c>
      <c r="G586">
        <v>6.3999999999999996E-10</v>
      </c>
    </row>
    <row r="587" spans="1:7" x14ac:dyDescent="0.25">
      <c r="A587" t="s">
        <v>1114</v>
      </c>
      <c r="B587">
        <v>3.1000000000000001E-12</v>
      </c>
      <c r="C587">
        <v>5.6000000000000004E-12</v>
      </c>
      <c r="D587">
        <v>-1</v>
      </c>
      <c r="E587">
        <v>-1</v>
      </c>
      <c r="F587">
        <v>4.4999999999999998E-12</v>
      </c>
      <c r="G587">
        <v>7.4E-12</v>
      </c>
    </row>
    <row r="588" spans="1:7" x14ac:dyDescent="0.25">
      <c r="A588" t="s">
        <v>1115</v>
      </c>
      <c r="B588">
        <v>1.2000000000000001E-11</v>
      </c>
      <c r="C588">
        <v>2.2000000000000002E-11</v>
      </c>
      <c r="D588">
        <v>-1</v>
      </c>
      <c r="E588">
        <v>-1</v>
      </c>
      <c r="F588">
        <v>2.2000000000000002E-11</v>
      </c>
      <c r="G588">
        <v>3.5000000000000002E-11</v>
      </c>
    </row>
    <row r="589" spans="1:7" x14ac:dyDescent="0.25">
      <c r="A589" t="s">
        <v>1116</v>
      </c>
      <c r="B589">
        <v>1.0000000000000001E-9</v>
      </c>
      <c r="C589">
        <v>1.3999999999999999E-9</v>
      </c>
      <c r="D589">
        <v>-1</v>
      </c>
      <c r="E589">
        <v>-1</v>
      </c>
      <c r="F589">
        <v>7.4999999999999993E-9</v>
      </c>
      <c r="G589">
        <v>5.5999999999999997E-9</v>
      </c>
    </row>
    <row r="590" spans="1:7" x14ac:dyDescent="0.25">
      <c r="A590" t="s">
        <v>21</v>
      </c>
      <c r="B590">
        <v>2.4E-8</v>
      </c>
      <c r="C590">
        <v>2.9999999999999997E-8</v>
      </c>
      <c r="D590">
        <v>-1</v>
      </c>
      <c r="E590">
        <v>-1</v>
      </c>
      <c r="F590">
        <v>1.4999999999999999E-7</v>
      </c>
      <c r="G590">
        <v>7.7000000000000001E-8</v>
      </c>
    </row>
    <row r="591" spans="1:7" x14ac:dyDescent="0.25">
      <c r="A591" t="s">
        <v>1117</v>
      </c>
      <c r="B591">
        <v>1.7000000000000001E-10</v>
      </c>
      <c r="C591">
        <v>2.8999999999999998E-10</v>
      </c>
      <c r="D591">
        <v>-1</v>
      </c>
      <c r="E591">
        <v>-1</v>
      </c>
      <c r="F591">
        <v>4.0999999999999998E-10</v>
      </c>
      <c r="G591">
        <v>5.7E-10</v>
      </c>
    </row>
    <row r="592" spans="1:7" x14ac:dyDescent="0.25">
      <c r="A592" t="s">
        <v>1118</v>
      </c>
      <c r="B592">
        <v>1.0999999999999999E-10</v>
      </c>
      <c r="C592">
        <v>1.8E-10</v>
      </c>
      <c r="D592">
        <v>-1</v>
      </c>
      <c r="E592">
        <v>-1</v>
      </c>
      <c r="F592">
        <v>2.3000000000000001E-10</v>
      </c>
      <c r="G592">
        <v>3.4000000000000001E-10</v>
      </c>
    </row>
    <row r="593" spans="1:7" x14ac:dyDescent="0.25">
      <c r="A593" t="s">
        <v>1119</v>
      </c>
      <c r="B593">
        <v>-1</v>
      </c>
      <c r="C593">
        <v>-1</v>
      </c>
      <c r="D593">
        <v>3.3999999999999999E-11</v>
      </c>
      <c r="E593">
        <v>5.4999999999999997E-11</v>
      </c>
      <c r="F593">
        <v>3.5999999999999998E-11</v>
      </c>
      <c r="G593">
        <v>5.6999999999999997E-11</v>
      </c>
    </row>
    <row r="594" spans="1:7" x14ac:dyDescent="0.25">
      <c r="A594" t="s">
        <v>1120</v>
      </c>
      <c r="B594">
        <v>-1</v>
      </c>
      <c r="C594">
        <v>-1</v>
      </c>
      <c r="D594">
        <v>1.0999999999999999E-10</v>
      </c>
      <c r="E594">
        <v>1.5999999999999999E-10</v>
      </c>
      <c r="F594">
        <v>1.2E-10</v>
      </c>
      <c r="G594">
        <v>1.5999999999999999E-10</v>
      </c>
    </row>
    <row r="595" spans="1:7" x14ac:dyDescent="0.25">
      <c r="A595" t="s">
        <v>1121</v>
      </c>
      <c r="B595">
        <v>-1</v>
      </c>
      <c r="C595">
        <v>-1</v>
      </c>
      <c r="D595">
        <v>4.1999999999999997E-11</v>
      </c>
      <c r="E595">
        <v>6.3000000000000002E-11</v>
      </c>
      <c r="F595">
        <v>4.4000000000000003E-11</v>
      </c>
      <c r="G595">
        <v>6.6000000000000005E-11</v>
      </c>
    </row>
    <row r="596" spans="1:7" x14ac:dyDescent="0.25">
      <c r="A596" t="s">
        <v>1122</v>
      </c>
      <c r="B596">
        <v>-1</v>
      </c>
      <c r="C596">
        <v>-1</v>
      </c>
      <c r="D596">
        <v>1.2999999999999999E-10</v>
      </c>
      <c r="E596">
        <v>2.0000000000000001E-10</v>
      </c>
      <c r="F596">
        <v>1.4000000000000001E-10</v>
      </c>
      <c r="G596">
        <v>2.0000000000000001E-10</v>
      </c>
    </row>
    <row r="597" spans="1:7" x14ac:dyDescent="0.25">
      <c r="A597" t="s">
        <v>1123</v>
      </c>
      <c r="B597">
        <v>-1</v>
      </c>
      <c r="C597">
        <v>-1</v>
      </c>
      <c r="D597">
        <v>2.0000000000000001E-10</v>
      </c>
      <c r="E597">
        <v>3.1999999999999998E-10</v>
      </c>
      <c r="F597">
        <v>2.1E-10</v>
      </c>
      <c r="G597">
        <v>3.3E-10</v>
      </c>
    </row>
    <row r="598" spans="1:7" x14ac:dyDescent="0.25">
      <c r="A598" t="s">
        <v>1124</v>
      </c>
      <c r="B598">
        <v>-1</v>
      </c>
      <c r="C598">
        <v>-1</v>
      </c>
      <c r="D598">
        <v>9.3000000000000002E-11</v>
      </c>
      <c r="E598">
        <v>1.2E-10</v>
      </c>
      <c r="F598">
        <v>1E-10</v>
      </c>
      <c r="G598">
        <v>1.2999999999999999E-10</v>
      </c>
    </row>
    <row r="599" spans="1:7" x14ac:dyDescent="0.25">
      <c r="A599" t="s">
        <v>1125</v>
      </c>
      <c r="B599">
        <v>-1</v>
      </c>
      <c r="C599">
        <v>-1</v>
      </c>
      <c r="D599">
        <v>6.6000000000000005E-11</v>
      </c>
      <c r="E599">
        <v>1E-10</v>
      </c>
      <c r="F599">
        <v>6.8999999999999994E-11</v>
      </c>
      <c r="G599">
        <v>1.0999999999999999E-10</v>
      </c>
    </row>
    <row r="600" spans="1:7" x14ac:dyDescent="0.25">
      <c r="A600" t="s">
        <v>1126</v>
      </c>
      <c r="B600">
        <v>-1</v>
      </c>
      <c r="C600">
        <v>-1</v>
      </c>
      <c r="D600">
        <v>2.0000000000000001E-10</v>
      </c>
      <c r="E600">
        <v>1.2999999999999999E-10</v>
      </c>
      <c r="F600">
        <v>5.1999999999999996E-10</v>
      </c>
      <c r="G600">
        <v>2.8999999999999998E-10</v>
      </c>
    </row>
    <row r="601" spans="1:7" x14ac:dyDescent="0.25">
      <c r="A601" t="s">
        <v>1127</v>
      </c>
      <c r="B601">
        <v>-1</v>
      </c>
      <c r="C601">
        <v>-1</v>
      </c>
      <c r="D601">
        <v>4.4000000000000003E-11</v>
      </c>
      <c r="E601">
        <v>5.8E-11</v>
      </c>
      <c r="F601">
        <v>4.6999999999999999E-11</v>
      </c>
      <c r="G601">
        <v>6.2000000000000006E-11</v>
      </c>
    </row>
    <row r="602" spans="1:7" x14ac:dyDescent="0.25">
      <c r="A602" t="s">
        <v>1128</v>
      </c>
      <c r="B602">
        <v>-1</v>
      </c>
      <c r="C602">
        <v>-1</v>
      </c>
      <c r="D602">
        <v>7.2E-9</v>
      </c>
      <c r="E602">
        <v>5.7999999999999998E-9</v>
      </c>
      <c r="F602">
        <v>9.6999999999999992E-9</v>
      </c>
      <c r="G602">
        <v>7.4000000000000001E-9</v>
      </c>
    </row>
    <row r="603" spans="1:7" x14ac:dyDescent="0.25">
      <c r="A603" t="s">
        <v>1129</v>
      </c>
      <c r="B603">
        <v>-1</v>
      </c>
      <c r="C603">
        <v>-1</v>
      </c>
      <c r="D603">
        <v>1.8E-9</v>
      </c>
      <c r="E603">
        <v>1.8E-9</v>
      </c>
      <c r="F603">
        <v>2.0000000000000001E-9</v>
      </c>
      <c r="G603">
        <v>2.0000000000000001E-9</v>
      </c>
    </row>
    <row r="604" spans="1:7" x14ac:dyDescent="0.25">
      <c r="A604" t="s">
        <v>1130</v>
      </c>
      <c r="B604">
        <v>-1</v>
      </c>
      <c r="C604">
        <v>-1</v>
      </c>
      <c r="D604">
        <v>4.0999999999999998E-10</v>
      </c>
      <c r="E604">
        <v>6E-10</v>
      </c>
      <c r="F604">
        <v>4.3999999999999998E-10</v>
      </c>
      <c r="G604">
        <v>6.3E-10</v>
      </c>
    </row>
    <row r="605" spans="1:7" x14ac:dyDescent="0.25">
      <c r="A605" t="s">
        <v>1131</v>
      </c>
      <c r="B605">
        <v>-1</v>
      </c>
      <c r="C605">
        <v>-1</v>
      </c>
      <c r="D605">
        <v>4.6000000000000003E-11</v>
      </c>
      <c r="E605">
        <v>6.7999999999999998E-11</v>
      </c>
      <c r="F605">
        <v>4.8999999999999999E-11</v>
      </c>
      <c r="G605">
        <v>7.1999999999999997E-11</v>
      </c>
    </row>
    <row r="606" spans="1:7" x14ac:dyDescent="0.25">
      <c r="A606" t="s">
        <v>1132</v>
      </c>
      <c r="B606">
        <v>-1</v>
      </c>
      <c r="C606">
        <v>-1</v>
      </c>
      <c r="D606">
        <v>1.7999999999999999E-11</v>
      </c>
      <c r="E606">
        <v>3E-11</v>
      </c>
      <c r="F606">
        <v>1.8999999999999999E-11</v>
      </c>
      <c r="G606">
        <v>3.1000000000000003E-11</v>
      </c>
    </row>
    <row r="607" spans="1:7" x14ac:dyDescent="0.25">
      <c r="A607" t="s">
        <v>1133</v>
      </c>
      <c r="B607">
        <v>-1</v>
      </c>
      <c r="C607">
        <v>-1</v>
      </c>
      <c r="D607">
        <v>7.8999999999999999E-11</v>
      </c>
      <c r="E607">
        <v>1.2E-10</v>
      </c>
      <c r="F607">
        <v>-1</v>
      </c>
      <c r="G607">
        <v>-1</v>
      </c>
    </row>
    <row r="608" spans="1:7" x14ac:dyDescent="0.25">
      <c r="A608" t="s">
        <v>1134</v>
      </c>
      <c r="B608">
        <v>-1</v>
      </c>
      <c r="C608">
        <v>-1</v>
      </c>
      <c r="D608">
        <v>4.2999999999999996E-9</v>
      </c>
      <c r="E608">
        <v>3.1E-9</v>
      </c>
      <c r="F608">
        <v>-1</v>
      </c>
      <c r="G608">
        <v>-1</v>
      </c>
    </row>
    <row r="609" spans="1:7" x14ac:dyDescent="0.25">
      <c r="A609" t="s">
        <v>1135</v>
      </c>
      <c r="B609">
        <v>-1</v>
      </c>
      <c r="C609">
        <v>-1</v>
      </c>
      <c r="D609">
        <v>1.0999999999999999E-10</v>
      </c>
      <c r="E609">
        <v>1.8E-10</v>
      </c>
      <c r="F609">
        <v>-1</v>
      </c>
      <c r="G609">
        <v>-1</v>
      </c>
    </row>
    <row r="610" spans="1:7" x14ac:dyDescent="0.25">
      <c r="A610" t="s">
        <v>1136</v>
      </c>
      <c r="B610">
        <v>-1</v>
      </c>
      <c r="C610">
        <v>-1</v>
      </c>
      <c r="D610">
        <v>2.3000000000000001E-10</v>
      </c>
      <c r="E610">
        <v>3.3E-10</v>
      </c>
      <c r="F610">
        <v>-1</v>
      </c>
      <c r="G610">
        <v>-1</v>
      </c>
    </row>
    <row r="611" spans="1:7" x14ac:dyDescent="0.25">
      <c r="A611" t="s">
        <v>1137</v>
      </c>
      <c r="B611">
        <v>-1</v>
      </c>
      <c r="C611">
        <v>-1</v>
      </c>
      <c r="D611">
        <v>2.0000000000000001E-10</v>
      </c>
      <c r="E611">
        <v>2.4E-10</v>
      </c>
      <c r="F611">
        <v>-1</v>
      </c>
      <c r="G611">
        <v>-1</v>
      </c>
    </row>
    <row r="612" spans="1:7" x14ac:dyDescent="0.25">
      <c r="A612" t="s">
        <v>1138</v>
      </c>
      <c r="B612">
        <v>-1</v>
      </c>
      <c r="C612">
        <v>-1</v>
      </c>
      <c r="D612">
        <v>3.7999999999999998E-10</v>
      </c>
      <c r="E612">
        <v>6E-10</v>
      </c>
      <c r="F612">
        <v>-1</v>
      </c>
      <c r="G612">
        <v>-1</v>
      </c>
    </row>
    <row r="613" spans="1:7" x14ac:dyDescent="0.25">
      <c r="A613" t="s">
        <v>1139</v>
      </c>
      <c r="B613">
        <v>-1</v>
      </c>
      <c r="C613">
        <v>-1</v>
      </c>
      <c r="D613">
        <v>2.1E-10</v>
      </c>
      <c r="E613">
        <v>2.5000000000000002E-10</v>
      </c>
      <c r="F613">
        <v>-1</v>
      </c>
      <c r="G613">
        <v>-1</v>
      </c>
    </row>
    <row r="614" spans="1:7" x14ac:dyDescent="0.25">
      <c r="A614" t="s">
        <v>1140</v>
      </c>
      <c r="B614">
        <v>-1</v>
      </c>
      <c r="C614">
        <v>-1</v>
      </c>
      <c r="D614">
        <v>1.2E-9</v>
      </c>
      <c r="E614">
        <v>1.3999999999999999E-9</v>
      </c>
      <c r="F614">
        <v>-1</v>
      </c>
      <c r="G614">
        <v>-1</v>
      </c>
    </row>
    <row r="615" spans="1:7" x14ac:dyDescent="0.25">
      <c r="A615" t="s">
        <v>1141</v>
      </c>
      <c r="B615">
        <v>-1</v>
      </c>
      <c r="C615">
        <v>-1</v>
      </c>
      <c r="D615">
        <v>2.0000000000000001E-10</v>
      </c>
      <c r="E615">
        <v>2.3000000000000001E-10</v>
      </c>
      <c r="F615">
        <v>-1</v>
      </c>
      <c r="G615">
        <v>-1</v>
      </c>
    </row>
    <row r="616" spans="1:7" x14ac:dyDescent="0.25">
      <c r="A616" t="s">
        <v>1142</v>
      </c>
      <c r="B616">
        <v>-1</v>
      </c>
      <c r="C616">
        <v>-1</v>
      </c>
      <c r="D616">
        <v>9.2000000000000005E-11</v>
      </c>
      <c r="E616">
        <v>1.2999999999999999E-10</v>
      </c>
      <c r="F616">
        <v>-1</v>
      </c>
      <c r="G616">
        <v>-1</v>
      </c>
    </row>
    <row r="617" spans="1:7" x14ac:dyDescent="0.25">
      <c r="A617" t="s">
        <v>1143</v>
      </c>
      <c r="B617">
        <v>-1</v>
      </c>
      <c r="C617">
        <v>-1</v>
      </c>
      <c r="D617">
        <v>1.0999999999999999E-9</v>
      </c>
      <c r="E617">
        <v>7.8999999999999996E-10</v>
      </c>
      <c r="F617">
        <v>-1</v>
      </c>
      <c r="G617">
        <v>-1</v>
      </c>
    </row>
    <row r="618" spans="1:7" x14ac:dyDescent="0.25">
      <c r="A618" t="s">
        <v>1144</v>
      </c>
      <c r="B618">
        <v>-1</v>
      </c>
      <c r="C618">
        <v>-1</v>
      </c>
      <c r="D618">
        <v>4.3000000000000001E-8</v>
      </c>
      <c r="E618">
        <v>2.9999999999999997E-8</v>
      </c>
      <c r="F618">
        <v>-1</v>
      </c>
      <c r="G618">
        <v>-1</v>
      </c>
    </row>
    <row r="619" spans="1:7" x14ac:dyDescent="0.25">
      <c r="A619" t="s">
        <v>1145</v>
      </c>
      <c r="B619">
        <v>-1</v>
      </c>
      <c r="C619">
        <v>-1</v>
      </c>
      <c r="D619">
        <v>6.6000000000000004E-9</v>
      </c>
      <c r="E619">
        <v>5.4000000000000004E-9</v>
      </c>
      <c r="F619">
        <v>-1</v>
      </c>
      <c r="G619">
        <v>-1</v>
      </c>
    </row>
    <row r="620" spans="1:7" x14ac:dyDescent="0.25">
      <c r="A620" t="s">
        <v>1146</v>
      </c>
      <c r="B620">
        <v>-1</v>
      </c>
      <c r="C620">
        <v>-1</v>
      </c>
      <c r="D620">
        <v>1.2E-9</v>
      </c>
      <c r="E620">
        <v>1.2E-9</v>
      </c>
      <c r="F620">
        <v>-1</v>
      </c>
      <c r="G620">
        <v>-1</v>
      </c>
    </row>
    <row r="621" spans="1:7" x14ac:dyDescent="0.25">
      <c r="A621" t="s">
        <v>1147</v>
      </c>
      <c r="B621">
        <v>8.6999999999999997E-12</v>
      </c>
      <c r="C621">
        <v>1.5E-11</v>
      </c>
      <c r="D621">
        <v>1.3E-11</v>
      </c>
      <c r="E621">
        <v>2.0999999999999999E-11</v>
      </c>
      <c r="F621">
        <v>-1</v>
      </c>
      <c r="G621">
        <v>-1</v>
      </c>
    </row>
    <row r="622" spans="1:7" x14ac:dyDescent="0.25">
      <c r="A622" t="s">
        <v>1148</v>
      </c>
      <c r="B622">
        <v>2.4000000000000001E-11</v>
      </c>
      <c r="C622">
        <v>3.9000000000000001E-11</v>
      </c>
      <c r="D622">
        <v>3E-11</v>
      </c>
      <c r="E622">
        <v>4.8000000000000002E-11</v>
      </c>
      <c r="F622">
        <v>-1</v>
      </c>
      <c r="G622">
        <v>-1</v>
      </c>
    </row>
    <row r="623" spans="1:7" x14ac:dyDescent="0.25">
      <c r="A623" t="s">
        <v>1149</v>
      </c>
      <c r="B623">
        <v>3.3999999999999999E-11</v>
      </c>
      <c r="C623">
        <v>6.2000000000000006E-11</v>
      </c>
      <c r="D623">
        <v>3.5999999999999998E-11</v>
      </c>
      <c r="E623">
        <v>6.4999999999999995E-11</v>
      </c>
      <c r="F623">
        <v>-1</v>
      </c>
      <c r="G623">
        <v>-1</v>
      </c>
    </row>
    <row r="624" spans="1:7" x14ac:dyDescent="0.25">
      <c r="A624" t="s">
        <v>1150</v>
      </c>
      <c r="B624">
        <v>1.5E-11</v>
      </c>
      <c r="C624">
        <v>2.6000000000000001E-11</v>
      </c>
      <c r="D624">
        <v>1.6999999999999999E-11</v>
      </c>
      <c r="E624">
        <v>3.1000000000000003E-11</v>
      </c>
      <c r="F624">
        <v>-1</v>
      </c>
      <c r="G624">
        <v>-1</v>
      </c>
    </row>
    <row r="625" spans="1:7" x14ac:dyDescent="0.25">
      <c r="A625" t="s">
        <v>1151</v>
      </c>
      <c r="B625">
        <v>1.2E-10</v>
      </c>
      <c r="C625">
        <v>2.1E-10</v>
      </c>
      <c r="D625">
        <v>1.2999999999999999E-10</v>
      </c>
      <c r="E625">
        <v>2.1999999999999999E-10</v>
      </c>
      <c r="F625">
        <v>-1</v>
      </c>
      <c r="G625">
        <v>-1</v>
      </c>
    </row>
    <row r="626" spans="1:7" x14ac:dyDescent="0.25">
      <c r="A626" t="s">
        <v>1152</v>
      </c>
      <c r="B626">
        <v>4.3E-11</v>
      </c>
      <c r="C626">
        <v>6.8999999999999994E-11</v>
      </c>
      <c r="D626">
        <v>4.8999999999999999E-11</v>
      </c>
      <c r="E626">
        <v>7.9999999999999995E-11</v>
      </c>
      <c r="F626">
        <v>-1</v>
      </c>
      <c r="G626">
        <v>-1</v>
      </c>
    </row>
    <row r="627" spans="1:7" x14ac:dyDescent="0.25">
      <c r="A627" t="s">
        <v>1153</v>
      </c>
      <c r="B627">
        <v>1E-10</v>
      </c>
      <c r="C627">
        <v>1.8E-10</v>
      </c>
      <c r="D627">
        <v>1E-10</v>
      </c>
      <c r="E627">
        <v>1.8E-10</v>
      </c>
      <c r="F627">
        <v>-1</v>
      </c>
      <c r="G627">
        <v>-1</v>
      </c>
    </row>
    <row r="628" spans="1:7" x14ac:dyDescent="0.25">
      <c r="A628" t="s">
        <v>1154</v>
      </c>
      <c r="B628">
        <v>3.1000000000000002E-10</v>
      </c>
      <c r="C628">
        <v>4.8E-10</v>
      </c>
      <c r="D628">
        <v>8.6999999999999999E-10</v>
      </c>
      <c r="E628">
        <v>8.6000000000000003E-10</v>
      </c>
      <c r="F628">
        <v>-1</v>
      </c>
      <c r="G628">
        <v>-1</v>
      </c>
    </row>
    <row r="629" spans="1:7" x14ac:dyDescent="0.25">
      <c r="A629" t="s">
        <v>1155</v>
      </c>
      <c r="B629">
        <v>6E-10</v>
      </c>
      <c r="C629">
        <v>9.7999999999999992E-10</v>
      </c>
      <c r="D629">
        <v>7.1000000000000003E-10</v>
      </c>
      <c r="E629">
        <v>1.0000000000000001E-9</v>
      </c>
      <c r="F629">
        <v>-1</v>
      </c>
      <c r="G629">
        <v>-1</v>
      </c>
    </row>
    <row r="630" spans="1:7" x14ac:dyDescent="0.25">
      <c r="A630" t="s">
        <v>1156</v>
      </c>
      <c r="B630">
        <v>6.5000000000000002E-12</v>
      </c>
      <c r="C630">
        <v>1.1000000000000001E-11</v>
      </c>
      <c r="D630">
        <v>7.6999999999999999E-12</v>
      </c>
      <c r="E630">
        <v>1.1000000000000001E-11</v>
      </c>
      <c r="F630">
        <v>-1</v>
      </c>
      <c r="G630">
        <v>-1</v>
      </c>
    </row>
    <row r="631" spans="1:7" x14ac:dyDescent="0.25">
      <c r="A631" t="s">
        <v>1157</v>
      </c>
      <c r="B631">
        <v>4.5E-11</v>
      </c>
      <c r="C631">
        <v>7.1999999999999997E-11</v>
      </c>
      <c r="D631">
        <v>2.1E-10</v>
      </c>
      <c r="E631">
        <v>1.5999999999999999E-10</v>
      </c>
      <c r="F631">
        <v>-1</v>
      </c>
      <c r="G631">
        <v>-1</v>
      </c>
    </row>
    <row r="632" spans="1:7" x14ac:dyDescent="0.25">
      <c r="A632" t="s">
        <v>1158</v>
      </c>
      <c r="B632">
        <v>2.8000000000000002E-10</v>
      </c>
      <c r="C632">
        <v>4.0000000000000001E-10</v>
      </c>
      <c r="D632">
        <v>3.1E-9</v>
      </c>
      <c r="E632">
        <v>2.7000000000000002E-9</v>
      </c>
      <c r="F632">
        <v>-1</v>
      </c>
      <c r="G632">
        <v>-1</v>
      </c>
    </row>
    <row r="633" spans="1:7" x14ac:dyDescent="0.25">
      <c r="A633" t="s">
        <v>1159</v>
      </c>
      <c r="B633">
        <v>1.0000000000000001E-9</v>
      </c>
      <c r="C633">
        <v>1.5E-9</v>
      </c>
      <c r="D633">
        <v>8.0999999999999997E-9</v>
      </c>
      <c r="E633">
        <v>6.1E-9</v>
      </c>
      <c r="F633">
        <v>-1</v>
      </c>
      <c r="G633">
        <v>-1</v>
      </c>
    </row>
    <row r="634" spans="1:7" x14ac:dyDescent="0.25">
      <c r="A634" t="s">
        <v>22</v>
      </c>
      <c r="B634">
        <v>2.8999999999999998E-10</v>
      </c>
      <c r="C634">
        <v>4.0000000000000001E-10</v>
      </c>
      <c r="D634">
        <v>3.9000000000000002E-9</v>
      </c>
      <c r="E634">
        <v>3.2000000000000001E-9</v>
      </c>
      <c r="F634">
        <v>-1</v>
      </c>
      <c r="G634">
        <v>-1</v>
      </c>
    </row>
    <row r="635" spans="1:7" x14ac:dyDescent="0.25">
      <c r="A635" t="s">
        <v>23</v>
      </c>
      <c r="B635">
        <v>1.2000000000000001E-11</v>
      </c>
      <c r="C635">
        <v>1.9999999999999999E-11</v>
      </c>
      <c r="D635">
        <v>1.8999999999999999E-11</v>
      </c>
      <c r="E635">
        <v>2.9E-11</v>
      </c>
      <c r="F635">
        <v>-1</v>
      </c>
      <c r="G635">
        <v>-1</v>
      </c>
    </row>
    <row r="636" spans="1:7" x14ac:dyDescent="0.25">
      <c r="A636" t="s">
        <v>1160</v>
      </c>
      <c r="B636">
        <v>6.3000000000000002E-11</v>
      </c>
      <c r="C636">
        <v>1.2E-10</v>
      </c>
      <c r="D636">
        <v>1.0999999999999999E-10</v>
      </c>
      <c r="E636">
        <v>1.7000000000000001E-10</v>
      </c>
      <c r="F636">
        <v>-1</v>
      </c>
      <c r="G636">
        <v>-1</v>
      </c>
    </row>
    <row r="637" spans="1:7" x14ac:dyDescent="0.25">
      <c r="A637" t="s">
        <v>1161</v>
      </c>
      <c r="B637">
        <v>2.5000000000000002E-10</v>
      </c>
      <c r="C637">
        <v>3.9E-10</v>
      </c>
      <c r="D637">
        <v>3.9E-10</v>
      </c>
      <c r="E637">
        <v>4.3999999999999998E-10</v>
      </c>
      <c r="F637">
        <v>-1</v>
      </c>
      <c r="G637">
        <v>-1</v>
      </c>
    </row>
    <row r="638" spans="1:7" x14ac:dyDescent="0.25">
      <c r="A638" t="s">
        <v>1162</v>
      </c>
      <c r="B638">
        <v>1.8E-9</v>
      </c>
      <c r="C638">
        <v>2.2999999999999999E-9</v>
      </c>
      <c r="D638">
        <v>4.2000000000000004E-9</v>
      </c>
      <c r="E638">
        <v>3.6E-9</v>
      </c>
      <c r="F638">
        <v>-1</v>
      </c>
      <c r="G638">
        <v>-1</v>
      </c>
    </row>
    <row r="639" spans="1:7" x14ac:dyDescent="0.25">
      <c r="A639" t="s">
        <v>1163</v>
      </c>
      <c r="B639">
        <v>4.0000000000000002E-9</v>
      </c>
      <c r="C639">
        <v>5.0000000000000001E-9</v>
      </c>
      <c r="D639">
        <v>2.6000000000000001E-9</v>
      </c>
      <c r="E639">
        <v>2.7999999999999998E-9</v>
      </c>
      <c r="F639">
        <v>-1</v>
      </c>
      <c r="G639">
        <v>-1</v>
      </c>
    </row>
    <row r="640" spans="1:7" x14ac:dyDescent="0.25">
      <c r="A640" t="s">
        <v>1164</v>
      </c>
      <c r="B640">
        <v>9.6999999999999996E-10</v>
      </c>
      <c r="C640">
        <v>1.2E-9</v>
      </c>
      <c r="D640">
        <v>3.9000000000000002E-9</v>
      </c>
      <c r="E640">
        <v>3.3999999999999998E-9</v>
      </c>
      <c r="F640">
        <v>-1</v>
      </c>
      <c r="G640">
        <v>-1</v>
      </c>
    </row>
    <row r="641" spans="1:7" x14ac:dyDescent="0.25">
      <c r="A641" t="s">
        <v>118</v>
      </c>
      <c r="B641">
        <v>5.1E-10</v>
      </c>
      <c r="C641">
        <v>6.6999999999999996E-10</v>
      </c>
      <c r="D641">
        <v>3.3000000000000002E-9</v>
      </c>
      <c r="E641">
        <v>2.8999999999999999E-9</v>
      </c>
      <c r="F641">
        <v>-1</v>
      </c>
      <c r="G641">
        <v>-1</v>
      </c>
    </row>
    <row r="642" spans="1:7" x14ac:dyDescent="0.25">
      <c r="A642" t="s">
        <v>1165</v>
      </c>
      <c r="B642">
        <v>4.1999999999999997E-11</v>
      </c>
      <c r="C642">
        <v>7.1999999999999997E-11</v>
      </c>
      <c r="D642">
        <v>1.2E-10</v>
      </c>
      <c r="E642">
        <v>1.8E-10</v>
      </c>
      <c r="F642">
        <v>-1</v>
      </c>
      <c r="G642">
        <v>-1</v>
      </c>
    </row>
    <row r="643" spans="1:7" x14ac:dyDescent="0.25">
      <c r="A643" t="s">
        <v>1166</v>
      </c>
      <c r="B643">
        <v>1.6000000000000001E-9</v>
      </c>
      <c r="C643">
        <v>2.0000000000000001E-9</v>
      </c>
      <c r="D643">
        <v>7.2E-9</v>
      </c>
      <c r="E643">
        <v>6.2000000000000001E-9</v>
      </c>
      <c r="F643">
        <v>-1</v>
      </c>
      <c r="G643">
        <v>-1</v>
      </c>
    </row>
    <row r="644" spans="1:7" x14ac:dyDescent="0.25">
      <c r="A644" t="s">
        <v>1167</v>
      </c>
      <c r="B644">
        <v>1.6999999999999999E-11</v>
      </c>
      <c r="C644">
        <v>2.9E-11</v>
      </c>
      <c r="D644">
        <v>3.7999999999999998E-11</v>
      </c>
      <c r="E644">
        <v>5.6999999999999997E-11</v>
      </c>
      <c r="F644">
        <v>-1</v>
      </c>
      <c r="G644">
        <v>-1</v>
      </c>
    </row>
    <row r="645" spans="1:7" x14ac:dyDescent="0.25">
      <c r="A645" t="s">
        <v>1168</v>
      </c>
      <c r="B645">
        <v>1.3000000000000001E-9</v>
      </c>
      <c r="C645">
        <v>1.8E-9</v>
      </c>
      <c r="D645">
        <v>6.3000000000000002E-9</v>
      </c>
      <c r="E645">
        <v>5.4000000000000004E-9</v>
      </c>
      <c r="F645">
        <v>-1</v>
      </c>
      <c r="G645">
        <v>-1</v>
      </c>
    </row>
    <row r="646" spans="1:7" x14ac:dyDescent="0.25">
      <c r="A646" t="s">
        <v>1169</v>
      </c>
      <c r="B646">
        <v>2.3000000000000001E-11</v>
      </c>
      <c r="C646">
        <v>4.6000000000000003E-11</v>
      </c>
      <c r="D646">
        <v>3.7999999999999998E-11</v>
      </c>
      <c r="E646">
        <v>6.0999999999999996E-11</v>
      </c>
      <c r="F646">
        <v>-1</v>
      </c>
      <c r="G646">
        <v>-1</v>
      </c>
    </row>
    <row r="647" spans="1:7" x14ac:dyDescent="0.25">
      <c r="A647" t="s">
        <v>1170</v>
      </c>
      <c r="B647">
        <v>8.6999999999999999E-10</v>
      </c>
      <c r="C647">
        <v>1.2E-9</v>
      </c>
      <c r="D647">
        <v>1.0999999999999999E-9</v>
      </c>
      <c r="E647">
        <v>1.6000000000000001E-9</v>
      </c>
      <c r="F647">
        <v>-1</v>
      </c>
      <c r="G647">
        <v>-1</v>
      </c>
    </row>
    <row r="648" spans="1:7" x14ac:dyDescent="0.25">
      <c r="A648" t="s">
        <v>1171</v>
      </c>
      <c r="B648">
        <v>1.8E-9</v>
      </c>
      <c r="C648">
        <v>2.4E-9</v>
      </c>
      <c r="D648">
        <v>2.1999999999999998E-9</v>
      </c>
      <c r="E648">
        <v>3E-9</v>
      </c>
      <c r="F648">
        <v>-1</v>
      </c>
      <c r="G648">
        <v>-1</v>
      </c>
    </row>
    <row r="649" spans="1:7" x14ac:dyDescent="0.25">
      <c r="A649" t="s">
        <v>1172</v>
      </c>
      <c r="B649">
        <v>1.9999999999999999E-11</v>
      </c>
      <c r="C649">
        <v>3.7999999999999998E-11</v>
      </c>
      <c r="D649">
        <v>2.7E-11</v>
      </c>
      <c r="E649">
        <v>4.4000000000000003E-11</v>
      </c>
      <c r="F649">
        <v>-1</v>
      </c>
      <c r="G649">
        <v>-1</v>
      </c>
    </row>
    <row r="650" spans="1:7" x14ac:dyDescent="0.25">
      <c r="A650" t="s">
        <v>1173</v>
      </c>
      <c r="B650">
        <v>8.3999999999999994E-11</v>
      </c>
      <c r="C650">
        <v>1.2E-10</v>
      </c>
      <c r="D650">
        <v>1.2E-10</v>
      </c>
      <c r="E650">
        <v>1.8999999999999999E-10</v>
      </c>
      <c r="F650">
        <v>-1</v>
      </c>
      <c r="G650">
        <v>-1</v>
      </c>
    </row>
    <row r="651" spans="1:7" x14ac:dyDescent="0.25">
      <c r="A651" t="s">
        <v>1174</v>
      </c>
      <c r="B651">
        <v>5.0000000000000002E-11</v>
      </c>
      <c r="C651">
        <v>8.2999999999999998E-11</v>
      </c>
      <c r="D651">
        <v>7.1E-11</v>
      </c>
      <c r="E651">
        <v>1.0999999999999999E-10</v>
      </c>
      <c r="F651">
        <v>-1</v>
      </c>
      <c r="G651">
        <v>-1</v>
      </c>
    </row>
    <row r="652" spans="1:7" x14ac:dyDescent="0.25">
      <c r="A652" t="s">
        <v>1175</v>
      </c>
      <c r="B652">
        <v>-1</v>
      </c>
      <c r="C652">
        <v>-1</v>
      </c>
      <c r="D652">
        <v>5.5000000000000003E-8</v>
      </c>
      <c r="E652">
        <v>7.4000000000000001E-8</v>
      </c>
      <c r="F652">
        <v>5.8999999999999999E-8</v>
      </c>
      <c r="G652">
        <v>7.7999999999999997E-8</v>
      </c>
    </row>
    <row r="653" spans="1:7" x14ac:dyDescent="0.25">
      <c r="A653" t="s">
        <v>77</v>
      </c>
      <c r="B653">
        <v>-1</v>
      </c>
      <c r="C653">
        <v>-1</v>
      </c>
      <c r="D653">
        <v>7.7999999999999999E-6</v>
      </c>
      <c r="E653">
        <v>6.1999999999999999E-6</v>
      </c>
      <c r="F653">
        <v>9.5999999999999996E-6</v>
      </c>
      <c r="G653">
        <v>7.6000000000000001E-6</v>
      </c>
    </row>
    <row r="654" spans="1:7" x14ac:dyDescent="0.25">
      <c r="A654" t="s">
        <v>79</v>
      </c>
      <c r="B654">
        <v>-1</v>
      </c>
      <c r="C654">
        <v>-1</v>
      </c>
      <c r="D654">
        <v>3.0000000000000001E-5</v>
      </c>
      <c r="E654">
        <v>2.1999999999999999E-5</v>
      </c>
      <c r="F654">
        <v>3.6999999999999998E-5</v>
      </c>
      <c r="G654">
        <v>2.5000000000000001E-5</v>
      </c>
    </row>
    <row r="655" spans="1:7" x14ac:dyDescent="0.25">
      <c r="A655" t="s">
        <v>82</v>
      </c>
      <c r="B655">
        <v>-1</v>
      </c>
      <c r="C655">
        <v>-1</v>
      </c>
      <c r="D655">
        <v>9.8999999999999994E-5</v>
      </c>
      <c r="E655">
        <v>6.8999999999999997E-5</v>
      </c>
      <c r="F655">
        <v>6.4999999999999994E-5</v>
      </c>
      <c r="G655">
        <v>4.8000000000000001E-5</v>
      </c>
    </row>
    <row r="656" spans="1:7" x14ac:dyDescent="0.25">
      <c r="A656" t="s">
        <v>83</v>
      </c>
      <c r="B656">
        <v>-1</v>
      </c>
      <c r="C656">
        <v>-1</v>
      </c>
      <c r="D656">
        <v>4.0000000000000003E-5</v>
      </c>
      <c r="E656">
        <v>2.8E-5</v>
      </c>
      <c r="F656">
        <v>1.2999999999999999E-5</v>
      </c>
      <c r="G656">
        <v>7.1999999999999997E-6</v>
      </c>
    </row>
    <row r="657" spans="1:7" x14ac:dyDescent="0.25">
      <c r="A657" t="s">
        <v>85</v>
      </c>
      <c r="B657">
        <v>-1</v>
      </c>
      <c r="C657">
        <v>-1</v>
      </c>
      <c r="D657">
        <v>2.8999999999999998E-10</v>
      </c>
      <c r="E657">
        <v>3.7000000000000001E-10</v>
      </c>
      <c r="F657">
        <v>3.1999999999999998E-10</v>
      </c>
      <c r="G657">
        <v>4.0000000000000001E-10</v>
      </c>
    </row>
    <row r="658" spans="1:7" x14ac:dyDescent="0.25">
      <c r="A658" t="s">
        <v>86</v>
      </c>
      <c r="B658">
        <v>-1</v>
      </c>
      <c r="C658">
        <v>-1</v>
      </c>
      <c r="D658">
        <v>4.1999999999999998E-5</v>
      </c>
      <c r="E658">
        <v>2.9E-5</v>
      </c>
      <c r="F658">
        <v>2.3E-5</v>
      </c>
      <c r="G658">
        <v>1.2E-5</v>
      </c>
    </row>
    <row r="659" spans="1:7" x14ac:dyDescent="0.25">
      <c r="A659" t="s">
        <v>92</v>
      </c>
      <c r="B659">
        <v>-1</v>
      </c>
      <c r="C659">
        <v>-1</v>
      </c>
      <c r="D659">
        <v>6.3000000000000002E-9</v>
      </c>
      <c r="E659">
        <v>5.3000000000000003E-9</v>
      </c>
      <c r="F659">
        <v>7.3E-9</v>
      </c>
      <c r="G659">
        <v>5.7999999999999998E-9</v>
      </c>
    </row>
    <row r="660" spans="1:7" x14ac:dyDescent="0.25">
      <c r="A660" t="s">
        <v>1176</v>
      </c>
      <c r="B660">
        <v>6.1000000000000004E-8</v>
      </c>
      <c r="C660">
        <v>7.1999999999999996E-8</v>
      </c>
      <c r="D660">
        <v>4.0000000000000001E-8</v>
      </c>
      <c r="E660">
        <v>2.7E-8</v>
      </c>
      <c r="F660">
        <v>1.1999999999999999E-7</v>
      </c>
      <c r="G660">
        <v>6.1999999999999999E-8</v>
      </c>
    </row>
    <row r="661" spans="1:7" x14ac:dyDescent="0.25">
      <c r="A661" t="s">
        <v>1177</v>
      </c>
      <c r="B661">
        <v>4.6000000000000003E-11</v>
      </c>
      <c r="C661">
        <v>8.2999999999999998E-11</v>
      </c>
      <c r="D661">
        <v>9.0999999999999996E-11</v>
      </c>
      <c r="E661">
        <v>1.4000000000000001E-10</v>
      </c>
      <c r="F661">
        <v>9.6000000000000005E-11</v>
      </c>
      <c r="G661">
        <v>1.5E-10</v>
      </c>
    </row>
    <row r="662" spans="1:7" x14ac:dyDescent="0.25">
      <c r="A662" t="s">
        <v>1178</v>
      </c>
      <c r="B662">
        <v>4.7999999999999997E-12</v>
      </c>
      <c r="C662">
        <v>8.8999999999999996E-12</v>
      </c>
      <c r="D662">
        <v>-1</v>
      </c>
      <c r="E662">
        <v>-1</v>
      </c>
      <c r="F662">
        <v>-1</v>
      </c>
      <c r="G662">
        <v>-1</v>
      </c>
    </row>
    <row r="663" spans="1:7" x14ac:dyDescent="0.25">
      <c r="A663" t="s">
        <v>1179</v>
      </c>
      <c r="B663">
        <v>1.9999999999999999E-11</v>
      </c>
      <c r="C663">
        <v>3.5999999999999998E-11</v>
      </c>
      <c r="D663">
        <v>-1</v>
      </c>
      <c r="E663">
        <v>-1</v>
      </c>
      <c r="F663">
        <v>-1</v>
      </c>
      <c r="G663">
        <v>-1</v>
      </c>
    </row>
    <row r="664" spans="1:7" x14ac:dyDescent="0.25">
      <c r="A664" t="s">
        <v>1180</v>
      </c>
      <c r="B664">
        <v>1.6E-11</v>
      </c>
      <c r="C664">
        <v>3E-11</v>
      </c>
      <c r="D664">
        <v>-1</v>
      </c>
      <c r="E664">
        <v>-1</v>
      </c>
      <c r="F664">
        <v>-1</v>
      </c>
      <c r="G664">
        <v>-1</v>
      </c>
    </row>
    <row r="665" spans="1:7" x14ac:dyDescent="0.25">
      <c r="A665" t="s">
        <v>1181</v>
      </c>
      <c r="B665">
        <v>1.5E-11</v>
      </c>
      <c r="C665">
        <v>2.7E-11</v>
      </c>
      <c r="D665">
        <v>-1</v>
      </c>
      <c r="E665">
        <v>-1</v>
      </c>
      <c r="F665">
        <v>-1</v>
      </c>
      <c r="G665">
        <v>-1</v>
      </c>
    </row>
    <row r="666" spans="1:7" x14ac:dyDescent="0.25">
      <c r="A666" t="s">
        <v>1182</v>
      </c>
      <c r="B666">
        <v>6.6000000000000005E-11</v>
      </c>
      <c r="C666">
        <v>1.2E-10</v>
      </c>
      <c r="D666">
        <v>-1</v>
      </c>
      <c r="E666">
        <v>-1</v>
      </c>
      <c r="F666">
        <v>-1</v>
      </c>
      <c r="G666">
        <v>-1</v>
      </c>
    </row>
    <row r="667" spans="1:7" x14ac:dyDescent="0.25">
      <c r="A667" t="s">
        <v>1183</v>
      </c>
      <c r="B667">
        <v>3.9999999999999998E-11</v>
      </c>
      <c r="C667">
        <v>7.3000000000000006E-11</v>
      </c>
      <c r="D667">
        <v>-1</v>
      </c>
      <c r="E667">
        <v>-1</v>
      </c>
      <c r="F667">
        <v>-1</v>
      </c>
      <c r="G667">
        <v>-1</v>
      </c>
    </row>
    <row r="668" spans="1:7" x14ac:dyDescent="0.25">
      <c r="A668" t="s">
        <v>1184</v>
      </c>
      <c r="B668">
        <v>1.9999999999999999E-11</v>
      </c>
      <c r="C668">
        <v>3.7000000000000001E-11</v>
      </c>
      <c r="D668">
        <v>-1</v>
      </c>
      <c r="E668">
        <v>-1</v>
      </c>
      <c r="F668">
        <v>-1</v>
      </c>
      <c r="G668">
        <v>-1</v>
      </c>
    </row>
    <row r="669" spans="1:7" x14ac:dyDescent="0.25">
      <c r="A669" t="s">
        <v>1185</v>
      </c>
      <c r="B669">
        <v>1.4000000000000001E-10</v>
      </c>
      <c r="C669">
        <v>2.5000000000000002E-10</v>
      </c>
      <c r="D669">
        <v>-1</v>
      </c>
      <c r="E669">
        <v>-1</v>
      </c>
      <c r="F669">
        <v>-1</v>
      </c>
      <c r="G669">
        <v>-1</v>
      </c>
    </row>
    <row r="670" spans="1:7" x14ac:dyDescent="0.25">
      <c r="A670" t="s">
        <v>1186</v>
      </c>
      <c r="B670">
        <v>4.6999999999999999E-11</v>
      </c>
      <c r="C670">
        <v>7.5999999999999996E-11</v>
      </c>
      <c r="D670">
        <v>-1</v>
      </c>
      <c r="E670">
        <v>-1</v>
      </c>
      <c r="F670">
        <v>-1</v>
      </c>
      <c r="G670">
        <v>-1</v>
      </c>
    </row>
    <row r="671" spans="1:7" x14ac:dyDescent="0.25">
      <c r="A671" t="s">
        <v>1187</v>
      </c>
      <c r="B671">
        <v>2.0000000000000001E-10</v>
      </c>
      <c r="C671">
        <v>3.1000000000000002E-10</v>
      </c>
      <c r="D671">
        <v>-1</v>
      </c>
      <c r="E671">
        <v>-1</v>
      </c>
      <c r="F671">
        <v>-1</v>
      </c>
      <c r="G671">
        <v>-1</v>
      </c>
    </row>
    <row r="672" spans="1:7" x14ac:dyDescent="0.25">
      <c r="A672" t="s">
        <v>1188</v>
      </c>
      <c r="B672">
        <v>4.3999999999999998E-10</v>
      </c>
      <c r="C672">
        <v>6.2000000000000003E-10</v>
      </c>
      <c r="D672">
        <v>-1</v>
      </c>
      <c r="E672">
        <v>-1</v>
      </c>
      <c r="F672">
        <v>-1</v>
      </c>
      <c r="G672">
        <v>-1</v>
      </c>
    </row>
    <row r="673" spans="1:7" x14ac:dyDescent="0.25">
      <c r="A673" t="s">
        <v>1189</v>
      </c>
      <c r="B673">
        <v>-1</v>
      </c>
      <c r="C673">
        <v>-1</v>
      </c>
      <c r="D673">
        <v>1.6E-11</v>
      </c>
      <c r="E673">
        <v>2.7E-11</v>
      </c>
      <c r="F673">
        <v>-1</v>
      </c>
      <c r="G673">
        <v>-1</v>
      </c>
    </row>
    <row r="674" spans="1:7" x14ac:dyDescent="0.25">
      <c r="A674" t="s">
        <v>1190</v>
      </c>
      <c r="B674">
        <v>-1</v>
      </c>
      <c r="C674">
        <v>-1</v>
      </c>
      <c r="D674">
        <v>1.8E-10</v>
      </c>
      <c r="E674">
        <v>2.8000000000000002E-10</v>
      </c>
      <c r="F674">
        <v>-1</v>
      </c>
      <c r="G674">
        <v>-1</v>
      </c>
    </row>
    <row r="675" spans="1:7" x14ac:dyDescent="0.25">
      <c r="A675" t="s">
        <v>1191</v>
      </c>
      <c r="B675">
        <v>-1</v>
      </c>
      <c r="C675">
        <v>-1</v>
      </c>
      <c r="D675">
        <v>1.0999999999999999E-9</v>
      </c>
      <c r="E675">
        <v>1.0000000000000001E-9</v>
      </c>
      <c r="F675">
        <v>-1</v>
      </c>
      <c r="G675">
        <v>-1</v>
      </c>
    </row>
    <row r="676" spans="1:7" x14ac:dyDescent="0.25">
      <c r="A676" t="s">
        <v>1192</v>
      </c>
      <c r="B676">
        <v>-1</v>
      </c>
      <c r="C676">
        <v>-1</v>
      </c>
      <c r="D676">
        <v>6.6000000000000004E-9</v>
      </c>
      <c r="E676">
        <v>5.2000000000000002E-9</v>
      </c>
      <c r="F676">
        <v>-1</v>
      </c>
      <c r="G676">
        <v>-1</v>
      </c>
    </row>
    <row r="677" spans="1:7" x14ac:dyDescent="0.25">
      <c r="A677" t="s">
        <v>1193</v>
      </c>
      <c r="B677">
        <v>-1</v>
      </c>
      <c r="C677">
        <v>-1</v>
      </c>
      <c r="D677">
        <v>1.3000000000000001E-9</v>
      </c>
      <c r="E677">
        <v>9.0999999999999996E-10</v>
      </c>
      <c r="F677">
        <v>-1</v>
      </c>
      <c r="G677">
        <v>-1</v>
      </c>
    </row>
    <row r="678" spans="1:7" x14ac:dyDescent="0.25">
      <c r="A678" t="s">
        <v>1194</v>
      </c>
      <c r="B678">
        <v>-1</v>
      </c>
      <c r="C678">
        <v>-1</v>
      </c>
      <c r="D678">
        <v>1.0999999999999999E-9</v>
      </c>
      <c r="E678">
        <v>1.3999999999999999E-9</v>
      </c>
      <c r="F678">
        <v>-1</v>
      </c>
      <c r="G678">
        <v>-1</v>
      </c>
    </row>
    <row r="679" spans="1:7" x14ac:dyDescent="0.25">
      <c r="A679" t="s">
        <v>1195</v>
      </c>
      <c r="B679">
        <v>-1</v>
      </c>
      <c r="C679">
        <v>-1</v>
      </c>
      <c r="D679">
        <v>1.8E-10</v>
      </c>
      <c r="E679">
        <v>2.5999999999999998E-10</v>
      </c>
      <c r="F679">
        <v>-1</v>
      </c>
      <c r="G679">
        <v>-1</v>
      </c>
    </row>
    <row r="680" spans="1:7" x14ac:dyDescent="0.25">
      <c r="A680" t="s">
        <v>1196</v>
      </c>
      <c r="B680">
        <v>-1</v>
      </c>
      <c r="C680">
        <v>-1</v>
      </c>
      <c r="D680">
        <v>1.8999999999999999E-11</v>
      </c>
      <c r="E680">
        <v>3.1000000000000003E-11</v>
      </c>
      <c r="F680">
        <v>-1</v>
      </c>
      <c r="G680">
        <v>-1</v>
      </c>
    </row>
    <row r="681" spans="1:7" x14ac:dyDescent="0.25">
      <c r="A681" t="s">
        <v>608</v>
      </c>
      <c r="B681">
        <v>3.5999999999999999E-7</v>
      </c>
      <c r="C681">
        <v>4.2E-7</v>
      </c>
      <c r="D681">
        <v>1.2E-5</v>
      </c>
      <c r="E681">
        <v>1.0000000000000001E-5</v>
      </c>
      <c r="F681">
        <v>1.5E-5</v>
      </c>
      <c r="G681">
        <v>1.2E-5</v>
      </c>
    </row>
    <row r="682" spans="1:7" x14ac:dyDescent="0.25">
      <c r="A682" t="s">
        <v>607</v>
      </c>
      <c r="B682">
        <v>6.7000000000000001E-11</v>
      </c>
      <c r="C682">
        <v>1.5999999999999999E-10</v>
      </c>
      <c r="D682">
        <v>4.3000000000000001E-10</v>
      </c>
      <c r="E682">
        <v>4.5E-10</v>
      </c>
      <c r="F682">
        <v>4.8E-10</v>
      </c>
      <c r="G682">
        <v>4.8999999999999996E-10</v>
      </c>
    </row>
    <row r="683" spans="1:7" x14ac:dyDescent="0.25">
      <c r="A683" t="s">
        <v>107</v>
      </c>
      <c r="B683">
        <v>3.9999999999999998E-6</v>
      </c>
      <c r="C683">
        <v>4.6999999999999999E-6</v>
      </c>
      <c r="D683">
        <v>7.1999999999999997E-6</v>
      </c>
      <c r="E683">
        <v>4.7999999999999998E-6</v>
      </c>
      <c r="F683">
        <v>3.4999999999999997E-5</v>
      </c>
      <c r="G683">
        <v>2.5999999999999998E-5</v>
      </c>
    </row>
    <row r="684" spans="1:7" x14ac:dyDescent="0.25">
      <c r="A684" t="s">
        <v>87</v>
      </c>
      <c r="B684">
        <v>5.7000000000000005E-7</v>
      </c>
      <c r="C684">
        <v>6.6000000000000003E-7</v>
      </c>
      <c r="D684">
        <v>3.1999999999999999E-6</v>
      </c>
      <c r="E684">
        <v>2.2000000000000001E-6</v>
      </c>
      <c r="F684">
        <v>8.6999999999999997E-6</v>
      </c>
      <c r="G684">
        <v>6.9E-6</v>
      </c>
    </row>
    <row r="685" spans="1:7" x14ac:dyDescent="0.25">
      <c r="A685" t="s">
        <v>89</v>
      </c>
      <c r="B685">
        <v>5.5000000000000003E-7</v>
      </c>
      <c r="C685">
        <v>6.4000000000000001E-7</v>
      </c>
      <c r="D685">
        <v>3.1E-6</v>
      </c>
      <c r="E685">
        <v>2.0999999999999998E-6</v>
      </c>
      <c r="F685">
        <v>8.4999999999999999E-6</v>
      </c>
      <c r="G685">
        <v>6.8000000000000001E-6</v>
      </c>
    </row>
    <row r="686" spans="1:7" x14ac:dyDescent="0.25">
      <c r="A686" t="s">
        <v>93</v>
      </c>
      <c r="B686">
        <v>5.0999999999999999E-7</v>
      </c>
      <c r="C686">
        <v>5.9999999999999997E-7</v>
      </c>
      <c r="D686">
        <v>2.7999999999999999E-6</v>
      </c>
      <c r="E686">
        <v>1.7999999999999999E-6</v>
      </c>
      <c r="F686">
        <v>7.7000000000000008E-6</v>
      </c>
      <c r="G686">
        <v>6.1E-6</v>
      </c>
    </row>
    <row r="687" spans="1:7" x14ac:dyDescent="0.25">
      <c r="A687" t="s">
        <v>94</v>
      </c>
      <c r="B687">
        <v>5.2E-7</v>
      </c>
      <c r="C687">
        <v>6.0999999999999998E-7</v>
      </c>
      <c r="D687">
        <v>2.9000000000000002E-6</v>
      </c>
      <c r="E687">
        <v>1.9E-6</v>
      </c>
      <c r="F687">
        <v>7.9000000000000006E-6</v>
      </c>
      <c r="G687">
        <v>6.2999999999999998E-6</v>
      </c>
    </row>
    <row r="688" spans="1:7" x14ac:dyDescent="0.25">
      <c r="A688" t="s">
        <v>96</v>
      </c>
      <c r="B688">
        <v>1.8999999999999999E-10</v>
      </c>
      <c r="C688">
        <v>3.3E-10</v>
      </c>
      <c r="D688">
        <v>1.6000000000000001E-9</v>
      </c>
      <c r="E688">
        <v>1.5E-9</v>
      </c>
      <c r="F688">
        <v>1.8E-9</v>
      </c>
      <c r="G688">
        <v>1.6999999999999999E-9</v>
      </c>
    </row>
    <row r="689" spans="1:7" x14ac:dyDescent="0.25">
      <c r="A689" t="s">
        <v>98</v>
      </c>
      <c r="B689">
        <v>4.8999999999999997E-7</v>
      </c>
      <c r="C689">
        <v>5.7999999999999995E-7</v>
      </c>
      <c r="D689">
        <v>2.6000000000000001E-6</v>
      </c>
      <c r="E689">
        <v>1.5999999999999999E-6</v>
      </c>
      <c r="F689">
        <v>7.3000000000000004E-6</v>
      </c>
      <c r="G689">
        <v>5.6999999999999996E-6</v>
      </c>
    </row>
    <row r="690" spans="1:7" x14ac:dyDescent="0.25">
      <c r="A690" t="s">
        <v>606</v>
      </c>
      <c r="B690">
        <v>1.1000000000000001E-11</v>
      </c>
      <c r="C690">
        <v>1.7999999999999999E-11</v>
      </c>
      <c r="D690">
        <v>2.3000000000000001E-11</v>
      </c>
      <c r="E690">
        <v>3.3000000000000002E-11</v>
      </c>
      <c r="F690">
        <v>2.4000000000000001E-11</v>
      </c>
      <c r="G690">
        <v>3.5000000000000002E-11</v>
      </c>
    </row>
    <row r="691" spans="1:7" x14ac:dyDescent="0.25">
      <c r="A691" t="s">
        <v>605</v>
      </c>
      <c r="B691">
        <v>2.1E-10</v>
      </c>
      <c r="C691">
        <v>3.7000000000000001E-10</v>
      </c>
      <c r="D691">
        <v>5.3000000000000003E-10</v>
      </c>
      <c r="E691">
        <v>7.8999999999999996E-10</v>
      </c>
      <c r="F691">
        <v>5.7E-10</v>
      </c>
      <c r="G691">
        <v>8.3999999999999999E-10</v>
      </c>
    </row>
    <row r="692" spans="1:7" x14ac:dyDescent="0.25">
      <c r="A692" t="s">
        <v>604</v>
      </c>
      <c r="B692">
        <v>1.8999999999999999E-11</v>
      </c>
      <c r="C692">
        <v>3.1999999999999999E-11</v>
      </c>
      <c r="D692">
        <v>3.1000000000000003E-11</v>
      </c>
      <c r="E692">
        <v>5.0000000000000002E-11</v>
      </c>
      <c r="F692">
        <v>-1</v>
      </c>
      <c r="G692">
        <v>-1</v>
      </c>
    </row>
    <row r="693" spans="1:7" x14ac:dyDescent="0.25">
      <c r="A693" t="s">
        <v>603</v>
      </c>
      <c r="B693">
        <v>1.0999999999999999E-9</v>
      </c>
      <c r="C693">
        <v>1.6999999999999999E-9</v>
      </c>
      <c r="D693">
        <v>2.2999999999999999E-9</v>
      </c>
      <c r="E693">
        <v>2.7000000000000002E-9</v>
      </c>
      <c r="F693">
        <v>-1</v>
      </c>
      <c r="G693">
        <v>-1</v>
      </c>
    </row>
    <row r="694" spans="1:7" x14ac:dyDescent="0.25">
      <c r="A694" t="s">
        <v>602</v>
      </c>
      <c r="B694">
        <v>2.0999999999999999E-11</v>
      </c>
      <c r="C694">
        <v>2.6000000000000001E-11</v>
      </c>
      <c r="D694">
        <v>3.1999999999999999E-11</v>
      </c>
      <c r="E694">
        <v>2.3000000000000001E-11</v>
      </c>
      <c r="F694">
        <v>-1</v>
      </c>
      <c r="G694">
        <v>-1</v>
      </c>
    </row>
    <row r="695" spans="1:7" x14ac:dyDescent="0.25">
      <c r="A695" t="s">
        <v>601</v>
      </c>
      <c r="B695">
        <v>4.4000000000000003E-11</v>
      </c>
      <c r="C695">
        <v>7.5999999999999996E-11</v>
      </c>
      <c r="D695">
        <v>-1</v>
      </c>
      <c r="E695">
        <v>-1</v>
      </c>
      <c r="F695">
        <v>-1</v>
      </c>
      <c r="G695">
        <v>-1</v>
      </c>
    </row>
    <row r="696" spans="1:7" x14ac:dyDescent="0.25">
      <c r="A696" t="s">
        <v>600</v>
      </c>
      <c r="B696">
        <v>2.6000000000000001E-11</v>
      </c>
      <c r="C696">
        <v>4.6000000000000003E-11</v>
      </c>
      <c r="D696">
        <v>-1</v>
      </c>
      <c r="E696">
        <v>-1</v>
      </c>
      <c r="F696">
        <v>-1</v>
      </c>
      <c r="G696">
        <v>-1</v>
      </c>
    </row>
    <row r="697" spans="1:7" x14ac:dyDescent="0.25">
      <c r="A697" t="s">
        <v>599</v>
      </c>
      <c r="B697">
        <v>7.5999999999999996E-11</v>
      </c>
      <c r="C697">
        <v>1.2E-10</v>
      </c>
      <c r="D697">
        <v>-1</v>
      </c>
      <c r="E697">
        <v>-1</v>
      </c>
      <c r="F697">
        <v>-1</v>
      </c>
      <c r="G697">
        <v>-1</v>
      </c>
    </row>
    <row r="698" spans="1:7" x14ac:dyDescent="0.25">
      <c r="A698" t="s">
        <v>598</v>
      </c>
      <c r="B698">
        <v>9.9000000000000002E-13</v>
      </c>
      <c r="C698">
        <v>1.8E-12</v>
      </c>
      <c r="D698">
        <v>-1</v>
      </c>
      <c r="E698">
        <v>-1</v>
      </c>
      <c r="F698">
        <v>-1</v>
      </c>
      <c r="G698">
        <v>-1</v>
      </c>
    </row>
    <row r="699" spans="1:7" x14ac:dyDescent="0.25">
      <c r="A699" t="s">
        <v>597</v>
      </c>
      <c r="B699">
        <v>2.8E-11</v>
      </c>
      <c r="C699">
        <v>4.3E-11</v>
      </c>
      <c r="D699">
        <v>-1</v>
      </c>
      <c r="E699">
        <v>-1</v>
      </c>
      <c r="F699">
        <v>-1</v>
      </c>
      <c r="G699">
        <v>-1</v>
      </c>
    </row>
    <row r="700" spans="1:7" x14ac:dyDescent="0.25">
      <c r="A700" t="s">
        <v>596</v>
      </c>
      <c r="B700">
        <v>1.4000000000000001E-10</v>
      </c>
      <c r="C700">
        <v>2.1999999999999999E-10</v>
      </c>
      <c r="D700">
        <v>-1</v>
      </c>
      <c r="E700">
        <v>-1</v>
      </c>
      <c r="F700">
        <v>-1</v>
      </c>
      <c r="G700">
        <v>-1</v>
      </c>
    </row>
    <row r="701" spans="1:7" x14ac:dyDescent="0.25">
      <c r="A701" t="s">
        <v>595</v>
      </c>
      <c r="B701">
        <v>2.0000000000000001E-10</v>
      </c>
      <c r="C701">
        <v>3.3E-10</v>
      </c>
      <c r="D701">
        <v>-1</v>
      </c>
      <c r="E701">
        <v>-1</v>
      </c>
      <c r="F701">
        <v>-1</v>
      </c>
      <c r="G701">
        <v>-1</v>
      </c>
    </row>
    <row r="702" spans="1:7" x14ac:dyDescent="0.25">
      <c r="A702" t="s">
        <v>594</v>
      </c>
      <c r="B702">
        <v>5.9000000000000003E-10</v>
      </c>
      <c r="C702">
        <v>8.3999999999999999E-10</v>
      </c>
      <c r="D702">
        <v>-1</v>
      </c>
      <c r="E702">
        <v>-1</v>
      </c>
      <c r="F702">
        <v>-1</v>
      </c>
      <c r="G702">
        <v>-1</v>
      </c>
    </row>
    <row r="703" spans="1:7" x14ac:dyDescent="0.25">
      <c r="A703" t="s">
        <v>593</v>
      </c>
      <c r="B703">
        <v>-1</v>
      </c>
      <c r="C703">
        <v>-1</v>
      </c>
      <c r="D703">
        <v>4.8E-10</v>
      </c>
      <c r="E703">
        <v>8.0000000000000003E-10</v>
      </c>
      <c r="F703">
        <v>4.8999999999999996E-10</v>
      </c>
      <c r="G703">
        <v>8.0999999999999999E-10</v>
      </c>
    </row>
    <row r="704" spans="1:7" x14ac:dyDescent="0.25">
      <c r="A704" t="s">
        <v>1197</v>
      </c>
      <c r="B704">
        <v>-1</v>
      </c>
      <c r="C704">
        <v>-1</v>
      </c>
      <c r="D704">
        <v>2.9E-11</v>
      </c>
      <c r="E704">
        <v>4.8000000000000002E-11</v>
      </c>
      <c r="F704">
        <v>3E-11</v>
      </c>
      <c r="G704">
        <v>4.8999999999999999E-11</v>
      </c>
    </row>
    <row r="705" spans="1:7" x14ac:dyDescent="0.25">
      <c r="A705" t="s">
        <v>592</v>
      </c>
      <c r="B705">
        <v>-1</v>
      </c>
      <c r="C705">
        <v>-1</v>
      </c>
      <c r="D705">
        <v>3.7999999999999998E-10</v>
      </c>
      <c r="E705">
        <v>5.1999999999999996E-10</v>
      </c>
      <c r="F705">
        <v>4.0000000000000001E-10</v>
      </c>
      <c r="G705">
        <v>5.3000000000000003E-10</v>
      </c>
    </row>
    <row r="706" spans="1:7" x14ac:dyDescent="0.25">
      <c r="A706" t="s">
        <v>591</v>
      </c>
      <c r="B706">
        <v>-1</v>
      </c>
      <c r="C706">
        <v>-1</v>
      </c>
      <c r="D706">
        <v>3.9000000000000002E-9</v>
      </c>
      <c r="E706">
        <v>3.3000000000000002E-9</v>
      </c>
      <c r="F706">
        <v>4.1000000000000003E-9</v>
      </c>
      <c r="G706">
        <v>3E-9</v>
      </c>
    </row>
    <row r="707" spans="1:7" x14ac:dyDescent="0.25">
      <c r="A707" t="s">
        <v>20</v>
      </c>
      <c r="B707">
        <v>-1</v>
      </c>
      <c r="C707">
        <v>-1</v>
      </c>
      <c r="D707">
        <v>1.3999999999999999E-9</v>
      </c>
      <c r="E707">
        <v>1.6000000000000001E-9</v>
      </c>
      <c r="F707">
        <v>1.5E-9</v>
      </c>
      <c r="G707">
        <v>1.6999999999999999E-9</v>
      </c>
    </row>
    <row r="708" spans="1:7" x14ac:dyDescent="0.25">
      <c r="A708" t="s">
        <v>1198</v>
      </c>
      <c r="B708">
        <v>-1</v>
      </c>
      <c r="C708">
        <v>-1</v>
      </c>
      <c r="D708">
        <v>9.6000000000000005E-11</v>
      </c>
      <c r="E708">
        <v>1.2999999999999999E-10</v>
      </c>
      <c r="F708">
        <v>1E-10</v>
      </c>
      <c r="G708">
        <v>1.2999999999999999E-10</v>
      </c>
    </row>
    <row r="709" spans="1:7" x14ac:dyDescent="0.25">
      <c r="A709" t="s">
        <v>590</v>
      </c>
      <c r="B709">
        <v>-1</v>
      </c>
      <c r="C709">
        <v>-1</v>
      </c>
      <c r="D709">
        <v>6.6999999999999996E-9</v>
      </c>
      <c r="E709">
        <v>5.2000000000000002E-9</v>
      </c>
      <c r="F709">
        <v>8.4000000000000008E-9</v>
      </c>
      <c r="G709">
        <v>6.1E-9</v>
      </c>
    </row>
    <row r="710" spans="1:7" x14ac:dyDescent="0.25">
      <c r="A710" t="s">
        <v>1199</v>
      </c>
      <c r="B710">
        <v>-1</v>
      </c>
      <c r="C710">
        <v>-1</v>
      </c>
      <c r="D710">
        <v>9.9999999999999994E-12</v>
      </c>
      <c r="E710">
        <v>1.4E-11</v>
      </c>
      <c r="F710">
        <v>1.1000000000000001E-11</v>
      </c>
      <c r="G710">
        <v>1.5E-11</v>
      </c>
    </row>
    <row r="711" spans="1:7" x14ac:dyDescent="0.25">
      <c r="A711" t="s">
        <v>589</v>
      </c>
      <c r="B711">
        <v>-1</v>
      </c>
      <c r="C711">
        <v>-1</v>
      </c>
      <c r="D711">
        <v>1.8999999999999999E-10</v>
      </c>
      <c r="E711">
        <v>2.7E-10</v>
      </c>
      <c r="F711">
        <v>2.0000000000000001E-10</v>
      </c>
      <c r="G711">
        <v>2.8000000000000002E-10</v>
      </c>
    </row>
    <row r="712" spans="1:7" x14ac:dyDescent="0.25">
      <c r="A712" t="s">
        <v>588</v>
      </c>
      <c r="B712">
        <v>-1</v>
      </c>
      <c r="C712">
        <v>-1</v>
      </c>
      <c r="D712">
        <v>4.0999999999999998E-10</v>
      </c>
      <c r="E712">
        <v>5.7E-10</v>
      </c>
      <c r="F712">
        <v>4.3000000000000001E-10</v>
      </c>
      <c r="G712">
        <v>6E-10</v>
      </c>
    </row>
    <row r="713" spans="1:7" x14ac:dyDescent="0.25">
      <c r="A713" t="s">
        <v>587</v>
      </c>
      <c r="B713">
        <v>-1</v>
      </c>
      <c r="C713">
        <v>-1</v>
      </c>
      <c r="D713">
        <v>2.8E-11</v>
      </c>
      <c r="E713">
        <v>4.4000000000000003E-11</v>
      </c>
      <c r="F713">
        <v>2.9E-11</v>
      </c>
      <c r="G713">
        <v>4.6000000000000003E-11</v>
      </c>
    </row>
    <row r="714" spans="1:7" x14ac:dyDescent="0.25">
      <c r="A714" t="s">
        <v>586</v>
      </c>
      <c r="B714">
        <v>-1</v>
      </c>
      <c r="C714">
        <v>-1</v>
      </c>
      <c r="D714">
        <v>1.6E-11</v>
      </c>
      <c r="E714">
        <v>2.5000000000000001E-11</v>
      </c>
      <c r="F714">
        <v>1.6999999999999999E-11</v>
      </c>
      <c r="G714">
        <v>2.6000000000000001E-11</v>
      </c>
    </row>
    <row r="715" spans="1:7" x14ac:dyDescent="0.25">
      <c r="A715" t="s">
        <v>1200</v>
      </c>
      <c r="B715">
        <v>-1</v>
      </c>
      <c r="C715">
        <v>-1</v>
      </c>
      <c r="D715">
        <v>1.4E-11</v>
      </c>
      <c r="E715">
        <v>2.2000000000000002E-11</v>
      </c>
      <c r="F715">
        <v>1.4E-11</v>
      </c>
      <c r="G715">
        <v>2.3000000000000001E-11</v>
      </c>
    </row>
    <row r="716" spans="1:7" x14ac:dyDescent="0.25">
      <c r="A716" t="s">
        <v>1201</v>
      </c>
      <c r="B716">
        <v>-1</v>
      </c>
      <c r="C716">
        <v>-1</v>
      </c>
      <c r="D716">
        <v>7.2E-10</v>
      </c>
      <c r="E716">
        <v>9.0999999999999996E-10</v>
      </c>
      <c r="F716">
        <v>7.5999999999999996E-10</v>
      </c>
      <c r="G716">
        <v>9.5000000000000003E-10</v>
      </c>
    </row>
    <row r="717" spans="1:7" x14ac:dyDescent="0.25">
      <c r="A717" t="s">
        <v>1202</v>
      </c>
      <c r="B717">
        <v>-1</v>
      </c>
      <c r="C717">
        <v>-1</v>
      </c>
      <c r="D717">
        <v>6.5000000000000002E-12</v>
      </c>
      <c r="E717">
        <v>8.9999999999999996E-12</v>
      </c>
      <c r="F717">
        <v>6.9000000000000001E-12</v>
      </c>
      <c r="G717">
        <v>9.4999999999999995E-12</v>
      </c>
    </row>
    <row r="718" spans="1:7" x14ac:dyDescent="0.25">
      <c r="A718" t="s">
        <v>1203</v>
      </c>
      <c r="B718">
        <v>-1</v>
      </c>
      <c r="C718">
        <v>-1</v>
      </c>
      <c r="D718">
        <v>2.4E-9</v>
      </c>
      <c r="E718">
        <v>2.1000000000000002E-9</v>
      </c>
      <c r="F718">
        <v>2.7999999999999998E-9</v>
      </c>
      <c r="G718">
        <v>2.4E-9</v>
      </c>
    </row>
    <row r="719" spans="1:7" x14ac:dyDescent="0.25">
      <c r="A719" t="s">
        <v>1204</v>
      </c>
      <c r="B719">
        <v>-1</v>
      </c>
      <c r="C719">
        <v>-1</v>
      </c>
      <c r="D719">
        <v>6.3E-10</v>
      </c>
      <c r="E719">
        <v>6.3999999999999996E-10</v>
      </c>
      <c r="F719">
        <v>6.9999999999999996E-10</v>
      </c>
      <c r="G719">
        <v>6.9999999999999996E-10</v>
      </c>
    </row>
    <row r="720" spans="1:7" x14ac:dyDescent="0.25">
      <c r="A720" t="s">
        <v>1205</v>
      </c>
      <c r="B720">
        <v>-1</v>
      </c>
      <c r="C720">
        <v>-1</v>
      </c>
      <c r="D720">
        <v>6.3999999999999999E-11</v>
      </c>
      <c r="E720">
        <v>8.8000000000000006E-11</v>
      </c>
      <c r="F720">
        <v>6.8999999999999994E-11</v>
      </c>
      <c r="G720">
        <v>9.3999999999999999E-11</v>
      </c>
    </row>
    <row r="721" spans="1:7" x14ac:dyDescent="0.25">
      <c r="A721" t="s">
        <v>1206</v>
      </c>
      <c r="B721">
        <v>-1</v>
      </c>
      <c r="C721">
        <v>-1</v>
      </c>
      <c r="D721">
        <v>7.1E-11</v>
      </c>
      <c r="E721">
        <v>1E-10</v>
      </c>
      <c r="F721">
        <v>7.5999999999999996E-11</v>
      </c>
      <c r="G721">
        <v>1.0999999999999999E-10</v>
      </c>
    </row>
    <row r="722" spans="1:7" x14ac:dyDescent="0.25">
      <c r="A722" t="s">
        <v>1207</v>
      </c>
      <c r="B722">
        <v>-1</v>
      </c>
      <c r="C722">
        <v>-1</v>
      </c>
      <c r="D722">
        <v>-1</v>
      </c>
      <c r="E722">
        <v>-1</v>
      </c>
      <c r="F722">
        <v>4.7000000000000003E-10</v>
      </c>
      <c r="G722">
        <v>6.6E-10</v>
      </c>
    </row>
    <row r="723" spans="1:7" x14ac:dyDescent="0.25">
      <c r="A723" t="s">
        <v>1208</v>
      </c>
      <c r="B723">
        <v>-1</v>
      </c>
      <c r="C723">
        <v>-1</v>
      </c>
      <c r="D723">
        <v>-1</v>
      </c>
      <c r="E723">
        <v>-1</v>
      </c>
      <c r="F723">
        <v>3.7999999999999998E-11</v>
      </c>
      <c r="G723">
        <v>6.0999999999999996E-11</v>
      </c>
    </row>
    <row r="724" spans="1:7" x14ac:dyDescent="0.25">
      <c r="A724" t="s">
        <v>17</v>
      </c>
      <c r="B724">
        <v>-1</v>
      </c>
      <c r="C724">
        <v>-1</v>
      </c>
      <c r="D724">
        <v>-1</v>
      </c>
      <c r="E724">
        <v>-1</v>
      </c>
      <c r="F724">
        <v>2.8999999999999999E-9</v>
      </c>
      <c r="G724">
        <v>2.7999999999999998E-9</v>
      </c>
    </row>
    <row r="725" spans="1:7" x14ac:dyDescent="0.25">
      <c r="A725" t="s">
        <v>1209</v>
      </c>
      <c r="B725">
        <v>-1</v>
      </c>
      <c r="C725">
        <v>-1</v>
      </c>
      <c r="D725">
        <v>-1</v>
      </c>
      <c r="E725">
        <v>-1</v>
      </c>
      <c r="F725">
        <v>2.8E-11</v>
      </c>
      <c r="G725">
        <v>4.3E-11</v>
      </c>
    </row>
    <row r="726" spans="1:7" x14ac:dyDescent="0.25">
      <c r="A726" t="s">
        <v>1210</v>
      </c>
      <c r="B726">
        <v>-1</v>
      </c>
      <c r="C726">
        <v>-1</v>
      </c>
      <c r="D726">
        <v>-1</v>
      </c>
      <c r="E726">
        <v>-1</v>
      </c>
      <c r="F726">
        <v>2.5999999999999998E-10</v>
      </c>
      <c r="G726">
        <v>3.3E-10</v>
      </c>
    </row>
    <row r="727" spans="1:7" x14ac:dyDescent="0.25">
      <c r="A727" t="s">
        <v>1211</v>
      </c>
      <c r="B727">
        <v>-1</v>
      </c>
      <c r="C727">
        <v>-1</v>
      </c>
      <c r="D727">
        <v>-1</v>
      </c>
      <c r="E727">
        <v>-1</v>
      </c>
      <c r="F727">
        <v>1.5999999999999999E-10</v>
      </c>
      <c r="G727">
        <v>2.4E-10</v>
      </c>
    </row>
    <row r="728" spans="1:7" x14ac:dyDescent="0.25">
      <c r="A728" t="s">
        <v>1212</v>
      </c>
      <c r="B728">
        <v>-1</v>
      </c>
      <c r="C728">
        <v>-1</v>
      </c>
      <c r="D728">
        <v>-1</v>
      </c>
      <c r="E728">
        <v>-1</v>
      </c>
      <c r="F728">
        <v>1.2E-9</v>
      </c>
      <c r="G728">
        <v>1.5E-9</v>
      </c>
    </row>
    <row r="729" spans="1:7" x14ac:dyDescent="0.25">
      <c r="A729" t="s">
        <v>1213</v>
      </c>
      <c r="B729">
        <v>3E-10</v>
      </c>
      <c r="C729">
        <v>5.1999999999999996E-10</v>
      </c>
      <c r="D729">
        <v>4.3000000000000001E-10</v>
      </c>
      <c r="E729">
        <v>6.8000000000000003E-10</v>
      </c>
      <c r="F729">
        <v>4.5E-10</v>
      </c>
      <c r="G729">
        <v>6.9999999999999996E-10</v>
      </c>
    </row>
    <row r="730" spans="1:7" x14ac:dyDescent="0.25">
      <c r="A730" t="s">
        <v>1214</v>
      </c>
      <c r="B730">
        <v>3.4999999999999999E-9</v>
      </c>
      <c r="C730">
        <v>4.1000000000000003E-9</v>
      </c>
      <c r="D730">
        <v>2.5000000000000001E-9</v>
      </c>
      <c r="E730">
        <v>1.6999999999999999E-9</v>
      </c>
      <c r="F730">
        <v>3.3000000000000002E-9</v>
      </c>
      <c r="G730">
        <v>1.8E-9</v>
      </c>
    </row>
    <row r="731" spans="1:7" x14ac:dyDescent="0.25">
      <c r="A731" t="s">
        <v>1215</v>
      </c>
      <c r="B731">
        <v>3.1000000000000002E-10</v>
      </c>
      <c r="C731">
        <v>5.1999999999999996E-10</v>
      </c>
      <c r="D731">
        <v>5.3000000000000003E-10</v>
      </c>
      <c r="E731">
        <v>7.2E-10</v>
      </c>
      <c r="F731">
        <v>5.4999999999999996E-10</v>
      </c>
      <c r="G731">
        <v>7.5E-10</v>
      </c>
    </row>
    <row r="732" spans="1:7" x14ac:dyDescent="0.25">
      <c r="A732" t="s">
        <v>110</v>
      </c>
      <c r="B732">
        <v>2.4999999999999999E-8</v>
      </c>
      <c r="C732">
        <v>2.9000000000000002E-8</v>
      </c>
      <c r="D732">
        <v>9.5999999999999999E-9</v>
      </c>
      <c r="E732">
        <v>6.6000000000000004E-9</v>
      </c>
      <c r="F732">
        <v>3.1E-9</v>
      </c>
      <c r="G732">
        <v>1.6999999999999999E-9</v>
      </c>
    </row>
    <row r="733" spans="1:7" x14ac:dyDescent="0.25">
      <c r="A733" t="s">
        <v>1216</v>
      </c>
      <c r="B733">
        <v>2.5000000000000001E-9</v>
      </c>
      <c r="C733">
        <v>3E-9</v>
      </c>
      <c r="D733">
        <v>4.4999999999999998E-9</v>
      </c>
      <c r="E733">
        <v>3.6E-9</v>
      </c>
      <c r="F733">
        <v>5.4999999999999996E-9</v>
      </c>
      <c r="G733">
        <v>4.2000000000000004E-9</v>
      </c>
    </row>
    <row r="734" spans="1:7" x14ac:dyDescent="0.25">
      <c r="A734" t="s">
        <v>1217</v>
      </c>
      <c r="B734">
        <v>4.2E-10</v>
      </c>
      <c r="C734">
        <v>7.4000000000000003E-10</v>
      </c>
      <c r="D734">
        <v>9.4000000000000006E-10</v>
      </c>
      <c r="E734">
        <v>1.3000000000000001E-9</v>
      </c>
      <c r="F734">
        <v>1.0000000000000001E-9</v>
      </c>
      <c r="G734">
        <v>1.3999999999999999E-9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737"/>
  <sheetViews>
    <sheetView workbookViewId="0">
      <selection activeCell="C1" sqref="C1:C1048576"/>
    </sheetView>
  </sheetViews>
  <sheetFormatPr defaultRowHeight="15" x14ac:dyDescent="0.25"/>
  <cols>
    <col min="1" max="1" width="12" bestFit="1" customWidth="1"/>
    <col min="2" max="2" width="8.28515625" bestFit="1" customWidth="1"/>
  </cols>
  <sheetData>
    <row r="1" spans="1:2" x14ac:dyDescent="0.25">
      <c r="A1" t="s">
        <v>585</v>
      </c>
      <c r="B1" t="s">
        <v>631</v>
      </c>
    </row>
    <row r="2" spans="1:2" x14ac:dyDescent="0.25">
      <c r="A2" t="s">
        <v>633</v>
      </c>
      <c r="B2">
        <v>6.9999999999999996E-10</v>
      </c>
    </row>
    <row r="3" spans="1:2" x14ac:dyDescent="0.25">
      <c r="A3" t="s">
        <v>74</v>
      </c>
      <c r="B3">
        <v>2.4E-8</v>
      </c>
    </row>
    <row r="4" spans="1:2" x14ac:dyDescent="0.25">
      <c r="A4" t="s">
        <v>634</v>
      </c>
      <c r="B4">
        <v>1E-8</v>
      </c>
    </row>
    <row r="5" spans="1:2" x14ac:dyDescent="0.25">
      <c r="A5" t="s">
        <v>78</v>
      </c>
      <c r="B5">
        <v>1.1000000000000001E-6</v>
      </c>
    </row>
    <row r="6" spans="1:2" x14ac:dyDescent="0.25">
      <c r="A6" t="s">
        <v>80</v>
      </c>
      <c r="B6">
        <v>4.3000000000000001E-10</v>
      </c>
    </row>
    <row r="7" spans="1:2" x14ac:dyDescent="0.25">
      <c r="A7" t="s">
        <v>635</v>
      </c>
      <c r="B7">
        <v>3.9999999999999998E-11</v>
      </c>
    </row>
    <row r="8" spans="1:2" x14ac:dyDescent="0.25">
      <c r="A8" t="s">
        <v>636</v>
      </c>
      <c r="B8">
        <v>4.3E-11</v>
      </c>
    </row>
    <row r="9" spans="1:2" x14ac:dyDescent="0.25">
      <c r="A9" t="s">
        <v>637</v>
      </c>
      <c r="B9">
        <v>6E-11</v>
      </c>
    </row>
    <row r="10" spans="1:2" x14ac:dyDescent="0.25">
      <c r="A10" t="s">
        <v>638</v>
      </c>
      <c r="B10">
        <v>5.4000000000000001E-11</v>
      </c>
    </row>
    <row r="11" spans="1:2" x14ac:dyDescent="0.25">
      <c r="A11" t="s">
        <v>639</v>
      </c>
      <c r="B11">
        <v>4.7000000000000003E-10</v>
      </c>
    </row>
    <row r="12" spans="1:2" x14ac:dyDescent="0.25">
      <c r="A12" t="s">
        <v>640</v>
      </c>
      <c r="B12">
        <v>3.1999999999999999E-11</v>
      </c>
    </row>
    <row r="13" spans="1:2" x14ac:dyDescent="0.25">
      <c r="A13" t="s">
        <v>641</v>
      </c>
      <c r="B13">
        <v>1.5E-9</v>
      </c>
    </row>
    <row r="14" spans="1:2" x14ac:dyDescent="0.25">
      <c r="A14" t="s">
        <v>642</v>
      </c>
      <c r="B14">
        <v>2.2999999999999999E-9</v>
      </c>
    </row>
    <row r="15" spans="1:2" x14ac:dyDescent="0.25">
      <c r="A15" t="s">
        <v>643</v>
      </c>
      <c r="B15">
        <v>2.7999999999999998E-9</v>
      </c>
    </row>
    <row r="16" spans="1:2" x14ac:dyDescent="0.25">
      <c r="A16" t="s">
        <v>644</v>
      </c>
      <c r="B16">
        <v>1.3000000000000001E-9</v>
      </c>
    </row>
    <row r="17" spans="1:2" x14ac:dyDescent="0.25">
      <c r="A17" t="s">
        <v>645</v>
      </c>
      <c r="B17">
        <v>4.3000000000000001E-10</v>
      </c>
    </row>
    <row r="18" spans="1:2" x14ac:dyDescent="0.25">
      <c r="A18" t="s">
        <v>646</v>
      </c>
      <c r="B18">
        <v>6E-11</v>
      </c>
    </row>
    <row r="19" spans="1:2" x14ac:dyDescent="0.25">
      <c r="A19" t="s">
        <v>647</v>
      </c>
      <c r="B19">
        <v>3.4999999999999999E-9</v>
      </c>
    </row>
    <row r="20" spans="1:2" x14ac:dyDescent="0.25">
      <c r="A20" t="s">
        <v>648</v>
      </c>
      <c r="B20">
        <v>1.7999999999999999E-11</v>
      </c>
    </row>
    <row r="21" spans="1:2" x14ac:dyDescent="0.25">
      <c r="A21" t="s">
        <v>649</v>
      </c>
      <c r="B21">
        <v>3.1999999999999999E-11</v>
      </c>
    </row>
    <row r="22" spans="1:2" x14ac:dyDescent="0.25">
      <c r="A22" t="s">
        <v>650</v>
      </c>
      <c r="B22">
        <v>2.4E-10</v>
      </c>
    </row>
    <row r="23" spans="1:2" x14ac:dyDescent="0.25">
      <c r="A23" t="s">
        <v>651</v>
      </c>
      <c r="B23">
        <v>5.7999999999999996E-10</v>
      </c>
    </row>
    <row r="24" spans="1:2" x14ac:dyDescent="0.25">
      <c r="A24" t="s">
        <v>102</v>
      </c>
      <c r="B24">
        <v>1.9999999999999999E-7</v>
      </c>
    </row>
    <row r="25" spans="1:2" x14ac:dyDescent="0.25">
      <c r="A25" t="s">
        <v>134</v>
      </c>
      <c r="B25">
        <v>3E-10</v>
      </c>
    </row>
    <row r="26" spans="1:2" x14ac:dyDescent="0.25">
      <c r="A26" t="s">
        <v>135</v>
      </c>
      <c r="B26">
        <v>1.9000000000000001E-7</v>
      </c>
    </row>
    <row r="27" spans="1:2" x14ac:dyDescent="0.25">
      <c r="A27" t="s">
        <v>104</v>
      </c>
      <c r="B27">
        <v>1.9999999999999999E-7</v>
      </c>
    </row>
    <row r="28" spans="1:2" x14ac:dyDescent="0.25">
      <c r="A28" t="s">
        <v>652</v>
      </c>
      <c r="B28">
        <v>4.6000000000000001E-10</v>
      </c>
    </row>
    <row r="29" spans="1:2" x14ac:dyDescent="0.25">
      <c r="A29" t="s">
        <v>653</v>
      </c>
      <c r="B29">
        <v>2.9E-11</v>
      </c>
    </row>
    <row r="30" spans="1:2" x14ac:dyDescent="0.25">
      <c r="A30" t="s">
        <v>654</v>
      </c>
      <c r="B30">
        <v>6.2000000000000006E-11</v>
      </c>
    </row>
    <row r="31" spans="1:2" x14ac:dyDescent="0.25">
      <c r="A31" t="s">
        <v>655</v>
      </c>
      <c r="B31">
        <v>5.8E-11</v>
      </c>
    </row>
    <row r="32" spans="1:2" x14ac:dyDescent="0.25">
      <c r="A32" t="s">
        <v>656</v>
      </c>
      <c r="B32">
        <v>3.3999999999999999E-11</v>
      </c>
    </row>
    <row r="33" spans="1:2" x14ac:dyDescent="0.25">
      <c r="A33" t="s">
        <v>657</v>
      </c>
      <c r="B33">
        <v>5.6999999999999997E-11</v>
      </c>
    </row>
    <row r="34" spans="1:2" x14ac:dyDescent="0.25">
      <c r="A34" t="s">
        <v>658</v>
      </c>
      <c r="B34">
        <v>1.2999999999999999E-10</v>
      </c>
    </row>
    <row r="35" spans="1:2" x14ac:dyDescent="0.25">
      <c r="A35" t="s">
        <v>659</v>
      </c>
      <c r="B35">
        <v>4.6000000000000001E-10</v>
      </c>
    </row>
    <row r="36" spans="1:2" x14ac:dyDescent="0.25">
      <c r="A36" t="s">
        <v>660</v>
      </c>
      <c r="B36">
        <v>1.8E-9</v>
      </c>
    </row>
    <row r="37" spans="1:2" x14ac:dyDescent="0.25">
      <c r="A37" t="s">
        <v>661</v>
      </c>
      <c r="B37">
        <v>2.5999999999999998E-10</v>
      </c>
    </row>
    <row r="38" spans="1:2" x14ac:dyDescent="0.25">
      <c r="A38" t="s">
        <v>662</v>
      </c>
      <c r="B38">
        <v>1.3000000000000001E-9</v>
      </c>
    </row>
    <row r="39" spans="1:2" x14ac:dyDescent="0.25">
      <c r="A39" t="s">
        <v>663</v>
      </c>
      <c r="B39">
        <v>1.6000000000000001E-9</v>
      </c>
    </row>
    <row r="40" spans="1:2" x14ac:dyDescent="0.25">
      <c r="A40" t="s">
        <v>664</v>
      </c>
      <c r="B40">
        <v>4.0000000000000001E-10</v>
      </c>
    </row>
    <row r="41" spans="1:2" x14ac:dyDescent="0.25">
      <c r="A41" t="s">
        <v>665</v>
      </c>
      <c r="B41">
        <v>2.1E-10</v>
      </c>
    </row>
    <row r="42" spans="1:2" x14ac:dyDescent="0.25">
      <c r="A42" t="s">
        <v>666</v>
      </c>
      <c r="B42">
        <v>2.3000000000000001E-10</v>
      </c>
    </row>
    <row r="43" spans="1:2" x14ac:dyDescent="0.25">
      <c r="A43" t="s">
        <v>667</v>
      </c>
      <c r="B43">
        <v>1.0999999999999999E-8</v>
      </c>
    </row>
    <row r="44" spans="1:2" x14ac:dyDescent="0.25">
      <c r="A44" t="s">
        <v>668</v>
      </c>
      <c r="B44">
        <v>1.2999999999999999E-10</v>
      </c>
    </row>
    <row r="45" spans="1:2" x14ac:dyDescent="0.25">
      <c r="A45" t="s">
        <v>669</v>
      </c>
      <c r="B45">
        <v>4.2E-10</v>
      </c>
    </row>
    <row r="46" spans="1:2" x14ac:dyDescent="0.25">
      <c r="A46" t="s">
        <v>670</v>
      </c>
      <c r="B46">
        <v>2.5000000000000002E-10</v>
      </c>
    </row>
    <row r="47" spans="1:2" x14ac:dyDescent="0.25">
      <c r="A47" t="s">
        <v>671</v>
      </c>
      <c r="B47">
        <v>1.0000000000000001E-9</v>
      </c>
    </row>
    <row r="48" spans="1:2" x14ac:dyDescent="0.25">
      <c r="A48" t="s">
        <v>672</v>
      </c>
      <c r="B48">
        <v>1.3000000000000001E-9</v>
      </c>
    </row>
    <row r="49" spans="1:2" x14ac:dyDescent="0.25">
      <c r="A49" t="s">
        <v>673</v>
      </c>
      <c r="B49">
        <v>4.3999999999999998E-10</v>
      </c>
    </row>
    <row r="50" spans="1:2" x14ac:dyDescent="0.25">
      <c r="A50" t="s">
        <v>674</v>
      </c>
      <c r="B50">
        <v>6.7999999999999998E-11</v>
      </c>
    </row>
    <row r="51" spans="1:2" x14ac:dyDescent="0.25">
      <c r="A51" t="s">
        <v>675</v>
      </c>
      <c r="B51">
        <v>1.0999999999999999E-9</v>
      </c>
    </row>
    <row r="52" spans="1:2" x14ac:dyDescent="0.25">
      <c r="A52" t="s">
        <v>676</v>
      </c>
      <c r="B52">
        <v>2.4000000000000001E-11</v>
      </c>
    </row>
    <row r="53" spans="1:2" x14ac:dyDescent="0.25">
      <c r="A53" t="s">
        <v>677</v>
      </c>
      <c r="B53">
        <v>2.5999999999999998E-10</v>
      </c>
    </row>
    <row r="54" spans="1:2" x14ac:dyDescent="0.25">
      <c r="A54" t="s">
        <v>678</v>
      </c>
      <c r="B54">
        <v>2.7000000000000002E-9</v>
      </c>
    </row>
    <row r="55" spans="1:2" x14ac:dyDescent="0.25">
      <c r="A55" t="s">
        <v>679</v>
      </c>
      <c r="B55">
        <v>4.5E-10</v>
      </c>
    </row>
    <row r="56" spans="1:2" x14ac:dyDescent="0.25">
      <c r="A56" t="s">
        <v>680</v>
      </c>
      <c r="B56">
        <v>4.8999999999999997E-12</v>
      </c>
    </row>
    <row r="57" spans="1:2" x14ac:dyDescent="0.25">
      <c r="A57" t="s">
        <v>681</v>
      </c>
      <c r="B57">
        <v>1.0000000000000001E-9</v>
      </c>
    </row>
    <row r="58" spans="1:2" x14ac:dyDescent="0.25">
      <c r="A58" t="s">
        <v>682</v>
      </c>
      <c r="B58">
        <v>5.4999999999999996E-10</v>
      </c>
    </row>
    <row r="59" spans="1:2" x14ac:dyDescent="0.25">
      <c r="A59" t="s">
        <v>683</v>
      </c>
      <c r="B59">
        <v>4.5E-10</v>
      </c>
    </row>
    <row r="60" spans="1:2" x14ac:dyDescent="0.25">
      <c r="A60" t="s">
        <v>684</v>
      </c>
      <c r="B60">
        <v>1.2E-10</v>
      </c>
    </row>
    <row r="61" spans="1:2" x14ac:dyDescent="0.25">
      <c r="A61" t="s">
        <v>685</v>
      </c>
      <c r="B61">
        <v>2.5000000000000001E-9</v>
      </c>
    </row>
    <row r="62" spans="1:2" x14ac:dyDescent="0.25">
      <c r="A62" t="s">
        <v>686</v>
      </c>
      <c r="B62">
        <v>7.0000000000000004E-11</v>
      </c>
    </row>
    <row r="63" spans="1:2" x14ac:dyDescent="0.25">
      <c r="A63" t="s">
        <v>687</v>
      </c>
      <c r="B63">
        <v>3.5000000000000002E-11</v>
      </c>
    </row>
    <row r="64" spans="1:2" x14ac:dyDescent="0.25">
      <c r="A64" t="s">
        <v>688</v>
      </c>
      <c r="B64">
        <v>1.0999999999999999E-9</v>
      </c>
    </row>
    <row r="65" spans="1:2" x14ac:dyDescent="0.25">
      <c r="A65" t="s">
        <v>689</v>
      </c>
      <c r="B65">
        <v>2.8E-11</v>
      </c>
    </row>
    <row r="66" spans="1:2" x14ac:dyDescent="0.25">
      <c r="A66" t="s">
        <v>690</v>
      </c>
      <c r="B66">
        <v>5.0999999999999998E-11</v>
      </c>
    </row>
    <row r="67" spans="1:2" x14ac:dyDescent="0.25">
      <c r="A67" t="s">
        <v>691</v>
      </c>
      <c r="B67">
        <v>1.2E-10</v>
      </c>
    </row>
    <row r="68" spans="1:2" x14ac:dyDescent="0.25">
      <c r="A68" t="s">
        <v>692</v>
      </c>
      <c r="B68">
        <v>8.9000000000000003E-11</v>
      </c>
    </row>
    <row r="69" spans="1:2" x14ac:dyDescent="0.25">
      <c r="A69" t="s">
        <v>693</v>
      </c>
      <c r="B69">
        <v>4.8E-10</v>
      </c>
    </row>
    <row r="70" spans="1:2" x14ac:dyDescent="0.25">
      <c r="A70" t="s">
        <v>694</v>
      </c>
      <c r="B70">
        <v>8.9999999999999999E-10</v>
      </c>
    </row>
    <row r="71" spans="1:2" x14ac:dyDescent="0.25">
      <c r="A71" t="s">
        <v>695</v>
      </c>
      <c r="B71">
        <v>1.9000000000000001E-9</v>
      </c>
    </row>
    <row r="72" spans="1:2" x14ac:dyDescent="0.25">
      <c r="A72" t="s">
        <v>696</v>
      </c>
      <c r="B72">
        <v>1.3000000000000001E-9</v>
      </c>
    </row>
    <row r="73" spans="1:2" x14ac:dyDescent="0.25">
      <c r="A73" t="s">
        <v>43</v>
      </c>
      <c r="B73">
        <v>1.3000000000000001E-9</v>
      </c>
    </row>
    <row r="74" spans="1:2" x14ac:dyDescent="0.25">
      <c r="A74" t="s">
        <v>697</v>
      </c>
      <c r="B74">
        <v>1.4999999999999999E-8</v>
      </c>
    </row>
    <row r="75" spans="1:2" x14ac:dyDescent="0.25">
      <c r="A75" t="s">
        <v>50</v>
      </c>
      <c r="B75">
        <v>2.5999999999999998E-10</v>
      </c>
    </row>
    <row r="76" spans="1:2" x14ac:dyDescent="0.25">
      <c r="A76" t="s">
        <v>53</v>
      </c>
      <c r="B76">
        <v>2.0000000000000001E-10</v>
      </c>
    </row>
    <row r="77" spans="1:2" x14ac:dyDescent="0.25">
      <c r="A77" t="s">
        <v>55</v>
      </c>
      <c r="B77">
        <v>1.0999999999999999E-10</v>
      </c>
    </row>
    <row r="78" spans="1:2" x14ac:dyDescent="0.25">
      <c r="A78" t="s">
        <v>698</v>
      </c>
      <c r="B78">
        <v>5.7E-10</v>
      </c>
    </row>
    <row r="79" spans="1:2" x14ac:dyDescent="0.25">
      <c r="A79" t="s">
        <v>699</v>
      </c>
      <c r="B79">
        <v>4.8E-10</v>
      </c>
    </row>
    <row r="80" spans="1:2" x14ac:dyDescent="0.25">
      <c r="A80" t="s">
        <v>700</v>
      </c>
      <c r="B80">
        <v>3.4999999999999998E-7</v>
      </c>
    </row>
    <row r="81" spans="1:2" x14ac:dyDescent="0.25">
      <c r="A81" t="s">
        <v>701</v>
      </c>
      <c r="B81">
        <v>9.6999999999999996E-10</v>
      </c>
    </row>
    <row r="82" spans="1:2" x14ac:dyDescent="0.25">
      <c r="A82" t="s">
        <v>702</v>
      </c>
      <c r="B82">
        <v>1.4000000000000001E-10</v>
      </c>
    </row>
    <row r="83" spans="1:2" x14ac:dyDescent="0.25">
      <c r="A83" t="s">
        <v>703</v>
      </c>
      <c r="B83">
        <v>8.3999999999999994E-11</v>
      </c>
    </row>
    <row r="84" spans="1:2" x14ac:dyDescent="0.25">
      <c r="A84" t="s">
        <v>704</v>
      </c>
      <c r="B84">
        <v>1.4000000000000001E-10</v>
      </c>
    </row>
    <row r="85" spans="1:2" x14ac:dyDescent="0.25">
      <c r="A85" t="s">
        <v>705</v>
      </c>
      <c r="B85">
        <v>7.8999999999999999E-11</v>
      </c>
    </row>
    <row r="86" spans="1:2" x14ac:dyDescent="0.25">
      <c r="A86" t="s">
        <v>706</v>
      </c>
      <c r="B86">
        <v>4.6000000000000001E-10</v>
      </c>
    </row>
    <row r="87" spans="1:2" x14ac:dyDescent="0.25">
      <c r="A87" t="s">
        <v>707</v>
      </c>
      <c r="B87">
        <v>9.6000000000000005E-11</v>
      </c>
    </row>
    <row r="88" spans="1:2" x14ac:dyDescent="0.25">
      <c r="A88" t="s">
        <v>708</v>
      </c>
      <c r="B88">
        <v>3.1000000000000003E-11</v>
      </c>
    </row>
    <row r="89" spans="1:2" x14ac:dyDescent="0.25">
      <c r="A89" t="s">
        <v>709</v>
      </c>
      <c r="B89">
        <v>1.0999999999999999E-10</v>
      </c>
    </row>
    <row r="90" spans="1:2" x14ac:dyDescent="0.25">
      <c r="A90" t="s">
        <v>710</v>
      </c>
      <c r="B90">
        <v>5.4E-10</v>
      </c>
    </row>
    <row r="91" spans="1:2" x14ac:dyDescent="0.25">
      <c r="A91" t="s">
        <v>711</v>
      </c>
      <c r="B91">
        <v>4.3E-11</v>
      </c>
    </row>
    <row r="92" spans="1:2" x14ac:dyDescent="0.25">
      <c r="A92" t="s">
        <v>712</v>
      </c>
      <c r="B92">
        <v>8.8000000000000006E-11</v>
      </c>
    </row>
    <row r="93" spans="1:2" x14ac:dyDescent="0.25">
      <c r="A93" t="s">
        <v>630</v>
      </c>
      <c r="B93">
        <v>2.4000000000000001E-11</v>
      </c>
    </row>
    <row r="94" spans="1:2" x14ac:dyDescent="0.25">
      <c r="A94" t="s">
        <v>2</v>
      </c>
      <c r="B94">
        <v>5.7999999999999996E-10</v>
      </c>
    </row>
    <row r="95" spans="1:2" x14ac:dyDescent="0.25">
      <c r="A95" t="s">
        <v>713</v>
      </c>
      <c r="B95">
        <v>2.8999999999999998E-10</v>
      </c>
    </row>
    <row r="96" spans="1:2" x14ac:dyDescent="0.25">
      <c r="A96" t="s">
        <v>8</v>
      </c>
      <c r="B96">
        <v>7.5999999999999996E-10</v>
      </c>
    </row>
    <row r="97" spans="1:2" x14ac:dyDescent="0.25">
      <c r="A97" t="s">
        <v>714</v>
      </c>
      <c r="B97">
        <v>1.6000000000000001E-9</v>
      </c>
    </row>
    <row r="98" spans="1:2" x14ac:dyDescent="0.25">
      <c r="A98" t="s">
        <v>715</v>
      </c>
      <c r="B98">
        <v>5.8E-11</v>
      </c>
    </row>
    <row r="99" spans="1:2" x14ac:dyDescent="0.25">
      <c r="A99" t="s">
        <v>716</v>
      </c>
      <c r="B99">
        <v>6.2000000000000006E-11</v>
      </c>
    </row>
    <row r="100" spans="1:2" x14ac:dyDescent="0.25">
      <c r="A100" t="s">
        <v>717</v>
      </c>
      <c r="B100">
        <v>2.0000000000000001E-9</v>
      </c>
    </row>
    <row r="101" spans="1:2" x14ac:dyDescent="0.25">
      <c r="A101" t="s">
        <v>145</v>
      </c>
      <c r="B101">
        <v>2.4999999999999999E-8</v>
      </c>
    </row>
    <row r="102" spans="1:2" x14ac:dyDescent="0.25">
      <c r="A102" t="s">
        <v>115</v>
      </c>
      <c r="B102">
        <v>2.3000000000000001E-8</v>
      </c>
    </row>
    <row r="103" spans="1:2" x14ac:dyDescent="0.25">
      <c r="A103" t="s">
        <v>718</v>
      </c>
      <c r="B103">
        <v>1.3999999999999999E-9</v>
      </c>
    </row>
    <row r="104" spans="1:2" x14ac:dyDescent="0.25">
      <c r="A104" t="s">
        <v>719</v>
      </c>
      <c r="B104">
        <v>3.3000000000000002E-9</v>
      </c>
    </row>
    <row r="105" spans="1:2" x14ac:dyDescent="0.25">
      <c r="A105" t="s">
        <v>720</v>
      </c>
      <c r="B105">
        <v>2.8000000000000002E-10</v>
      </c>
    </row>
    <row r="106" spans="1:2" x14ac:dyDescent="0.25">
      <c r="A106" t="s">
        <v>721</v>
      </c>
      <c r="B106">
        <v>2.8000000000000002E-10</v>
      </c>
    </row>
    <row r="107" spans="1:2" x14ac:dyDescent="0.25">
      <c r="A107" t="s">
        <v>722</v>
      </c>
      <c r="B107">
        <v>2.5000000000000001E-9</v>
      </c>
    </row>
    <row r="108" spans="1:2" x14ac:dyDescent="0.25">
      <c r="A108" t="s">
        <v>723</v>
      </c>
      <c r="B108">
        <v>7.8999999999999996E-10</v>
      </c>
    </row>
    <row r="109" spans="1:2" x14ac:dyDescent="0.25">
      <c r="A109" t="s">
        <v>724</v>
      </c>
      <c r="B109">
        <v>2.5000000000000001E-11</v>
      </c>
    </row>
    <row r="110" spans="1:2" x14ac:dyDescent="0.25">
      <c r="A110" t="s">
        <v>725</v>
      </c>
      <c r="B110">
        <v>5.4E-10</v>
      </c>
    </row>
    <row r="111" spans="1:2" x14ac:dyDescent="0.25">
      <c r="A111" t="s">
        <v>726</v>
      </c>
      <c r="B111">
        <v>2.5999999999999998E-10</v>
      </c>
    </row>
    <row r="112" spans="1:2" x14ac:dyDescent="0.25">
      <c r="A112" t="s">
        <v>727</v>
      </c>
      <c r="B112">
        <v>7.1000000000000003E-10</v>
      </c>
    </row>
    <row r="113" spans="1:2" x14ac:dyDescent="0.25">
      <c r="A113" t="s">
        <v>728</v>
      </c>
      <c r="B113">
        <v>1.0999999999999999E-9</v>
      </c>
    </row>
    <row r="114" spans="1:2" x14ac:dyDescent="0.25">
      <c r="A114" t="s">
        <v>124</v>
      </c>
      <c r="B114">
        <v>5.2000000000000002E-9</v>
      </c>
    </row>
    <row r="115" spans="1:2" x14ac:dyDescent="0.25">
      <c r="A115" t="s">
        <v>729</v>
      </c>
      <c r="B115">
        <v>7.0000000000000004E-11</v>
      </c>
    </row>
    <row r="116" spans="1:2" x14ac:dyDescent="0.25">
      <c r="A116" t="s">
        <v>730</v>
      </c>
      <c r="B116">
        <v>3.3000000000000002E-9</v>
      </c>
    </row>
    <row r="117" spans="1:2" x14ac:dyDescent="0.25">
      <c r="A117" t="s">
        <v>731</v>
      </c>
      <c r="B117">
        <v>2.7999999999999999E-8</v>
      </c>
    </row>
    <row r="118" spans="1:2" x14ac:dyDescent="0.25">
      <c r="A118" t="s">
        <v>732</v>
      </c>
      <c r="B118">
        <v>3.4999999999999998E-7</v>
      </c>
    </row>
    <row r="119" spans="1:2" x14ac:dyDescent="0.25">
      <c r="A119" t="s">
        <v>733</v>
      </c>
      <c r="B119">
        <v>1.6E-7</v>
      </c>
    </row>
    <row r="120" spans="1:2" x14ac:dyDescent="0.25">
      <c r="A120" t="s">
        <v>734</v>
      </c>
      <c r="B120">
        <v>3.5999999999999999E-7</v>
      </c>
    </row>
    <row r="121" spans="1:2" x14ac:dyDescent="0.25">
      <c r="A121" t="s">
        <v>735</v>
      </c>
      <c r="B121">
        <v>8.9999999999999999E-8</v>
      </c>
    </row>
    <row r="122" spans="1:2" x14ac:dyDescent="0.25">
      <c r="A122" t="s">
        <v>736</v>
      </c>
      <c r="B122">
        <v>1.3999999999999999E-9</v>
      </c>
    </row>
    <row r="123" spans="1:2" x14ac:dyDescent="0.25">
      <c r="A123" t="s">
        <v>737</v>
      </c>
      <c r="B123">
        <v>3.9999999999999998E-7</v>
      </c>
    </row>
    <row r="124" spans="1:2" x14ac:dyDescent="0.25">
      <c r="A124" t="s">
        <v>7</v>
      </c>
      <c r="B124">
        <v>9.2999999999999999E-10</v>
      </c>
    </row>
    <row r="125" spans="1:2" x14ac:dyDescent="0.25">
      <c r="A125" t="s">
        <v>738</v>
      </c>
      <c r="B125">
        <v>1.2E-10</v>
      </c>
    </row>
    <row r="126" spans="1:2" x14ac:dyDescent="0.25">
      <c r="A126" t="s">
        <v>739</v>
      </c>
      <c r="B126">
        <v>8.5000000000000004E-11</v>
      </c>
    </row>
    <row r="127" spans="1:2" x14ac:dyDescent="0.25">
      <c r="A127" t="s">
        <v>740</v>
      </c>
      <c r="B127">
        <v>7.9999999999999995E-11</v>
      </c>
    </row>
    <row r="128" spans="1:2" x14ac:dyDescent="0.25">
      <c r="A128" t="s">
        <v>741</v>
      </c>
      <c r="B128">
        <v>7.6000000000000002E-9</v>
      </c>
    </row>
    <row r="129" spans="1:2" x14ac:dyDescent="0.25">
      <c r="A129" t="s">
        <v>742</v>
      </c>
      <c r="B129">
        <v>9.0999999999999996E-10</v>
      </c>
    </row>
    <row r="130" spans="1:2" x14ac:dyDescent="0.25">
      <c r="A130" t="s">
        <v>136</v>
      </c>
      <c r="B130">
        <v>1.2E-8</v>
      </c>
    </row>
    <row r="131" spans="1:2" x14ac:dyDescent="0.25">
      <c r="A131" t="s">
        <v>105</v>
      </c>
      <c r="B131">
        <v>1.4999999999999999E-7</v>
      </c>
    </row>
    <row r="132" spans="1:2" x14ac:dyDescent="0.25">
      <c r="A132" t="s">
        <v>106</v>
      </c>
      <c r="B132">
        <v>1.1999999999999999E-7</v>
      </c>
    </row>
    <row r="133" spans="1:2" x14ac:dyDescent="0.25">
      <c r="A133" t="s">
        <v>137</v>
      </c>
      <c r="B133">
        <v>2.1E-7</v>
      </c>
    </row>
    <row r="134" spans="1:2" x14ac:dyDescent="0.25">
      <c r="A134" t="s">
        <v>138</v>
      </c>
      <c r="B134">
        <v>2.1E-7</v>
      </c>
    </row>
    <row r="135" spans="1:2" x14ac:dyDescent="0.25">
      <c r="A135" t="s">
        <v>743</v>
      </c>
      <c r="B135">
        <v>1.9000000000000001E-7</v>
      </c>
    </row>
    <row r="136" spans="1:2" x14ac:dyDescent="0.25">
      <c r="A136" t="s">
        <v>744</v>
      </c>
      <c r="B136">
        <v>7.7000000000000004E-7</v>
      </c>
    </row>
    <row r="137" spans="1:2" x14ac:dyDescent="0.25">
      <c r="A137" t="s">
        <v>745</v>
      </c>
      <c r="B137">
        <v>3.1000000000000003E-11</v>
      </c>
    </row>
    <row r="138" spans="1:2" x14ac:dyDescent="0.25">
      <c r="A138" t="s">
        <v>746</v>
      </c>
      <c r="B138">
        <v>4.4000000000000002E-6</v>
      </c>
    </row>
    <row r="139" spans="1:2" x14ac:dyDescent="0.25">
      <c r="A139" t="s">
        <v>747</v>
      </c>
      <c r="B139">
        <v>1.0999999999999999E-9</v>
      </c>
    </row>
    <row r="140" spans="1:2" x14ac:dyDescent="0.25">
      <c r="A140" t="s">
        <v>748</v>
      </c>
      <c r="B140">
        <v>2.5000000000000001E-9</v>
      </c>
    </row>
    <row r="141" spans="1:2" x14ac:dyDescent="0.25">
      <c r="A141" t="s">
        <v>12</v>
      </c>
      <c r="B141">
        <v>2.1E-10</v>
      </c>
    </row>
    <row r="142" spans="1:2" x14ac:dyDescent="0.25">
      <c r="A142" t="s">
        <v>749</v>
      </c>
      <c r="B142">
        <v>7.4000000000000003E-10</v>
      </c>
    </row>
    <row r="143" spans="1:2" x14ac:dyDescent="0.25">
      <c r="A143" t="s">
        <v>750</v>
      </c>
      <c r="B143">
        <v>2.4000000000000001E-11</v>
      </c>
    </row>
    <row r="144" spans="1:2" x14ac:dyDescent="0.25">
      <c r="A144" t="s">
        <v>14</v>
      </c>
      <c r="B144">
        <v>3.3999999999999998E-9</v>
      </c>
    </row>
    <row r="145" spans="1:2" x14ac:dyDescent="0.25">
      <c r="A145" t="s">
        <v>751</v>
      </c>
      <c r="B145">
        <v>1.7E-12</v>
      </c>
    </row>
    <row r="146" spans="1:2" x14ac:dyDescent="0.25">
      <c r="A146" t="s">
        <v>752</v>
      </c>
      <c r="B146">
        <v>7.4000000000000003E-11</v>
      </c>
    </row>
    <row r="147" spans="1:2" x14ac:dyDescent="0.25">
      <c r="A147" t="s">
        <v>753</v>
      </c>
      <c r="B147">
        <v>4.6999999999999999E-11</v>
      </c>
    </row>
    <row r="148" spans="1:2" x14ac:dyDescent="0.25">
      <c r="A148" t="s">
        <v>754</v>
      </c>
      <c r="B148">
        <v>2.0000000000000001E-10</v>
      </c>
    </row>
    <row r="149" spans="1:2" x14ac:dyDescent="0.25">
      <c r="A149" t="s">
        <v>755</v>
      </c>
      <c r="B149">
        <v>6.0999999999999996E-11</v>
      </c>
    </row>
    <row r="150" spans="1:2" x14ac:dyDescent="0.25">
      <c r="A150" t="s">
        <v>9</v>
      </c>
      <c r="B150">
        <v>3.7999999999999998E-11</v>
      </c>
    </row>
    <row r="151" spans="1:2" x14ac:dyDescent="0.25">
      <c r="A151" t="s">
        <v>756</v>
      </c>
      <c r="B151">
        <v>3.5000000000000002E-11</v>
      </c>
    </row>
    <row r="152" spans="1:2" x14ac:dyDescent="0.25">
      <c r="A152" t="s">
        <v>757</v>
      </c>
      <c r="B152">
        <v>2.4000000000000001E-11</v>
      </c>
    </row>
    <row r="153" spans="1:2" x14ac:dyDescent="0.25">
      <c r="A153" t="s">
        <v>758</v>
      </c>
      <c r="B153">
        <v>6E-11</v>
      </c>
    </row>
    <row r="154" spans="1:2" x14ac:dyDescent="0.25">
      <c r="A154" t="s">
        <v>759</v>
      </c>
      <c r="B154">
        <v>2.8E-11</v>
      </c>
    </row>
    <row r="155" spans="1:2" x14ac:dyDescent="0.25">
      <c r="A155" t="s">
        <v>760</v>
      </c>
      <c r="B155">
        <v>5.8E-11</v>
      </c>
    </row>
    <row r="156" spans="1:2" x14ac:dyDescent="0.25">
      <c r="A156" t="s">
        <v>761</v>
      </c>
      <c r="B156">
        <v>5.0000000000000003E-10</v>
      </c>
    </row>
    <row r="157" spans="1:2" x14ac:dyDescent="0.25">
      <c r="A157" t="s">
        <v>122</v>
      </c>
      <c r="B157">
        <v>1.9000000000000001E-8</v>
      </c>
    </row>
    <row r="158" spans="1:2" x14ac:dyDescent="0.25">
      <c r="A158" t="s">
        <v>762</v>
      </c>
      <c r="B158">
        <v>1.9999999999999999E-11</v>
      </c>
    </row>
    <row r="159" spans="1:2" x14ac:dyDescent="0.25">
      <c r="A159" t="s">
        <v>123</v>
      </c>
      <c r="B159">
        <v>2.0000000000000001E-9</v>
      </c>
    </row>
    <row r="160" spans="1:2" x14ac:dyDescent="0.25">
      <c r="A160" t="s">
        <v>763</v>
      </c>
      <c r="B160">
        <v>1.8999999999999999E-11</v>
      </c>
    </row>
    <row r="161" spans="1:2" x14ac:dyDescent="0.25">
      <c r="A161" t="s">
        <v>764</v>
      </c>
      <c r="B161">
        <v>3E-9</v>
      </c>
    </row>
    <row r="162" spans="1:2" x14ac:dyDescent="0.25">
      <c r="A162" t="s">
        <v>31</v>
      </c>
      <c r="B162">
        <v>1.3000000000000001E-8</v>
      </c>
    </row>
    <row r="163" spans="1:2" x14ac:dyDescent="0.25">
      <c r="A163" t="s">
        <v>765</v>
      </c>
      <c r="B163">
        <v>9.2000000000000005E-11</v>
      </c>
    </row>
    <row r="164" spans="1:2" x14ac:dyDescent="0.25">
      <c r="A164" t="s">
        <v>766</v>
      </c>
      <c r="B164">
        <v>7.0000000000000004E-11</v>
      </c>
    </row>
    <row r="165" spans="1:2" x14ac:dyDescent="0.25">
      <c r="A165" t="s">
        <v>767</v>
      </c>
      <c r="B165">
        <v>1.2E-10</v>
      </c>
    </row>
    <row r="166" spans="1:2" x14ac:dyDescent="0.25">
      <c r="A166" t="s">
        <v>16</v>
      </c>
      <c r="B166">
        <v>1.2E-10</v>
      </c>
    </row>
    <row r="167" spans="1:2" x14ac:dyDescent="0.25">
      <c r="A167" t="s">
        <v>768</v>
      </c>
      <c r="B167">
        <v>3.4000000000000001E-10</v>
      </c>
    </row>
    <row r="168" spans="1:2" x14ac:dyDescent="0.25">
      <c r="A168" t="s">
        <v>769</v>
      </c>
      <c r="B168">
        <v>1.2999999999999999E-10</v>
      </c>
    </row>
    <row r="169" spans="1:2" x14ac:dyDescent="0.25">
      <c r="A169" t="s">
        <v>770</v>
      </c>
      <c r="B169">
        <v>6.0999999999999996E-11</v>
      </c>
    </row>
    <row r="170" spans="1:2" x14ac:dyDescent="0.25">
      <c r="A170" t="s">
        <v>771</v>
      </c>
      <c r="B170">
        <v>1E-10</v>
      </c>
    </row>
    <row r="171" spans="1:2" x14ac:dyDescent="0.25">
      <c r="A171" t="s">
        <v>772</v>
      </c>
      <c r="B171">
        <v>1.0999999999999999E-10</v>
      </c>
    </row>
    <row r="172" spans="1:2" x14ac:dyDescent="0.25">
      <c r="A172" t="s">
        <v>773</v>
      </c>
      <c r="B172">
        <v>1.6000000000000001E-9</v>
      </c>
    </row>
    <row r="173" spans="1:2" x14ac:dyDescent="0.25">
      <c r="A173" t="s">
        <v>774</v>
      </c>
      <c r="B173">
        <v>7.9999999999999995E-11</v>
      </c>
    </row>
    <row r="174" spans="1:2" x14ac:dyDescent="0.25">
      <c r="A174" t="s">
        <v>775</v>
      </c>
      <c r="B174">
        <v>1.8999999999999999E-11</v>
      </c>
    </row>
    <row r="175" spans="1:2" x14ac:dyDescent="0.25">
      <c r="A175" t="s">
        <v>776</v>
      </c>
      <c r="B175">
        <v>3.7000000000000001E-10</v>
      </c>
    </row>
    <row r="176" spans="1:2" x14ac:dyDescent="0.25">
      <c r="A176" t="s">
        <v>777</v>
      </c>
      <c r="B176">
        <v>3.6E-10</v>
      </c>
    </row>
    <row r="177" spans="1:2" x14ac:dyDescent="0.25">
      <c r="A177" t="s">
        <v>778</v>
      </c>
      <c r="B177">
        <v>1.0000000000000001E-9</v>
      </c>
    </row>
    <row r="178" spans="1:2" x14ac:dyDescent="0.25">
      <c r="A178" t="s">
        <v>779</v>
      </c>
      <c r="B178">
        <v>2.0999999999999999E-11</v>
      </c>
    </row>
    <row r="179" spans="1:2" x14ac:dyDescent="0.25">
      <c r="A179" t="s">
        <v>780</v>
      </c>
      <c r="B179">
        <v>1.7000000000000001E-10</v>
      </c>
    </row>
    <row r="180" spans="1:2" x14ac:dyDescent="0.25">
      <c r="A180" t="s">
        <v>781</v>
      </c>
      <c r="B180">
        <v>6.1E-9</v>
      </c>
    </row>
    <row r="181" spans="1:2" x14ac:dyDescent="0.25">
      <c r="A181" t="s">
        <v>782</v>
      </c>
      <c r="B181">
        <v>2.7999999999999999E-8</v>
      </c>
    </row>
    <row r="182" spans="1:2" x14ac:dyDescent="0.25">
      <c r="A182" t="s">
        <v>783</v>
      </c>
      <c r="B182">
        <v>4.2000000000000004E-9</v>
      </c>
    </row>
    <row r="183" spans="1:2" x14ac:dyDescent="0.25">
      <c r="A183" t="s">
        <v>784</v>
      </c>
      <c r="B183">
        <v>7.5E-10</v>
      </c>
    </row>
    <row r="184" spans="1:2" x14ac:dyDescent="0.25">
      <c r="A184" t="s">
        <v>785</v>
      </c>
      <c r="B184">
        <v>1.3000000000000001E-9</v>
      </c>
    </row>
    <row r="185" spans="1:2" x14ac:dyDescent="0.25">
      <c r="A185" t="s">
        <v>786</v>
      </c>
      <c r="B185">
        <v>4.3999999999999998E-10</v>
      </c>
    </row>
    <row r="186" spans="1:2" x14ac:dyDescent="0.25">
      <c r="A186" t="s">
        <v>787</v>
      </c>
      <c r="B186">
        <v>1.3000000000000001E-9</v>
      </c>
    </row>
    <row r="187" spans="1:2" x14ac:dyDescent="0.25">
      <c r="A187" t="s">
        <v>788</v>
      </c>
      <c r="B187">
        <v>1E-10</v>
      </c>
    </row>
    <row r="188" spans="1:2" x14ac:dyDescent="0.25">
      <c r="A188" t="s">
        <v>789</v>
      </c>
      <c r="B188">
        <v>1.3000000000000001E-9</v>
      </c>
    </row>
    <row r="189" spans="1:2" x14ac:dyDescent="0.25">
      <c r="A189" t="s">
        <v>790</v>
      </c>
      <c r="B189">
        <v>3.7999999999999998E-10</v>
      </c>
    </row>
    <row r="190" spans="1:2" x14ac:dyDescent="0.25">
      <c r="A190" t="s">
        <v>36</v>
      </c>
      <c r="B190">
        <v>1.3999999999999999E-9</v>
      </c>
    </row>
    <row r="191" spans="1:2" x14ac:dyDescent="0.25">
      <c r="A191" t="s">
        <v>791</v>
      </c>
      <c r="B191">
        <v>5.0000000000000003E-10</v>
      </c>
    </row>
    <row r="192" spans="1:2" x14ac:dyDescent="0.25">
      <c r="A192" t="s">
        <v>129</v>
      </c>
      <c r="B192">
        <v>2.0000000000000001E-9</v>
      </c>
    </row>
    <row r="193" spans="1:2" x14ac:dyDescent="0.25">
      <c r="A193" t="s">
        <v>130</v>
      </c>
      <c r="B193">
        <v>3.1999999999999998E-10</v>
      </c>
    </row>
    <row r="194" spans="1:2" x14ac:dyDescent="0.25">
      <c r="A194" t="s">
        <v>792</v>
      </c>
      <c r="B194">
        <v>2.1999999999999998E-9</v>
      </c>
    </row>
    <row r="195" spans="1:2" x14ac:dyDescent="0.25">
      <c r="A195" t="s">
        <v>793</v>
      </c>
      <c r="B195">
        <v>6E-10</v>
      </c>
    </row>
    <row r="196" spans="1:2" x14ac:dyDescent="0.25">
      <c r="A196" t="s">
        <v>794</v>
      </c>
      <c r="B196">
        <v>9.3999999999999999E-11</v>
      </c>
    </row>
    <row r="197" spans="1:2" x14ac:dyDescent="0.25">
      <c r="A197" t="s">
        <v>623</v>
      </c>
      <c r="B197">
        <v>4.8999999999999999E-11</v>
      </c>
    </row>
    <row r="198" spans="1:2" x14ac:dyDescent="0.25">
      <c r="A198" t="s">
        <v>795</v>
      </c>
      <c r="B198">
        <v>1.3999999999999999E-9</v>
      </c>
    </row>
    <row r="199" spans="1:2" x14ac:dyDescent="0.25">
      <c r="A199" t="s">
        <v>11</v>
      </c>
      <c r="B199">
        <v>3.3E-10</v>
      </c>
    </row>
    <row r="200" spans="1:2" x14ac:dyDescent="0.25">
      <c r="A200" t="s">
        <v>13</v>
      </c>
      <c r="B200">
        <v>1.8E-9</v>
      </c>
    </row>
    <row r="201" spans="1:2" x14ac:dyDescent="0.25">
      <c r="A201" t="s">
        <v>796</v>
      </c>
      <c r="B201">
        <v>1.1000000000000001E-7</v>
      </c>
    </row>
    <row r="202" spans="1:2" x14ac:dyDescent="0.25">
      <c r="A202" t="s">
        <v>797</v>
      </c>
      <c r="B202">
        <v>2.7000000000000002E-9</v>
      </c>
    </row>
    <row r="203" spans="1:2" x14ac:dyDescent="0.25">
      <c r="A203" t="s">
        <v>798</v>
      </c>
      <c r="B203">
        <v>9.0999999999999996E-10</v>
      </c>
    </row>
    <row r="204" spans="1:2" x14ac:dyDescent="0.25">
      <c r="A204" t="s">
        <v>799</v>
      </c>
      <c r="B204">
        <v>4.3999999999999998E-10</v>
      </c>
    </row>
    <row r="205" spans="1:2" x14ac:dyDescent="0.25">
      <c r="A205" t="s">
        <v>800</v>
      </c>
      <c r="B205">
        <v>2.5000000000000001E-9</v>
      </c>
    </row>
    <row r="206" spans="1:2" x14ac:dyDescent="0.25">
      <c r="A206" t="s">
        <v>801</v>
      </c>
      <c r="B206">
        <v>1.4999999999999999E-8</v>
      </c>
    </row>
    <row r="207" spans="1:2" x14ac:dyDescent="0.25">
      <c r="A207" t="s">
        <v>802</v>
      </c>
      <c r="B207">
        <v>7.1000000000000003E-10</v>
      </c>
    </row>
    <row r="208" spans="1:2" x14ac:dyDescent="0.25">
      <c r="A208" t="s">
        <v>72</v>
      </c>
      <c r="B208">
        <v>2.2999999999999999E-9</v>
      </c>
    </row>
    <row r="209" spans="1:2" x14ac:dyDescent="0.25">
      <c r="A209" t="s">
        <v>803</v>
      </c>
      <c r="B209">
        <v>3.7000000000000001E-11</v>
      </c>
    </row>
    <row r="210" spans="1:2" x14ac:dyDescent="0.25">
      <c r="A210" t="s">
        <v>804</v>
      </c>
      <c r="B210">
        <v>1.2E-9</v>
      </c>
    </row>
    <row r="211" spans="1:2" x14ac:dyDescent="0.25">
      <c r="A211" t="s">
        <v>805</v>
      </c>
      <c r="B211">
        <v>1.8999999999999999E-10</v>
      </c>
    </row>
    <row r="212" spans="1:2" x14ac:dyDescent="0.25">
      <c r="A212" t="s">
        <v>806</v>
      </c>
      <c r="B212">
        <v>1E-10</v>
      </c>
    </row>
    <row r="213" spans="1:2" x14ac:dyDescent="0.25">
      <c r="A213" t="s">
        <v>807</v>
      </c>
      <c r="B213">
        <v>3.1000000000000003E-11</v>
      </c>
    </row>
    <row r="214" spans="1:2" x14ac:dyDescent="0.25">
      <c r="A214" t="s">
        <v>808</v>
      </c>
      <c r="B214">
        <v>1.0999999999999999E-9</v>
      </c>
    </row>
    <row r="215" spans="1:2" x14ac:dyDescent="0.25">
      <c r="A215" t="s">
        <v>809</v>
      </c>
      <c r="B215">
        <v>2.5999999999999998E-10</v>
      </c>
    </row>
    <row r="216" spans="1:2" x14ac:dyDescent="0.25">
      <c r="A216" t="s">
        <v>810</v>
      </c>
      <c r="B216">
        <v>4.4000000000000003E-11</v>
      </c>
    </row>
    <row r="217" spans="1:2" x14ac:dyDescent="0.25">
      <c r="A217" t="s">
        <v>811</v>
      </c>
      <c r="B217">
        <v>9.5999999999999999E-10</v>
      </c>
    </row>
    <row r="218" spans="1:2" x14ac:dyDescent="0.25">
      <c r="A218" t="s">
        <v>812</v>
      </c>
      <c r="B218">
        <v>6.0999999999999996E-10</v>
      </c>
    </row>
    <row r="219" spans="1:2" x14ac:dyDescent="0.25">
      <c r="A219" t="s">
        <v>813</v>
      </c>
      <c r="B219">
        <v>5.5000000000000003E-8</v>
      </c>
    </row>
    <row r="220" spans="1:2" x14ac:dyDescent="0.25">
      <c r="A220" t="s">
        <v>814</v>
      </c>
      <c r="B220">
        <v>4.5E-10</v>
      </c>
    </row>
    <row r="221" spans="1:2" x14ac:dyDescent="0.25">
      <c r="A221" t="s">
        <v>815</v>
      </c>
      <c r="B221">
        <v>2.0000000000000001E-10</v>
      </c>
    </row>
    <row r="222" spans="1:2" x14ac:dyDescent="0.25">
      <c r="A222" t="s">
        <v>35</v>
      </c>
      <c r="B222">
        <v>4.1000000000000003E-8</v>
      </c>
    </row>
    <row r="223" spans="1:2" x14ac:dyDescent="0.25">
      <c r="A223" t="s">
        <v>816</v>
      </c>
      <c r="B223">
        <v>2.7E-10</v>
      </c>
    </row>
    <row r="224" spans="1:2" x14ac:dyDescent="0.25">
      <c r="A224" t="s">
        <v>817</v>
      </c>
      <c r="B224">
        <v>4.8999999999999996E-10</v>
      </c>
    </row>
    <row r="225" spans="1:2" x14ac:dyDescent="0.25">
      <c r="A225" t="s">
        <v>818</v>
      </c>
      <c r="B225">
        <v>1E-10</v>
      </c>
    </row>
    <row r="226" spans="1:2" x14ac:dyDescent="0.25">
      <c r="A226" t="s">
        <v>819</v>
      </c>
      <c r="B226">
        <v>6.4999999999999995E-11</v>
      </c>
    </row>
    <row r="227" spans="1:2" x14ac:dyDescent="0.25">
      <c r="A227" t="s">
        <v>820</v>
      </c>
      <c r="B227">
        <v>1.3000000000000001E-9</v>
      </c>
    </row>
    <row r="228" spans="1:2" x14ac:dyDescent="0.25">
      <c r="A228" t="s">
        <v>821</v>
      </c>
      <c r="B228">
        <v>2.4E-10</v>
      </c>
    </row>
    <row r="229" spans="1:2" x14ac:dyDescent="0.25">
      <c r="A229" t="s">
        <v>822</v>
      </c>
      <c r="B229">
        <v>1.2000000000000001E-11</v>
      </c>
    </row>
    <row r="230" spans="1:2" x14ac:dyDescent="0.25">
      <c r="A230" t="s">
        <v>823</v>
      </c>
      <c r="B230">
        <v>4.6000000000000003E-11</v>
      </c>
    </row>
    <row r="231" spans="1:2" x14ac:dyDescent="0.25">
      <c r="A231" t="s">
        <v>824</v>
      </c>
      <c r="B231">
        <v>3.3E-10</v>
      </c>
    </row>
    <row r="232" spans="1:2" x14ac:dyDescent="0.25">
      <c r="A232" t="s">
        <v>825</v>
      </c>
      <c r="B232">
        <v>1.2E-10</v>
      </c>
    </row>
    <row r="233" spans="1:2" x14ac:dyDescent="0.25">
      <c r="A233" t="s">
        <v>1</v>
      </c>
      <c r="B233">
        <v>4.1999999999999997E-11</v>
      </c>
    </row>
    <row r="234" spans="1:2" x14ac:dyDescent="0.25">
      <c r="A234" t="s">
        <v>826</v>
      </c>
      <c r="B234">
        <v>4.8E-10</v>
      </c>
    </row>
    <row r="235" spans="1:2" x14ac:dyDescent="0.25">
      <c r="A235" t="s">
        <v>827</v>
      </c>
      <c r="B235">
        <v>1.0000000000000001E-9</v>
      </c>
    </row>
    <row r="236" spans="1:2" x14ac:dyDescent="0.25">
      <c r="A236" t="s">
        <v>828</v>
      </c>
      <c r="B236">
        <v>2.3000000000000001E-10</v>
      </c>
    </row>
    <row r="237" spans="1:2" x14ac:dyDescent="0.25">
      <c r="A237" t="s">
        <v>829</v>
      </c>
      <c r="B237">
        <v>4.0999999999999998E-10</v>
      </c>
    </row>
    <row r="238" spans="1:2" x14ac:dyDescent="0.25">
      <c r="A238" t="s">
        <v>830</v>
      </c>
      <c r="B238">
        <v>8.1000000000000005E-11</v>
      </c>
    </row>
    <row r="239" spans="1:2" x14ac:dyDescent="0.25">
      <c r="A239" t="s">
        <v>831</v>
      </c>
      <c r="B239">
        <v>4.6999999999999999E-9</v>
      </c>
    </row>
    <row r="240" spans="1:2" x14ac:dyDescent="0.25">
      <c r="A240" t="s">
        <v>832</v>
      </c>
      <c r="B240">
        <v>1.2E-9</v>
      </c>
    </row>
    <row r="241" spans="1:2" x14ac:dyDescent="0.25">
      <c r="A241" t="s">
        <v>833</v>
      </c>
      <c r="B241">
        <v>1.7000000000000001E-10</v>
      </c>
    </row>
    <row r="242" spans="1:2" x14ac:dyDescent="0.25">
      <c r="A242" t="s">
        <v>834</v>
      </c>
      <c r="B242">
        <v>1.0999999999999999E-9</v>
      </c>
    </row>
    <row r="243" spans="1:2" x14ac:dyDescent="0.25">
      <c r="A243" t="s">
        <v>835</v>
      </c>
      <c r="B243">
        <v>3E-9</v>
      </c>
    </row>
    <row r="244" spans="1:2" x14ac:dyDescent="0.25">
      <c r="A244" t="s">
        <v>836</v>
      </c>
      <c r="B244">
        <v>4.1999999999999997E-11</v>
      </c>
    </row>
    <row r="245" spans="1:2" x14ac:dyDescent="0.25">
      <c r="A245" t="s">
        <v>837</v>
      </c>
      <c r="B245">
        <v>7.3000000000000006E-11</v>
      </c>
    </row>
    <row r="246" spans="1:2" x14ac:dyDescent="0.25">
      <c r="A246" t="s">
        <v>838</v>
      </c>
      <c r="B246">
        <v>5.1999999999999996E-10</v>
      </c>
    </row>
    <row r="247" spans="1:2" x14ac:dyDescent="0.25">
      <c r="A247" t="s">
        <v>839</v>
      </c>
      <c r="B247">
        <v>8.2000000000000001E-11</v>
      </c>
    </row>
    <row r="248" spans="1:2" x14ac:dyDescent="0.25">
      <c r="A248" t="s">
        <v>840</v>
      </c>
      <c r="B248">
        <v>4.0000000000000001E-10</v>
      </c>
    </row>
    <row r="249" spans="1:2" x14ac:dyDescent="0.25">
      <c r="A249" t="s">
        <v>841</v>
      </c>
      <c r="B249">
        <v>5.1E-8</v>
      </c>
    </row>
    <row r="250" spans="1:2" x14ac:dyDescent="0.25">
      <c r="A250" t="s">
        <v>842</v>
      </c>
      <c r="B250">
        <v>9.7000000000000001E-11</v>
      </c>
    </row>
    <row r="251" spans="1:2" x14ac:dyDescent="0.25">
      <c r="A251" t="s">
        <v>843</v>
      </c>
      <c r="B251">
        <v>5.6000000000000003E-10</v>
      </c>
    </row>
    <row r="252" spans="1:2" x14ac:dyDescent="0.25">
      <c r="A252" t="s">
        <v>844</v>
      </c>
      <c r="B252">
        <v>2.3000000000000001E-10</v>
      </c>
    </row>
    <row r="253" spans="1:2" x14ac:dyDescent="0.25">
      <c r="A253" t="s">
        <v>845</v>
      </c>
      <c r="B253">
        <v>4.7000000000000003E-10</v>
      </c>
    </row>
    <row r="254" spans="1:2" x14ac:dyDescent="0.25">
      <c r="A254" t="s">
        <v>846</v>
      </c>
      <c r="B254">
        <v>3.1000000000000003E-11</v>
      </c>
    </row>
    <row r="255" spans="1:2" x14ac:dyDescent="0.25">
      <c r="A255" t="s">
        <v>847</v>
      </c>
      <c r="B255">
        <v>1.9000000000000001E-9</v>
      </c>
    </row>
    <row r="256" spans="1:2" x14ac:dyDescent="0.25">
      <c r="A256" t="s">
        <v>848</v>
      </c>
      <c r="B256">
        <v>3.7000000000000001E-11</v>
      </c>
    </row>
    <row r="257" spans="1:2" x14ac:dyDescent="0.25">
      <c r="A257" t="s">
        <v>849</v>
      </c>
      <c r="B257">
        <v>6.5000000000000002E-12</v>
      </c>
    </row>
    <row r="258" spans="1:2" x14ac:dyDescent="0.25">
      <c r="A258" t="s">
        <v>850</v>
      </c>
      <c r="B258">
        <v>7.8999999999999999E-12</v>
      </c>
    </row>
    <row r="259" spans="1:2" x14ac:dyDescent="0.25">
      <c r="A259" t="s">
        <v>851</v>
      </c>
      <c r="B259">
        <v>1.3E-11</v>
      </c>
    </row>
    <row r="260" spans="1:2" x14ac:dyDescent="0.25">
      <c r="A260" t="s">
        <v>852</v>
      </c>
      <c r="B260">
        <v>3.3000000000000001E-12</v>
      </c>
    </row>
    <row r="261" spans="1:2" x14ac:dyDescent="0.25">
      <c r="A261" t="s">
        <v>853</v>
      </c>
      <c r="B261">
        <v>2.6000000000000001E-11</v>
      </c>
    </row>
    <row r="262" spans="1:2" x14ac:dyDescent="0.25">
      <c r="A262" t="s">
        <v>854</v>
      </c>
      <c r="B262">
        <v>9.4999999999999995E-12</v>
      </c>
    </row>
    <row r="263" spans="1:2" x14ac:dyDescent="0.25">
      <c r="A263" t="s">
        <v>855</v>
      </c>
      <c r="B263">
        <v>1.6E-11</v>
      </c>
    </row>
    <row r="264" spans="1:2" x14ac:dyDescent="0.25">
      <c r="A264" t="s">
        <v>856</v>
      </c>
      <c r="B264">
        <v>1.3999999999999999E-9</v>
      </c>
    </row>
    <row r="265" spans="1:2" x14ac:dyDescent="0.25">
      <c r="A265" t="s">
        <v>857</v>
      </c>
      <c r="B265">
        <v>2.0000000000000001E-9</v>
      </c>
    </row>
    <row r="266" spans="1:2" x14ac:dyDescent="0.25">
      <c r="A266" t="s">
        <v>858</v>
      </c>
      <c r="B266">
        <v>8.2999999999999998E-11</v>
      </c>
    </row>
    <row r="267" spans="1:2" x14ac:dyDescent="0.25">
      <c r="A267" t="s">
        <v>622</v>
      </c>
      <c r="B267">
        <v>3.4000000000000001E-10</v>
      </c>
    </row>
    <row r="268" spans="1:2" x14ac:dyDescent="0.25">
      <c r="A268" t="s">
        <v>859</v>
      </c>
      <c r="B268">
        <v>2.1E-10</v>
      </c>
    </row>
    <row r="269" spans="1:2" x14ac:dyDescent="0.25">
      <c r="A269" t="s">
        <v>621</v>
      </c>
      <c r="B269">
        <v>8.2000000000000001E-11</v>
      </c>
    </row>
    <row r="270" spans="1:2" x14ac:dyDescent="0.25">
      <c r="A270" t="s">
        <v>25</v>
      </c>
      <c r="B270">
        <v>2.1E-10</v>
      </c>
    </row>
    <row r="271" spans="1:2" x14ac:dyDescent="0.25">
      <c r="A271" t="s">
        <v>26</v>
      </c>
      <c r="B271">
        <v>1.3000000000000001E-8</v>
      </c>
    </row>
    <row r="272" spans="1:2" x14ac:dyDescent="0.25">
      <c r="A272" t="s">
        <v>27</v>
      </c>
      <c r="B272">
        <v>1.4999999999999999E-8</v>
      </c>
    </row>
    <row r="273" spans="1:2" x14ac:dyDescent="0.25">
      <c r="A273" t="s">
        <v>620</v>
      </c>
      <c r="B273">
        <v>2.9000000000000002E-8</v>
      </c>
    </row>
    <row r="274" spans="1:2" x14ac:dyDescent="0.25">
      <c r="A274" t="s">
        <v>619</v>
      </c>
      <c r="B274">
        <v>4.6000000000000003E-11</v>
      </c>
    </row>
    <row r="275" spans="1:2" x14ac:dyDescent="0.25">
      <c r="A275" t="s">
        <v>28</v>
      </c>
      <c r="B275">
        <v>1.1000000000000001E-7</v>
      </c>
    </row>
    <row r="276" spans="1:2" x14ac:dyDescent="0.25">
      <c r="A276" t="s">
        <v>618</v>
      </c>
      <c r="B276">
        <v>2.0000000000000001E-9</v>
      </c>
    </row>
    <row r="277" spans="1:2" x14ac:dyDescent="0.25">
      <c r="A277" t="s">
        <v>30</v>
      </c>
      <c r="B277">
        <v>2.1999999999999998E-8</v>
      </c>
    </row>
    <row r="278" spans="1:2" x14ac:dyDescent="0.25">
      <c r="A278" t="s">
        <v>617</v>
      </c>
      <c r="B278">
        <v>2.8999999999999998E-10</v>
      </c>
    </row>
    <row r="279" spans="1:2" x14ac:dyDescent="0.25">
      <c r="A279" t="s">
        <v>860</v>
      </c>
      <c r="B279">
        <v>2.1999999999999999E-10</v>
      </c>
    </row>
    <row r="280" spans="1:2" x14ac:dyDescent="0.25">
      <c r="A280" t="s">
        <v>616</v>
      </c>
      <c r="B280">
        <v>4.2999999999999996E-9</v>
      </c>
    </row>
    <row r="281" spans="1:2" x14ac:dyDescent="0.25">
      <c r="A281" t="s">
        <v>615</v>
      </c>
      <c r="B281">
        <v>1.0999999999999999E-10</v>
      </c>
    </row>
    <row r="282" spans="1:2" x14ac:dyDescent="0.25">
      <c r="A282" t="s">
        <v>614</v>
      </c>
      <c r="B282">
        <v>9.2999999999999999E-10</v>
      </c>
    </row>
    <row r="283" spans="1:2" x14ac:dyDescent="0.25">
      <c r="A283" t="s">
        <v>861</v>
      </c>
      <c r="B283">
        <v>6.6000000000000005E-11</v>
      </c>
    </row>
    <row r="284" spans="1:2" x14ac:dyDescent="0.25">
      <c r="A284" t="s">
        <v>862</v>
      </c>
      <c r="B284">
        <v>2.4E-10</v>
      </c>
    </row>
    <row r="285" spans="1:2" x14ac:dyDescent="0.25">
      <c r="A285" t="s">
        <v>863</v>
      </c>
      <c r="B285">
        <v>1E-10</v>
      </c>
    </row>
    <row r="286" spans="1:2" x14ac:dyDescent="0.25">
      <c r="A286" t="s">
        <v>864</v>
      </c>
      <c r="B286">
        <v>2.8999999999999998E-10</v>
      </c>
    </row>
    <row r="287" spans="1:2" x14ac:dyDescent="0.25">
      <c r="A287" t="s">
        <v>865</v>
      </c>
      <c r="B287">
        <v>9.9999999999999994E-12</v>
      </c>
    </row>
    <row r="288" spans="1:2" x14ac:dyDescent="0.25">
      <c r="A288" t="s">
        <v>866</v>
      </c>
      <c r="B288">
        <v>2.8E-11</v>
      </c>
    </row>
    <row r="289" spans="1:2" x14ac:dyDescent="0.25">
      <c r="A289" t="s">
        <v>867</v>
      </c>
      <c r="B289">
        <v>4.1000000000000003E-9</v>
      </c>
    </row>
    <row r="290" spans="1:2" x14ac:dyDescent="0.25">
      <c r="A290" t="s">
        <v>868</v>
      </c>
      <c r="B290">
        <v>3.2000000000000002E-8</v>
      </c>
    </row>
    <row r="291" spans="1:2" x14ac:dyDescent="0.25">
      <c r="A291" t="s">
        <v>869</v>
      </c>
      <c r="B291">
        <v>8.6E-11</v>
      </c>
    </row>
    <row r="292" spans="1:2" x14ac:dyDescent="0.25">
      <c r="A292" t="s">
        <v>870</v>
      </c>
      <c r="B292">
        <v>6.3999999999999999E-11</v>
      </c>
    </row>
    <row r="293" spans="1:2" x14ac:dyDescent="0.25">
      <c r="A293" t="s">
        <v>871</v>
      </c>
      <c r="B293">
        <v>3.1000000000000003E-11</v>
      </c>
    </row>
    <row r="294" spans="1:2" x14ac:dyDescent="0.25">
      <c r="A294" t="s">
        <v>872</v>
      </c>
      <c r="B294">
        <v>1.2E-10</v>
      </c>
    </row>
    <row r="295" spans="1:2" x14ac:dyDescent="0.25">
      <c r="A295" t="s">
        <v>873</v>
      </c>
      <c r="B295">
        <v>4.6999999999999999E-11</v>
      </c>
    </row>
    <row r="296" spans="1:2" x14ac:dyDescent="0.25">
      <c r="A296" t="s">
        <v>874</v>
      </c>
      <c r="B296">
        <v>4.8000000000000002E-11</v>
      </c>
    </row>
    <row r="297" spans="1:2" x14ac:dyDescent="0.25">
      <c r="A297" t="s">
        <v>875</v>
      </c>
      <c r="B297">
        <v>1.7000000000000001E-10</v>
      </c>
    </row>
    <row r="298" spans="1:2" x14ac:dyDescent="0.25">
      <c r="A298" t="s">
        <v>876</v>
      </c>
      <c r="B298">
        <v>2.5999999999999998E-10</v>
      </c>
    </row>
    <row r="299" spans="1:2" x14ac:dyDescent="0.25">
      <c r="A299" t="s">
        <v>877</v>
      </c>
      <c r="B299">
        <v>4.8999999999999996E-10</v>
      </c>
    </row>
    <row r="300" spans="1:2" x14ac:dyDescent="0.25">
      <c r="A300" t="s">
        <v>878</v>
      </c>
      <c r="B300">
        <v>6.0999999999999996E-11</v>
      </c>
    </row>
    <row r="301" spans="1:2" x14ac:dyDescent="0.25">
      <c r="A301" t="s">
        <v>879</v>
      </c>
      <c r="B301">
        <v>1.2E-10</v>
      </c>
    </row>
    <row r="302" spans="1:2" x14ac:dyDescent="0.25">
      <c r="A302" t="s">
        <v>880</v>
      </c>
      <c r="B302">
        <v>6.3E-10</v>
      </c>
    </row>
    <row r="303" spans="1:2" x14ac:dyDescent="0.25">
      <c r="A303" t="s">
        <v>881</v>
      </c>
      <c r="B303">
        <v>2.4E-10</v>
      </c>
    </row>
    <row r="304" spans="1:2" x14ac:dyDescent="0.25">
      <c r="A304" t="s">
        <v>882</v>
      </c>
      <c r="B304">
        <v>1.2E-9</v>
      </c>
    </row>
    <row r="305" spans="1:2" x14ac:dyDescent="0.25">
      <c r="A305" t="s">
        <v>883</v>
      </c>
      <c r="B305">
        <v>7.9999999999999998E-12</v>
      </c>
    </row>
    <row r="306" spans="1:2" x14ac:dyDescent="0.25">
      <c r="A306" t="s">
        <v>884</v>
      </c>
      <c r="B306">
        <v>1.2E-10</v>
      </c>
    </row>
    <row r="307" spans="1:2" x14ac:dyDescent="0.25">
      <c r="A307" t="s">
        <v>885</v>
      </c>
      <c r="B307">
        <v>1.3999999999999999E-9</v>
      </c>
    </row>
    <row r="308" spans="1:2" x14ac:dyDescent="0.25">
      <c r="A308" t="s">
        <v>886</v>
      </c>
      <c r="B308">
        <v>3.1000000000000002E-10</v>
      </c>
    </row>
    <row r="309" spans="1:2" x14ac:dyDescent="0.25">
      <c r="A309" t="s">
        <v>887</v>
      </c>
      <c r="B309">
        <v>2.7E-10</v>
      </c>
    </row>
    <row r="310" spans="1:2" x14ac:dyDescent="0.25">
      <c r="A310" t="s">
        <v>888</v>
      </c>
      <c r="B310">
        <v>1.3000000000000001E-9</v>
      </c>
    </row>
    <row r="311" spans="1:2" x14ac:dyDescent="0.25">
      <c r="A311" t="s">
        <v>889</v>
      </c>
      <c r="B311">
        <v>2.1000000000000002E-9</v>
      </c>
    </row>
    <row r="312" spans="1:2" x14ac:dyDescent="0.25">
      <c r="A312" t="s">
        <v>890</v>
      </c>
      <c r="B312">
        <v>1E-10</v>
      </c>
    </row>
    <row r="313" spans="1:2" x14ac:dyDescent="0.25">
      <c r="A313" t="s">
        <v>891</v>
      </c>
      <c r="B313">
        <v>2.1E-10</v>
      </c>
    </row>
    <row r="314" spans="1:2" x14ac:dyDescent="0.25">
      <c r="A314" t="s">
        <v>613</v>
      </c>
      <c r="B314">
        <v>6.2000000000000001E-9</v>
      </c>
    </row>
    <row r="315" spans="1:2" x14ac:dyDescent="0.25">
      <c r="A315" t="s">
        <v>612</v>
      </c>
      <c r="B315">
        <v>4.3000000000000001E-10</v>
      </c>
    </row>
    <row r="316" spans="1:2" x14ac:dyDescent="0.25">
      <c r="A316" t="s">
        <v>611</v>
      </c>
      <c r="B316">
        <v>2.5000000000000002E-10</v>
      </c>
    </row>
    <row r="317" spans="1:2" x14ac:dyDescent="0.25">
      <c r="A317" t="s">
        <v>610</v>
      </c>
      <c r="B317">
        <v>8.3999999999999994E-11</v>
      </c>
    </row>
    <row r="318" spans="1:2" x14ac:dyDescent="0.25">
      <c r="A318" t="s">
        <v>609</v>
      </c>
      <c r="B318">
        <v>5.4000000000000001E-11</v>
      </c>
    </row>
    <row r="319" spans="1:2" x14ac:dyDescent="0.25">
      <c r="A319" t="s">
        <v>892</v>
      </c>
      <c r="B319">
        <v>3.5000000000000002E-11</v>
      </c>
    </row>
    <row r="320" spans="1:2" x14ac:dyDescent="0.25">
      <c r="A320" t="s">
        <v>893</v>
      </c>
      <c r="B320">
        <v>3.9E-10</v>
      </c>
    </row>
    <row r="321" spans="1:2" x14ac:dyDescent="0.25">
      <c r="A321" t="s">
        <v>894</v>
      </c>
      <c r="B321">
        <v>3E-11</v>
      </c>
    </row>
    <row r="322" spans="1:2" x14ac:dyDescent="0.25">
      <c r="A322" t="s">
        <v>895</v>
      </c>
      <c r="B322">
        <v>8.1000000000000005E-11</v>
      </c>
    </row>
    <row r="323" spans="1:2" x14ac:dyDescent="0.25">
      <c r="A323" t="s">
        <v>896</v>
      </c>
      <c r="B323">
        <v>1.0999999999999999E-9</v>
      </c>
    </row>
    <row r="324" spans="1:2" x14ac:dyDescent="0.25">
      <c r="A324" t="s">
        <v>897</v>
      </c>
      <c r="B324">
        <v>2.0000000000000001E-9</v>
      </c>
    </row>
    <row r="325" spans="1:2" x14ac:dyDescent="0.25">
      <c r="A325" t="s">
        <v>898</v>
      </c>
      <c r="B325">
        <v>3.6E-10</v>
      </c>
    </row>
    <row r="326" spans="1:2" x14ac:dyDescent="0.25">
      <c r="A326" t="s">
        <v>899</v>
      </c>
      <c r="B326">
        <v>1.8E-10</v>
      </c>
    </row>
    <row r="327" spans="1:2" x14ac:dyDescent="0.25">
      <c r="A327" t="s">
        <v>900</v>
      </c>
      <c r="B327">
        <v>5.6E-11</v>
      </c>
    </row>
    <row r="328" spans="1:2" x14ac:dyDescent="0.25">
      <c r="A328" t="s">
        <v>901</v>
      </c>
      <c r="B328">
        <v>4.6000000000000001E-10</v>
      </c>
    </row>
    <row r="329" spans="1:2" x14ac:dyDescent="0.25">
      <c r="A329" t="s">
        <v>902</v>
      </c>
      <c r="B329">
        <v>9.900000000000001E-10</v>
      </c>
    </row>
    <row r="330" spans="1:2" x14ac:dyDescent="0.25">
      <c r="A330" t="s">
        <v>903</v>
      </c>
      <c r="B330">
        <v>6.6999999999999996E-10</v>
      </c>
    </row>
    <row r="331" spans="1:2" x14ac:dyDescent="0.25">
      <c r="A331" t="s">
        <v>904</v>
      </c>
      <c r="B331">
        <v>1.3000000000000001E-9</v>
      </c>
    </row>
    <row r="332" spans="1:2" x14ac:dyDescent="0.25">
      <c r="A332" t="s">
        <v>905</v>
      </c>
      <c r="B332">
        <v>2.5999999999999998E-10</v>
      </c>
    </row>
    <row r="333" spans="1:2" x14ac:dyDescent="0.25">
      <c r="A333" t="s">
        <v>906</v>
      </c>
      <c r="B333">
        <v>2.7E-10</v>
      </c>
    </row>
    <row r="334" spans="1:2" x14ac:dyDescent="0.25">
      <c r="A334" t="s">
        <v>907</v>
      </c>
      <c r="B334">
        <v>5.3000000000000003E-10</v>
      </c>
    </row>
    <row r="335" spans="1:2" x14ac:dyDescent="0.25">
      <c r="A335" t="s">
        <v>908</v>
      </c>
      <c r="B335">
        <v>1.8E-9</v>
      </c>
    </row>
    <row r="336" spans="1:2" x14ac:dyDescent="0.25">
      <c r="A336" t="s">
        <v>909</v>
      </c>
      <c r="B336">
        <v>1.7000000000000001E-10</v>
      </c>
    </row>
    <row r="337" spans="1:2" x14ac:dyDescent="0.25">
      <c r="A337" t="s">
        <v>910</v>
      </c>
      <c r="B337">
        <v>5.3000000000000003E-10</v>
      </c>
    </row>
    <row r="338" spans="1:2" x14ac:dyDescent="0.25">
      <c r="A338" t="s">
        <v>911</v>
      </c>
      <c r="B338">
        <v>1.6999999999999999E-9</v>
      </c>
    </row>
    <row r="339" spans="1:2" x14ac:dyDescent="0.25">
      <c r="A339" t="s">
        <v>912</v>
      </c>
      <c r="B339">
        <v>4.6999999999999999E-11</v>
      </c>
    </row>
    <row r="340" spans="1:2" x14ac:dyDescent="0.25">
      <c r="A340" t="s">
        <v>913</v>
      </c>
      <c r="B340">
        <v>3.7999999999999998E-11</v>
      </c>
    </row>
    <row r="341" spans="1:2" x14ac:dyDescent="0.25">
      <c r="A341" t="s">
        <v>914</v>
      </c>
      <c r="B341">
        <v>2.1E-10</v>
      </c>
    </row>
    <row r="342" spans="1:2" x14ac:dyDescent="0.25">
      <c r="A342" t="s">
        <v>915</v>
      </c>
      <c r="B342">
        <v>1.2E-10</v>
      </c>
    </row>
    <row r="343" spans="1:2" x14ac:dyDescent="0.25">
      <c r="A343" t="s">
        <v>916</v>
      </c>
      <c r="B343">
        <v>1.3000000000000001E-8</v>
      </c>
    </row>
    <row r="344" spans="1:2" x14ac:dyDescent="0.25">
      <c r="A344" t="s">
        <v>917</v>
      </c>
      <c r="B344">
        <v>2.1999999999999998E-9</v>
      </c>
    </row>
    <row r="345" spans="1:2" x14ac:dyDescent="0.25">
      <c r="A345" t="s">
        <v>918</v>
      </c>
      <c r="B345">
        <v>9.3000000000000002E-11</v>
      </c>
    </row>
    <row r="346" spans="1:2" x14ac:dyDescent="0.25">
      <c r="A346" t="s">
        <v>919</v>
      </c>
      <c r="B346">
        <v>1.8E-9</v>
      </c>
    </row>
    <row r="347" spans="1:2" x14ac:dyDescent="0.25">
      <c r="A347" t="s">
        <v>920</v>
      </c>
      <c r="B347">
        <v>6.8999999999999994E-11</v>
      </c>
    </row>
    <row r="348" spans="1:2" x14ac:dyDescent="0.25">
      <c r="A348" t="s">
        <v>921</v>
      </c>
      <c r="B348">
        <v>3E-11</v>
      </c>
    </row>
    <row r="349" spans="1:2" x14ac:dyDescent="0.25">
      <c r="A349" t="s">
        <v>10</v>
      </c>
      <c r="B349">
        <v>7.1000000000000003E-10</v>
      </c>
    </row>
    <row r="350" spans="1:2" x14ac:dyDescent="0.25">
      <c r="A350" t="s">
        <v>922</v>
      </c>
      <c r="B350">
        <v>2.5000000000000002E-10</v>
      </c>
    </row>
    <row r="351" spans="1:2" x14ac:dyDescent="0.25">
      <c r="A351" t="s">
        <v>923</v>
      </c>
      <c r="B351">
        <v>4.1999999999999997E-11</v>
      </c>
    </row>
    <row r="352" spans="1:2" x14ac:dyDescent="0.25">
      <c r="A352" t="s">
        <v>924</v>
      </c>
      <c r="B352">
        <v>6.2000000000000003E-10</v>
      </c>
    </row>
    <row r="353" spans="1:2" x14ac:dyDescent="0.25">
      <c r="A353" t="s">
        <v>925</v>
      </c>
      <c r="B353">
        <v>2.6000000000000001E-9</v>
      </c>
    </row>
    <row r="354" spans="1:2" x14ac:dyDescent="0.25">
      <c r="A354" t="s">
        <v>926</v>
      </c>
      <c r="B354">
        <v>2.8000000000000002E-10</v>
      </c>
    </row>
    <row r="355" spans="1:2" x14ac:dyDescent="0.25">
      <c r="A355" t="s">
        <v>927</v>
      </c>
      <c r="B355">
        <v>1.2E-9</v>
      </c>
    </row>
    <row r="356" spans="1:2" x14ac:dyDescent="0.25">
      <c r="A356" t="s">
        <v>3</v>
      </c>
      <c r="B356">
        <v>3.2000000000000001E-9</v>
      </c>
    </row>
    <row r="357" spans="1:2" x14ac:dyDescent="0.25">
      <c r="A357" t="s">
        <v>928</v>
      </c>
      <c r="B357">
        <v>4.3000000000000001E-10</v>
      </c>
    </row>
    <row r="358" spans="1:2" x14ac:dyDescent="0.25">
      <c r="A358" t="s">
        <v>929</v>
      </c>
      <c r="B358">
        <v>6.3000000000000002E-11</v>
      </c>
    </row>
    <row r="359" spans="1:2" x14ac:dyDescent="0.25">
      <c r="A359" t="s">
        <v>930</v>
      </c>
      <c r="B359">
        <v>3E-10</v>
      </c>
    </row>
    <row r="360" spans="1:2" x14ac:dyDescent="0.25">
      <c r="A360" t="s">
        <v>931</v>
      </c>
      <c r="B360">
        <v>1.4000000000000001E-10</v>
      </c>
    </row>
    <row r="361" spans="1:2" x14ac:dyDescent="0.25">
      <c r="A361" t="s">
        <v>932</v>
      </c>
      <c r="B361">
        <v>1.2E-9</v>
      </c>
    </row>
    <row r="362" spans="1:2" x14ac:dyDescent="0.25">
      <c r="A362" t="s">
        <v>111</v>
      </c>
      <c r="B362">
        <v>1.2E-10</v>
      </c>
    </row>
    <row r="363" spans="1:2" x14ac:dyDescent="0.25">
      <c r="A363" t="s">
        <v>933</v>
      </c>
      <c r="B363">
        <v>1.6999999999999999E-9</v>
      </c>
    </row>
    <row r="364" spans="1:2" x14ac:dyDescent="0.25">
      <c r="A364" t="s">
        <v>934</v>
      </c>
      <c r="B364">
        <v>5.7999999999999996E-10</v>
      </c>
    </row>
    <row r="365" spans="1:2" x14ac:dyDescent="0.25">
      <c r="A365" t="s">
        <v>935</v>
      </c>
      <c r="B365">
        <v>5.6000000000000003E-10</v>
      </c>
    </row>
    <row r="366" spans="1:2" x14ac:dyDescent="0.25">
      <c r="A366" t="s">
        <v>936</v>
      </c>
      <c r="B366">
        <v>1.0999999999999999E-9</v>
      </c>
    </row>
    <row r="367" spans="1:2" x14ac:dyDescent="0.25">
      <c r="A367" t="s">
        <v>937</v>
      </c>
      <c r="B367">
        <v>6.7999999999999998E-11</v>
      </c>
    </row>
    <row r="368" spans="1:2" x14ac:dyDescent="0.25">
      <c r="A368" t="s">
        <v>938</v>
      </c>
      <c r="B368">
        <v>1.0999999999999999E-10</v>
      </c>
    </row>
    <row r="369" spans="1:2" x14ac:dyDescent="0.25">
      <c r="A369" t="s">
        <v>939</v>
      </c>
      <c r="B369">
        <v>9.8999999999999994E-11</v>
      </c>
    </row>
    <row r="370" spans="1:2" x14ac:dyDescent="0.25">
      <c r="A370" t="s">
        <v>940</v>
      </c>
      <c r="B370">
        <v>6.3999999999999996E-10</v>
      </c>
    </row>
    <row r="371" spans="1:2" x14ac:dyDescent="0.25">
      <c r="A371" t="s">
        <v>941</v>
      </c>
      <c r="B371">
        <v>1.9999999999999999E-11</v>
      </c>
    </row>
    <row r="372" spans="1:2" x14ac:dyDescent="0.25">
      <c r="A372" t="s">
        <v>942</v>
      </c>
      <c r="B372">
        <v>2.5000000000000002E-10</v>
      </c>
    </row>
    <row r="373" spans="1:2" x14ac:dyDescent="0.25">
      <c r="A373" t="s">
        <v>943</v>
      </c>
      <c r="B373">
        <v>8.2999999999999998E-12</v>
      </c>
    </row>
    <row r="374" spans="1:2" x14ac:dyDescent="0.25">
      <c r="A374" t="s">
        <v>944</v>
      </c>
      <c r="B374">
        <v>1.0999999999999999E-9</v>
      </c>
    </row>
    <row r="375" spans="1:2" x14ac:dyDescent="0.25">
      <c r="A375" t="s">
        <v>945</v>
      </c>
      <c r="B375">
        <v>1.2E-10</v>
      </c>
    </row>
    <row r="376" spans="1:2" x14ac:dyDescent="0.25">
      <c r="A376" t="s">
        <v>946</v>
      </c>
      <c r="B376">
        <v>3E-11</v>
      </c>
    </row>
    <row r="377" spans="1:2" x14ac:dyDescent="0.25">
      <c r="A377" t="s">
        <v>947</v>
      </c>
      <c r="B377">
        <v>8.6000000000000003E-10</v>
      </c>
    </row>
    <row r="378" spans="1:2" x14ac:dyDescent="0.25">
      <c r="A378" t="s">
        <v>948</v>
      </c>
      <c r="B378">
        <v>8.6999999999999999E-10</v>
      </c>
    </row>
    <row r="379" spans="1:2" x14ac:dyDescent="0.25">
      <c r="A379" t="s">
        <v>108</v>
      </c>
      <c r="B379">
        <v>6.3000000000000002E-11</v>
      </c>
    </row>
    <row r="380" spans="1:2" x14ac:dyDescent="0.25">
      <c r="A380" t="s">
        <v>15</v>
      </c>
      <c r="B380">
        <v>1.5E-10</v>
      </c>
    </row>
    <row r="381" spans="1:2" x14ac:dyDescent="0.25">
      <c r="A381" t="s">
        <v>949</v>
      </c>
      <c r="B381">
        <v>1.8E-10</v>
      </c>
    </row>
    <row r="382" spans="1:2" x14ac:dyDescent="0.25">
      <c r="A382" t="s">
        <v>950</v>
      </c>
      <c r="B382">
        <v>3E-9</v>
      </c>
    </row>
    <row r="383" spans="1:2" x14ac:dyDescent="0.25">
      <c r="A383" t="s">
        <v>951</v>
      </c>
      <c r="B383">
        <v>9.6999999999999995E-12</v>
      </c>
    </row>
    <row r="384" spans="1:2" x14ac:dyDescent="0.25">
      <c r="A384" t="s">
        <v>952</v>
      </c>
      <c r="B384">
        <v>2.1999999999999999E-12</v>
      </c>
    </row>
    <row r="385" spans="1:2" x14ac:dyDescent="0.25">
      <c r="A385" t="s">
        <v>953</v>
      </c>
      <c r="B385">
        <v>8.0999999999999999E-10</v>
      </c>
    </row>
    <row r="386" spans="1:2" x14ac:dyDescent="0.25">
      <c r="A386" t="s">
        <v>954</v>
      </c>
      <c r="B386">
        <v>5.2999999999999998E-11</v>
      </c>
    </row>
    <row r="387" spans="1:2" x14ac:dyDescent="0.25">
      <c r="A387" t="s">
        <v>131</v>
      </c>
      <c r="B387">
        <v>1.7E-8</v>
      </c>
    </row>
    <row r="388" spans="1:2" x14ac:dyDescent="0.25">
      <c r="A388" t="s">
        <v>955</v>
      </c>
      <c r="B388">
        <v>1.8999999999999999E-10</v>
      </c>
    </row>
    <row r="389" spans="1:2" x14ac:dyDescent="0.25">
      <c r="A389" t="s">
        <v>95</v>
      </c>
      <c r="B389">
        <v>1.1000000000000001E-7</v>
      </c>
    </row>
    <row r="390" spans="1:2" x14ac:dyDescent="0.25">
      <c r="A390" t="s">
        <v>149</v>
      </c>
      <c r="B390">
        <v>9.0999999999999996E-10</v>
      </c>
    </row>
    <row r="391" spans="1:2" x14ac:dyDescent="0.25">
      <c r="A391" t="s">
        <v>100</v>
      </c>
      <c r="B391">
        <v>8.0000000000000003E-10</v>
      </c>
    </row>
    <row r="392" spans="1:2" x14ac:dyDescent="0.25">
      <c r="A392" t="s">
        <v>956</v>
      </c>
      <c r="B392">
        <v>8.2000000000000001E-11</v>
      </c>
    </row>
    <row r="393" spans="1:2" x14ac:dyDescent="0.25">
      <c r="A393" t="s">
        <v>957</v>
      </c>
      <c r="B393">
        <v>1.6999999999999999E-11</v>
      </c>
    </row>
    <row r="394" spans="1:2" x14ac:dyDescent="0.25">
      <c r="A394" t="s">
        <v>958</v>
      </c>
      <c r="B394">
        <v>8.9000000000000003E-11</v>
      </c>
    </row>
    <row r="395" spans="1:2" x14ac:dyDescent="0.25">
      <c r="A395" t="s">
        <v>959</v>
      </c>
      <c r="B395">
        <v>5.6000000000000003E-10</v>
      </c>
    </row>
    <row r="396" spans="1:2" x14ac:dyDescent="0.25">
      <c r="A396" t="s">
        <v>960</v>
      </c>
      <c r="B396">
        <v>5.1E-10</v>
      </c>
    </row>
    <row r="397" spans="1:2" x14ac:dyDescent="0.25">
      <c r="A397" t="s">
        <v>961</v>
      </c>
      <c r="B397">
        <v>1.7999999999999999E-11</v>
      </c>
    </row>
    <row r="398" spans="1:2" x14ac:dyDescent="0.25">
      <c r="A398" t="s">
        <v>962</v>
      </c>
      <c r="B398">
        <v>5.7E-10</v>
      </c>
    </row>
    <row r="399" spans="1:2" x14ac:dyDescent="0.25">
      <c r="A399" t="s">
        <v>963</v>
      </c>
      <c r="B399">
        <v>9.6000000000000005E-11</v>
      </c>
    </row>
    <row r="400" spans="1:2" x14ac:dyDescent="0.25">
      <c r="A400" t="s">
        <v>964</v>
      </c>
      <c r="B400">
        <v>8.0999999999999999E-10</v>
      </c>
    </row>
    <row r="401" spans="1:2" x14ac:dyDescent="0.25">
      <c r="A401" t="s">
        <v>965</v>
      </c>
      <c r="B401">
        <v>2.4E-9</v>
      </c>
    </row>
    <row r="402" spans="1:2" x14ac:dyDescent="0.25">
      <c r="A402" t="s">
        <v>4</v>
      </c>
      <c r="B402">
        <v>2.4E-9</v>
      </c>
    </row>
    <row r="403" spans="1:2" x14ac:dyDescent="0.25">
      <c r="A403" t="s">
        <v>5</v>
      </c>
      <c r="B403">
        <v>2.4E-10</v>
      </c>
    </row>
    <row r="404" spans="1:2" x14ac:dyDescent="0.25">
      <c r="A404" t="s">
        <v>966</v>
      </c>
      <c r="B404">
        <v>4.5E-10</v>
      </c>
    </row>
    <row r="405" spans="1:2" x14ac:dyDescent="0.25">
      <c r="A405" t="s">
        <v>967</v>
      </c>
      <c r="B405">
        <v>7.7999999999999999E-10</v>
      </c>
    </row>
    <row r="406" spans="1:2" x14ac:dyDescent="0.25">
      <c r="A406" t="s">
        <v>968</v>
      </c>
      <c r="B406">
        <v>9.2000000000000003E-10</v>
      </c>
    </row>
    <row r="407" spans="1:2" x14ac:dyDescent="0.25">
      <c r="A407" t="s">
        <v>84</v>
      </c>
      <c r="B407">
        <v>7.0999999999999998E-7</v>
      </c>
    </row>
    <row r="408" spans="1:2" x14ac:dyDescent="0.25">
      <c r="A408" t="s">
        <v>969</v>
      </c>
      <c r="B408">
        <v>7.2E-10</v>
      </c>
    </row>
    <row r="409" spans="1:2" x14ac:dyDescent="0.25">
      <c r="A409" t="s">
        <v>88</v>
      </c>
      <c r="B409">
        <v>8.6999999999999999E-10</v>
      </c>
    </row>
    <row r="410" spans="1:2" x14ac:dyDescent="0.25">
      <c r="A410" t="s">
        <v>90</v>
      </c>
      <c r="B410">
        <v>5.1E-10</v>
      </c>
    </row>
    <row r="411" spans="1:2" x14ac:dyDescent="0.25">
      <c r="A411" t="s">
        <v>970</v>
      </c>
      <c r="B411">
        <v>2.9E-11</v>
      </c>
    </row>
    <row r="412" spans="1:2" x14ac:dyDescent="0.25">
      <c r="A412" t="s">
        <v>971</v>
      </c>
      <c r="B412">
        <v>1E-10</v>
      </c>
    </row>
    <row r="413" spans="1:2" x14ac:dyDescent="0.25">
      <c r="A413" t="s">
        <v>972</v>
      </c>
      <c r="B413">
        <v>5.4000000000000001E-11</v>
      </c>
    </row>
    <row r="414" spans="1:2" x14ac:dyDescent="0.25">
      <c r="A414" t="s">
        <v>973</v>
      </c>
      <c r="B414">
        <v>4.0000000000000001E-10</v>
      </c>
    </row>
    <row r="415" spans="1:2" x14ac:dyDescent="0.25">
      <c r="A415" t="s">
        <v>974</v>
      </c>
      <c r="B415">
        <v>1.5999999999999999E-10</v>
      </c>
    </row>
    <row r="416" spans="1:2" x14ac:dyDescent="0.25">
      <c r="A416" t="s">
        <v>975</v>
      </c>
      <c r="B416">
        <v>8.7000000000000001E-9</v>
      </c>
    </row>
    <row r="417" spans="1:2" x14ac:dyDescent="0.25">
      <c r="A417" t="s">
        <v>976</v>
      </c>
      <c r="B417">
        <v>1.2999999999999999E-10</v>
      </c>
    </row>
    <row r="418" spans="1:2" x14ac:dyDescent="0.25">
      <c r="A418" t="s">
        <v>977</v>
      </c>
      <c r="B418">
        <v>2.4E-10</v>
      </c>
    </row>
    <row r="419" spans="1:2" x14ac:dyDescent="0.25">
      <c r="A419" t="s">
        <v>978</v>
      </c>
      <c r="B419">
        <v>2.8000000000000002E-10</v>
      </c>
    </row>
    <row r="420" spans="1:2" x14ac:dyDescent="0.25">
      <c r="A420" t="s">
        <v>40</v>
      </c>
      <c r="B420">
        <v>5.6999999999999997E-11</v>
      </c>
    </row>
    <row r="421" spans="1:2" x14ac:dyDescent="0.25">
      <c r="A421" t="s">
        <v>44</v>
      </c>
      <c r="B421">
        <v>6.7999999999999995E-7</v>
      </c>
    </row>
    <row r="422" spans="1:2" x14ac:dyDescent="0.25">
      <c r="A422" t="s">
        <v>48</v>
      </c>
      <c r="B422">
        <v>1.8E-10</v>
      </c>
    </row>
    <row r="423" spans="1:2" x14ac:dyDescent="0.25">
      <c r="A423" t="s">
        <v>51</v>
      </c>
      <c r="B423">
        <v>5.8999999999999999E-9</v>
      </c>
    </row>
    <row r="424" spans="1:2" x14ac:dyDescent="0.25">
      <c r="A424" t="s">
        <v>56</v>
      </c>
      <c r="B424">
        <v>1.4000000000000001E-10</v>
      </c>
    </row>
    <row r="425" spans="1:2" x14ac:dyDescent="0.25">
      <c r="A425" t="s">
        <v>979</v>
      </c>
      <c r="B425">
        <v>9.4000000000000006E-10</v>
      </c>
    </row>
    <row r="426" spans="1:2" x14ac:dyDescent="0.25">
      <c r="A426" t="s">
        <v>980</v>
      </c>
      <c r="B426">
        <v>9.3999999999999999E-11</v>
      </c>
    </row>
    <row r="427" spans="1:2" x14ac:dyDescent="0.25">
      <c r="A427" t="s">
        <v>981</v>
      </c>
      <c r="B427">
        <v>1.8999999999999999E-10</v>
      </c>
    </row>
    <row r="428" spans="1:2" x14ac:dyDescent="0.25">
      <c r="A428" t="s">
        <v>114</v>
      </c>
      <c r="B428">
        <v>3.7000000000000001E-11</v>
      </c>
    </row>
    <row r="429" spans="1:2" x14ac:dyDescent="0.25">
      <c r="A429" t="s">
        <v>982</v>
      </c>
      <c r="B429">
        <v>5.4999999999999996E-10</v>
      </c>
    </row>
    <row r="430" spans="1:2" x14ac:dyDescent="0.25">
      <c r="A430" t="s">
        <v>983</v>
      </c>
      <c r="B430">
        <v>3.5999999999999998E-11</v>
      </c>
    </row>
    <row r="431" spans="1:2" x14ac:dyDescent="0.25">
      <c r="A431" t="s">
        <v>984</v>
      </c>
      <c r="B431">
        <v>2.3000000000000001E-10</v>
      </c>
    </row>
    <row r="432" spans="1:2" x14ac:dyDescent="0.25">
      <c r="A432" t="s">
        <v>985</v>
      </c>
      <c r="B432">
        <v>9.6999999999999996E-10</v>
      </c>
    </row>
    <row r="433" spans="1:2" x14ac:dyDescent="0.25">
      <c r="A433" t="s">
        <v>986</v>
      </c>
      <c r="B433">
        <v>1.0999999999999999E-10</v>
      </c>
    </row>
    <row r="434" spans="1:2" x14ac:dyDescent="0.25">
      <c r="A434" t="s">
        <v>126</v>
      </c>
      <c r="B434">
        <v>8.9999999999999999E-10</v>
      </c>
    </row>
    <row r="435" spans="1:2" x14ac:dyDescent="0.25">
      <c r="A435" t="s">
        <v>127</v>
      </c>
      <c r="B435">
        <v>2.5999999999999998E-10</v>
      </c>
    </row>
    <row r="436" spans="1:2" x14ac:dyDescent="0.25">
      <c r="A436" t="s">
        <v>987</v>
      </c>
      <c r="B436">
        <v>2.7000000000000002E-9</v>
      </c>
    </row>
    <row r="437" spans="1:2" x14ac:dyDescent="0.25">
      <c r="A437" t="s">
        <v>988</v>
      </c>
      <c r="B437">
        <v>1.8E-9</v>
      </c>
    </row>
    <row r="438" spans="1:2" x14ac:dyDescent="0.25">
      <c r="A438" t="s">
        <v>989</v>
      </c>
      <c r="B438">
        <v>9.900000000000001E-10</v>
      </c>
    </row>
    <row r="439" spans="1:2" x14ac:dyDescent="0.25">
      <c r="A439" t="s">
        <v>990</v>
      </c>
      <c r="B439">
        <v>2.5999999999999998E-10</v>
      </c>
    </row>
    <row r="440" spans="1:2" x14ac:dyDescent="0.25">
      <c r="A440" t="s">
        <v>991</v>
      </c>
      <c r="B440">
        <v>7.2999999999999996E-10</v>
      </c>
    </row>
    <row r="441" spans="1:2" x14ac:dyDescent="0.25">
      <c r="A441" t="s">
        <v>992</v>
      </c>
      <c r="B441">
        <v>5.2000000000000001E-11</v>
      </c>
    </row>
    <row r="442" spans="1:2" x14ac:dyDescent="0.25">
      <c r="A442" t="s">
        <v>993</v>
      </c>
      <c r="B442">
        <v>5.9000000000000003E-11</v>
      </c>
    </row>
    <row r="443" spans="1:2" x14ac:dyDescent="0.25">
      <c r="A443" t="s">
        <v>994</v>
      </c>
      <c r="B443">
        <v>1.4000000000000001E-10</v>
      </c>
    </row>
    <row r="444" spans="1:2" x14ac:dyDescent="0.25">
      <c r="A444" t="s">
        <v>42</v>
      </c>
      <c r="B444">
        <v>2.3999999999999998E-7</v>
      </c>
    </row>
    <row r="445" spans="1:2" x14ac:dyDescent="0.25">
      <c r="A445" t="s">
        <v>995</v>
      </c>
      <c r="B445">
        <v>3.3000000000000002E-11</v>
      </c>
    </row>
    <row r="446" spans="1:2" x14ac:dyDescent="0.25">
      <c r="A446" t="s">
        <v>996</v>
      </c>
      <c r="B446">
        <v>3.9999999999999998E-11</v>
      </c>
    </row>
    <row r="447" spans="1:2" x14ac:dyDescent="0.25">
      <c r="A447" t="s">
        <v>997</v>
      </c>
      <c r="B447">
        <v>1.2999999999999999E-10</v>
      </c>
    </row>
    <row r="448" spans="1:2" x14ac:dyDescent="0.25">
      <c r="A448" t="s">
        <v>998</v>
      </c>
      <c r="B448">
        <v>3.1000000000000003E-11</v>
      </c>
    </row>
    <row r="449" spans="1:2" x14ac:dyDescent="0.25">
      <c r="A449" t="s">
        <v>999</v>
      </c>
      <c r="B449">
        <v>1.3000000000000001E-9</v>
      </c>
    </row>
    <row r="450" spans="1:2" x14ac:dyDescent="0.25">
      <c r="A450" t="s">
        <v>1000</v>
      </c>
      <c r="B450">
        <v>1.6999999999999999E-11</v>
      </c>
    </row>
    <row r="451" spans="1:2" x14ac:dyDescent="0.25">
      <c r="A451" t="s">
        <v>1001</v>
      </c>
      <c r="B451">
        <v>1.2E-9</v>
      </c>
    </row>
    <row r="452" spans="1:2" x14ac:dyDescent="0.25">
      <c r="A452" t="s">
        <v>125</v>
      </c>
      <c r="B452">
        <v>5.0000000000000002E-11</v>
      </c>
    </row>
    <row r="453" spans="1:2" x14ac:dyDescent="0.25">
      <c r="A453" t="s">
        <v>1002</v>
      </c>
      <c r="B453">
        <v>3.9E-10</v>
      </c>
    </row>
    <row r="454" spans="1:2" x14ac:dyDescent="0.25">
      <c r="A454" t="s">
        <v>1003</v>
      </c>
      <c r="B454">
        <v>3.3000000000000002E-11</v>
      </c>
    </row>
    <row r="455" spans="1:2" x14ac:dyDescent="0.25">
      <c r="A455" t="s">
        <v>1004</v>
      </c>
      <c r="B455">
        <v>9.3000000000000002E-11</v>
      </c>
    </row>
    <row r="456" spans="1:2" x14ac:dyDescent="0.25">
      <c r="A456" t="s">
        <v>1005</v>
      </c>
      <c r="B456">
        <v>7.5999999999999996E-10</v>
      </c>
    </row>
    <row r="457" spans="1:2" x14ac:dyDescent="0.25">
      <c r="A457" t="s">
        <v>1006</v>
      </c>
      <c r="B457">
        <v>1.2E-10</v>
      </c>
    </row>
    <row r="458" spans="1:2" x14ac:dyDescent="0.25">
      <c r="A458" t="s">
        <v>1007</v>
      </c>
      <c r="B458">
        <v>3.4000000000000001E-10</v>
      </c>
    </row>
    <row r="459" spans="1:2" x14ac:dyDescent="0.25">
      <c r="A459" t="s">
        <v>1008</v>
      </c>
      <c r="B459">
        <v>3.1000000000000003E-11</v>
      </c>
    </row>
    <row r="460" spans="1:2" x14ac:dyDescent="0.25">
      <c r="A460" t="s">
        <v>1009</v>
      </c>
      <c r="B460">
        <v>4.5E-10</v>
      </c>
    </row>
    <row r="461" spans="1:2" x14ac:dyDescent="0.25">
      <c r="A461" t="s">
        <v>1010</v>
      </c>
      <c r="B461">
        <v>6.3E-10</v>
      </c>
    </row>
    <row r="462" spans="1:2" x14ac:dyDescent="0.25">
      <c r="A462" t="s">
        <v>1011</v>
      </c>
      <c r="B462">
        <v>4.0000000000000001E-10</v>
      </c>
    </row>
    <row r="463" spans="1:2" x14ac:dyDescent="0.25">
      <c r="A463" t="s">
        <v>1012</v>
      </c>
      <c r="B463">
        <v>8.3999999999999994E-11</v>
      </c>
    </row>
    <row r="464" spans="1:2" x14ac:dyDescent="0.25">
      <c r="A464" t="s">
        <v>1013</v>
      </c>
      <c r="B464">
        <v>3.9000000000000001E-11</v>
      </c>
    </row>
    <row r="465" spans="1:2" x14ac:dyDescent="0.25">
      <c r="A465" t="s">
        <v>1014</v>
      </c>
      <c r="B465">
        <v>1.2E-9</v>
      </c>
    </row>
    <row r="466" spans="1:2" x14ac:dyDescent="0.25">
      <c r="A466" t="s">
        <v>1015</v>
      </c>
      <c r="B466">
        <v>1.5999999999999999E-10</v>
      </c>
    </row>
    <row r="467" spans="1:2" x14ac:dyDescent="0.25">
      <c r="A467" t="s">
        <v>1016</v>
      </c>
      <c r="B467">
        <v>2.0999999999999999E-12</v>
      </c>
    </row>
    <row r="468" spans="1:2" x14ac:dyDescent="0.25">
      <c r="A468" t="s">
        <v>132</v>
      </c>
      <c r="B468">
        <v>8.6000000000000002E-8</v>
      </c>
    </row>
    <row r="469" spans="1:2" x14ac:dyDescent="0.25">
      <c r="A469" t="s">
        <v>1017</v>
      </c>
      <c r="B469">
        <v>1E-10</v>
      </c>
    </row>
    <row r="470" spans="1:2" x14ac:dyDescent="0.25">
      <c r="A470" t="s">
        <v>97</v>
      </c>
      <c r="B470">
        <v>2.2999999999999999E-7</v>
      </c>
    </row>
    <row r="471" spans="1:2" x14ac:dyDescent="0.25">
      <c r="A471" t="s">
        <v>99</v>
      </c>
      <c r="B471">
        <v>2.4999999999999999E-7</v>
      </c>
    </row>
    <row r="472" spans="1:2" x14ac:dyDescent="0.25">
      <c r="A472" t="s">
        <v>101</v>
      </c>
      <c r="B472">
        <v>2.4999999999999999E-7</v>
      </c>
    </row>
    <row r="473" spans="1:2" x14ac:dyDescent="0.25">
      <c r="A473" t="s">
        <v>103</v>
      </c>
      <c r="B473">
        <v>4.6999999999999999E-9</v>
      </c>
    </row>
    <row r="474" spans="1:2" x14ac:dyDescent="0.25">
      <c r="A474" t="s">
        <v>133</v>
      </c>
      <c r="B474">
        <v>2.3999999999999998E-7</v>
      </c>
    </row>
    <row r="475" spans="1:2" x14ac:dyDescent="0.25">
      <c r="A475" t="s">
        <v>1018</v>
      </c>
      <c r="B475">
        <v>8.5000000000000004E-11</v>
      </c>
    </row>
    <row r="476" spans="1:2" x14ac:dyDescent="0.25">
      <c r="A476" t="s">
        <v>1019</v>
      </c>
      <c r="B476">
        <v>2.3999999999999998E-7</v>
      </c>
    </row>
    <row r="477" spans="1:2" x14ac:dyDescent="0.25">
      <c r="A477" t="s">
        <v>1020</v>
      </c>
      <c r="B477">
        <v>7.2E-10</v>
      </c>
    </row>
    <row r="478" spans="1:2" x14ac:dyDescent="0.25">
      <c r="A478" t="s">
        <v>1021</v>
      </c>
      <c r="B478">
        <v>3.3000000000000002E-9</v>
      </c>
    </row>
    <row r="479" spans="1:2" x14ac:dyDescent="0.25">
      <c r="A479" t="s">
        <v>71</v>
      </c>
      <c r="B479">
        <v>9.9999999999999995E-8</v>
      </c>
    </row>
    <row r="480" spans="1:2" x14ac:dyDescent="0.25">
      <c r="A480" t="s">
        <v>73</v>
      </c>
      <c r="B480">
        <v>6.5E-8</v>
      </c>
    </row>
    <row r="481" spans="1:2" x14ac:dyDescent="0.25">
      <c r="A481" t="s">
        <v>75</v>
      </c>
      <c r="B481">
        <v>9.5000000000000004E-8</v>
      </c>
    </row>
    <row r="482" spans="1:2" x14ac:dyDescent="0.25">
      <c r="A482" t="s">
        <v>76</v>
      </c>
      <c r="B482">
        <v>2.8000000000000002E-7</v>
      </c>
    </row>
    <row r="483" spans="1:2" x14ac:dyDescent="0.25">
      <c r="A483" t="s">
        <v>1022</v>
      </c>
      <c r="B483">
        <v>8.3999999999999994E-11</v>
      </c>
    </row>
    <row r="484" spans="1:2" x14ac:dyDescent="0.25">
      <c r="A484" t="s">
        <v>81</v>
      </c>
      <c r="B484">
        <v>6.7000000000000004E-7</v>
      </c>
    </row>
    <row r="485" spans="1:2" x14ac:dyDescent="0.25">
      <c r="A485" t="s">
        <v>1023</v>
      </c>
      <c r="B485">
        <v>5.0000000000000002E-11</v>
      </c>
    </row>
    <row r="486" spans="1:2" x14ac:dyDescent="0.25">
      <c r="A486" t="s">
        <v>1024</v>
      </c>
      <c r="B486">
        <v>5.4000000000000001E-11</v>
      </c>
    </row>
    <row r="487" spans="1:2" x14ac:dyDescent="0.25">
      <c r="A487" t="s">
        <v>1025</v>
      </c>
      <c r="B487">
        <v>9.6999999999999995E-12</v>
      </c>
    </row>
    <row r="488" spans="1:2" x14ac:dyDescent="0.25">
      <c r="A488" t="s">
        <v>1026</v>
      </c>
      <c r="B488">
        <v>1.2999999999999999E-10</v>
      </c>
    </row>
    <row r="489" spans="1:2" x14ac:dyDescent="0.25">
      <c r="A489" t="s">
        <v>1027</v>
      </c>
      <c r="B489">
        <v>1.9000000000000001E-9</v>
      </c>
    </row>
    <row r="490" spans="1:2" x14ac:dyDescent="0.25">
      <c r="A490" t="s">
        <v>1028</v>
      </c>
      <c r="B490">
        <v>2.7999999999999998E-9</v>
      </c>
    </row>
    <row r="491" spans="1:2" x14ac:dyDescent="0.25">
      <c r="A491" t="s">
        <v>19</v>
      </c>
      <c r="B491">
        <v>2.7999999999999998E-9</v>
      </c>
    </row>
    <row r="492" spans="1:2" x14ac:dyDescent="0.25">
      <c r="A492" t="s">
        <v>1029</v>
      </c>
      <c r="B492">
        <v>1.5E-9</v>
      </c>
    </row>
    <row r="493" spans="1:2" x14ac:dyDescent="0.25">
      <c r="A493" t="s">
        <v>1030</v>
      </c>
      <c r="B493">
        <v>8.9999999999999999E-11</v>
      </c>
    </row>
    <row r="494" spans="1:2" x14ac:dyDescent="0.25">
      <c r="A494" t="s">
        <v>1031</v>
      </c>
      <c r="B494">
        <v>4.6999999999999999E-11</v>
      </c>
    </row>
    <row r="495" spans="1:2" x14ac:dyDescent="0.25">
      <c r="A495" t="s">
        <v>1032</v>
      </c>
      <c r="B495">
        <v>2.2000000000000002E-11</v>
      </c>
    </row>
    <row r="496" spans="1:2" x14ac:dyDescent="0.25">
      <c r="A496" t="s">
        <v>1033</v>
      </c>
      <c r="B496">
        <v>2.5000000000000001E-11</v>
      </c>
    </row>
    <row r="497" spans="1:2" x14ac:dyDescent="0.25">
      <c r="A497" t="s">
        <v>1034</v>
      </c>
      <c r="B497">
        <v>4.2E-10</v>
      </c>
    </row>
    <row r="498" spans="1:2" x14ac:dyDescent="0.25">
      <c r="A498" t="s">
        <v>1035</v>
      </c>
      <c r="B498">
        <v>1.3999999999999999E-9</v>
      </c>
    </row>
    <row r="499" spans="1:2" x14ac:dyDescent="0.25">
      <c r="A499" t="s">
        <v>1036</v>
      </c>
      <c r="B499">
        <v>2.7E-10</v>
      </c>
    </row>
    <row r="500" spans="1:2" x14ac:dyDescent="0.25">
      <c r="A500" t="s">
        <v>1037</v>
      </c>
      <c r="B500">
        <v>1.0000000000000001E-9</v>
      </c>
    </row>
    <row r="501" spans="1:2" x14ac:dyDescent="0.25">
      <c r="A501" t="s">
        <v>1038</v>
      </c>
      <c r="B501">
        <v>1.5E-9</v>
      </c>
    </row>
    <row r="502" spans="1:2" x14ac:dyDescent="0.25">
      <c r="A502" t="s">
        <v>1039</v>
      </c>
      <c r="B502">
        <v>1.5E-9</v>
      </c>
    </row>
    <row r="503" spans="1:2" x14ac:dyDescent="0.25">
      <c r="A503" t="s">
        <v>1040</v>
      </c>
      <c r="B503">
        <v>2.1999999999999998E-9</v>
      </c>
    </row>
    <row r="504" spans="1:2" x14ac:dyDescent="0.25">
      <c r="A504" t="s">
        <v>1041</v>
      </c>
      <c r="B504">
        <v>5.0999999999999997E-12</v>
      </c>
    </row>
    <row r="505" spans="1:2" x14ac:dyDescent="0.25">
      <c r="A505" t="s">
        <v>1042</v>
      </c>
      <c r="B505">
        <v>1.3999999999999999E-9</v>
      </c>
    </row>
    <row r="506" spans="1:2" x14ac:dyDescent="0.25">
      <c r="A506" t="s">
        <v>1043</v>
      </c>
      <c r="B506">
        <v>3E-11</v>
      </c>
    </row>
    <row r="507" spans="1:2" x14ac:dyDescent="0.25">
      <c r="A507" t="s">
        <v>1044</v>
      </c>
      <c r="B507">
        <v>7.7999999999999999E-10</v>
      </c>
    </row>
    <row r="508" spans="1:2" x14ac:dyDescent="0.25">
      <c r="A508" t="s">
        <v>1045</v>
      </c>
      <c r="B508">
        <v>7.1000000000000003E-10</v>
      </c>
    </row>
    <row r="509" spans="1:2" x14ac:dyDescent="0.25">
      <c r="A509" t="s">
        <v>1046</v>
      </c>
      <c r="B509">
        <v>5.4999999999999996E-10</v>
      </c>
    </row>
    <row r="510" spans="1:2" x14ac:dyDescent="0.25">
      <c r="A510" t="s">
        <v>1047</v>
      </c>
      <c r="B510">
        <v>2.1999999999999999E-10</v>
      </c>
    </row>
    <row r="511" spans="1:2" x14ac:dyDescent="0.25">
      <c r="A511" t="s">
        <v>1048</v>
      </c>
      <c r="B511">
        <v>1.2E-9</v>
      </c>
    </row>
    <row r="512" spans="1:2" x14ac:dyDescent="0.25">
      <c r="A512" t="s">
        <v>1049</v>
      </c>
      <c r="B512">
        <v>2.6000000000000001E-9</v>
      </c>
    </row>
    <row r="513" spans="1:2" x14ac:dyDescent="0.25">
      <c r="A513" t="s">
        <v>1050</v>
      </c>
      <c r="B513">
        <v>3.8E-12</v>
      </c>
    </row>
    <row r="514" spans="1:2" x14ac:dyDescent="0.25">
      <c r="A514" t="s">
        <v>1051</v>
      </c>
      <c r="B514">
        <v>3.7000000000000001E-10</v>
      </c>
    </row>
    <row r="515" spans="1:2" x14ac:dyDescent="0.25">
      <c r="A515" t="s">
        <v>1052</v>
      </c>
      <c r="B515">
        <v>1.5999999999999999E-10</v>
      </c>
    </row>
    <row r="516" spans="1:2" x14ac:dyDescent="0.25">
      <c r="A516" t="s">
        <v>1053</v>
      </c>
      <c r="B516">
        <v>2.4000000000000001E-11</v>
      </c>
    </row>
    <row r="517" spans="1:2" x14ac:dyDescent="0.25">
      <c r="A517" t="s">
        <v>24</v>
      </c>
      <c r="B517">
        <v>5.1E-10</v>
      </c>
    </row>
    <row r="518" spans="1:2" x14ac:dyDescent="0.25">
      <c r="A518" t="s">
        <v>1054</v>
      </c>
      <c r="B518">
        <v>6.6000000000000005E-11</v>
      </c>
    </row>
    <row r="519" spans="1:2" x14ac:dyDescent="0.25">
      <c r="A519" t="s">
        <v>1055</v>
      </c>
      <c r="B519">
        <v>7.2999999999999996E-10</v>
      </c>
    </row>
    <row r="520" spans="1:2" x14ac:dyDescent="0.25">
      <c r="A520" t="s">
        <v>1056</v>
      </c>
      <c r="B520">
        <v>2.5999999999999998E-10</v>
      </c>
    </row>
    <row r="521" spans="1:2" x14ac:dyDescent="0.25">
      <c r="A521" t="s">
        <v>112</v>
      </c>
      <c r="B521">
        <v>6.9999999999999998E-9</v>
      </c>
    </row>
    <row r="522" spans="1:2" x14ac:dyDescent="0.25">
      <c r="A522" t="s">
        <v>1057</v>
      </c>
      <c r="B522">
        <v>9.3999999999999999E-11</v>
      </c>
    </row>
    <row r="523" spans="1:2" x14ac:dyDescent="0.25">
      <c r="A523" t="s">
        <v>1058</v>
      </c>
      <c r="B523">
        <v>1.5E-10</v>
      </c>
    </row>
    <row r="524" spans="1:2" x14ac:dyDescent="0.25">
      <c r="A524" t="s">
        <v>6</v>
      </c>
      <c r="B524">
        <v>7.7000000000000003E-10</v>
      </c>
    </row>
    <row r="525" spans="1:2" x14ac:dyDescent="0.25">
      <c r="A525" t="s">
        <v>1059</v>
      </c>
      <c r="B525">
        <v>2.4000000000000001E-11</v>
      </c>
    </row>
    <row r="526" spans="1:2" x14ac:dyDescent="0.25">
      <c r="A526" t="s">
        <v>1060</v>
      </c>
      <c r="B526">
        <v>2.6000000000000001E-11</v>
      </c>
    </row>
    <row r="527" spans="1:2" x14ac:dyDescent="0.25">
      <c r="A527" t="s">
        <v>1061</v>
      </c>
      <c r="B527">
        <v>6.7000000000000001E-11</v>
      </c>
    </row>
    <row r="528" spans="1:2" x14ac:dyDescent="0.25">
      <c r="A528" t="s">
        <v>1062</v>
      </c>
      <c r="B528">
        <v>1.7999999999999999E-11</v>
      </c>
    </row>
    <row r="529" spans="1:2" x14ac:dyDescent="0.25">
      <c r="A529" t="s">
        <v>1063</v>
      </c>
      <c r="B529">
        <v>2.1E-10</v>
      </c>
    </row>
    <row r="530" spans="1:2" x14ac:dyDescent="0.25">
      <c r="A530" t="s">
        <v>1064</v>
      </c>
      <c r="B530">
        <v>8.1000000000000005E-11</v>
      </c>
    </row>
    <row r="531" spans="1:2" x14ac:dyDescent="0.25">
      <c r="A531" t="s">
        <v>1065</v>
      </c>
      <c r="B531">
        <v>1.4E-11</v>
      </c>
    </row>
    <row r="532" spans="1:2" x14ac:dyDescent="0.25">
      <c r="A532" t="s">
        <v>1066</v>
      </c>
      <c r="B532">
        <v>1.2E-9</v>
      </c>
    </row>
    <row r="533" spans="1:2" x14ac:dyDescent="0.25">
      <c r="A533" t="s">
        <v>1067</v>
      </c>
      <c r="B533">
        <v>1.6999999999999999E-9</v>
      </c>
    </row>
    <row r="534" spans="1:2" x14ac:dyDescent="0.25">
      <c r="A534" t="s">
        <v>1068</v>
      </c>
      <c r="B534">
        <v>2.5000000000000001E-9</v>
      </c>
    </row>
    <row r="535" spans="1:2" x14ac:dyDescent="0.25">
      <c r="A535" t="s">
        <v>1069</v>
      </c>
      <c r="B535">
        <v>7.9999999999999998E-12</v>
      </c>
    </row>
    <row r="536" spans="1:2" x14ac:dyDescent="0.25">
      <c r="A536" t="s">
        <v>117</v>
      </c>
      <c r="B536">
        <v>1.0999999999999999E-9</v>
      </c>
    </row>
    <row r="537" spans="1:2" x14ac:dyDescent="0.25">
      <c r="A537" t="s">
        <v>121</v>
      </c>
      <c r="B537">
        <v>2.4E-9</v>
      </c>
    </row>
    <row r="538" spans="1:2" x14ac:dyDescent="0.25">
      <c r="A538" t="s">
        <v>120</v>
      </c>
      <c r="B538">
        <v>3.5999999999999998E-11</v>
      </c>
    </row>
    <row r="539" spans="1:2" x14ac:dyDescent="0.25">
      <c r="A539" t="s">
        <v>1070</v>
      </c>
      <c r="B539">
        <v>1.6999999999999999E-9</v>
      </c>
    </row>
    <row r="540" spans="1:2" x14ac:dyDescent="0.25">
      <c r="A540" t="s">
        <v>1071</v>
      </c>
      <c r="B540">
        <v>7.5999999999999996E-10</v>
      </c>
    </row>
    <row r="541" spans="1:2" x14ac:dyDescent="0.25">
      <c r="A541" t="s">
        <v>1072</v>
      </c>
      <c r="B541">
        <v>3.3000000000000002E-11</v>
      </c>
    </row>
    <row r="542" spans="1:2" x14ac:dyDescent="0.25">
      <c r="A542" t="s">
        <v>1073</v>
      </c>
      <c r="B542">
        <v>4.2E-10</v>
      </c>
    </row>
    <row r="543" spans="1:2" x14ac:dyDescent="0.25">
      <c r="A543" t="s">
        <v>1074</v>
      </c>
      <c r="B543">
        <v>9.0999999999999996E-11</v>
      </c>
    </row>
    <row r="544" spans="1:2" x14ac:dyDescent="0.25">
      <c r="A544" t="s">
        <v>1075</v>
      </c>
      <c r="B544">
        <v>1E-10</v>
      </c>
    </row>
    <row r="545" spans="1:2" x14ac:dyDescent="0.25">
      <c r="A545" t="s">
        <v>1076</v>
      </c>
      <c r="B545">
        <v>1.8999999999999999E-10</v>
      </c>
    </row>
    <row r="546" spans="1:2" x14ac:dyDescent="0.25">
      <c r="A546" t="s">
        <v>1077</v>
      </c>
      <c r="B546">
        <v>3.4999999999999998E-10</v>
      </c>
    </row>
    <row r="547" spans="1:2" x14ac:dyDescent="0.25">
      <c r="A547" t="s">
        <v>1078</v>
      </c>
      <c r="B547">
        <v>2.4E-9</v>
      </c>
    </row>
    <row r="548" spans="1:2" x14ac:dyDescent="0.25">
      <c r="A548" t="s">
        <v>1079</v>
      </c>
      <c r="B548">
        <v>1.5E-9</v>
      </c>
    </row>
    <row r="549" spans="1:2" x14ac:dyDescent="0.25">
      <c r="A549" t="s">
        <v>1080</v>
      </c>
      <c r="B549">
        <v>5.4E-10</v>
      </c>
    </row>
    <row r="550" spans="1:2" x14ac:dyDescent="0.25">
      <c r="A550" t="s">
        <v>1081</v>
      </c>
      <c r="B550">
        <v>1.6999999999999999E-9</v>
      </c>
    </row>
    <row r="551" spans="1:2" x14ac:dyDescent="0.25">
      <c r="A551" t="s">
        <v>1082</v>
      </c>
      <c r="B551">
        <v>8.2000000000000001E-11</v>
      </c>
    </row>
    <row r="552" spans="1:2" x14ac:dyDescent="0.25">
      <c r="A552" t="s">
        <v>1083</v>
      </c>
      <c r="B552">
        <v>1.4000000000000001E-10</v>
      </c>
    </row>
    <row r="553" spans="1:2" x14ac:dyDescent="0.25">
      <c r="A553" t="s">
        <v>1084</v>
      </c>
      <c r="B553">
        <v>3.9E-10</v>
      </c>
    </row>
    <row r="554" spans="1:2" x14ac:dyDescent="0.25">
      <c r="A554" t="s">
        <v>1085</v>
      </c>
      <c r="B554">
        <v>4.1000000000000001E-11</v>
      </c>
    </row>
    <row r="555" spans="1:2" x14ac:dyDescent="0.25">
      <c r="A555" t="s">
        <v>1086</v>
      </c>
      <c r="B555">
        <v>2.6000000000000001E-9</v>
      </c>
    </row>
    <row r="556" spans="1:2" x14ac:dyDescent="0.25">
      <c r="A556" t="s">
        <v>109</v>
      </c>
      <c r="B556">
        <v>2.8999999999999999E-9</v>
      </c>
    </row>
    <row r="557" spans="1:2" x14ac:dyDescent="0.25">
      <c r="A557" t="s">
        <v>1087</v>
      </c>
      <c r="B557">
        <v>2.7E-11</v>
      </c>
    </row>
    <row r="558" spans="1:2" x14ac:dyDescent="0.25">
      <c r="A558" t="s">
        <v>1088</v>
      </c>
      <c r="B558">
        <v>5.9000000000000003E-11</v>
      </c>
    </row>
    <row r="559" spans="1:2" x14ac:dyDescent="0.25">
      <c r="A559" t="s">
        <v>1089</v>
      </c>
      <c r="B559">
        <v>5.0999999999999998E-11</v>
      </c>
    </row>
    <row r="560" spans="1:2" x14ac:dyDescent="0.25">
      <c r="A560" t="s">
        <v>1090</v>
      </c>
      <c r="B560">
        <v>1.5999999999999999E-10</v>
      </c>
    </row>
    <row r="561" spans="1:2" x14ac:dyDescent="0.25">
      <c r="A561" t="s">
        <v>1091</v>
      </c>
      <c r="B561">
        <v>5.6000000000000003E-10</v>
      </c>
    </row>
    <row r="562" spans="1:2" x14ac:dyDescent="0.25">
      <c r="A562" t="s">
        <v>1092</v>
      </c>
      <c r="B562">
        <v>3.9000000000000001E-11</v>
      </c>
    </row>
    <row r="563" spans="1:2" x14ac:dyDescent="0.25">
      <c r="A563" t="s">
        <v>1093</v>
      </c>
      <c r="B563">
        <v>6.4999999999999995E-11</v>
      </c>
    </row>
    <row r="564" spans="1:2" x14ac:dyDescent="0.25">
      <c r="A564" t="s">
        <v>1094</v>
      </c>
      <c r="B564">
        <v>1.8999999999999999E-10</v>
      </c>
    </row>
    <row r="565" spans="1:2" x14ac:dyDescent="0.25">
      <c r="A565" t="s">
        <v>1095</v>
      </c>
      <c r="B565">
        <v>2.1E-10</v>
      </c>
    </row>
    <row r="566" spans="1:2" x14ac:dyDescent="0.25">
      <c r="A566" t="s">
        <v>147</v>
      </c>
      <c r="B566">
        <v>5.4E-8</v>
      </c>
    </row>
    <row r="567" spans="1:2" x14ac:dyDescent="0.25">
      <c r="A567" t="s">
        <v>148</v>
      </c>
      <c r="B567">
        <v>4.9000000000000002E-8</v>
      </c>
    </row>
    <row r="568" spans="1:2" x14ac:dyDescent="0.25">
      <c r="A568" t="s">
        <v>128</v>
      </c>
      <c r="B568">
        <v>9.7999999999999998E-11</v>
      </c>
    </row>
    <row r="569" spans="1:2" x14ac:dyDescent="0.25">
      <c r="A569" t="s">
        <v>1096</v>
      </c>
      <c r="B569">
        <v>7.4000000000000003E-10</v>
      </c>
    </row>
    <row r="570" spans="1:2" x14ac:dyDescent="0.25">
      <c r="A570" t="s">
        <v>1097</v>
      </c>
      <c r="B570">
        <v>2.9E-11</v>
      </c>
    </row>
    <row r="571" spans="1:2" x14ac:dyDescent="0.25">
      <c r="A571" t="s">
        <v>1098</v>
      </c>
      <c r="B571">
        <v>2.5000000000000002E-10</v>
      </c>
    </row>
    <row r="572" spans="1:2" x14ac:dyDescent="0.25">
      <c r="A572" t="s">
        <v>1099</v>
      </c>
      <c r="B572">
        <v>3.4999999999999998E-10</v>
      </c>
    </row>
    <row r="573" spans="1:2" x14ac:dyDescent="0.25">
      <c r="A573" t="s">
        <v>1100</v>
      </c>
      <c r="B573">
        <v>2.3000000000000001E-11</v>
      </c>
    </row>
    <row r="574" spans="1:2" x14ac:dyDescent="0.25">
      <c r="A574" t="s">
        <v>1101</v>
      </c>
      <c r="B574">
        <v>7.2999999999999996E-10</v>
      </c>
    </row>
    <row r="575" spans="1:2" x14ac:dyDescent="0.25">
      <c r="A575" t="s">
        <v>1102</v>
      </c>
      <c r="B575">
        <v>7.1000000000000003E-10</v>
      </c>
    </row>
    <row r="576" spans="1:2" x14ac:dyDescent="0.25">
      <c r="A576" t="s">
        <v>1103</v>
      </c>
      <c r="B576">
        <v>3.4000000000000001E-10</v>
      </c>
    </row>
    <row r="577" spans="1:2" x14ac:dyDescent="0.25">
      <c r="A577" t="s">
        <v>146</v>
      </c>
      <c r="B577">
        <v>2.3000000000000001E-10</v>
      </c>
    </row>
    <row r="578" spans="1:2" x14ac:dyDescent="0.25">
      <c r="A578" t="s">
        <v>116</v>
      </c>
      <c r="B578">
        <v>3.7999999999999998E-10</v>
      </c>
    </row>
    <row r="579" spans="1:2" x14ac:dyDescent="0.25">
      <c r="A579" t="s">
        <v>1104</v>
      </c>
      <c r="B579">
        <v>2.1000000000000002E-9</v>
      </c>
    </row>
    <row r="580" spans="1:2" x14ac:dyDescent="0.25">
      <c r="A580" t="s">
        <v>1105</v>
      </c>
      <c r="B580">
        <v>3.7999999999999998E-11</v>
      </c>
    </row>
    <row r="581" spans="1:2" x14ac:dyDescent="0.25">
      <c r="A581" t="s">
        <v>1106</v>
      </c>
      <c r="B581">
        <v>3.1E-9</v>
      </c>
    </row>
    <row r="582" spans="1:2" x14ac:dyDescent="0.25">
      <c r="A582" t="s">
        <v>119</v>
      </c>
      <c r="B582">
        <v>4.6999999999999999E-9</v>
      </c>
    </row>
    <row r="583" spans="1:2" x14ac:dyDescent="0.25">
      <c r="A583" t="s">
        <v>1107</v>
      </c>
      <c r="B583">
        <v>2.0000000000000001E-10</v>
      </c>
    </row>
    <row r="584" spans="1:2" x14ac:dyDescent="0.25">
      <c r="A584" t="s">
        <v>1108</v>
      </c>
      <c r="B584">
        <v>1.5E-10</v>
      </c>
    </row>
    <row r="585" spans="1:2" x14ac:dyDescent="0.25">
      <c r="A585" t="s">
        <v>1109</v>
      </c>
      <c r="B585">
        <v>3.4999999999999998E-10</v>
      </c>
    </row>
    <row r="586" spans="1:2" x14ac:dyDescent="0.25">
      <c r="A586" t="s">
        <v>1110</v>
      </c>
      <c r="B586">
        <v>7.8000000000000002E-11</v>
      </c>
    </row>
    <row r="587" spans="1:2" x14ac:dyDescent="0.25">
      <c r="A587" t="s">
        <v>1111</v>
      </c>
      <c r="B587">
        <v>6.1E-9</v>
      </c>
    </row>
    <row r="588" spans="1:2" x14ac:dyDescent="0.25">
      <c r="A588" t="s">
        <v>1112</v>
      </c>
      <c r="B588">
        <v>5.7999999999999996E-10</v>
      </c>
    </row>
    <row r="589" spans="1:2" x14ac:dyDescent="0.25">
      <c r="A589" t="s">
        <v>1113</v>
      </c>
      <c r="B589">
        <v>5.6000000000000003E-10</v>
      </c>
    </row>
    <row r="590" spans="1:2" x14ac:dyDescent="0.25">
      <c r="A590" t="s">
        <v>1114</v>
      </c>
      <c r="B590">
        <v>6.1000000000000003E-12</v>
      </c>
    </row>
    <row r="591" spans="1:2" x14ac:dyDescent="0.25">
      <c r="A591" t="s">
        <v>1115</v>
      </c>
      <c r="B591">
        <v>3.3000000000000002E-11</v>
      </c>
    </row>
    <row r="592" spans="1:2" x14ac:dyDescent="0.25">
      <c r="A592" t="s">
        <v>1116</v>
      </c>
      <c r="B592">
        <v>2.6000000000000001E-9</v>
      </c>
    </row>
    <row r="593" spans="1:2" x14ac:dyDescent="0.25">
      <c r="A593" t="s">
        <v>21</v>
      </c>
      <c r="B593">
        <v>2.7999999999999999E-8</v>
      </c>
    </row>
    <row r="594" spans="1:2" x14ac:dyDescent="0.25">
      <c r="A594" t="s">
        <v>1117</v>
      </c>
      <c r="B594">
        <v>7.5999999999999996E-10</v>
      </c>
    </row>
    <row r="595" spans="1:2" x14ac:dyDescent="0.25">
      <c r="A595" t="s">
        <v>1118</v>
      </c>
      <c r="B595">
        <v>4.8999999999999996E-10</v>
      </c>
    </row>
    <row r="596" spans="1:2" x14ac:dyDescent="0.25">
      <c r="A596" t="s">
        <v>1119</v>
      </c>
      <c r="B596">
        <v>5.2999999999999998E-11</v>
      </c>
    </row>
    <row r="597" spans="1:2" x14ac:dyDescent="0.25">
      <c r="A597" t="s">
        <v>1120</v>
      </c>
      <c r="B597">
        <v>1.8999999999999999E-10</v>
      </c>
    </row>
    <row r="598" spans="1:2" x14ac:dyDescent="0.25">
      <c r="A598" t="s">
        <v>1121</v>
      </c>
      <c r="B598">
        <v>5.6999999999999997E-11</v>
      </c>
    </row>
    <row r="599" spans="1:2" x14ac:dyDescent="0.25">
      <c r="A599" t="s">
        <v>1122</v>
      </c>
      <c r="B599">
        <v>2.1E-10</v>
      </c>
    </row>
    <row r="600" spans="1:2" x14ac:dyDescent="0.25">
      <c r="A600" t="s">
        <v>1123</v>
      </c>
      <c r="B600">
        <v>3.1000000000000002E-10</v>
      </c>
    </row>
    <row r="601" spans="1:2" x14ac:dyDescent="0.25">
      <c r="A601" t="s">
        <v>1124</v>
      </c>
      <c r="B601">
        <v>1.0999999999999999E-10</v>
      </c>
    </row>
    <row r="602" spans="1:2" x14ac:dyDescent="0.25">
      <c r="A602" t="s">
        <v>1125</v>
      </c>
      <c r="B602">
        <v>7.8000000000000002E-11</v>
      </c>
    </row>
    <row r="603" spans="1:2" x14ac:dyDescent="0.25">
      <c r="A603" t="s">
        <v>1126</v>
      </c>
      <c r="B603">
        <v>6.4999999999999995E-11</v>
      </c>
    </row>
    <row r="604" spans="1:2" x14ac:dyDescent="0.25">
      <c r="A604" t="s">
        <v>1127</v>
      </c>
      <c r="B604">
        <v>5.4000000000000001E-11</v>
      </c>
    </row>
    <row r="605" spans="1:2" x14ac:dyDescent="0.25">
      <c r="A605" t="s">
        <v>1128</v>
      </c>
      <c r="B605">
        <v>1.5E-9</v>
      </c>
    </row>
    <row r="606" spans="1:2" x14ac:dyDescent="0.25">
      <c r="A606" t="s">
        <v>1129</v>
      </c>
      <c r="B606">
        <v>1.3000000000000001E-9</v>
      </c>
    </row>
    <row r="607" spans="1:2" x14ac:dyDescent="0.25">
      <c r="A607" t="s">
        <v>1130</v>
      </c>
      <c r="B607">
        <v>6.8000000000000003E-10</v>
      </c>
    </row>
    <row r="608" spans="1:2" x14ac:dyDescent="0.25">
      <c r="A608" t="s">
        <v>1131</v>
      </c>
      <c r="B608">
        <v>6.7999999999999998E-11</v>
      </c>
    </row>
    <row r="609" spans="1:2" x14ac:dyDescent="0.25">
      <c r="A609" t="s">
        <v>1132</v>
      </c>
      <c r="B609">
        <v>3.3000000000000002E-11</v>
      </c>
    </row>
    <row r="610" spans="1:2" x14ac:dyDescent="0.25">
      <c r="A610" t="s">
        <v>1133</v>
      </c>
      <c r="B610">
        <v>1.5999999999999999E-10</v>
      </c>
    </row>
    <row r="611" spans="1:2" x14ac:dyDescent="0.25">
      <c r="A611" t="s">
        <v>1134</v>
      </c>
      <c r="B611">
        <v>2.5000000000000002E-10</v>
      </c>
    </row>
    <row r="612" spans="1:2" x14ac:dyDescent="0.25">
      <c r="A612" t="s">
        <v>1135</v>
      </c>
      <c r="B612">
        <v>2.5000000000000002E-10</v>
      </c>
    </row>
    <row r="613" spans="1:2" x14ac:dyDescent="0.25">
      <c r="A613" t="s">
        <v>1136</v>
      </c>
      <c r="B613">
        <v>3.4000000000000001E-10</v>
      </c>
    </row>
    <row r="614" spans="1:2" x14ac:dyDescent="0.25">
      <c r="A614" t="s">
        <v>1137</v>
      </c>
      <c r="B614">
        <v>2.5000000000000002E-10</v>
      </c>
    </row>
    <row r="615" spans="1:2" x14ac:dyDescent="0.25">
      <c r="A615" t="s">
        <v>1138</v>
      </c>
      <c r="B615">
        <v>6.5000000000000003E-10</v>
      </c>
    </row>
    <row r="616" spans="1:2" x14ac:dyDescent="0.25">
      <c r="A616" t="s">
        <v>1139</v>
      </c>
      <c r="B616">
        <v>2.1E-10</v>
      </c>
    </row>
    <row r="617" spans="1:2" x14ac:dyDescent="0.25">
      <c r="A617" t="s">
        <v>1140</v>
      </c>
      <c r="B617">
        <v>1.2E-9</v>
      </c>
    </row>
    <row r="618" spans="1:2" x14ac:dyDescent="0.25">
      <c r="A618" t="s">
        <v>1141</v>
      </c>
      <c r="B618">
        <v>1.7000000000000001E-10</v>
      </c>
    </row>
    <row r="619" spans="1:2" x14ac:dyDescent="0.25">
      <c r="A619" t="s">
        <v>1142</v>
      </c>
      <c r="B619">
        <v>8.1000000000000005E-11</v>
      </c>
    </row>
    <row r="620" spans="1:2" x14ac:dyDescent="0.25">
      <c r="A620" t="s">
        <v>1143</v>
      </c>
      <c r="B620">
        <v>3.3999999999999999E-11</v>
      </c>
    </row>
    <row r="621" spans="1:2" x14ac:dyDescent="0.25">
      <c r="A621" t="s">
        <v>1144</v>
      </c>
      <c r="B621">
        <v>1.0999999999999999E-9</v>
      </c>
    </row>
    <row r="622" spans="1:2" x14ac:dyDescent="0.25">
      <c r="A622" t="s">
        <v>1145</v>
      </c>
      <c r="B622">
        <v>1.6000000000000001E-9</v>
      </c>
    </row>
    <row r="623" spans="1:2" x14ac:dyDescent="0.25">
      <c r="A623" t="s">
        <v>1146</v>
      </c>
      <c r="B623">
        <v>7.2E-10</v>
      </c>
    </row>
    <row r="624" spans="1:2" x14ac:dyDescent="0.25">
      <c r="A624" t="s">
        <v>1147</v>
      </c>
      <c r="B624">
        <v>1.8999999999999999E-11</v>
      </c>
    </row>
    <row r="625" spans="1:2" x14ac:dyDescent="0.25">
      <c r="A625" t="s">
        <v>1148</v>
      </c>
      <c r="B625">
        <v>8.1000000000000005E-11</v>
      </c>
    </row>
    <row r="626" spans="1:2" x14ac:dyDescent="0.25">
      <c r="A626" t="s">
        <v>1149</v>
      </c>
      <c r="B626">
        <v>4.8999999999999999E-11</v>
      </c>
    </row>
    <row r="627" spans="1:2" x14ac:dyDescent="0.25">
      <c r="A627" t="s">
        <v>1150</v>
      </c>
      <c r="B627">
        <v>2.4000000000000001E-11</v>
      </c>
    </row>
    <row r="628" spans="1:2" x14ac:dyDescent="0.25">
      <c r="A628" t="s">
        <v>1151</v>
      </c>
      <c r="B628">
        <v>1.8E-10</v>
      </c>
    </row>
    <row r="629" spans="1:2" x14ac:dyDescent="0.25">
      <c r="A629" t="s">
        <v>1152</v>
      </c>
      <c r="B629">
        <v>1.0999999999999999E-10</v>
      </c>
    </row>
    <row r="630" spans="1:2" x14ac:dyDescent="0.25">
      <c r="A630" t="s">
        <v>1153</v>
      </c>
      <c r="B630">
        <v>1.5999999999999999E-10</v>
      </c>
    </row>
    <row r="631" spans="1:2" x14ac:dyDescent="0.25">
      <c r="A631" t="s">
        <v>1154</v>
      </c>
      <c r="B631">
        <v>6.2000000000000003E-10</v>
      </c>
    </row>
    <row r="632" spans="1:2" x14ac:dyDescent="0.25">
      <c r="A632" t="s">
        <v>1155</v>
      </c>
      <c r="B632">
        <v>1.0999999999999999E-9</v>
      </c>
    </row>
    <row r="633" spans="1:2" x14ac:dyDescent="0.25">
      <c r="A633" t="s">
        <v>1156</v>
      </c>
      <c r="B633">
        <v>1.3E-11</v>
      </c>
    </row>
    <row r="634" spans="1:2" x14ac:dyDescent="0.25">
      <c r="A634" t="s">
        <v>1157</v>
      </c>
      <c r="B634">
        <v>8.2999999999999998E-11</v>
      </c>
    </row>
    <row r="635" spans="1:2" x14ac:dyDescent="0.25">
      <c r="A635" t="s">
        <v>1158</v>
      </c>
      <c r="B635">
        <v>6.6E-10</v>
      </c>
    </row>
    <row r="636" spans="1:2" x14ac:dyDescent="0.25">
      <c r="A636" t="s">
        <v>1159</v>
      </c>
      <c r="B636">
        <v>2.2999999999999999E-9</v>
      </c>
    </row>
    <row r="637" spans="1:2" x14ac:dyDescent="0.25">
      <c r="A637" t="s">
        <v>22</v>
      </c>
      <c r="B637">
        <v>7.7999999999999999E-10</v>
      </c>
    </row>
    <row r="638" spans="1:2" x14ac:dyDescent="0.25">
      <c r="A638" t="s">
        <v>23</v>
      </c>
      <c r="B638">
        <v>2.2000000000000002E-11</v>
      </c>
    </row>
    <row r="639" spans="1:2" x14ac:dyDescent="0.25">
      <c r="A639" t="s">
        <v>1160</v>
      </c>
      <c r="B639">
        <v>1.7000000000000001E-10</v>
      </c>
    </row>
    <row r="640" spans="1:2" x14ac:dyDescent="0.25">
      <c r="A640" t="s">
        <v>1161</v>
      </c>
      <c r="B640">
        <v>4.3000000000000001E-10</v>
      </c>
    </row>
    <row r="641" spans="1:2" x14ac:dyDescent="0.25">
      <c r="A641" t="s">
        <v>1162</v>
      </c>
      <c r="B641">
        <v>2.2999999999999999E-9</v>
      </c>
    </row>
    <row r="642" spans="1:2" x14ac:dyDescent="0.25">
      <c r="A642" t="s">
        <v>1163</v>
      </c>
      <c r="B642">
        <v>4.3999999999999997E-9</v>
      </c>
    </row>
    <row r="643" spans="1:2" x14ac:dyDescent="0.25">
      <c r="A643" t="s">
        <v>1164</v>
      </c>
      <c r="B643">
        <v>1.3999999999999999E-9</v>
      </c>
    </row>
    <row r="644" spans="1:2" x14ac:dyDescent="0.25">
      <c r="A644" t="s">
        <v>118</v>
      </c>
      <c r="B644">
        <v>8.6999999999999999E-10</v>
      </c>
    </row>
    <row r="645" spans="1:2" x14ac:dyDescent="0.25">
      <c r="A645" t="s">
        <v>1165</v>
      </c>
      <c r="B645">
        <v>1.7000000000000001E-10</v>
      </c>
    </row>
    <row r="646" spans="1:2" x14ac:dyDescent="0.25">
      <c r="A646" t="s">
        <v>1166</v>
      </c>
      <c r="B646">
        <v>2.2999999999999999E-9</v>
      </c>
    </row>
    <row r="647" spans="1:2" x14ac:dyDescent="0.25">
      <c r="A647" t="s">
        <v>1167</v>
      </c>
      <c r="B647">
        <v>6.3000000000000002E-11</v>
      </c>
    </row>
    <row r="648" spans="1:2" x14ac:dyDescent="0.25">
      <c r="A648" t="s">
        <v>1168</v>
      </c>
      <c r="B648">
        <v>3E-9</v>
      </c>
    </row>
    <row r="649" spans="1:2" x14ac:dyDescent="0.25">
      <c r="A649" t="s">
        <v>1169</v>
      </c>
      <c r="B649">
        <v>8.6999999999999997E-11</v>
      </c>
    </row>
    <row r="650" spans="1:2" x14ac:dyDescent="0.25">
      <c r="A650" t="s">
        <v>1170</v>
      </c>
      <c r="B650">
        <v>1.9000000000000001E-9</v>
      </c>
    </row>
    <row r="651" spans="1:2" x14ac:dyDescent="0.25">
      <c r="A651" t="s">
        <v>1171</v>
      </c>
      <c r="B651">
        <v>3.7E-9</v>
      </c>
    </row>
    <row r="652" spans="1:2" x14ac:dyDescent="0.25">
      <c r="A652" t="s">
        <v>1172</v>
      </c>
      <c r="B652">
        <v>7.1999999999999997E-11</v>
      </c>
    </row>
    <row r="653" spans="1:2" x14ac:dyDescent="0.25">
      <c r="A653" t="s">
        <v>1173</v>
      </c>
      <c r="B653">
        <v>2.8000000000000002E-10</v>
      </c>
    </row>
    <row r="654" spans="1:2" x14ac:dyDescent="0.25">
      <c r="A654" t="s">
        <v>1174</v>
      </c>
      <c r="B654">
        <v>1.0999999999999999E-10</v>
      </c>
    </row>
    <row r="655" spans="1:2" x14ac:dyDescent="0.25">
      <c r="A655" t="s">
        <v>1175</v>
      </c>
      <c r="B655">
        <v>3.6E-10</v>
      </c>
    </row>
    <row r="656" spans="1:2" x14ac:dyDescent="0.25">
      <c r="A656" t="s">
        <v>77</v>
      </c>
      <c r="B656">
        <v>8.9000000000000003E-9</v>
      </c>
    </row>
    <row r="657" spans="1:2" x14ac:dyDescent="0.25">
      <c r="A657" t="s">
        <v>79</v>
      </c>
      <c r="B657">
        <v>7.1999999999999996E-8</v>
      </c>
    </row>
    <row r="658" spans="1:2" x14ac:dyDescent="0.25">
      <c r="A658" t="s">
        <v>82</v>
      </c>
      <c r="B658">
        <v>4.7999999999999996E-7</v>
      </c>
    </row>
    <row r="659" spans="1:2" x14ac:dyDescent="0.25">
      <c r="A659" t="s">
        <v>83</v>
      </c>
      <c r="B659">
        <v>2.1E-7</v>
      </c>
    </row>
    <row r="660" spans="1:2" x14ac:dyDescent="0.25">
      <c r="A660" t="s">
        <v>85</v>
      </c>
      <c r="B660">
        <v>3.4000000000000001E-10</v>
      </c>
    </row>
    <row r="661" spans="1:2" x14ac:dyDescent="0.25">
      <c r="A661" t="s">
        <v>86</v>
      </c>
      <c r="B661">
        <v>2.2000000000000001E-7</v>
      </c>
    </row>
    <row r="662" spans="1:2" x14ac:dyDescent="0.25">
      <c r="A662" t="s">
        <v>92</v>
      </c>
      <c r="B662">
        <v>3.3999999999999998E-9</v>
      </c>
    </row>
    <row r="663" spans="1:2" x14ac:dyDescent="0.25">
      <c r="A663" t="s">
        <v>1176</v>
      </c>
      <c r="B663">
        <v>5.7999999999999998E-9</v>
      </c>
    </row>
    <row r="664" spans="1:2" x14ac:dyDescent="0.25">
      <c r="A664" t="s">
        <v>1177</v>
      </c>
      <c r="B664">
        <v>1.5E-10</v>
      </c>
    </row>
    <row r="665" spans="1:2" x14ac:dyDescent="0.25">
      <c r="A665" t="s">
        <v>1178</v>
      </c>
      <c r="B665">
        <v>8.0999999999999998E-12</v>
      </c>
    </row>
    <row r="666" spans="1:2" x14ac:dyDescent="0.25">
      <c r="A666" t="s">
        <v>1179</v>
      </c>
      <c r="B666">
        <v>3.9999999999999998E-11</v>
      </c>
    </row>
    <row r="667" spans="1:2" x14ac:dyDescent="0.25">
      <c r="A667" t="s">
        <v>1180</v>
      </c>
      <c r="B667">
        <v>2.7E-11</v>
      </c>
    </row>
    <row r="668" spans="1:2" x14ac:dyDescent="0.25">
      <c r="A668" t="s">
        <v>1181</v>
      </c>
      <c r="B668">
        <v>2.3000000000000001E-11</v>
      </c>
    </row>
    <row r="669" spans="1:2" x14ac:dyDescent="0.25">
      <c r="A669" t="s">
        <v>1182</v>
      </c>
      <c r="B669">
        <v>7.3000000000000006E-11</v>
      </c>
    </row>
    <row r="670" spans="1:2" x14ac:dyDescent="0.25">
      <c r="A670" t="s">
        <v>1183</v>
      </c>
      <c r="B670">
        <v>5.4000000000000001E-11</v>
      </c>
    </row>
    <row r="671" spans="1:2" x14ac:dyDescent="0.25">
      <c r="A671" t="s">
        <v>1184</v>
      </c>
      <c r="B671">
        <v>2.6000000000000001E-11</v>
      </c>
    </row>
    <row r="672" spans="1:2" x14ac:dyDescent="0.25">
      <c r="A672" t="s">
        <v>1185</v>
      </c>
      <c r="B672">
        <v>2.0000000000000001E-10</v>
      </c>
    </row>
    <row r="673" spans="1:2" x14ac:dyDescent="0.25">
      <c r="A673" t="s">
        <v>1186</v>
      </c>
      <c r="B673">
        <v>9.4999999999999995E-11</v>
      </c>
    </row>
    <row r="674" spans="1:2" x14ac:dyDescent="0.25">
      <c r="A674" t="s">
        <v>1187</v>
      </c>
      <c r="B674">
        <v>4.5E-10</v>
      </c>
    </row>
    <row r="675" spans="1:2" x14ac:dyDescent="0.25">
      <c r="A675" t="s">
        <v>1188</v>
      </c>
      <c r="B675">
        <v>1.3000000000000001E-9</v>
      </c>
    </row>
    <row r="676" spans="1:2" x14ac:dyDescent="0.25">
      <c r="A676" t="s">
        <v>1189</v>
      </c>
      <c r="B676">
        <v>2.9E-11</v>
      </c>
    </row>
    <row r="677" spans="1:2" x14ac:dyDescent="0.25">
      <c r="A677" t="s">
        <v>1190</v>
      </c>
      <c r="B677">
        <v>2.8000000000000002E-10</v>
      </c>
    </row>
    <row r="678" spans="1:2" x14ac:dyDescent="0.25">
      <c r="A678" t="s">
        <v>1191</v>
      </c>
      <c r="B678">
        <v>5.6000000000000003E-10</v>
      </c>
    </row>
    <row r="679" spans="1:2" x14ac:dyDescent="0.25">
      <c r="A679" t="s">
        <v>1192</v>
      </c>
      <c r="B679">
        <v>1.3000000000000001E-9</v>
      </c>
    </row>
    <row r="680" spans="1:2" x14ac:dyDescent="0.25">
      <c r="A680" t="s">
        <v>1193</v>
      </c>
      <c r="B680">
        <v>1.0999999999999999E-10</v>
      </c>
    </row>
    <row r="681" spans="1:2" x14ac:dyDescent="0.25">
      <c r="A681" t="s">
        <v>1194</v>
      </c>
      <c r="B681">
        <v>1.6999999999999999E-9</v>
      </c>
    </row>
    <row r="682" spans="1:2" x14ac:dyDescent="0.25">
      <c r="A682" t="s">
        <v>1195</v>
      </c>
      <c r="B682">
        <v>3.1000000000000002E-10</v>
      </c>
    </row>
    <row r="683" spans="1:2" x14ac:dyDescent="0.25">
      <c r="A683" t="s">
        <v>1196</v>
      </c>
      <c r="B683">
        <v>2.7E-11</v>
      </c>
    </row>
    <row r="684" spans="1:2" x14ac:dyDescent="0.25">
      <c r="A684" t="s">
        <v>608</v>
      </c>
      <c r="B684">
        <v>5.5000000000000003E-8</v>
      </c>
    </row>
    <row r="685" spans="1:2" x14ac:dyDescent="0.25">
      <c r="A685" t="s">
        <v>607</v>
      </c>
      <c r="B685">
        <v>2.8000000000000002E-10</v>
      </c>
    </row>
    <row r="686" spans="1:2" x14ac:dyDescent="0.25">
      <c r="A686" t="s">
        <v>107</v>
      </c>
      <c r="B686">
        <v>3.7E-8</v>
      </c>
    </row>
    <row r="687" spans="1:2" x14ac:dyDescent="0.25">
      <c r="A687" t="s">
        <v>87</v>
      </c>
      <c r="B687">
        <v>4.9999999999999998E-8</v>
      </c>
    </row>
    <row r="688" spans="1:2" x14ac:dyDescent="0.25">
      <c r="A688" t="s">
        <v>89</v>
      </c>
      <c r="B688">
        <v>4.9000000000000002E-8</v>
      </c>
    </row>
    <row r="689" spans="1:2" x14ac:dyDescent="0.25">
      <c r="A689" t="s">
        <v>93</v>
      </c>
      <c r="B689">
        <v>4.6000000000000002E-8</v>
      </c>
    </row>
    <row r="690" spans="1:2" x14ac:dyDescent="0.25">
      <c r="A690" t="s">
        <v>94</v>
      </c>
      <c r="B690">
        <v>4.6000000000000002E-8</v>
      </c>
    </row>
    <row r="691" spans="1:2" x14ac:dyDescent="0.25">
      <c r="A691" t="s">
        <v>96</v>
      </c>
      <c r="B691">
        <v>7.7000000000000003E-10</v>
      </c>
    </row>
    <row r="692" spans="1:2" x14ac:dyDescent="0.25">
      <c r="A692" t="s">
        <v>98</v>
      </c>
      <c r="B692">
        <v>4.3999999999999997E-8</v>
      </c>
    </row>
    <row r="693" spans="1:2" x14ac:dyDescent="0.25">
      <c r="A693" t="s">
        <v>606</v>
      </c>
      <c r="B693">
        <v>2.8E-11</v>
      </c>
    </row>
    <row r="694" spans="1:2" x14ac:dyDescent="0.25">
      <c r="A694" t="s">
        <v>605</v>
      </c>
      <c r="B694">
        <v>1.0999999999999999E-9</v>
      </c>
    </row>
    <row r="695" spans="1:2" x14ac:dyDescent="0.25">
      <c r="A695" t="s">
        <v>604</v>
      </c>
      <c r="B695">
        <v>6.3000000000000002E-11</v>
      </c>
    </row>
    <row r="696" spans="1:2" x14ac:dyDescent="0.25">
      <c r="A696" t="s">
        <v>603</v>
      </c>
      <c r="B696">
        <v>2.0000000000000001E-9</v>
      </c>
    </row>
    <row r="697" spans="1:2" x14ac:dyDescent="0.25">
      <c r="A697" t="s">
        <v>602</v>
      </c>
      <c r="B697">
        <v>1.7999999999999999E-11</v>
      </c>
    </row>
    <row r="698" spans="1:2" x14ac:dyDescent="0.25">
      <c r="A698" t="s">
        <v>601</v>
      </c>
      <c r="B698">
        <v>1.0999999999999999E-10</v>
      </c>
    </row>
    <row r="699" spans="1:2" x14ac:dyDescent="0.25">
      <c r="A699" t="s">
        <v>600</v>
      </c>
      <c r="B699">
        <v>6.0999999999999996E-11</v>
      </c>
    </row>
    <row r="700" spans="1:2" x14ac:dyDescent="0.25">
      <c r="A700" t="s">
        <v>599</v>
      </c>
      <c r="B700">
        <v>2.5000000000000002E-10</v>
      </c>
    </row>
    <row r="701" spans="1:2" x14ac:dyDescent="0.25">
      <c r="A701" t="s">
        <v>598</v>
      </c>
      <c r="B701">
        <v>3.3000000000000001E-12</v>
      </c>
    </row>
    <row r="702" spans="1:2" x14ac:dyDescent="0.25">
      <c r="A702" t="s">
        <v>597</v>
      </c>
      <c r="B702">
        <v>8.2000000000000001E-11</v>
      </c>
    </row>
    <row r="703" spans="1:2" x14ac:dyDescent="0.25">
      <c r="A703" t="s">
        <v>596</v>
      </c>
      <c r="B703">
        <v>5.0000000000000003E-10</v>
      </c>
    </row>
    <row r="704" spans="1:2" x14ac:dyDescent="0.25">
      <c r="A704" t="s">
        <v>595</v>
      </c>
      <c r="B704">
        <v>7.1000000000000003E-10</v>
      </c>
    </row>
    <row r="705" spans="1:2" x14ac:dyDescent="0.25">
      <c r="A705" t="s">
        <v>594</v>
      </c>
      <c r="B705">
        <v>2.2999999999999999E-9</v>
      </c>
    </row>
    <row r="706" spans="1:2" x14ac:dyDescent="0.25">
      <c r="A706" t="s">
        <v>593</v>
      </c>
      <c r="B706">
        <v>9.5999999999999999E-10</v>
      </c>
    </row>
    <row r="707" spans="1:2" x14ac:dyDescent="0.25">
      <c r="A707" t="s">
        <v>1197</v>
      </c>
      <c r="B707">
        <v>5.6E-11</v>
      </c>
    </row>
    <row r="708" spans="1:2" x14ac:dyDescent="0.25">
      <c r="A708" t="s">
        <v>592</v>
      </c>
      <c r="B708">
        <v>5.4999999999999996E-10</v>
      </c>
    </row>
    <row r="709" spans="1:2" x14ac:dyDescent="0.25">
      <c r="A709" t="s">
        <v>591</v>
      </c>
      <c r="B709">
        <v>1.3000000000000001E-9</v>
      </c>
    </row>
    <row r="710" spans="1:2" x14ac:dyDescent="0.25">
      <c r="A710" t="s">
        <v>20</v>
      </c>
      <c r="B710">
        <v>2.7000000000000002E-9</v>
      </c>
    </row>
    <row r="711" spans="1:2" x14ac:dyDescent="0.25">
      <c r="A711" t="s">
        <v>1198</v>
      </c>
      <c r="B711">
        <v>1.7000000000000001E-10</v>
      </c>
    </row>
    <row r="712" spans="1:2" x14ac:dyDescent="0.25">
      <c r="A712" t="s">
        <v>590</v>
      </c>
      <c r="B712">
        <v>2.4E-9</v>
      </c>
    </row>
    <row r="713" spans="1:2" x14ac:dyDescent="0.25">
      <c r="A713" t="s">
        <v>1199</v>
      </c>
      <c r="B713">
        <v>1.1000000000000001E-11</v>
      </c>
    </row>
    <row r="714" spans="1:2" x14ac:dyDescent="0.25">
      <c r="A714" t="s">
        <v>589</v>
      </c>
      <c r="B714">
        <v>4.8999999999999996E-10</v>
      </c>
    </row>
    <row r="715" spans="1:2" x14ac:dyDescent="0.25">
      <c r="A715" t="s">
        <v>588</v>
      </c>
      <c r="B715">
        <v>1.2E-9</v>
      </c>
    </row>
    <row r="716" spans="1:2" x14ac:dyDescent="0.25">
      <c r="A716" t="s">
        <v>587</v>
      </c>
      <c r="B716">
        <v>8.1000000000000005E-11</v>
      </c>
    </row>
    <row r="717" spans="1:2" x14ac:dyDescent="0.25">
      <c r="A717" t="s">
        <v>586</v>
      </c>
      <c r="B717">
        <v>4.6000000000000003E-11</v>
      </c>
    </row>
    <row r="718" spans="1:2" x14ac:dyDescent="0.25">
      <c r="A718" t="s">
        <v>1200</v>
      </c>
      <c r="B718">
        <v>2.3000000000000001E-11</v>
      </c>
    </row>
    <row r="719" spans="1:2" x14ac:dyDescent="0.25">
      <c r="A719" t="s">
        <v>1201</v>
      </c>
      <c r="B719">
        <v>9.5000000000000003E-10</v>
      </c>
    </row>
    <row r="720" spans="1:2" x14ac:dyDescent="0.25">
      <c r="A720" t="s">
        <v>1202</v>
      </c>
      <c r="B720">
        <v>6.7000000000000001E-12</v>
      </c>
    </row>
    <row r="721" spans="1:2" x14ac:dyDescent="0.25">
      <c r="A721" t="s">
        <v>1203</v>
      </c>
      <c r="B721">
        <v>7.1000000000000003E-10</v>
      </c>
    </row>
    <row r="722" spans="1:2" x14ac:dyDescent="0.25">
      <c r="A722" t="s">
        <v>1204</v>
      </c>
      <c r="B722">
        <v>4.3999999999999998E-10</v>
      </c>
    </row>
    <row r="723" spans="1:2" x14ac:dyDescent="0.25">
      <c r="A723" t="s">
        <v>1205</v>
      </c>
      <c r="B723">
        <v>9.7000000000000001E-11</v>
      </c>
    </row>
    <row r="724" spans="1:2" x14ac:dyDescent="0.25">
      <c r="A724" t="s">
        <v>1206</v>
      </c>
      <c r="B724">
        <v>1.2E-10</v>
      </c>
    </row>
    <row r="725" spans="1:2" x14ac:dyDescent="0.25">
      <c r="A725" t="s">
        <v>1207</v>
      </c>
      <c r="B725">
        <v>9.4000000000000006E-10</v>
      </c>
    </row>
    <row r="726" spans="1:2" x14ac:dyDescent="0.25">
      <c r="A726" t="s">
        <v>1208</v>
      </c>
      <c r="B726">
        <v>7.8999999999999999E-11</v>
      </c>
    </row>
    <row r="727" spans="1:2" x14ac:dyDescent="0.25">
      <c r="A727" t="s">
        <v>17</v>
      </c>
      <c r="B727">
        <v>3.9000000000000002E-9</v>
      </c>
    </row>
    <row r="728" spans="1:2" x14ac:dyDescent="0.25">
      <c r="A728" t="s">
        <v>1209</v>
      </c>
      <c r="B728">
        <v>3.1000000000000003E-11</v>
      </c>
    </row>
    <row r="729" spans="1:2" x14ac:dyDescent="0.25">
      <c r="A729" t="s">
        <v>1210</v>
      </c>
      <c r="B729">
        <v>3.3E-10</v>
      </c>
    </row>
    <row r="730" spans="1:2" x14ac:dyDescent="0.25">
      <c r="A730" t="s">
        <v>1211</v>
      </c>
      <c r="B730">
        <v>2.4E-10</v>
      </c>
    </row>
    <row r="731" spans="1:2" x14ac:dyDescent="0.25">
      <c r="A731" t="s">
        <v>1212</v>
      </c>
      <c r="B731">
        <v>1.3999999999999999E-9</v>
      </c>
    </row>
    <row r="732" spans="1:2" x14ac:dyDescent="0.25">
      <c r="A732" t="s">
        <v>1213</v>
      </c>
      <c r="B732">
        <v>8.6000000000000003E-10</v>
      </c>
    </row>
    <row r="733" spans="1:2" x14ac:dyDescent="0.25">
      <c r="A733" t="s">
        <v>1214</v>
      </c>
      <c r="B733">
        <v>3.3E-10</v>
      </c>
    </row>
    <row r="734" spans="1:2" x14ac:dyDescent="0.25">
      <c r="A734" t="s">
        <v>1215</v>
      </c>
      <c r="B734">
        <v>7.8999999999999996E-10</v>
      </c>
    </row>
    <row r="735" spans="1:2" x14ac:dyDescent="0.25">
      <c r="A735" t="s">
        <v>110</v>
      </c>
      <c r="B735">
        <v>2.8000000000000002E-10</v>
      </c>
    </row>
    <row r="736" spans="1:2" x14ac:dyDescent="0.25">
      <c r="A736" t="s">
        <v>1216</v>
      </c>
      <c r="B736">
        <v>8.7999999999999996E-10</v>
      </c>
    </row>
    <row r="737" spans="1:2" x14ac:dyDescent="0.25">
      <c r="A737" t="s">
        <v>1217</v>
      </c>
      <c r="B737">
        <v>2.1000000000000002E-9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738"/>
  <sheetViews>
    <sheetView workbookViewId="0">
      <selection activeCell="C1" sqref="C1:C1048576"/>
    </sheetView>
  </sheetViews>
  <sheetFormatPr defaultRowHeight="15" x14ac:dyDescent="0.25"/>
  <cols>
    <col min="1" max="1" width="9.42578125" bestFit="1" customWidth="1"/>
    <col min="2" max="2" width="7.5703125" customWidth="1"/>
  </cols>
  <sheetData>
    <row r="1" spans="1:2" x14ac:dyDescent="0.25">
      <c r="A1" t="s">
        <v>585</v>
      </c>
      <c r="B1" t="s">
        <v>632</v>
      </c>
    </row>
    <row r="2" spans="1:2" x14ac:dyDescent="0.25">
      <c r="A2" t="s">
        <v>633</v>
      </c>
      <c r="B2">
        <v>6.9999999999999996E-10</v>
      </c>
    </row>
    <row r="3" spans="1:2" x14ac:dyDescent="0.25">
      <c r="A3" t="s">
        <v>74</v>
      </c>
      <c r="B3">
        <v>2.4E-8</v>
      </c>
    </row>
    <row r="4" spans="1:2" x14ac:dyDescent="0.25">
      <c r="A4" t="s">
        <v>634</v>
      </c>
      <c r="B4">
        <v>1E-8</v>
      </c>
    </row>
    <row r="5" spans="1:2" x14ac:dyDescent="0.25">
      <c r="A5" t="s">
        <v>78</v>
      </c>
      <c r="B5">
        <v>1.1000000000000001E-6</v>
      </c>
    </row>
    <row r="6" spans="1:2" x14ac:dyDescent="0.25">
      <c r="A6" t="s">
        <v>80</v>
      </c>
      <c r="B6">
        <v>4.3000000000000001E-10</v>
      </c>
    </row>
    <row r="7" spans="1:2" x14ac:dyDescent="0.25">
      <c r="A7" t="s">
        <v>635</v>
      </c>
      <c r="B7">
        <v>3.9999999999999998E-11</v>
      </c>
    </row>
    <row r="8" spans="1:2" x14ac:dyDescent="0.25">
      <c r="A8" t="s">
        <v>636</v>
      </c>
      <c r="B8">
        <v>4.3E-11</v>
      </c>
    </row>
    <row r="9" spans="1:2" x14ac:dyDescent="0.25">
      <c r="A9" t="s">
        <v>637</v>
      </c>
      <c r="B9">
        <v>6E-11</v>
      </c>
    </row>
    <row r="10" spans="1:2" x14ac:dyDescent="0.25">
      <c r="A10" t="s">
        <v>638</v>
      </c>
      <c r="B10">
        <v>5.4000000000000001E-11</v>
      </c>
    </row>
    <row r="11" spans="1:2" x14ac:dyDescent="0.25">
      <c r="A11" t="s">
        <v>639</v>
      </c>
      <c r="B11">
        <v>4.7000000000000003E-10</v>
      </c>
    </row>
    <row r="12" spans="1:2" x14ac:dyDescent="0.25">
      <c r="A12" t="s">
        <v>640</v>
      </c>
      <c r="B12">
        <v>3.1999999999999999E-11</v>
      </c>
    </row>
    <row r="13" spans="1:2" x14ac:dyDescent="0.25">
      <c r="A13" t="s">
        <v>641</v>
      </c>
      <c r="B13">
        <v>1.5E-9</v>
      </c>
    </row>
    <row r="14" spans="1:2" x14ac:dyDescent="0.25">
      <c r="A14" t="s">
        <v>642</v>
      </c>
      <c r="B14">
        <v>2.2999999999999999E-9</v>
      </c>
    </row>
    <row r="15" spans="1:2" x14ac:dyDescent="0.25">
      <c r="A15" t="s">
        <v>643</v>
      </c>
      <c r="B15">
        <v>2.7999999999999998E-9</v>
      </c>
    </row>
    <row r="16" spans="1:2" x14ac:dyDescent="0.25">
      <c r="A16" t="s">
        <v>644</v>
      </c>
      <c r="B16">
        <v>1.3000000000000001E-9</v>
      </c>
    </row>
    <row r="17" spans="1:2" x14ac:dyDescent="0.25">
      <c r="A17" t="s">
        <v>645</v>
      </c>
      <c r="B17">
        <v>4.3000000000000001E-10</v>
      </c>
    </row>
    <row r="18" spans="1:2" x14ac:dyDescent="0.25">
      <c r="A18" t="s">
        <v>646</v>
      </c>
      <c r="B18">
        <v>6E-11</v>
      </c>
    </row>
    <row r="19" spans="1:2" x14ac:dyDescent="0.25">
      <c r="A19" t="s">
        <v>647</v>
      </c>
      <c r="B19">
        <v>3.4999999999999999E-9</v>
      </c>
    </row>
    <row r="20" spans="1:2" x14ac:dyDescent="0.25">
      <c r="A20" t="s">
        <v>648</v>
      </c>
      <c r="B20">
        <v>1.7999999999999999E-11</v>
      </c>
    </row>
    <row r="21" spans="1:2" x14ac:dyDescent="0.25">
      <c r="A21" t="s">
        <v>649</v>
      </c>
      <c r="B21">
        <v>3.1999999999999999E-11</v>
      </c>
    </row>
    <row r="22" spans="1:2" x14ac:dyDescent="0.25">
      <c r="A22" t="s">
        <v>650</v>
      </c>
      <c r="B22">
        <v>2.4E-10</v>
      </c>
    </row>
    <row r="23" spans="1:2" x14ac:dyDescent="0.25">
      <c r="A23" t="s">
        <v>651</v>
      </c>
      <c r="B23">
        <v>5.7999999999999996E-10</v>
      </c>
    </row>
    <row r="24" spans="1:2" x14ac:dyDescent="0.25">
      <c r="A24" t="s">
        <v>102</v>
      </c>
      <c r="B24">
        <v>1.9999999999999999E-7</v>
      </c>
    </row>
    <row r="25" spans="1:2" x14ac:dyDescent="0.25">
      <c r="A25" t="s">
        <v>134</v>
      </c>
      <c r="B25">
        <v>3E-10</v>
      </c>
    </row>
    <row r="26" spans="1:2" x14ac:dyDescent="0.25">
      <c r="A26" t="s">
        <v>135</v>
      </c>
      <c r="B26">
        <v>1.9000000000000001E-7</v>
      </c>
    </row>
    <row r="27" spans="1:2" x14ac:dyDescent="0.25">
      <c r="A27" t="s">
        <v>104</v>
      </c>
      <c r="B27">
        <v>1.9999999999999999E-7</v>
      </c>
    </row>
    <row r="28" spans="1:2" x14ac:dyDescent="0.25">
      <c r="A28" t="s">
        <v>652</v>
      </c>
      <c r="B28">
        <v>4.6000000000000001E-10</v>
      </c>
    </row>
    <row r="29" spans="1:2" x14ac:dyDescent="0.25">
      <c r="A29" t="s">
        <v>653</v>
      </c>
      <c r="B29">
        <v>2.9E-11</v>
      </c>
    </row>
    <row r="30" spans="1:2" x14ac:dyDescent="0.25">
      <c r="A30" t="s">
        <v>654</v>
      </c>
      <c r="B30">
        <v>6.2000000000000006E-11</v>
      </c>
    </row>
    <row r="31" spans="1:2" x14ac:dyDescent="0.25">
      <c r="A31" t="s">
        <v>655</v>
      </c>
      <c r="B31">
        <v>5.8E-11</v>
      </c>
    </row>
    <row r="32" spans="1:2" x14ac:dyDescent="0.25">
      <c r="A32" t="s">
        <v>656</v>
      </c>
      <c r="B32">
        <v>3.3999999999999999E-11</v>
      </c>
    </row>
    <row r="33" spans="1:2" x14ac:dyDescent="0.25">
      <c r="A33" t="s">
        <v>657</v>
      </c>
      <c r="B33">
        <v>5.6999999999999997E-11</v>
      </c>
    </row>
    <row r="34" spans="1:2" x14ac:dyDescent="0.25">
      <c r="A34" t="s">
        <v>658</v>
      </c>
      <c r="B34">
        <v>1.2999999999999999E-10</v>
      </c>
    </row>
    <row r="35" spans="1:2" x14ac:dyDescent="0.25">
      <c r="A35" t="s">
        <v>659</v>
      </c>
      <c r="B35">
        <v>4.6000000000000001E-10</v>
      </c>
    </row>
    <row r="36" spans="1:2" x14ac:dyDescent="0.25">
      <c r="A36" t="s">
        <v>660</v>
      </c>
      <c r="B36">
        <v>1.8E-9</v>
      </c>
    </row>
    <row r="37" spans="1:2" x14ac:dyDescent="0.25">
      <c r="A37" t="s">
        <v>661</v>
      </c>
      <c r="B37">
        <v>2.5999999999999998E-10</v>
      </c>
    </row>
    <row r="38" spans="1:2" x14ac:dyDescent="0.25">
      <c r="A38" t="s">
        <v>662</v>
      </c>
      <c r="B38">
        <v>1.3000000000000001E-9</v>
      </c>
    </row>
    <row r="39" spans="1:2" x14ac:dyDescent="0.25">
      <c r="A39" t="s">
        <v>663</v>
      </c>
      <c r="B39">
        <v>1.6000000000000001E-9</v>
      </c>
    </row>
    <row r="40" spans="1:2" x14ac:dyDescent="0.25">
      <c r="A40" t="s">
        <v>664</v>
      </c>
      <c r="B40">
        <v>4.0000000000000001E-10</v>
      </c>
    </row>
    <row r="41" spans="1:2" x14ac:dyDescent="0.25">
      <c r="A41" t="s">
        <v>665</v>
      </c>
      <c r="B41">
        <v>2.1E-10</v>
      </c>
    </row>
    <row r="42" spans="1:2" x14ac:dyDescent="0.25">
      <c r="A42" t="s">
        <v>666</v>
      </c>
      <c r="B42">
        <v>2.4E-10</v>
      </c>
    </row>
    <row r="43" spans="1:2" x14ac:dyDescent="0.25">
      <c r="A43" t="s">
        <v>667</v>
      </c>
      <c r="B43">
        <v>1.0999999999999999E-8</v>
      </c>
    </row>
    <row r="44" spans="1:2" x14ac:dyDescent="0.25">
      <c r="A44" t="s">
        <v>668</v>
      </c>
      <c r="B44">
        <v>1.2999999999999999E-10</v>
      </c>
    </row>
    <row r="45" spans="1:2" x14ac:dyDescent="0.25">
      <c r="A45" t="s">
        <v>669</v>
      </c>
      <c r="B45">
        <v>4.2E-10</v>
      </c>
    </row>
    <row r="46" spans="1:2" x14ac:dyDescent="0.25">
      <c r="A46" t="s">
        <v>670</v>
      </c>
      <c r="B46">
        <v>2.5000000000000002E-10</v>
      </c>
    </row>
    <row r="47" spans="1:2" x14ac:dyDescent="0.25">
      <c r="A47" t="s">
        <v>671</v>
      </c>
      <c r="B47">
        <v>1.0000000000000001E-9</v>
      </c>
    </row>
    <row r="48" spans="1:2" x14ac:dyDescent="0.25">
      <c r="A48" t="s">
        <v>672</v>
      </c>
      <c r="B48">
        <v>1.3000000000000001E-9</v>
      </c>
    </row>
    <row r="49" spans="1:2" x14ac:dyDescent="0.25">
      <c r="A49" t="s">
        <v>673</v>
      </c>
      <c r="B49">
        <v>4.3999999999999998E-10</v>
      </c>
    </row>
    <row r="50" spans="1:2" x14ac:dyDescent="0.25">
      <c r="A50" t="s">
        <v>674</v>
      </c>
      <c r="B50">
        <v>6.7999999999999998E-11</v>
      </c>
    </row>
    <row r="51" spans="1:2" x14ac:dyDescent="0.25">
      <c r="A51" t="s">
        <v>675</v>
      </c>
      <c r="B51">
        <v>1.0999999999999999E-9</v>
      </c>
    </row>
    <row r="52" spans="1:2" x14ac:dyDescent="0.25">
      <c r="A52" t="s">
        <v>676</v>
      </c>
      <c r="B52">
        <v>2.4000000000000001E-11</v>
      </c>
    </row>
    <row r="53" spans="1:2" x14ac:dyDescent="0.25">
      <c r="A53" t="s">
        <v>677</v>
      </c>
      <c r="B53">
        <v>2.5999999999999998E-10</v>
      </c>
    </row>
    <row r="54" spans="1:2" x14ac:dyDescent="0.25">
      <c r="A54" t="s">
        <v>678</v>
      </c>
      <c r="B54">
        <v>2.7000000000000002E-9</v>
      </c>
    </row>
    <row r="55" spans="1:2" x14ac:dyDescent="0.25">
      <c r="A55" t="s">
        <v>679</v>
      </c>
      <c r="B55">
        <v>4.5E-10</v>
      </c>
    </row>
    <row r="56" spans="1:2" x14ac:dyDescent="0.25">
      <c r="A56" t="s">
        <v>680</v>
      </c>
      <c r="B56">
        <v>4.8999999999999997E-12</v>
      </c>
    </row>
    <row r="57" spans="1:2" x14ac:dyDescent="0.25">
      <c r="A57" t="s">
        <v>681</v>
      </c>
      <c r="B57">
        <v>1.5E-9</v>
      </c>
    </row>
    <row r="58" spans="1:2" x14ac:dyDescent="0.25">
      <c r="A58" t="s">
        <v>682</v>
      </c>
      <c r="B58">
        <v>5.4E-10</v>
      </c>
    </row>
    <row r="59" spans="1:2" x14ac:dyDescent="0.25">
      <c r="A59" t="s">
        <v>683</v>
      </c>
      <c r="B59">
        <v>4.3000000000000001E-10</v>
      </c>
    </row>
    <row r="60" spans="1:2" x14ac:dyDescent="0.25">
      <c r="A60" t="s">
        <v>684</v>
      </c>
      <c r="B60">
        <v>1.2E-10</v>
      </c>
    </row>
    <row r="61" spans="1:2" x14ac:dyDescent="0.25">
      <c r="A61" t="s">
        <v>685</v>
      </c>
      <c r="B61">
        <v>2.6000000000000001E-9</v>
      </c>
    </row>
    <row r="62" spans="1:2" x14ac:dyDescent="0.25">
      <c r="A62" t="s">
        <v>686</v>
      </c>
      <c r="B62">
        <v>7.0000000000000004E-11</v>
      </c>
    </row>
    <row r="63" spans="1:2" x14ac:dyDescent="0.25">
      <c r="A63" t="s">
        <v>687</v>
      </c>
      <c r="B63">
        <v>3.5000000000000002E-11</v>
      </c>
    </row>
    <row r="64" spans="1:2" x14ac:dyDescent="0.25">
      <c r="A64" t="s">
        <v>688</v>
      </c>
      <c r="B64">
        <v>1.0999999999999999E-9</v>
      </c>
    </row>
    <row r="65" spans="1:2" x14ac:dyDescent="0.25">
      <c r="A65" t="s">
        <v>689</v>
      </c>
      <c r="B65">
        <v>2.8E-11</v>
      </c>
    </row>
    <row r="66" spans="1:2" x14ac:dyDescent="0.25">
      <c r="A66" t="s">
        <v>690</v>
      </c>
      <c r="B66">
        <v>5.0999999999999998E-11</v>
      </c>
    </row>
    <row r="67" spans="1:2" x14ac:dyDescent="0.25">
      <c r="A67" t="s">
        <v>691</v>
      </c>
      <c r="B67">
        <v>1.2E-10</v>
      </c>
    </row>
    <row r="68" spans="1:2" x14ac:dyDescent="0.25">
      <c r="A68" t="s">
        <v>692</v>
      </c>
      <c r="B68">
        <v>8.9000000000000003E-11</v>
      </c>
    </row>
    <row r="69" spans="1:2" x14ac:dyDescent="0.25">
      <c r="A69" t="s">
        <v>693</v>
      </c>
      <c r="B69">
        <v>4.8E-10</v>
      </c>
    </row>
    <row r="70" spans="1:2" x14ac:dyDescent="0.25">
      <c r="A70" t="s">
        <v>694</v>
      </c>
      <c r="B70">
        <v>8.9999999999999999E-10</v>
      </c>
    </row>
    <row r="71" spans="1:2" x14ac:dyDescent="0.25">
      <c r="A71" t="s">
        <v>695</v>
      </c>
      <c r="B71">
        <v>1.9000000000000001E-9</v>
      </c>
    </row>
    <row r="72" spans="1:2" x14ac:dyDescent="0.25">
      <c r="A72" t="s">
        <v>696</v>
      </c>
      <c r="B72">
        <v>1.3000000000000001E-9</v>
      </c>
    </row>
    <row r="73" spans="1:2" x14ac:dyDescent="0.25">
      <c r="A73" t="s">
        <v>43</v>
      </c>
      <c r="B73">
        <v>1.3000000000000001E-9</v>
      </c>
    </row>
    <row r="74" spans="1:2" x14ac:dyDescent="0.25">
      <c r="A74" t="s">
        <v>697</v>
      </c>
      <c r="B74">
        <v>1.4999999999999999E-8</v>
      </c>
    </row>
    <row r="75" spans="1:2" x14ac:dyDescent="0.25">
      <c r="A75" t="s">
        <v>50</v>
      </c>
      <c r="B75">
        <v>2.5999999999999998E-10</v>
      </c>
    </row>
    <row r="76" spans="1:2" x14ac:dyDescent="0.25">
      <c r="A76" t="s">
        <v>53</v>
      </c>
      <c r="B76">
        <v>2.0000000000000001E-10</v>
      </c>
    </row>
    <row r="77" spans="1:2" x14ac:dyDescent="0.25">
      <c r="A77" t="s">
        <v>55</v>
      </c>
      <c r="B77">
        <v>1.0999999999999999E-10</v>
      </c>
    </row>
    <row r="78" spans="1:2" x14ac:dyDescent="0.25">
      <c r="A78" t="s">
        <v>698</v>
      </c>
      <c r="B78">
        <v>5.7E-10</v>
      </c>
    </row>
    <row r="79" spans="1:2" x14ac:dyDescent="0.25">
      <c r="A79" t="s">
        <v>699</v>
      </c>
      <c r="B79">
        <v>4.8E-10</v>
      </c>
    </row>
    <row r="80" spans="1:2" x14ac:dyDescent="0.25">
      <c r="A80" t="s">
        <v>700</v>
      </c>
      <c r="B80">
        <v>3.4999999999999998E-7</v>
      </c>
    </row>
    <row r="81" spans="1:2" x14ac:dyDescent="0.25">
      <c r="A81" t="s">
        <v>701</v>
      </c>
      <c r="B81">
        <v>9.6999999999999996E-10</v>
      </c>
    </row>
    <row r="82" spans="1:2" x14ac:dyDescent="0.25">
      <c r="A82" t="s">
        <v>702</v>
      </c>
      <c r="B82">
        <v>1.4000000000000001E-10</v>
      </c>
    </row>
    <row r="83" spans="1:2" x14ac:dyDescent="0.25">
      <c r="A83" t="s">
        <v>703</v>
      </c>
      <c r="B83">
        <v>8.3999999999999994E-11</v>
      </c>
    </row>
    <row r="84" spans="1:2" x14ac:dyDescent="0.25">
      <c r="A84" t="s">
        <v>704</v>
      </c>
      <c r="B84">
        <v>1.4000000000000001E-10</v>
      </c>
    </row>
    <row r="85" spans="1:2" x14ac:dyDescent="0.25">
      <c r="A85" t="s">
        <v>705</v>
      </c>
      <c r="B85">
        <v>7.8999999999999999E-11</v>
      </c>
    </row>
    <row r="86" spans="1:2" x14ac:dyDescent="0.25">
      <c r="A86" t="s">
        <v>706</v>
      </c>
      <c r="B86">
        <v>4.6000000000000001E-10</v>
      </c>
    </row>
    <row r="87" spans="1:2" x14ac:dyDescent="0.25">
      <c r="A87" t="s">
        <v>707</v>
      </c>
      <c r="B87">
        <v>9.6000000000000005E-11</v>
      </c>
    </row>
    <row r="88" spans="1:2" x14ac:dyDescent="0.25">
      <c r="A88" t="s">
        <v>708</v>
      </c>
      <c r="B88">
        <v>3.1000000000000003E-11</v>
      </c>
    </row>
    <row r="89" spans="1:2" x14ac:dyDescent="0.25">
      <c r="A89" t="s">
        <v>709</v>
      </c>
      <c r="B89">
        <v>1.0999999999999999E-10</v>
      </c>
    </row>
    <row r="90" spans="1:2" x14ac:dyDescent="0.25">
      <c r="A90" t="s">
        <v>710</v>
      </c>
      <c r="B90">
        <v>5.4E-10</v>
      </c>
    </row>
    <row r="91" spans="1:2" x14ac:dyDescent="0.25">
      <c r="A91" t="s">
        <v>711</v>
      </c>
      <c r="B91">
        <v>4.3E-11</v>
      </c>
    </row>
    <row r="92" spans="1:2" x14ac:dyDescent="0.25">
      <c r="A92" t="s">
        <v>712</v>
      </c>
      <c r="B92">
        <v>8.8000000000000006E-11</v>
      </c>
    </row>
    <row r="93" spans="1:2" x14ac:dyDescent="0.25">
      <c r="A93" t="s">
        <v>630</v>
      </c>
      <c r="B93">
        <v>2.4000000000000001E-11</v>
      </c>
    </row>
    <row r="94" spans="1:2" x14ac:dyDescent="0.25">
      <c r="A94" t="s">
        <v>2</v>
      </c>
      <c r="B94">
        <v>5.7999999999999996E-10</v>
      </c>
    </row>
    <row r="95" spans="1:2" x14ac:dyDescent="0.25">
      <c r="A95" t="s">
        <v>713</v>
      </c>
      <c r="B95">
        <v>1.8999999999999999E-10</v>
      </c>
    </row>
    <row r="96" spans="1:2" x14ac:dyDescent="0.25">
      <c r="A96" t="s">
        <v>8</v>
      </c>
      <c r="B96">
        <v>7.1000000000000003E-10</v>
      </c>
    </row>
    <row r="97" spans="1:2" x14ac:dyDescent="0.25">
      <c r="A97" t="s">
        <v>714</v>
      </c>
      <c r="B97">
        <v>1.6000000000000001E-9</v>
      </c>
    </row>
    <row r="98" spans="1:2" x14ac:dyDescent="0.25">
      <c r="A98" t="s">
        <v>715</v>
      </c>
      <c r="B98">
        <v>5.4000000000000001E-11</v>
      </c>
    </row>
    <row r="99" spans="1:2" x14ac:dyDescent="0.25">
      <c r="A99" t="s">
        <v>716</v>
      </c>
      <c r="B99">
        <v>6.2000000000000006E-11</v>
      </c>
    </row>
    <row r="100" spans="1:2" x14ac:dyDescent="0.25">
      <c r="A100" t="s">
        <v>717</v>
      </c>
      <c r="B100">
        <v>2.0000000000000001E-9</v>
      </c>
    </row>
    <row r="101" spans="1:2" x14ac:dyDescent="0.25">
      <c r="A101" t="s">
        <v>145</v>
      </c>
      <c r="B101">
        <v>2.4999999999999999E-8</v>
      </c>
    </row>
    <row r="102" spans="1:2" x14ac:dyDescent="0.25">
      <c r="A102" t="s">
        <v>115</v>
      </c>
      <c r="B102">
        <v>2.3000000000000001E-8</v>
      </c>
    </row>
    <row r="103" spans="1:2" x14ac:dyDescent="0.25">
      <c r="A103" t="s">
        <v>718</v>
      </c>
      <c r="B103">
        <v>1.3999999999999999E-9</v>
      </c>
    </row>
    <row r="104" spans="1:2" x14ac:dyDescent="0.25">
      <c r="A104" t="s">
        <v>719</v>
      </c>
      <c r="B104">
        <v>3.3000000000000002E-9</v>
      </c>
    </row>
    <row r="105" spans="1:2" x14ac:dyDescent="0.25">
      <c r="A105" t="s">
        <v>720</v>
      </c>
      <c r="B105">
        <v>2.8000000000000002E-10</v>
      </c>
    </row>
    <row r="106" spans="1:2" x14ac:dyDescent="0.25">
      <c r="A106" t="s">
        <v>721</v>
      </c>
      <c r="B106">
        <v>2.8000000000000002E-10</v>
      </c>
    </row>
    <row r="107" spans="1:2" x14ac:dyDescent="0.25">
      <c r="A107" t="s">
        <v>722</v>
      </c>
      <c r="B107">
        <v>2.5000000000000001E-9</v>
      </c>
    </row>
    <row r="108" spans="1:2" x14ac:dyDescent="0.25">
      <c r="A108" t="s">
        <v>723</v>
      </c>
      <c r="B108">
        <v>7.8999999999999996E-10</v>
      </c>
    </row>
    <row r="109" spans="1:2" x14ac:dyDescent="0.25">
      <c r="A109" t="s">
        <v>724</v>
      </c>
      <c r="B109">
        <v>2.5000000000000001E-11</v>
      </c>
    </row>
    <row r="110" spans="1:2" x14ac:dyDescent="0.25">
      <c r="A110" t="s">
        <v>725</v>
      </c>
      <c r="B110">
        <v>5.4E-10</v>
      </c>
    </row>
    <row r="111" spans="1:2" x14ac:dyDescent="0.25">
      <c r="A111" t="s">
        <v>726</v>
      </c>
      <c r="B111">
        <v>2.5999999999999998E-10</v>
      </c>
    </row>
    <row r="112" spans="1:2" x14ac:dyDescent="0.25">
      <c r="A112" t="s">
        <v>727</v>
      </c>
      <c r="B112">
        <v>7.1000000000000003E-10</v>
      </c>
    </row>
    <row r="113" spans="1:2" x14ac:dyDescent="0.25">
      <c r="A113" t="s">
        <v>728</v>
      </c>
      <c r="B113">
        <v>1.0999999999999999E-9</v>
      </c>
    </row>
    <row r="114" spans="1:2" x14ac:dyDescent="0.25">
      <c r="A114" t="s">
        <v>124</v>
      </c>
      <c r="B114">
        <v>5.2000000000000002E-9</v>
      </c>
    </row>
    <row r="115" spans="1:2" x14ac:dyDescent="0.25">
      <c r="A115" t="s">
        <v>729</v>
      </c>
      <c r="B115">
        <v>7.0000000000000004E-11</v>
      </c>
    </row>
    <row r="116" spans="1:2" x14ac:dyDescent="0.25">
      <c r="A116" t="s">
        <v>730</v>
      </c>
      <c r="B116">
        <v>3.3000000000000002E-9</v>
      </c>
    </row>
    <row r="117" spans="1:2" x14ac:dyDescent="0.25">
      <c r="A117" t="s">
        <v>731</v>
      </c>
      <c r="B117">
        <v>2.7999999999999999E-8</v>
      </c>
    </row>
    <row r="118" spans="1:2" x14ac:dyDescent="0.25">
      <c r="A118" t="s">
        <v>732</v>
      </c>
      <c r="B118">
        <v>3.4999999999999998E-7</v>
      </c>
    </row>
    <row r="119" spans="1:2" x14ac:dyDescent="0.25">
      <c r="A119" t="s">
        <v>733</v>
      </c>
      <c r="B119">
        <v>1.6E-7</v>
      </c>
    </row>
    <row r="120" spans="1:2" x14ac:dyDescent="0.25">
      <c r="A120" t="s">
        <v>734</v>
      </c>
      <c r="B120">
        <v>3.5999999999999999E-7</v>
      </c>
    </row>
    <row r="121" spans="1:2" x14ac:dyDescent="0.25">
      <c r="A121" t="s">
        <v>735</v>
      </c>
      <c r="B121">
        <v>8.9999999999999999E-8</v>
      </c>
    </row>
    <row r="122" spans="1:2" x14ac:dyDescent="0.25">
      <c r="A122" t="s">
        <v>736</v>
      </c>
      <c r="B122">
        <v>1.3999999999999999E-9</v>
      </c>
    </row>
    <row r="123" spans="1:2" x14ac:dyDescent="0.25">
      <c r="A123" t="s">
        <v>737</v>
      </c>
      <c r="B123">
        <v>3.9999999999999998E-7</v>
      </c>
    </row>
    <row r="124" spans="1:2" x14ac:dyDescent="0.25">
      <c r="A124" t="s">
        <v>7</v>
      </c>
      <c r="B124">
        <v>9.2999999999999999E-10</v>
      </c>
    </row>
    <row r="125" spans="1:2" x14ac:dyDescent="0.25">
      <c r="A125" t="s">
        <v>738</v>
      </c>
      <c r="B125">
        <v>1.2E-10</v>
      </c>
    </row>
    <row r="126" spans="1:2" x14ac:dyDescent="0.25">
      <c r="A126" t="s">
        <v>739</v>
      </c>
      <c r="B126">
        <v>8.5000000000000004E-11</v>
      </c>
    </row>
    <row r="127" spans="1:2" x14ac:dyDescent="0.25">
      <c r="A127" t="s">
        <v>740</v>
      </c>
      <c r="B127">
        <v>7.9999999999999995E-11</v>
      </c>
    </row>
    <row r="128" spans="1:2" x14ac:dyDescent="0.25">
      <c r="A128" t="s">
        <v>741</v>
      </c>
      <c r="B128">
        <v>7.6000000000000002E-9</v>
      </c>
    </row>
    <row r="129" spans="1:2" x14ac:dyDescent="0.25">
      <c r="A129" t="s">
        <v>742</v>
      </c>
      <c r="B129">
        <v>9.0999999999999996E-10</v>
      </c>
    </row>
    <row r="130" spans="1:2" x14ac:dyDescent="0.25">
      <c r="A130" t="s">
        <v>136</v>
      </c>
      <c r="B130">
        <v>1.2E-8</v>
      </c>
    </row>
    <row r="131" spans="1:2" x14ac:dyDescent="0.25">
      <c r="A131" t="s">
        <v>105</v>
      </c>
      <c r="B131">
        <v>1.4999999999999999E-7</v>
      </c>
    </row>
    <row r="132" spans="1:2" x14ac:dyDescent="0.25">
      <c r="A132" t="s">
        <v>106</v>
      </c>
      <c r="B132">
        <v>1.1999999999999999E-7</v>
      </c>
    </row>
    <row r="133" spans="1:2" x14ac:dyDescent="0.25">
      <c r="A133" t="s">
        <v>137</v>
      </c>
      <c r="B133">
        <v>2.1E-7</v>
      </c>
    </row>
    <row r="134" spans="1:2" x14ac:dyDescent="0.25">
      <c r="A134" t="s">
        <v>138</v>
      </c>
      <c r="B134">
        <v>2.1E-7</v>
      </c>
    </row>
    <row r="135" spans="1:2" x14ac:dyDescent="0.25">
      <c r="A135" t="s">
        <v>743</v>
      </c>
      <c r="B135">
        <v>1.9000000000000001E-7</v>
      </c>
    </row>
    <row r="136" spans="1:2" x14ac:dyDescent="0.25">
      <c r="A136" t="s">
        <v>744</v>
      </c>
      <c r="B136">
        <v>7.7000000000000004E-7</v>
      </c>
    </row>
    <row r="137" spans="1:2" x14ac:dyDescent="0.25">
      <c r="A137" t="s">
        <v>745</v>
      </c>
      <c r="B137">
        <v>3.1000000000000003E-11</v>
      </c>
    </row>
    <row r="138" spans="1:2" x14ac:dyDescent="0.25">
      <c r="A138" t="s">
        <v>746</v>
      </c>
      <c r="B138">
        <v>4.4000000000000002E-6</v>
      </c>
    </row>
    <row r="139" spans="1:2" x14ac:dyDescent="0.25">
      <c r="A139" t="s">
        <v>747</v>
      </c>
      <c r="B139">
        <v>1.0000000000000001E-9</v>
      </c>
    </row>
    <row r="140" spans="1:2" x14ac:dyDescent="0.25">
      <c r="A140" t="s">
        <v>748</v>
      </c>
      <c r="B140">
        <v>2.5000000000000001E-9</v>
      </c>
    </row>
    <row r="141" spans="1:2" x14ac:dyDescent="0.25">
      <c r="A141" t="s">
        <v>12</v>
      </c>
      <c r="B141">
        <v>2.1E-10</v>
      </c>
    </row>
    <row r="142" spans="1:2" x14ac:dyDescent="0.25">
      <c r="A142" t="s">
        <v>749</v>
      </c>
      <c r="B142">
        <v>7.4000000000000003E-10</v>
      </c>
    </row>
    <row r="143" spans="1:2" x14ac:dyDescent="0.25">
      <c r="A143" t="s">
        <v>750</v>
      </c>
      <c r="B143">
        <v>2.4000000000000001E-11</v>
      </c>
    </row>
    <row r="144" spans="1:2" x14ac:dyDescent="0.25">
      <c r="A144" t="s">
        <v>14</v>
      </c>
      <c r="B144">
        <v>3.3999999999999998E-9</v>
      </c>
    </row>
    <row r="145" spans="1:2" x14ac:dyDescent="0.25">
      <c r="A145" t="s">
        <v>751</v>
      </c>
      <c r="B145">
        <v>1.7E-12</v>
      </c>
    </row>
    <row r="146" spans="1:2" x14ac:dyDescent="0.25">
      <c r="A146" t="s">
        <v>752</v>
      </c>
      <c r="B146">
        <v>7.4000000000000003E-11</v>
      </c>
    </row>
    <row r="147" spans="1:2" x14ac:dyDescent="0.25">
      <c r="A147" t="s">
        <v>753</v>
      </c>
      <c r="B147">
        <v>4.6999999999999999E-11</v>
      </c>
    </row>
    <row r="148" spans="1:2" x14ac:dyDescent="0.25">
      <c r="A148" t="s">
        <v>754</v>
      </c>
      <c r="B148">
        <v>2.0000000000000001E-10</v>
      </c>
    </row>
    <row r="149" spans="1:2" x14ac:dyDescent="0.25">
      <c r="A149" t="s">
        <v>755</v>
      </c>
      <c r="B149">
        <v>6.0999999999999996E-11</v>
      </c>
    </row>
    <row r="150" spans="1:2" x14ac:dyDescent="0.25">
      <c r="A150" t="s">
        <v>9</v>
      </c>
      <c r="B150">
        <v>3.7999999999999998E-11</v>
      </c>
    </row>
    <row r="151" spans="1:2" x14ac:dyDescent="0.25">
      <c r="A151" t="s">
        <v>756</v>
      </c>
      <c r="B151">
        <v>3.5000000000000002E-11</v>
      </c>
    </row>
    <row r="152" spans="1:2" x14ac:dyDescent="0.25">
      <c r="A152" t="s">
        <v>757</v>
      </c>
      <c r="B152">
        <v>2.4000000000000001E-11</v>
      </c>
    </row>
    <row r="153" spans="1:2" x14ac:dyDescent="0.25">
      <c r="A153" t="s">
        <v>758</v>
      </c>
      <c r="B153">
        <v>6E-11</v>
      </c>
    </row>
    <row r="154" spans="1:2" x14ac:dyDescent="0.25">
      <c r="A154" t="s">
        <v>759</v>
      </c>
      <c r="B154">
        <v>2.8E-11</v>
      </c>
    </row>
    <row r="155" spans="1:2" x14ac:dyDescent="0.25">
      <c r="A155" t="s">
        <v>760</v>
      </c>
      <c r="B155">
        <v>5.8E-11</v>
      </c>
    </row>
    <row r="156" spans="1:2" x14ac:dyDescent="0.25">
      <c r="A156" t="s">
        <v>761</v>
      </c>
      <c r="B156">
        <v>5.0000000000000003E-10</v>
      </c>
    </row>
    <row r="157" spans="1:2" x14ac:dyDescent="0.25">
      <c r="A157" t="s">
        <v>122</v>
      </c>
      <c r="B157">
        <v>1.9000000000000001E-8</v>
      </c>
    </row>
    <row r="158" spans="1:2" x14ac:dyDescent="0.25">
      <c r="A158" t="s">
        <v>762</v>
      </c>
      <c r="B158">
        <v>1.9999999999999999E-11</v>
      </c>
    </row>
    <row r="159" spans="1:2" x14ac:dyDescent="0.25">
      <c r="A159" t="s">
        <v>123</v>
      </c>
      <c r="B159">
        <v>2.0000000000000001E-9</v>
      </c>
    </row>
    <row r="160" spans="1:2" x14ac:dyDescent="0.25">
      <c r="A160" t="s">
        <v>763</v>
      </c>
      <c r="B160">
        <v>1.8999999999999999E-11</v>
      </c>
    </row>
    <row r="161" spans="1:2" x14ac:dyDescent="0.25">
      <c r="A161" t="s">
        <v>764</v>
      </c>
      <c r="B161">
        <v>3E-9</v>
      </c>
    </row>
    <row r="162" spans="1:2" x14ac:dyDescent="0.25">
      <c r="A162" t="s">
        <v>31</v>
      </c>
      <c r="B162">
        <v>1.3000000000000001E-8</v>
      </c>
    </row>
    <row r="163" spans="1:2" x14ac:dyDescent="0.25">
      <c r="A163" t="s">
        <v>765</v>
      </c>
      <c r="B163">
        <v>9.2000000000000005E-11</v>
      </c>
    </row>
    <row r="164" spans="1:2" x14ac:dyDescent="0.25">
      <c r="A164" t="s">
        <v>766</v>
      </c>
      <c r="B164">
        <v>7.0000000000000004E-11</v>
      </c>
    </row>
    <row r="165" spans="1:2" x14ac:dyDescent="0.25">
      <c r="A165" t="s">
        <v>767</v>
      </c>
      <c r="B165">
        <v>1.2E-10</v>
      </c>
    </row>
    <row r="166" spans="1:2" x14ac:dyDescent="0.25">
      <c r="A166" t="s">
        <v>16</v>
      </c>
      <c r="B166">
        <v>1.2E-10</v>
      </c>
    </row>
    <row r="167" spans="1:2" x14ac:dyDescent="0.25">
      <c r="A167" t="s">
        <v>768</v>
      </c>
      <c r="B167">
        <v>3.4000000000000001E-10</v>
      </c>
    </row>
    <row r="168" spans="1:2" x14ac:dyDescent="0.25">
      <c r="A168" t="s">
        <v>769</v>
      </c>
      <c r="B168">
        <v>1.2999999999999999E-10</v>
      </c>
    </row>
    <row r="169" spans="1:2" x14ac:dyDescent="0.25">
      <c r="A169" t="s">
        <v>770</v>
      </c>
      <c r="B169">
        <v>6.0999999999999996E-11</v>
      </c>
    </row>
    <row r="170" spans="1:2" x14ac:dyDescent="0.25">
      <c r="A170" t="s">
        <v>771</v>
      </c>
      <c r="B170">
        <v>1E-10</v>
      </c>
    </row>
    <row r="171" spans="1:2" x14ac:dyDescent="0.25">
      <c r="A171" t="s">
        <v>772</v>
      </c>
      <c r="B171">
        <v>1.0999999999999999E-10</v>
      </c>
    </row>
    <row r="172" spans="1:2" x14ac:dyDescent="0.25">
      <c r="A172" t="s">
        <v>773</v>
      </c>
      <c r="B172">
        <v>1.6000000000000001E-9</v>
      </c>
    </row>
    <row r="173" spans="1:2" x14ac:dyDescent="0.25">
      <c r="A173" t="s">
        <v>774</v>
      </c>
      <c r="B173">
        <v>7.9999999999999995E-11</v>
      </c>
    </row>
    <row r="174" spans="1:2" x14ac:dyDescent="0.25">
      <c r="A174" t="s">
        <v>775</v>
      </c>
      <c r="B174">
        <v>1.8999999999999999E-11</v>
      </c>
    </row>
    <row r="175" spans="1:2" x14ac:dyDescent="0.25">
      <c r="A175" t="s">
        <v>776</v>
      </c>
      <c r="B175">
        <v>3.7000000000000001E-10</v>
      </c>
    </row>
    <row r="176" spans="1:2" x14ac:dyDescent="0.25">
      <c r="A176" t="s">
        <v>777</v>
      </c>
      <c r="B176">
        <v>3.6E-10</v>
      </c>
    </row>
    <row r="177" spans="1:2" x14ac:dyDescent="0.25">
      <c r="A177" t="s">
        <v>778</v>
      </c>
      <c r="B177">
        <v>1.0000000000000001E-9</v>
      </c>
    </row>
    <row r="178" spans="1:2" x14ac:dyDescent="0.25">
      <c r="A178" t="s">
        <v>779</v>
      </c>
      <c r="B178">
        <v>2.0999999999999999E-11</v>
      </c>
    </row>
    <row r="179" spans="1:2" x14ac:dyDescent="0.25">
      <c r="A179" t="s">
        <v>780</v>
      </c>
      <c r="B179">
        <v>1.7000000000000001E-10</v>
      </c>
    </row>
    <row r="180" spans="1:2" x14ac:dyDescent="0.25">
      <c r="A180" t="s">
        <v>781</v>
      </c>
      <c r="B180">
        <v>6.1E-9</v>
      </c>
    </row>
    <row r="181" spans="1:2" x14ac:dyDescent="0.25">
      <c r="A181" t="s">
        <v>782</v>
      </c>
      <c r="B181">
        <v>2.7999999999999999E-8</v>
      </c>
    </row>
    <row r="182" spans="1:2" x14ac:dyDescent="0.25">
      <c r="A182" t="s">
        <v>783</v>
      </c>
      <c r="B182">
        <v>4.2000000000000004E-9</v>
      </c>
    </row>
    <row r="183" spans="1:2" x14ac:dyDescent="0.25">
      <c r="A183" t="s">
        <v>784</v>
      </c>
      <c r="B183">
        <v>7.5E-10</v>
      </c>
    </row>
    <row r="184" spans="1:2" x14ac:dyDescent="0.25">
      <c r="A184" t="s">
        <v>785</v>
      </c>
      <c r="B184">
        <v>1.3000000000000001E-9</v>
      </c>
    </row>
    <row r="185" spans="1:2" x14ac:dyDescent="0.25">
      <c r="A185" t="s">
        <v>786</v>
      </c>
      <c r="B185">
        <v>4.3999999999999998E-10</v>
      </c>
    </row>
    <row r="186" spans="1:2" x14ac:dyDescent="0.25">
      <c r="A186" t="s">
        <v>787</v>
      </c>
      <c r="B186">
        <v>1.3000000000000001E-9</v>
      </c>
    </row>
    <row r="187" spans="1:2" x14ac:dyDescent="0.25">
      <c r="A187" t="s">
        <v>788</v>
      </c>
      <c r="B187">
        <v>1E-10</v>
      </c>
    </row>
    <row r="188" spans="1:2" x14ac:dyDescent="0.25">
      <c r="A188" t="s">
        <v>789</v>
      </c>
      <c r="B188">
        <v>1.3000000000000001E-9</v>
      </c>
    </row>
    <row r="189" spans="1:2" x14ac:dyDescent="0.25">
      <c r="A189" t="s">
        <v>790</v>
      </c>
      <c r="B189">
        <v>3.7999999999999998E-10</v>
      </c>
    </row>
    <row r="190" spans="1:2" x14ac:dyDescent="0.25">
      <c r="A190" t="s">
        <v>36</v>
      </c>
      <c r="B190">
        <v>1.3999999999999999E-9</v>
      </c>
    </row>
    <row r="191" spans="1:2" x14ac:dyDescent="0.25">
      <c r="A191" t="s">
        <v>791</v>
      </c>
      <c r="B191">
        <v>5.0000000000000003E-10</v>
      </c>
    </row>
    <row r="192" spans="1:2" x14ac:dyDescent="0.25">
      <c r="A192" t="s">
        <v>129</v>
      </c>
      <c r="B192">
        <v>2.0000000000000001E-9</v>
      </c>
    </row>
    <row r="193" spans="1:2" x14ac:dyDescent="0.25">
      <c r="A193" t="s">
        <v>130</v>
      </c>
      <c r="B193">
        <v>3.1999999999999998E-10</v>
      </c>
    </row>
    <row r="194" spans="1:2" x14ac:dyDescent="0.25">
      <c r="A194" t="s">
        <v>792</v>
      </c>
      <c r="B194">
        <v>2.1999999999999998E-9</v>
      </c>
    </row>
    <row r="195" spans="1:2" x14ac:dyDescent="0.25">
      <c r="A195" t="s">
        <v>793</v>
      </c>
      <c r="B195">
        <v>6E-10</v>
      </c>
    </row>
    <row r="196" spans="1:2" x14ac:dyDescent="0.25">
      <c r="A196" t="s">
        <v>794</v>
      </c>
      <c r="B196">
        <v>9.3999999999999999E-11</v>
      </c>
    </row>
    <row r="197" spans="1:2" x14ac:dyDescent="0.25">
      <c r="A197" t="s">
        <v>623</v>
      </c>
      <c r="B197">
        <v>4.8999999999999999E-11</v>
      </c>
    </row>
    <row r="198" spans="1:2" x14ac:dyDescent="0.25">
      <c r="A198" t="s">
        <v>795</v>
      </c>
      <c r="B198">
        <v>1.3999999999999999E-9</v>
      </c>
    </row>
    <row r="199" spans="1:2" x14ac:dyDescent="0.25">
      <c r="A199" t="s">
        <v>11</v>
      </c>
      <c r="B199">
        <v>3.3E-10</v>
      </c>
    </row>
    <row r="200" spans="1:2" x14ac:dyDescent="0.25">
      <c r="A200" t="s">
        <v>13</v>
      </c>
      <c r="B200">
        <v>1.8E-9</v>
      </c>
    </row>
    <row r="201" spans="1:2" x14ac:dyDescent="0.25">
      <c r="A201" t="s">
        <v>796</v>
      </c>
      <c r="B201">
        <v>1.1000000000000001E-7</v>
      </c>
    </row>
    <row r="202" spans="1:2" x14ac:dyDescent="0.25">
      <c r="A202" t="s">
        <v>797</v>
      </c>
      <c r="B202">
        <v>2.7000000000000002E-9</v>
      </c>
    </row>
    <row r="203" spans="1:2" x14ac:dyDescent="0.25">
      <c r="A203" t="s">
        <v>798</v>
      </c>
      <c r="B203">
        <v>9.0999999999999996E-10</v>
      </c>
    </row>
    <row r="204" spans="1:2" x14ac:dyDescent="0.25">
      <c r="A204" t="s">
        <v>799</v>
      </c>
      <c r="B204">
        <v>4.3999999999999998E-10</v>
      </c>
    </row>
    <row r="205" spans="1:2" x14ac:dyDescent="0.25">
      <c r="A205" t="s">
        <v>800</v>
      </c>
      <c r="B205">
        <v>2.5000000000000001E-9</v>
      </c>
    </row>
    <row r="206" spans="1:2" x14ac:dyDescent="0.25">
      <c r="A206" t="s">
        <v>801</v>
      </c>
      <c r="B206">
        <v>1.4999999999999999E-8</v>
      </c>
    </row>
    <row r="207" spans="1:2" x14ac:dyDescent="0.25">
      <c r="A207" t="s">
        <v>802</v>
      </c>
      <c r="B207">
        <v>7.2E-10</v>
      </c>
    </row>
    <row r="208" spans="1:2" x14ac:dyDescent="0.25">
      <c r="A208" t="s">
        <v>72</v>
      </c>
      <c r="B208">
        <v>2.4E-9</v>
      </c>
    </row>
    <row r="209" spans="1:2" x14ac:dyDescent="0.25">
      <c r="A209" t="s">
        <v>803</v>
      </c>
      <c r="B209">
        <v>3.7000000000000001E-11</v>
      </c>
    </row>
    <row r="210" spans="1:2" x14ac:dyDescent="0.25">
      <c r="A210" t="s">
        <v>804</v>
      </c>
      <c r="B210">
        <v>1.2E-9</v>
      </c>
    </row>
    <row r="211" spans="1:2" x14ac:dyDescent="0.25">
      <c r="A211" t="s">
        <v>805</v>
      </c>
      <c r="B211">
        <v>1.8999999999999999E-10</v>
      </c>
    </row>
    <row r="212" spans="1:2" x14ac:dyDescent="0.25">
      <c r="A212" t="s">
        <v>806</v>
      </c>
      <c r="B212">
        <v>1E-10</v>
      </c>
    </row>
    <row r="213" spans="1:2" x14ac:dyDescent="0.25">
      <c r="A213" t="s">
        <v>807</v>
      </c>
      <c r="B213">
        <v>3.1000000000000003E-11</v>
      </c>
    </row>
    <row r="214" spans="1:2" x14ac:dyDescent="0.25">
      <c r="A214" t="s">
        <v>808</v>
      </c>
      <c r="B214">
        <v>1.0999999999999999E-9</v>
      </c>
    </row>
    <row r="215" spans="1:2" x14ac:dyDescent="0.25">
      <c r="A215" t="s">
        <v>809</v>
      </c>
      <c r="B215">
        <v>2.5999999999999998E-10</v>
      </c>
    </row>
    <row r="216" spans="1:2" x14ac:dyDescent="0.25">
      <c r="A216" t="s">
        <v>810</v>
      </c>
      <c r="B216">
        <v>4.4000000000000003E-11</v>
      </c>
    </row>
    <row r="217" spans="1:2" x14ac:dyDescent="0.25">
      <c r="A217" t="s">
        <v>811</v>
      </c>
      <c r="B217">
        <v>9.5999999999999999E-10</v>
      </c>
    </row>
    <row r="218" spans="1:2" x14ac:dyDescent="0.25">
      <c r="A218" t="s">
        <v>812</v>
      </c>
      <c r="B218">
        <v>6.0999999999999996E-10</v>
      </c>
    </row>
    <row r="219" spans="1:2" x14ac:dyDescent="0.25">
      <c r="A219" t="s">
        <v>813</v>
      </c>
      <c r="B219">
        <v>5.5999999999999999E-8</v>
      </c>
    </row>
    <row r="220" spans="1:2" x14ac:dyDescent="0.25">
      <c r="A220" t="s">
        <v>814</v>
      </c>
      <c r="B220">
        <v>4.5E-10</v>
      </c>
    </row>
    <row r="221" spans="1:2" x14ac:dyDescent="0.25">
      <c r="A221" t="s">
        <v>815</v>
      </c>
      <c r="B221">
        <v>2.0000000000000001E-10</v>
      </c>
    </row>
    <row r="222" spans="1:2" x14ac:dyDescent="0.25">
      <c r="A222" t="s">
        <v>35</v>
      </c>
      <c r="B222">
        <v>4.1000000000000003E-8</v>
      </c>
    </row>
    <row r="223" spans="1:2" x14ac:dyDescent="0.25">
      <c r="A223" t="s">
        <v>816</v>
      </c>
      <c r="B223">
        <v>2.7E-10</v>
      </c>
    </row>
    <row r="224" spans="1:2" x14ac:dyDescent="0.25">
      <c r="A224" t="s">
        <v>817</v>
      </c>
      <c r="B224">
        <v>4.8999999999999996E-10</v>
      </c>
    </row>
    <row r="225" spans="1:2" x14ac:dyDescent="0.25">
      <c r="A225" t="s">
        <v>818</v>
      </c>
      <c r="B225">
        <v>1E-10</v>
      </c>
    </row>
    <row r="226" spans="1:2" x14ac:dyDescent="0.25">
      <c r="A226" t="s">
        <v>819</v>
      </c>
      <c r="B226">
        <v>6.4999999999999995E-11</v>
      </c>
    </row>
    <row r="227" spans="1:2" x14ac:dyDescent="0.25">
      <c r="A227" t="s">
        <v>820</v>
      </c>
      <c r="B227">
        <v>1.3000000000000001E-9</v>
      </c>
    </row>
    <row r="228" spans="1:2" x14ac:dyDescent="0.25">
      <c r="A228" t="s">
        <v>821</v>
      </c>
      <c r="B228">
        <v>2.4E-10</v>
      </c>
    </row>
    <row r="229" spans="1:2" x14ac:dyDescent="0.25">
      <c r="A229" t="s">
        <v>822</v>
      </c>
      <c r="B229">
        <v>1.2000000000000001E-11</v>
      </c>
    </row>
    <row r="230" spans="1:2" x14ac:dyDescent="0.25">
      <c r="A230" t="s">
        <v>823</v>
      </c>
      <c r="B230">
        <v>4.6000000000000003E-11</v>
      </c>
    </row>
    <row r="231" spans="1:2" x14ac:dyDescent="0.25">
      <c r="A231" t="s">
        <v>824</v>
      </c>
      <c r="B231">
        <v>3.3E-10</v>
      </c>
    </row>
    <row r="232" spans="1:2" x14ac:dyDescent="0.25">
      <c r="A232" t="s">
        <v>825</v>
      </c>
      <c r="B232">
        <v>1.2E-10</v>
      </c>
    </row>
    <row r="233" spans="1:2" x14ac:dyDescent="0.25">
      <c r="A233" t="s">
        <v>1</v>
      </c>
      <c r="B233">
        <v>4.1999999999999997E-11</v>
      </c>
    </row>
    <row r="234" spans="1:2" x14ac:dyDescent="0.25">
      <c r="A234" t="s">
        <v>826</v>
      </c>
      <c r="B234">
        <v>4.8E-10</v>
      </c>
    </row>
    <row r="235" spans="1:2" x14ac:dyDescent="0.25">
      <c r="A235" t="s">
        <v>827</v>
      </c>
      <c r="B235">
        <v>1.0000000000000001E-9</v>
      </c>
    </row>
    <row r="236" spans="1:2" x14ac:dyDescent="0.25">
      <c r="A236" t="s">
        <v>828</v>
      </c>
      <c r="B236">
        <v>2.3000000000000001E-10</v>
      </c>
    </row>
    <row r="237" spans="1:2" x14ac:dyDescent="0.25">
      <c r="A237" t="s">
        <v>829</v>
      </c>
      <c r="B237">
        <v>4.0999999999999998E-10</v>
      </c>
    </row>
    <row r="238" spans="1:2" x14ac:dyDescent="0.25">
      <c r="A238" t="s">
        <v>830</v>
      </c>
      <c r="B238">
        <v>8.1000000000000005E-11</v>
      </c>
    </row>
    <row r="239" spans="1:2" x14ac:dyDescent="0.25">
      <c r="A239" t="s">
        <v>831</v>
      </c>
      <c r="B239">
        <v>4.6999999999999999E-9</v>
      </c>
    </row>
    <row r="240" spans="1:2" x14ac:dyDescent="0.25">
      <c r="A240" t="s">
        <v>832</v>
      </c>
      <c r="B240">
        <v>1.2E-9</v>
      </c>
    </row>
    <row r="241" spans="1:2" x14ac:dyDescent="0.25">
      <c r="A241" t="s">
        <v>833</v>
      </c>
      <c r="B241">
        <v>1.7000000000000001E-10</v>
      </c>
    </row>
    <row r="242" spans="1:2" x14ac:dyDescent="0.25">
      <c r="A242" t="s">
        <v>834</v>
      </c>
      <c r="B242">
        <v>1.0999999999999999E-9</v>
      </c>
    </row>
    <row r="243" spans="1:2" x14ac:dyDescent="0.25">
      <c r="A243" t="s">
        <v>835</v>
      </c>
      <c r="B243">
        <v>3E-9</v>
      </c>
    </row>
    <row r="244" spans="1:2" x14ac:dyDescent="0.25">
      <c r="A244" t="s">
        <v>836</v>
      </c>
      <c r="B244">
        <v>4.1999999999999997E-11</v>
      </c>
    </row>
    <row r="245" spans="1:2" x14ac:dyDescent="0.25">
      <c r="A245" t="s">
        <v>837</v>
      </c>
      <c r="B245">
        <v>7.3000000000000006E-11</v>
      </c>
    </row>
    <row r="246" spans="1:2" x14ac:dyDescent="0.25">
      <c r="A246" t="s">
        <v>838</v>
      </c>
      <c r="B246">
        <v>5.1999999999999996E-10</v>
      </c>
    </row>
    <row r="247" spans="1:2" x14ac:dyDescent="0.25">
      <c r="A247" t="s">
        <v>839</v>
      </c>
      <c r="B247">
        <v>8.2000000000000001E-11</v>
      </c>
    </row>
    <row r="248" spans="1:2" x14ac:dyDescent="0.25">
      <c r="A248" t="s">
        <v>840</v>
      </c>
      <c r="B248">
        <v>4.0000000000000001E-10</v>
      </c>
    </row>
    <row r="249" spans="1:2" x14ac:dyDescent="0.25">
      <c r="A249" t="s">
        <v>841</v>
      </c>
      <c r="B249">
        <v>5.1E-8</v>
      </c>
    </row>
    <row r="250" spans="1:2" x14ac:dyDescent="0.25">
      <c r="A250" t="s">
        <v>842</v>
      </c>
      <c r="B250">
        <v>9.7000000000000001E-11</v>
      </c>
    </row>
    <row r="251" spans="1:2" x14ac:dyDescent="0.25">
      <c r="A251" t="s">
        <v>843</v>
      </c>
      <c r="B251">
        <v>5.6000000000000003E-10</v>
      </c>
    </row>
    <row r="252" spans="1:2" x14ac:dyDescent="0.25">
      <c r="A252" t="s">
        <v>844</v>
      </c>
      <c r="B252">
        <v>2.3000000000000001E-10</v>
      </c>
    </row>
    <row r="253" spans="1:2" x14ac:dyDescent="0.25">
      <c r="A253" t="s">
        <v>845</v>
      </c>
      <c r="B253">
        <v>4.7000000000000003E-10</v>
      </c>
    </row>
    <row r="254" spans="1:2" x14ac:dyDescent="0.25">
      <c r="A254" t="s">
        <v>846</v>
      </c>
      <c r="B254">
        <v>3.1000000000000003E-11</v>
      </c>
    </row>
    <row r="255" spans="1:2" x14ac:dyDescent="0.25">
      <c r="A255" t="s">
        <v>847</v>
      </c>
      <c r="B255">
        <v>1.9000000000000001E-9</v>
      </c>
    </row>
    <row r="256" spans="1:2" x14ac:dyDescent="0.25">
      <c r="A256" t="s">
        <v>848</v>
      </c>
      <c r="B256">
        <v>3.7000000000000001E-11</v>
      </c>
    </row>
    <row r="257" spans="1:2" x14ac:dyDescent="0.25">
      <c r="A257" t="s">
        <v>849</v>
      </c>
      <c r="B257">
        <v>6.5000000000000002E-12</v>
      </c>
    </row>
    <row r="258" spans="1:2" x14ac:dyDescent="0.25">
      <c r="A258" t="s">
        <v>850</v>
      </c>
      <c r="B258">
        <v>7.8999999999999999E-12</v>
      </c>
    </row>
    <row r="259" spans="1:2" x14ac:dyDescent="0.25">
      <c r="A259" t="s">
        <v>851</v>
      </c>
      <c r="B259">
        <v>1.3E-11</v>
      </c>
    </row>
    <row r="260" spans="1:2" x14ac:dyDescent="0.25">
      <c r="A260" t="s">
        <v>852</v>
      </c>
      <c r="B260">
        <v>3.3000000000000001E-12</v>
      </c>
    </row>
    <row r="261" spans="1:2" x14ac:dyDescent="0.25">
      <c r="A261" t="s">
        <v>853</v>
      </c>
      <c r="B261">
        <v>2.6000000000000001E-11</v>
      </c>
    </row>
    <row r="262" spans="1:2" x14ac:dyDescent="0.25">
      <c r="A262" t="s">
        <v>854</v>
      </c>
      <c r="B262">
        <v>9.4999999999999995E-12</v>
      </c>
    </row>
    <row r="263" spans="1:2" x14ac:dyDescent="0.25">
      <c r="A263" t="s">
        <v>855</v>
      </c>
      <c r="B263">
        <v>1.6E-11</v>
      </c>
    </row>
    <row r="264" spans="1:2" x14ac:dyDescent="0.25">
      <c r="A264" t="s">
        <v>856</v>
      </c>
      <c r="B264">
        <v>1.3999999999999999E-9</v>
      </c>
    </row>
    <row r="265" spans="1:2" x14ac:dyDescent="0.25">
      <c r="A265" t="s">
        <v>857</v>
      </c>
      <c r="B265">
        <v>2.0000000000000001E-9</v>
      </c>
    </row>
    <row r="266" spans="1:2" x14ac:dyDescent="0.25">
      <c r="A266" t="s">
        <v>858</v>
      </c>
      <c r="B266">
        <v>8.2999999999999998E-11</v>
      </c>
    </row>
    <row r="267" spans="1:2" x14ac:dyDescent="0.25">
      <c r="A267" t="s">
        <v>622</v>
      </c>
      <c r="B267">
        <v>3.4000000000000001E-10</v>
      </c>
    </row>
    <row r="268" spans="1:2" x14ac:dyDescent="0.25">
      <c r="A268" t="s">
        <v>859</v>
      </c>
      <c r="B268">
        <v>2.1E-10</v>
      </c>
    </row>
    <row r="269" spans="1:2" x14ac:dyDescent="0.25">
      <c r="A269" t="s">
        <v>621</v>
      </c>
      <c r="B269">
        <v>8.2000000000000001E-11</v>
      </c>
    </row>
    <row r="270" spans="1:2" x14ac:dyDescent="0.25">
      <c r="A270" t="s">
        <v>25</v>
      </c>
      <c r="B270">
        <v>2.1E-10</v>
      </c>
    </row>
    <row r="271" spans="1:2" x14ac:dyDescent="0.25">
      <c r="A271" t="s">
        <v>26</v>
      </c>
      <c r="B271">
        <v>1.3000000000000001E-8</v>
      </c>
    </row>
    <row r="272" spans="1:2" x14ac:dyDescent="0.25">
      <c r="A272" t="s">
        <v>27</v>
      </c>
      <c r="B272">
        <v>1.4999999999999999E-8</v>
      </c>
    </row>
    <row r="273" spans="1:2" x14ac:dyDescent="0.25">
      <c r="A273" t="s">
        <v>620</v>
      </c>
      <c r="B273">
        <v>2.9000000000000002E-8</v>
      </c>
    </row>
    <row r="274" spans="1:2" x14ac:dyDescent="0.25">
      <c r="A274" t="s">
        <v>619</v>
      </c>
      <c r="B274">
        <v>4.6000000000000003E-11</v>
      </c>
    </row>
    <row r="275" spans="1:2" x14ac:dyDescent="0.25">
      <c r="A275" t="s">
        <v>28</v>
      </c>
      <c r="B275">
        <v>1.1000000000000001E-7</v>
      </c>
    </row>
    <row r="276" spans="1:2" x14ac:dyDescent="0.25">
      <c r="A276" t="s">
        <v>618</v>
      </c>
      <c r="B276">
        <v>2.0000000000000001E-9</v>
      </c>
    </row>
    <row r="277" spans="1:2" x14ac:dyDescent="0.25">
      <c r="A277" t="s">
        <v>30</v>
      </c>
      <c r="B277">
        <v>2.1999999999999998E-8</v>
      </c>
    </row>
    <row r="278" spans="1:2" x14ac:dyDescent="0.25">
      <c r="A278" t="s">
        <v>617</v>
      </c>
      <c r="B278">
        <v>2.8999999999999998E-10</v>
      </c>
    </row>
    <row r="279" spans="1:2" x14ac:dyDescent="0.25">
      <c r="A279" t="s">
        <v>860</v>
      </c>
      <c r="B279">
        <v>2.1999999999999999E-10</v>
      </c>
    </row>
    <row r="280" spans="1:2" x14ac:dyDescent="0.25">
      <c r="A280" t="s">
        <v>616</v>
      </c>
      <c r="B280">
        <v>4.2999999999999996E-9</v>
      </c>
    </row>
    <row r="281" spans="1:2" x14ac:dyDescent="0.25">
      <c r="A281" t="s">
        <v>615</v>
      </c>
      <c r="B281">
        <v>1.0999999999999999E-10</v>
      </c>
    </row>
    <row r="282" spans="1:2" x14ac:dyDescent="0.25">
      <c r="A282" t="s">
        <v>614</v>
      </c>
      <c r="B282">
        <v>9.2999999999999999E-10</v>
      </c>
    </row>
    <row r="283" spans="1:2" x14ac:dyDescent="0.25">
      <c r="A283" t="s">
        <v>861</v>
      </c>
      <c r="B283">
        <v>6.6000000000000005E-11</v>
      </c>
    </row>
    <row r="284" spans="1:2" x14ac:dyDescent="0.25">
      <c r="A284" t="s">
        <v>862</v>
      </c>
      <c r="B284">
        <v>2.4E-10</v>
      </c>
    </row>
    <row r="285" spans="1:2" x14ac:dyDescent="0.25">
      <c r="A285" t="s">
        <v>863</v>
      </c>
      <c r="B285">
        <v>1E-10</v>
      </c>
    </row>
    <row r="286" spans="1:2" x14ac:dyDescent="0.25">
      <c r="A286" t="s">
        <v>864</v>
      </c>
      <c r="B286">
        <v>2.8999999999999998E-10</v>
      </c>
    </row>
    <row r="287" spans="1:2" x14ac:dyDescent="0.25">
      <c r="A287" t="s">
        <v>865</v>
      </c>
      <c r="B287">
        <v>9.9999999999999994E-12</v>
      </c>
    </row>
    <row r="288" spans="1:2" x14ac:dyDescent="0.25">
      <c r="A288" t="s">
        <v>866</v>
      </c>
      <c r="B288">
        <v>2.8E-11</v>
      </c>
    </row>
    <row r="289" spans="1:2" x14ac:dyDescent="0.25">
      <c r="A289" t="s">
        <v>867</v>
      </c>
      <c r="B289">
        <v>4.1000000000000003E-9</v>
      </c>
    </row>
    <row r="290" spans="1:2" x14ac:dyDescent="0.25">
      <c r="A290" t="s">
        <v>868</v>
      </c>
      <c r="B290">
        <v>3.2000000000000002E-8</v>
      </c>
    </row>
    <row r="291" spans="1:2" x14ac:dyDescent="0.25">
      <c r="A291" t="s">
        <v>869</v>
      </c>
      <c r="B291">
        <v>8.6E-11</v>
      </c>
    </row>
    <row r="292" spans="1:2" x14ac:dyDescent="0.25">
      <c r="A292" t="s">
        <v>870</v>
      </c>
      <c r="B292">
        <v>6.3999999999999999E-11</v>
      </c>
    </row>
    <row r="293" spans="1:2" x14ac:dyDescent="0.25">
      <c r="A293" t="s">
        <v>871</v>
      </c>
      <c r="B293">
        <v>3.1000000000000003E-11</v>
      </c>
    </row>
    <row r="294" spans="1:2" x14ac:dyDescent="0.25">
      <c r="A294" t="s">
        <v>872</v>
      </c>
      <c r="B294">
        <v>1.2E-10</v>
      </c>
    </row>
    <row r="295" spans="1:2" x14ac:dyDescent="0.25">
      <c r="A295" t="s">
        <v>873</v>
      </c>
      <c r="B295">
        <v>4.6999999999999999E-11</v>
      </c>
    </row>
    <row r="296" spans="1:2" x14ac:dyDescent="0.25">
      <c r="A296" t="s">
        <v>874</v>
      </c>
      <c r="B296">
        <v>4.8000000000000002E-11</v>
      </c>
    </row>
    <row r="297" spans="1:2" x14ac:dyDescent="0.25">
      <c r="A297" t="s">
        <v>875</v>
      </c>
      <c r="B297">
        <v>1.7000000000000001E-10</v>
      </c>
    </row>
    <row r="298" spans="1:2" x14ac:dyDescent="0.25">
      <c r="A298" t="s">
        <v>876</v>
      </c>
      <c r="B298">
        <v>2.5999999999999998E-10</v>
      </c>
    </row>
    <row r="299" spans="1:2" x14ac:dyDescent="0.25">
      <c r="A299" t="s">
        <v>877</v>
      </c>
      <c r="B299">
        <v>4.8999999999999996E-10</v>
      </c>
    </row>
    <row r="300" spans="1:2" x14ac:dyDescent="0.25">
      <c r="A300" t="s">
        <v>878</v>
      </c>
      <c r="B300">
        <v>6.0999999999999996E-11</v>
      </c>
    </row>
    <row r="301" spans="1:2" x14ac:dyDescent="0.25">
      <c r="A301" t="s">
        <v>879</v>
      </c>
      <c r="B301">
        <v>1.2E-10</v>
      </c>
    </row>
    <row r="302" spans="1:2" x14ac:dyDescent="0.25">
      <c r="A302" t="s">
        <v>880</v>
      </c>
      <c r="B302">
        <v>6.3E-10</v>
      </c>
    </row>
    <row r="303" spans="1:2" x14ac:dyDescent="0.25">
      <c r="A303" t="s">
        <v>881</v>
      </c>
      <c r="B303">
        <v>2.4E-10</v>
      </c>
    </row>
    <row r="304" spans="1:2" x14ac:dyDescent="0.25">
      <c r="A304" t="s">
        <v>882</v>
      </c>
      <c r="B304">
        <v>1.2E-9</v>
      </c>
    </row>
    <row r="305" spans="1:2" x14ac:dyDescent="0.25">
      <c r="A305" t="s">
        <v>883</v>
      </c>
      <c r="B305">
        <v>7.9999999999999998E-12</v>
      </c>
    </row>
    <row r="306" spans="1:2" x14ac:dyDescent="0.25">
      <c r="A306" t="s">
        <v>884</v>
      </c>
      <c r="B306">
        <v>1.2E-10</v>
      </c>
    </row>
    <row r="307" spans="1:2" x14ac:dyDescent="0.25">
      <c r="A307" t="s">
        <v>885</v>
      </c>
      <c r="B307">
        <v>1.3999999999999999E-9</v>
      </c>
    </row>
    <row r="308" spans="1:2" x14ac:dyDescent="0.25">
      <c r="A308" t="s">
        <v>886</v>
      </c>
      <c r="B308">
        <v>3.1000000000000002E-10</v>
      </c>
    </row>
    <row r="309" spans="1:2" x14ac:dyDescent="0.25">
      <c r="A309" t="s">
        <v>887</v>
      </c>
      <c r="B309">
        <v>2.7E-10</v>
      </c>
    </row>
    <row r="310" spans="1:2" x14ac:dyDescent="0.25">
      <c r="A310" t="s">
        <v>888</v>
      </c>
      <c r="B310">
        <v>1.3000000000000001E-9</v>
      </c>
    </row>
    <row r="311" spans="1:2" x14ac:dyDescent="0.25">
      <c r="A311" t="s">
        <v>889</v>
      </c>
      <c r="B311">
        <v>2.1000000000000002E-9</v>
      </c>
    </row>
    <row r="312" spans="1:2" x14ac:dyDescent="0.25">
      <c r="A312" t="s">
        <v>890</v>
      </c>
      <c r="B312">
        <v>1E-10</v>
      </c>
    </row>
    <row r="313" spans="1:2" x14ac:dyDescent="0.25">
      <c r="A313" t="s">
        <v>891</v>
      </c>
      <c r="B313">
        <v>2.1E-10</v>
      </c>
    </row>
    <row r="314" spans="1:2" x14ac:dyDescent="0.25">
      <c r="A314" t="s">
        <v>613</v>
      </c>
      <c r="B314">
        <v>6.2000000000000001E-9</v>
      </c>
    </row>
    <row r="315" spans="1:2" x14ac:dyDescent="0.25">
      <c r="A315" t="s">
        <v>612</v>
      </c>
      <c r="B315">
        <v>4.3000000000000001E-10</v>
      </c>
    </row>
    <row r="316" spans="1:2" x14ac:dyDescent="0.25">
      <c r="A316" t="s">
        <v>611</v>
      </c>
      <c r="B316">
        <v>2.5000000000000002E-10</v>
      </c>
    </row>
    <row r="317" spans="1:2" x14ac:dyDescent="0.25">
      <c r="A317" t="s">
        <v>610</v>
      </c>
      <c r="B317">
        <v>8.3999999999999994E-11</v>
      </c>
    </row>
    <row r="318" spans="1:2" x14ac:dyDescent="0.25">
      <c r="A318" t="s">
        <v>609</v>
      </c>
      <c r="B318">
        <v>5.4000000000000001E-11</v>
      </c>
    </row>
    <row r="319" spans="1:2" x14ac:dyDescent="0.25">
      <c r="A319" t="s">
        <v>892</v>
      </c>
      <c r="B319">
        <v>3.5000000000000002E-11</v>
      </c>
    </row>
    <row r="320" spans="1:2" x14ac:dyDescent="0.25">
      <c r="A320" t="s">
        <v>893</v>
      </c>
      <c r="B320">
        <v>3.9E-10</v>
      </c>
    </row>
    <row r="321" spans="1:2" x14ac:dyDescent="0.25">
      <c r="A321" t="s">
        <v>894</v>
      </c>
      <c r="B321">
        <v>3E-11</v>
      </c>
    </row>
    <row r="322" spans="1:2" x14ac:dyDescent="0.25">
      <c r="A322" t="s">
        <v>895</v>
      </c>
      <c r="B322">
        <v>8.1000000000000005E-11</v>
      </c>
    </row>
    <row r="323" spans="1:2" x14ac:dyDescent="0.25">
      <c r="A323" t="s">
        <v>896</v>
      </c>
      <c r="B323">
        <v>1.0999999999999999E-9</v>
      </c>
    </row>
    <row r="324" spans="1:2" x14ac:dyDescent="0.25">
      <c r="A324" t="s">
        <v>897</v>
      </c>
      <c r="B324">
        <v>2.0000000000000001E-9</v>
      </c>
    </row>
    <row r="325" spans="1:2" x14ac:dyDescent="0.25">
      <c r="A325" t="s">
        <v>898</v>
      </c>
      <c r="B325">
        <v>3.6E-10</v>
      </c>
    </row>
    <row r="326" spans="1:2" x14ac:dyDescent="0.25">
      <c r="A326" t="s">
        <v>899</v>
      </c>
      <c r="B326">
        <v>1.8E-10</v>
      </c>
    </row>
    <row r="327" spans="1:2" x14ac:dyDescent="0.25">
      <c r="A327" t="s">
        <v>900</v>
      </c>
      <c r="B327">
        <v>5.6E-11</v>
      </c>
    </row>
    <row r="328" spans="1:2" x14ac:dyDescent="0.25">
      <c r="A328" t="s">
        <v>901</v>
      </c>
      <c r="B328">
        <v>4.6000000000000001E-10</v>
      </c>
    </row>
    <row r="329" spans="1:2" x14ac:dyDescent="0.25">
      <c r="A329" t="s">
        <v>902</v>
      </c>
      <c r="B329">
        <v>9.900000000000001E-10</v>
      </c>
    </row>
    <row r="330" spans="1:2" x14ac:dyDescent="0.25">
      <c r="A330" t="s">
        <v>903</v>
      </c>
      <c r="B330">
        <v>6.6999999999999996E-10</v>
      </c>
    </row>
    <row r="331" spans="1:2" x14ac:dyDescent="0.25">
      <c r="A331" t="s">
        <v>904</v>
      </c>
      <c r="B331">
        <v>1.3000000000000001E-9</v>
      </c>
    </row>
    <row r="332" spans="1:2" x14ac:dyDescent="0.25">
      <c r="A332" t="s">
        <v>905</v>
      </c>
      <c r="B332">
        <v>2.5999999999999998E-10</v>
      </c>
    </row>
    <row r="333" spans="1:2" x14ac:dyDescent="0.25">
      <c r="A333" t="s">
        <v>906</v>
      </c>
      <c r="B333">
        <v>2.7E-10</v>
      </c>
    </row>
    <row r="334" spans="1:2" x14ac:dyDescent="0.25">
      <c r="A334" t="s">
        <v>907</v>
      </c>
      <c r="B334">
        <v>5.3000000000000003E-10</v>
      </c>
    </row>
    <row r="335" spans="1:2" x14ac:dyDescent="0.25">
      <c r="A335" t="s">
        <v>908</v>
      </c>
      <c r="B335">
        <v>1.8E-9</v>
      </c>
    </row>
    <row r="336" spans="1:2" x14ac:dyDescent="0.25">
      <c r="A336" t="s">
        <v>909</v>
      </c>
      <c r="B336">
        <v>1.7000000000000001E-10</v>
      </c>
    </row>
    <row r="337" spans="1:2" x14ac:dyDescent="0.25">
      <c r="A337" t="s">
        <v>910</v>
      </c>
      <c r="B337">
        <v>5.3000000000000003E-10</v>
      </c>
    </row>
    <row r="338" spans="1:2" x14ac:dyDescent="0.25">
      <c r="A338" t="s">
        <v>911</v>
      </c>
      <c r="B338">
        <v>1.6999999999999999E-9</v>
      </c>
    </row>
    <row r="339" spans="1:2" x14ac:dyDescent="0.25">
      <c r="A339" t="s">
        <v>912</v>
      </c>
      <c r="B339">
        <v>4.6999999999999999E-11</v>
      </c>
    </row>
    <row r="340" spans="1:2" x14ac:dyDescent="0.25">
      <c r="A340" t="s">
        <v>913</v>
      </c>
      <c r="B340">
        <v>3.7999999999999998E-11</v>
      </c>
    </row>
    <row r="341" spans="1:2" x14ac:dyDescent="0.25">
      <c r="A341" t="s">
        <v>914</v>
      </c>
      <c r="B341">
        <v>2.1E-10</v>
      </c>
    </row>
    <row r="342" spans="1:2" x14ac:dyDescent="0.25">
      <c r="A342" t="s">
        <v>915</v>
      </c>
      <c r="B342">
        <v>1.2E-10</v>
      </c>
    </row>
    <row r="343" spans="1:2" x14ac:dyDescent="0.25">
      <c r="A343" t="s">
        <v>916</v>
      </c>
      <c r="B343">
        <v>1.3000000000000001E-8</v>
      </c>
    </row>
    <row r="344" spans="1:2" x14ac:dyDescent="0.25">
      <c r="A344" t="s">
        <v>917</v>
      </c>
      <c r="B344">
        <v>2.1999999999999998E-9</v>
      </c>
    </row>
    <row r="345" spans="1:2" x14ac:dyDescent="0.25">
      <c r="A345" t="s">
        <v>918</v>
      </c>
      <c r="B345">
        <v>9.3000000000000002E-11</v>
      </c>
    </row>
    <row r="346" spans="1:2" x14ac:dyDescent="0.25">
      <c r="A346" t="s">
        <v>919</v>
      </c>
      <c r="B346">
        <v>1.8E-9</v>
      </c>
    </row>
    <row r="347" spans="1:2" x14ac:dyDescent="0.25">
      <c r="A347" t="s">
        <v>920</v>
      </c>
      <c r="B347">
        <v>6.8999999999999994E-11</v>
      </c>
    </row>
    <row r="348" spans="1:2" x14ac:dyDescent="0.25">
      <c r="A348" t="s">
        <v>921</v>
      </c>
      <c r="B348">
        <v>3E-11</v>
      </c>
    </row>
    <row r="349" spans="1:2" x14ac:dyDescent="0.25">
      <c r="A349" t="s">
        <v>10</v>
      </c>
      <c r="B349">
        <v>7.1000000000000003E-10</v>
      </c>
    </row>
    <row r="350" spans="1:2" x14ac:dyDescent="0.25">
      <c r="A350" t="s">
        <v>922</v>
      </c>
      <c r="B350">
        <v>2.5000000000000002E-10</v>
      </c>
    </row>
    <row r="351" spans="1:2" x14ac:dyDescent="0.25">
      <c r="A351" t="s">
        <v>923</v>
      </c>
      <c r="B351">
        <v>4.1000000000000001E-11</v>
      </c>
    </row>
    <row r="352" spans="1:2" x14ac:dyDescent="0.25">
      <c r="A352" t="s">
        <v>924</v>
      </c>
      <c r="B352">
        <v>2.1999999999999999E-10</v>
      </c>
    </row>
    <row r="353" spans="1:2" x14ac:dyDescent="0.25">
      <c r="A353" t="s">
        <v>925</v>
      </c>
      <c r="B353">
        <v>3.1E-9</v>
      </c>
    </row>
    <row r="354" spans="1:2" x14ac:dyDescent="0.25">
      <c r="A354" t="s">
        <v>926</v>
      </c>
      <c r="B354">
        <v>1.0999999999999999E-10</v>
      </c>
    </row>
    <row r="355" spans="1:2" x14ac:dyDescent="0.25">
      <c r="A355" t="s">
        <v>927</v>
      </c>
      <c r="B355">
        <v>6E-10</v>
      </c>
    </row>
    <row r="356" spans="1:2" x14ac:dyDescent="0.25">
      <c r="A356" t="s">
        <v>3</v>
      </c>
      <c r="B356">
        <v>3.2000000000000001E-9</v>
      </c>
    </row>
    <row r="357" spans="1:2" x14ac:dyDescent="0.25">
      <c r="A357" t="s">
        <v>928</v>
      </c>
      <c r="B357">
        <v>4.3000000000000001E-10</v>
      </c>
    </row>
    <row r="358" spans="1:2" x14ac:dyDescent="0.25">
      <c r="A358" t="s">
        <v>929</v>
      </c>
      <c r="B358">
        <v>6.3000000000000002E-11</v>
      </c>
    </row>
    <row r="359" spans="1:2" x14ac:dyDescent="0.25">
      <c r="A359" t="s">
        <v>930</v>
      </c>
      <c r="B359">
        <v>2.7E-10</v>
      </c>
    </row>
    <row r="360" spans="1:2" x14ac:dyDescent="0.25">
      <c r="A360" t="s">
        <v>931</v>
      </c>
      <c r="B360">
        <v>1.4000000000000001E-10</v>
      </c>
    </row>
    <row r="361" spans="1:2" x14ac:dyDescent="0.25">
      <c r="A361" t="s">
        <v>932</v>
      </c>
      <c r="B361">
        <v>1.2E-9</v>
      </c>
    </row>
    <row r="362" spans="1:2" x14ac:dyDescent="0.25">
      <c r="A362" t="s">
        <v>111</v>
      </c>
      <c r="B362">
        <v>1.2E-10</v>
      </c>
    </row>
    <row r="363" spans="1:2" x14ac:dyDescent="0.25">
      <c r="A363" t="s">
        <v>933</v>
      </c>
      <c r="B363">
        <v>1.6999999999999999E-9</v>
      </c>
    </row>
    <row r="364" spans="1:2" x14ac:dyDescent="0.25">
      <c r="A364" t="s">
        <v>934</v>
      </c>
      <c r="B364">
        <v>5.7999999999999996E-10</v>
      </c>
    </row>
    <row r="365" spans="1:2" x14ac:dyDescent="0.25">
      <c r="A365" t="s">
        <v>935</v>
      </c>
      <c r="B365">
        <v>5.6000000000000003E-10</v>
      </c>
    </row>
    <row r="366" spans="1:2" x14ac:dyDescent="0.25">
      <c r="A366" t="s">
        <v>936</v>
      </c>
      <c r="B366">
        <v>1.0999999999999999E-9</v>
      </c>
    </row>
    <row r="367" spans="1:2" x14ac:dyDescent="0.25">
      <c r="A367" t="s">
        <v>937</v>
      </c>
      <c r="B367">
        <v>6.7999999999999998E-11</v>
      </c>
    </row>
    <row r="368" spans="1:2" x14ac:dyDescent="0.25">
      <c r="A368" t="s">
        <v>938</v>
      </c>
      <c r="B368">
        <v>1.0999999999999999E-10</v>
      </c>
    </row>
    <row r="369" spans="1:2" x14ac:dyDescent="0.25">
      <c r="A369" t="s">
        <v>939</v>
      </c>
      <c r="B369">
        <v>9.8999999999999994E-11</v>
      </c>
    </row>
    <row r="370" spans="1:2" x14ac:dyDescent="0.25">
      <c r="A370" t="s">
        <v>940</v>
      </c>
      <c r="B370">
        <v>6.3999999999999996E-10</v>
      </c>
    </row>
    <row r="371" spans="1:2" x14ac:dyDescent="0.25">
      <c r="A371" t="s">
        <v>941</v>
      </c>
      <c r="B371">
        <v>1.9999999999999999E-11</v>
      </c>
    </row>
    <row r="372" spans="1:2" x14ac:dyDescent="0.25">
      <c r="A372" t="s">
        <v>942</v>
      </c>
      <c r="B372">
        <v>2.5000000000000002E-10</v>
      </c>
    </row>
    <row r="373" spans="1:2" x14ac:dyDescent="0.25">
      <c r="A373" t="s">
        <v>943</v>
      </c>
      <c r="B373">
        <v>8.2999999999999998E-12</v>
      </c>
    </row>
    <row r="374" spans="1:2" x14ac:dyDescent="0.25">
      <c r="A374" t="s">
        <v>944</v>
      </c>
      <c r="B374">
        <v>1.0999999999999999E-9</v>
      </c>
    </row>
    <row r="375" spans="1:2" x14ac:dyDescent="0.25">
      <c r="A375" t="s">
        <v>945</v>
      </c>
      <c r="B375">
        <v>1.2E-10</v>
      </c>
    </row>
    <row r="376" spans="1:2" x14ac:dyDescent="0.25">
      <c r="A376" t="s">
        <v>946</v>
      </c>
      <c r="B376">
        <v>3E-11</v>
      </c>
    </row>
    <row r="377" spans="1:2" x14ac:dyDescent="0.25">
      <c r="A377" t="s">
        <v>947</v>
      </c>
      <c r="B377">
        <v>8.6000000000000003E-10</v>
      </c>
    </row>
    <row r="378" spans="1:2" x14ac:dyDescent="0.25">
      <c r="A378" t="s">
        <v>948</v>
      </c>
      <c r="B378">
        <v>8.6999999999999999E-10</v>
      </c>
    </row>
    <row r="379" spans="1:2" x14ac:dyDescent="0.25">
      <c r="A379" t="s">
        <v>108</v>
      </c>
      <c r="B379">
        <v>6.3000000000000002E-11</v>
      </c>
    </row>
    <row r="380" spans="1:2" x14ac:dyDescent="0.25">
      <c r="A380" t="s">
        <v>15</v>
      </c>
      <c r="B380">
        <v>1.5E-10</v>
      </c>
    </row>
    <row r="381" spans="1:2" x14ac:dyDescent="0.25">
      <c r="A381" t="s">
        <v>949</v>
      </c>
      <c r="B381">
        <v>1.8E-10</v>
      </c>
    </row>
    <row r="382" spans="1:2" x14ac:dyDescent="0.25">
      <c r="A382" t="s">
        <v>950</v>
      </c>
      <c r="B382">
        <v>3E-9</v>
      </c>
    </row>
    <row r="383" spans="1:2" x14ac:dyDescent="0.25">
      <c r="A383" t="s">
        <v>951</v>
      </c>
      <c r="B383">
        <v>9.6999999999999995E-12</v>
      </c>
    </row>
    <row r="384" spans="1:2" x14ac:dyDescent="0.25">
      <c r="A384" t="s">
        <v>952</v>
      </c>
      <c r="B384">
        <v>2.1999999999999999E-12</v>
      </c>
    </row>
    <row r="385" spans="1:2" x14ac:dyDescent="0.25">
      <c r="A385" t="s">
        <v>953</v>
      </c>
      <c r="B385">
        <v>8.0999999999999999E-10</v>
      </c>
    </row>
    <row r="386" spans="1:2" x14ac:dyDescent="0.25">
      <c r="A386" t="s">
        <v>954</v>
      </c>
      <c r="B386">
        <v>5.2999999999999998E-11</v>
      </c>
    </row>
    <row r="387" spans="1:2" x14ac:dyDescent="0.25">
      <c r="A387" t="s">
        <v>131</v>
      </c>
      <c r="B387">
        <v>1.7E-8</v>
      </c>
    </row>
    <row r="388" spans="1:2" x14ac:dyDescent="0.25">
      <c r="A388" t="s">
        <v>955</v>
      </c>
      <c r="B388">
        <v>1.8999999999999999E-10</v>
      </c>
    </row>
    <row r="389" spans="1:2" x14ac:dyDescent="0.25">
      <c r="A389" t="s">
        <v>95</v>
      </c>
      <c r="B389">
        <v>1.1000000000000001E-7</v>
      </c>
    </row>
    <row r="390" spans="1:2" x14ac:dyDescent="0.25">
      <c r="A390" t="s">
        <v>149</v>
      </c>
      <c r="B390">
        <v>9.0999999999999996E-10</v>
      </c>
    </row>
    <row r="391" spans="1:2" x14ac:dyDescent="0.25">
      <c r="A391" t="s">
        <v>100</v>
      </c>
      <c r="B391">
        <v>8.0000000000000003E-10</v>
      </c>
    </row>
    <row r="392" spans="1:2" x14ac:dyDescent="0.25">
      <c r="A392" t="s">
        <v>956</v>
      </c>
      <c r="B392">
        <v>8.2000000000000001E-11</v>
      </c>
    </row>
    <row r="393" spans="1:2" x14ac:dyDescent="0.25">
      <c r="A393" t="s">
        <v>957</v>
      </c>
      <c r="B393">
        <v>1.6999999999999999E-11</v>
      </c>
    </row>
    <row r="394" spans="1:2" x14ac:dyDescent="0.25">
      <c r="A394" t="s">
        <v>958</v>
      </c>
      <c r="B394">
        <v>8.9000000000000003E-11</v>
      </c>
    </row>
    <row r="395" spans="1:2" x14ac:dyDescent="0.25">
      <c r="A395" t="s">
        <v>959</v>
      </c>
      <c r="B395">
        <v>5.6000000000000003E-10</v>
      </c>
    </row>
    <row r="396" spans="1:2" x14ac:dyDescent="0.25">
      <c r="A396" t="s">
        <v>960</v>
      </c>
      <c r="B396">
        <v>5.1E-10</v>
      </c>
    </row>
    <row r="397" spans="1:2" x14ac:dyDescent="0.25">
      <c r="A397" t="s">
        <v>961</v>
      </c>
      <c r="B397">
        <v>1.7999999999999999E-11</v>
      </c>
    </row>
    <row r="398" spans="1:2" x14ac:dyDescent="0.25">
      <c r="A398" t="s">
        <v>962</v>
      </c>
      <c r="B398">
        <v>5.7E-10</v>
      </c>
    </row>
    <row r="399" spans="1:2" x14ac:dyDescent="0.25">
      <c r="A399" t="s">
        <v>963</v>
      </c>
      <c r="B399">
        <v>9.6000000000000005E-11</v>
      </c>
    </row>
    <row r="400" spans="1:2" x14ac:dyDescent="0.25">
      <c r="A400" t="s">
        <v>964</v>
      </c>
      <c r="B400">
        <v>8.0999999999999999E-10</v>
      </c>
    </row>
    <row r="401" spans="1:2" x14ac:dyDescent="0.25">
      <c r="A401" t="s">
        <v>965</v>
      </c>
      <c r="B401">
        <v>2.4E-9</v>
      </c>
    </row>
    <row r="402" spans="1:2" x14ac:dyDescent="0.25">
      <c r="A402" t="s">
        <v>4</v>
      </c>
      <c r="B402">
        <v>2.4E-9</v>
      </c>
    </row>
    <row r="403" spans="1:2" x14ac:dyDescent="0.25">
      <c r="A403" t="s">
        <v>5</v>
      </c>
      <c r="B403">
        <v>2.4E-10</v>
      </c>
    </row>
    <row r="404" spans="1:2" x14ac:dyDescent="0.25">
      <c r="A404" t="s">
        <v>966</v>
      </c>
      <c r="B404">
        <v>4.5E-10</v>
      </c>
    </row>
    <row r="405" spans="1:2" x14ac:dyDescent="0.25">
      <c r="A405" t="s">
        <v>967</v>
      </c>
      <c r="B405">
        <v>7.7999999999999999E-10</v>
      </c>
    </row>
    <row r="406" spans="1:2" x14ac:dyDescent="0.25">
      <c r="A406" t="s">
        <v>968</v>
      </c>
      <c r="B406">
        <v>9.2000000000000003E-10</v>
      </c>
    </row>
    <row r="407" spans="1:2" x14ac:dyDescent="0.25">
      <c r="A407" t="s">
        <v>84</v>
      </c>
      <c r="B407">
        <v>7.0999999999999998E-7</v>
      </c>
    </row>
    <row r="408" spans="1:2" x14ac:dyDescent="0.25">
      <c r="A408" t="s">
        <v>969</v>
      </c>
      <c r="B408">
        <v>7.2E-10</v>
      </c>
    </row>
    <row r="409" spans="1:2" x14ac:dyDescent="0.25">
      <c r="A409" t="s">
        <v>88</v>
      </c>
      <c r="B409">
        <v>8.6999999999999999E-10</v>
      </c>
    </row>
    <row r="410" spans="1:2" x14ac:dyDescent="0.25">
      <c r="A410" t="s">
        <v>90</v>
      </c>
      <c r="B410">
        <v>5.1E-10</v>
      </c>
    </row>
    <row r="411" spans="1:2" x14ac:dyDescent="0.25">
      <c r="A411" t="s">
        <v>970</v>
      </c>
      <c r="B411">
        <v>2.9E-11</v>
      </c>
    </row>
    <row r="412" spans="1:2" x14ac:dyDescent="0.25">
      <c r="A412" t="s">
        <v>971</v>
      </c>
      <c r="B412">
        <v>1E-10</v>
      </c>
    </row>
    <row r="413" spans="1:2" x14ac:dyDescent="0.25">
      <c r="A413" t="s">
        <v>972</v>
      </c>
      <c r="B413">
        <v>5.4000000000000001E-11</v>
      </c>
    </row>
    <row r="414" spans="1:2" x14ac:dyDescent="0.25">
      <c r="A414" t="s">
        <v>973</v>
      </c>
      <c r="B414">
        <v>4.0000000000000001E-10</v>
      </c>
    </row>
    <row r="415" spans="1:2" x14ac:dyDescent="0.25">
      <c r="A415" t="s">
        <v>974</v>
      </c>
      <c r="B415">
        <v>1.5999999999999999E-10</v>
      </c>
    </row>
    <row r="416" spans="1:2" x14ac:dyDescent="0.25">
      <c r="A416" t="s">
        <v>975</v>
      </c>
      <c r="B416">
        <v>8.7999999999999994E-9</v>
      </c>
    </row>
    <row r="417" spans="1:2" x14ac:dyDescent="0.25">
      <c r="A417" t="s">
        <v>976</v>
      </c>
      <c r="B417">
        <v>1.2999999999999999E-10</v>
      </c>
    </row>
    <row r="418" spans="1:2" x14ac:dyDescent="0.25">
      <c r="A418" t="s">
        <v>977</v>
      </c>
      <c r="B418">
        <v>2.4E-10</v>
      </c>
    </row>
    <row r="419" spans="1:2" x14ac:dyDescent="0.25">
      <c r="A419" t="s">
        <v>978</v>
      </c>
      <c r="B419">
        <v>2.8000000000000002E-10</v>
      </c>
    </row>
    <row r="420" spans="1:2" x14ac:dyDescent="0.25">
      <c r="A420" t="s">
        <v>40</v>
      </c>
      <c r="B420">
        <v>5.6999999999999997E-11</v>
      </c>
    </row>
    <row r="421" spans="1:2" x14ac:dyDescent="0.25">
      <c r="A421" t="s">
        <v>44</v>
      </c>
      <c r="B421">
        <v>6.8999999999999996E-7</v>
      </c>
    </row>
    <row r="422" spans="1:2" x14ac:dyDescent="0.25">
      <c r="A422" t="s">
        <v>48</v>
      </c>
      <c r="B422">
        <v>1.8E-10</v>
      </c>
    </row>
    <row r="423" spans="1:2" x14ac:dyDescent="0.25">
      <c r="A423" t="s">
        <v>51</v>
      </c>
      <c r="B423">
        <v>6E-9</v>
      </c>
    </row>
    <row r="424" spans="1:2" x14ac:dyDescent="0.25">
      <c r="A424" t="s">
        <v>56</v>
      </c>
      <c r="B424">
        <v>1.4000000000000001E-10</v>
      </c>
    </row>
    <row r="425" spans="1:2" x14ac:dyDescent="0.25">
      <c r="A425" t="s">
        <v>979</v>
      </c>
      <c r="B425">
        <v>9.4000000000000006E-10</v>
      </c>
    </row>
    <row r="426" spans="1:2" x14ac:dyDescent="0.25">
      <c r="A426" t="s">
        <v>980</v>
      </c>
      <c r="B426">
        <v>9.3999999999999999E-11</v>
      </c>
    </row>
    <row r="427" spans="1:2" x14ac:dyDescent="0.25">
      <c r="A427" t="s">
        <v>981</v>
      </c>
      <c r="B427">
        <v>1.8999999999999999E-10</v>
      </c>
    </row>
    <row r="428" spans="1:2" x14ac:dyDescent="0.25">
      <c r="A428" t="s">
        <v>114</v>
      </c>
      <c r="B428">
        <v>3.7000000000000001E-11</v>
      </c>
    </row>
    <row r="429" spans="1:2" x14ac:dyDescent="0.25">
      <c r="A429" t="s">
        <v>982</v>
      </c>
      <c r="B429">
        <v>5.4999999999999996E-10</v>
      </c>
    </row>
    <row r="430" spans="1:2" x14ac:dyDescent="0.25">
      <c r="A430" t="s">
        <v>983</v>
      </c>
      <c r="B430">
        <v>3.5999999999999998E-11</v>
      </c>
    </row>
    <row r="431" spans="1:2" x14ac:dyDescent="0.25">
      <c r="A431" t="s">
        <v>984</v>
      </c>
      <c r="B431">
        <v>2.3000000000000001E-10</v>
      </c>
    </row>
    <row r="432" spans="1:2" x14ac:dyDescent="0.25">
      <c r="A432" t="s">
        <v>985</v>
      </c>
      <c r="B432">
        <v>9.6999999999999996E-10</v>
      </c>
    </row>
    <row r="433" spans="1:2" x14ac:dyDescent="0.25">
      <c r="A433" t="s">
        <v>986</v>
      </c>
      <c r="B433">
        <v>1.0999999999999999E-10</v>
      </c>
    </row>
    <row r="434" spans="1:2" x14ac:dyDescent="0.25">
      <c r="A434" t="s">
        <v>126</v>
      </c>
      <c r="B434">
        <v>8.9999999999999999E-10</v>
      </c>
    </row>
    <row r="435" spans="1:2" x14ac:dyDescent="0.25">
      <c r="A435" t="s">
        <v>127</v>
      </c>
      <c r="B435">
        <v>2.5999999999999998E-10</v>
      </c>
    </row>
    <row r="436" spans="1:2" x14ac:dyDescent="0.25">
      <c r="A436" t="s">
        <v>987</v>
      </c>
      <c r="B436">
        <v>2.7000000000000002E-9</v>
      </c>
    </row>
    <row r="437" spans="1:2" x14ac:dyDescent="0.25">
      <c r="A437" t="s">
        <v>988</v>
      </c>
      <c r="B437">
        <v>1.6999999999999999E-9</v>
      </c>
    </row>
    <row r="438" spans="1:2" x14ac:dyDescent="0.25">
      <c r="A438" t="s">
        <v>989</v>
      </c>
      <c r="B438">
        <v>9.900000000000001E-10</v>
      </c>
    </row>
    <row r="439" spans="1:2" x14ac:dyDescent="0.25">
      <c r="A439" t="s">
        <v>990</v>
      </c>
      <c r="B439">
        <v>2.5999999999999998E-10</v>
      </c>
    </row>
    <row r="440" spans="1:2" x14ac:dyDescent="0.25">
      <c r="A440" t="s">
        <v>991</v>
      </c>
      <c r="B440">
        <v>7.2999999999999996E-10</v>
      </c>
    </row>
    <row r="441" spans="1:2" x14ac:dyDescent="0.25">
      <c r="A441" t="s">
        <v>992</v>
      </c>
      <c r="B441">
        <v>4.6000000000000003E-11</v>
      </c>
    </row>
    <row r="442" spans="1:2" x14ac:dyDescent="0.25">
      <c r="A442" t="s">
        <v>993</v>
      </c>
      <c r="B442">
        <v>5.8E-11</v>
      </c>
    </row>
    <row r="443" spans="1:2" x14ac:dyDescent="0.25">
      <c r="A443" t="s">
        <v>994</v>
      </c>
      <c r="B443">
        <v>1.0999999999999999E-10</v>
      </c>
    </row>
    <row r="444" spans="1:2" x14ac:dyDescent="0.25">
      <c r="A444" t="s">
        <v>42</v>
      </c>
      <c r="B444">
        <v>1.1999999999999999E-6</v>
      </c>
    </row>
    <row r="445" spans="1:2" x14ac:dyDescent="0.25">
      <c r="A445" t="s">
        <v>995</v>
      </c>
      <c r="B445">
        <v>3.3000000000000002E-11</v>
      </c>
    </row>
    <row r="446" spans="1:2" x14ac:dyDescent="0.25">
      <c r="A446" t="s">
        <v>996</v>
      </c>
      <c r="B446">
        <v>3.9999999999999998E-11</v>
      </c>
    </row>
    <row r="447" spans="1:2" x14ac:dyDescent="0.25">
      <c r="A447" t="s">
        <v>997</v>
      </c>
      <c r="B447">
        <v>1.2999999999999999E-10</v>
      </c>
    </row>
    <row r="448" spans="1:2" x14ac:dyDescent="0.25">
      <c r="A448" t="s">
        <v>998</v>
      </c>
      <c r="B448">
        <v>3.1000000000000003E-11</v>
      </c>
    </row>
    <row r="449" spans="1:2" x14ac:dyDescent="0.25">
      <c r="A449" t="s">
        <v>999</v>
      </c>
      <c r="B449">
        <v>1.3000000000000001E-9</v>
      </c>
    </row>
    <row r="450" spans="1:2" x14ac:dyDescent="0.25">
      <c r="A450" t="s">
        <v>1000</v>
      </c>
      <c r="B450">
        <v>1.6999999999999999E-11</v>
      </c>
    </row>
    <row r="451" spans="1:2" x14ac:dyDescent="0.25">
      <c r="A451" t="s">
        <v>1001</v>
      </c>
      <c r="B451">
        <v>1.2E-9</v>
      </c>
    </row>
    <row r="452" spans="1:2" x14ac:dyDescent="0.25">
      <c r="A452" t="s">
        <v>125</v>
      </c>
      <c r="B452">
        <v>5.0000000000000002E-11</v>
      </c>
    </row>
    <row r="453" spans="1:2" x14ac:dyDescent="0.25">
      <c r="A453" t="s">
        <v>1002</v>
      </c>
      <c r="B453">
        <v>3.9E-10</v>
      </c>
    </row>
    <row r="454" spans="1:2" x14ac:dyDescent="0.25">
      <c r="A454" t="s">
        <v>1003</v>
      </c>
      <c r="B454">
        <v>3.3000000000000002E-11</v>
      </c>
    </row>
    <row r="455" spans="1:2" x14ac:dyDescent="0.25">
      <c r="A455" t="s">
        <v>1004</v>
      </c>
      <c r="B455">
        <v>9.3000000000000002E-11</v>
      </c>
    </row>
    <row r="456" spans="1:2" x14ac:dyDescent="0.25">
      <c r="A456" t="s">
        <v>1005</v>
      </c>
      <c r="B456">
        <v>7.5999999999999996E-10</v>
      </c>
    </row>
    <row r="457" spans="1:2" x14ac:dyDescent="0.25">
      <c r="A457" t="s">
        <v>1006</v>
      </c>
      <c r="B457">
        <v>1.2E-10</v>
      </c>
    </row>
    <row r="458" spans="1:2" x14ac:dyDescent="0.25">
      <c r="A458" t="s">
        <v>1007</v>
      </c>
      <c r="B458">
        <v>3.4000000000000001E-10</v>
      </c>
    </row>
    <row r="459" spans="1:2" x14ac:dyDescent="0.25">
      <c r="A459" t="s">
        <v>1008</v>
      </c>
      <c r="B459">
        <v>3.1000000000000003E-11</v>
      </c>
    </row>
    <row r="460" spans="1:2" x14ac:dyDescent="0.25">
      <c r="A460" t="s">
        <v>1009</v>
      </c>
      <c r="B460">
        <v>4.5E-10</v>
      </c>
    </row>
    <row r="461" spans="1:2" x14ac:dyDescent="0.25">
      <c r="A461" t="s">
        <v>1010</v>
      </c>
      <c r="B461">
        <v>6.3E-10</v>
      </c>
    </row>
    <row r="462" spans="1:2" x14ac:dyDescent="0.25">
      <c r="A462" t="s">
        <v>1011</v>
      </c>
      <c r="B462">
        <v>4.0000000000000001E-10</v>
      </c>
    </row>
    <row r="463" spans="1:2" x14ac:dyDescent="0.25">
      <c r="A463" t="s">
        <v>1012</v>
      </c>
      <c r="B463">
        <v>8.3999999999999994E-11</v>
      </c>
    </row>
    <row r="464" spans="1:2" x14ac:dyDescent="0.25">
      <c r="A464" t="s">
        <v>1013</v>
      </c>
      <c r="B464">
        <v>3.9000000000000001E-11</v>
      </c>
    </row>
    <row r="465" spans="1:2" x14ac:dyDescent="0.25">
      <c r="A465" t="s">
        <v>1014</v>
      </c>
      <c r="B465">
        <v>1.2E-9</v>
      </c>
    </row>
    <row r="466" spans="1:2" x14ac:dyDescent="0.25">
      <c r="A466" t="s">
        <v>1015</v>
      </c>
      <c r="B466">
        <v>1.5999999999999999E-10</v>
      </c>
    </row>
    <row r="467" spans="1:2" x14ac:dyDescent="0.25">
      <c r="A467" t="s">
        <v>1016</v>
      </c>
      <c r="B467">
        <v>2.0999999999999999E-12</v>
      </c>
    </row>
    <row r="468" spans="1:2" x14ac:dyDescent="0.25">
      <c r="A468" t="s">
        <v>132</v>
      </c>
      <c r="B468">
        <v>8.6999999999999998E-8</v>
      </c>
    </row>
    <row r="469" spans="1:2" x14ac:dyDescent="0.25">
      <c r="A469" t="s">
        <v>1017</v>
      </c>
      <c r="B469">
        <v>1E-10</v>
      </c>
    </row>
    <row r="470" spans="1:2" x14ac:dyDescent="0.25">
      <c r="A470" t="s">
        <v>97</v>
      </c>
      <c r="B470">
        <v>2.2999999999999999E-7</v>
      </c>
    </row>
    <row r="471" spans="1:2" x14ac:dyDescent="0.25">
      <c r="A471" t="s">
        <v>99</v>
      </c>
      <c r="B471">
        <v>2.4999999999999999E-7</v>
      </c>
    </row>
    <row r="472" spans="1:2" x14ac:dyDescent="0.25">
      <c r="A472" t="s">
        <v>101</v>
      </c>
      <c r="B472">
        <v>2.4999999999999999E-7</v>
      </c>
    </row>
    <row r="473" spans="1:2" x14ac:dyDescent="0.25">
      <c r="A473" t="s">
        <v>103</v>
      </c>
      <c r="B473">
        <v>4.8E-9</v>
      </c>
    </row>
    <row r="474" spans="1:2" x14ac:dyDescent="0.25">
      <c r="A474" t="s">
        <v>133</v>
      </c>
      <c r="B474">
        <v>2.3999999999999998E-7</v>
      </c>
    </row>
    <row r="475" spans="1:2" x14ac:dyDescent="0.25">
      <c r="A475" t="s">
        <v>1018</v>
      </c>
      <c r="B475">
        <v>8.5000000000000004E-11</v>
      </c>
    </row>
    <row r="476" spans="1:2" x14ac:dyDescent="0.25">
      <c r="A476" t="s">
        <v>1019</v>
      </c>
      <c r="B476">
        <v>2.3999999999999998E-7</v>
      </c>
    </row>
    <row r="477" spans="1:2" x14ac:dyDescent="0.25">
      <c r="A477" t="s">
        <v>1020</v>
      </c>
      <c r="B477">
        <v>7.2E-10</v>
      </c>
    </row>
    <row r="478" spans="1:2" x14ac:dyDescent="0.25">
      <c r="A478" t="s">
        <v>1021</v>
      </c>
      <c r="B478">
        <v>3.3000000000000002E-9</v>
      </c>
    </row>
    <row r="479" spans="1:2" x14ac:dyDescent="0.25">
      <c r="A479" t="s">
        <v>71</v>
      </c>
      <c r="B479">
        <v>9.9999999999999995E-8</v>
      </c>
    </row>
    <row r="480" spans="1:2" x14ac:dyDescent="0.25">
      <c r="A480" t="s">
        <v>73</v>
      </c>
      <c r="B480">
        <v>6.5E-8</v>
      </c>
    </row>
    <row r="481" spans="1:2" x14ac:dyDescent="0.25">
      <c r="A481" t="s">
        <v>75</v>
      </c>
      <c r="B481">
        <v>9.9E-8</v>
      </c>
    </row>
    <row r="482" spans="1:2" x14ac:dyDescent="0.25">
      <c r="A482" t="s">
        <v>76</v>
      </c>
      <c r="B482">
        <v>2.8000000000000002E-7</v>
      </c>
    </row>
    <row r="483" spans="1:2" x14ac:dyDescent="0.25">
      <c r="A483" t="s">
        <v>1022</v>
      </c>
      <c r="B483">
        <v>8.1000000000000005E-11</v>
      </c>
    </row>
    <row r="484" spans="1:2" x14ac:dyDescent="0.25">
      <c r="A484" t="s">
        <v>81</v>
      </c>
      <c r="B484">
        <v>6.8999999999999996E-7</v>
      </c>
    </row>
    <row r="485" spans="1:2" x14ac:dyDescent="0.25">
      <c r="A485" t="s">
        <v>1023</v>
      </c>
      <c r="B485">
        <v>5.0000000000000002E-11</v>
      </c>
    </row>
    <row r="486" spans="1:2" x14ac:dyDescent="0.25">
      <c r="A486" t="s">
        <v>1024</v>
      </c>
      <c r="B486">
        <v>5.4000000000000001E-11</v>
      </c>
    </row>
    <row r="487" spans="1:2" x14ac:dyDescent="0.25">
      <c r="A487" t="s">
        <v>1025</v>
      </c>
      <c r="B487">
        <v>9.6999999999999995E-12</v>
      </c>
    </row>
    <row r="488" spans="1:2" x14ac:dyDescent="0.25">
      <c r="A488" t="s">
        <v>1026</v>
      </c>
      <c r="B488">
        <v>1.2999999999999999E-10</v>
      </c>
    </row>
    <row r="489" spans="1:2" x14ac:dyDescent="0.25">
      <c r="A489" t="s">
        <v>1027</v>
      </c>
      <c r="B489">
        <v>1.9000000000000001E-9</v>
      </c>
    </row>
    <row r="490" spans="1:2" x14ac:dyDescent="0.25">
      <c r="A490" t="s">
        <v>1028</v>
      </c>
      <c r="B490">
        <v>2.7999999999999998E-9</v>
      </c>
    </row>
    <row r="491" spans="1:2" x14ac:dyDescent="0.25">
      <c r="A491" t="s">
        <v>19</v>
      </c>
      <c r="B491">
        <v>2.7999999999999998E-9</v>
      </c>
    </row>
    <row r="492" spans="1:2" x14ac:dyDescent="0.25">
      <c r="A492" t="s">
        <v>1029</v>
      </c>
      <c r="B492">
        <v>1.5E-9</v>
      </c>
    </row>
    <row r="493" spans="1:2" x14ac:dyDescent="0.25">
      <c r="A493" t="s">
        <v>1030</v>
      </c>
      <c r="B493">
        <v>8.9999999999999999E-11</v>
      </c>
    </row>
    <row r="494" spans="1:2" x14ac:dyDescent="0.25">
      <c r="A494" t="s">
        <v>1031</v>
      </c>
      <c r="B494">
        <v>4.6999999999999999E-11</v>
      </c>
    </row>
    <row r="495" spans="1:2" x14ac:dyDescent="0.25">
      <c r="A495" t="s">
        <v>1032</v>
      </c>
      <c r="B495">
        <v>2.2000000000000002E-11</v>
      </c>
    </row>
    <row r="496" spans="1:2" x14ac:dyDescent="0.25">
      <c r="A496" t="s">
        <v>1033</v>
      </c>
      <c r="B496">
        <v>2.5000000000000001E-11</v>
      </c>
    </row>
    <row r="497" spans="1:2" x14ac:dyDescent="0.25">
      <c r="A497" t="s">
        <v>1034</v>
      </c>
      <c r="B497">
        <v>4.2E-10</v>
      </c>
    </row>
    <row r="498" spans="1:2" x14ac:dyDescent="0.25">
      <c r="A498" t="s">
        <v>1035</v>
      </c>
      <c r="B498">
        <v>1.3999999999999999E-9</v>
      </c>
    </row>
    <row r="499" spans="1:2" x14ac:dyDescent="0.25">
      <c r="A499" t="s">
        <v>1036</v>
      </c>
      <c r="B499">
        <v>2.7E-10</v>
      </c>
    </row>
    <row r="500" spans="1:2" x14ac:dyDescent="0.25">
      <c r="A500" t="s">
        <v>1037</v>
      </c>
      <c r="B500">
        <v>1.0000000000000001E-9</v>
      </c>
    </row>
    <row r="501" spans="1:2" x14ac:dyDescent="0.25">
      <c r="A501" t="s">
        <v>1038</v>
      </c>
      <c r="B501">
        <v>1.5E-9</v>
      </c>
    </row>
    <row r="502" spans="1:2" x14ac:dyDescent="0.25">
      <c r="A502" t="s">
        <v>1039</v>
      </c>
      <c r="B502">
        <v>1.5E-9</v>
      </c>
    </row>
    <row r="503" spans="1:2" x14ac:dyDescent="0.25">
      <c r="A503" t="s">
        <v>1040</v>
      </c>
      <c r="B503">
        <v>2.1999999999999998E-9</v>
      </c>
    </row>
    <row r="504" spans="1:2" x14ac:dyDescent="0.25">
      <c r="A504" t="s">
        <v>1041</v>
      </c>
      <c r="B504">
        <v>5.0999999999999997E-12</v>
      </c>
    </row>
    <row r="505" spans="1:2" x14ac:dyDescent="0.25">
      <c r="A505" t="s">
        <v>1042</v>
      </c>
      <c r="B505">
        <v>1.3999999999999999E-9</v>
      </c>
    </row>
    <row r="506" spans="1:2" x14ac:dyDescent="0.25">
      <c r="A506" t="s">
        <v>1043</v>
      </c>
      <c r="B506">
        <v>3E-11</v>
      </c>
    </row>
    <row r="507" spans="1:2" x14ac:dyDescent="0.25">
      <c r="A507" t="s">
        <v>1044</v>
      </c>
      <c r="B507">
        <v>7.7999999999999999E-10</v>
      </c>
    </row>
    <row r="508" spans="1:2" x14ac:dyDescent="0.25">
      <c r="A508" t="s">
        <v>1045</v>
      </c>
      <c r="B508">
        <v>7.1000000000000003E-10</v>
      </c>
    </row>
    <row r="509" spans="1:2" x14ac:dyDescent="0.25">
      <c r="A509" t="s">
        <v>1046</v>
      </c>
      <c r="B509">
        <v>5.4999999999999996E-10</v>
      </c>
    </row>
    <row r="510" spans="1:2" x14ac:dyDescent="0.25">
      <c r="A510" t="s">
        <v>1047</v>
      </c>
      <c r="B510">
        <v>2.1999999999999999E-10</v>
      </c>
    </row>
    <row r="511" spans="1:2" x14ac:dyDescent="0.25">
      <c r="A511" t="s">
        <v>1048</v>
      </c>
      <c r="B511">
        <v>1.2E-9</v>
      </c>
    </row>
    <row r="512" spans="1:2" x14ac:dyDescent="0.25">
      <c r="A512" t="s">
        <v>1049</v>
      </c>
      <c r="B512">
        <v>2.6000000000000001E-9</v>
      </c>
    </row>
    <row r="513" spans="1:2" x14ac:dyDescent="0.25">
      <c r="A513" t="s">
        <v>1050</v>
      </c>
      <c r="B513">
        <v>3.8E-12</v>
      </c>
    </row>
    <row r="514" spans="1:2" x14ac:dyDescent="0.25">
      <c r="A514" t="s">
        <v>1051</v>
      </c>
      <c r="B514">
        <v>3.7000000000000001E-10</v>
      </c>
    </row>
    <row r="515" spans="1:2" x14ac:dyDescent="0.25">
      <c r="A515" t="s">
        <v>1052</v>
      </c>
      <c r="B515">
        <v>1.5999999999999999E-10</v>
      </c>
    </row>
    <row r="516" spans="1:2" x14ac:dyDescent="0.25">
      <c r="A516" t="s">
        <v>1053</v>
      </c>
      <c r="B516">
        <v>2.4000000000000001E-11</v>
      </c>
    </row>
    <row r="517" spans="1:2" x14ac:dyDescent="0.25">
      <c r="A517" t="s">
        <v>24</v>
      </c>
      <c r="B517">
        <v>5.1E-10</v>
      </c>
    </row>
    <row r="518" spans="1:2" x14ac:dyDescent="0.25">
      <c r="A518" t="s">
        <v>1054</v>
      </c>
      <c r="B518">
        <v>6.6000000000000005E-11</v>
      </c>
    </row>
    <row r="519" spans="1:2" x14ac:dyDescent="0.25">
      <c r="A519" t="s">
        <v>1055</v>
      </c>
      <c r="B519">
        <v>7.2999999999999996E-10</v>
      </c>
    </row>
    <row r="520" spans="1:2" x14ac:dyDescent="0.25">
      <c r="A520" t="s">
        <v>1056</v>
      </c>
      <c r="B520">
        <v>2.5999999999999998E-10</v>
      </c>
    </row>
    <row r="521" spans="1:2" x14ac:dyDescent="0.25">
      <c r="A521" t="s">
        <v>112</v>
      </c>
      <c r="B521">
        <v>6.9999999999999998E-9</v>
      </c>
    </row>
    <row r="522" spans="1:2" x14ac:dyDescent="0.25">
      <c r="A522" t="s">
        <v>1057</v>
      </c>
      <c r="B522">
        <v>9.3999999999999999E-11</v>
      </c>
    </row>
    <row r="523" spans="1:2" x14ac:dyDescent="0.25">
      <c r="A523" t="s">
        <v>1058</v>
      </c>
      <c r="B523">
        <v>1.5E-10</v>
      </c>
    </row>
    <row r="524" spans="1:2" x14ac:dyDescent="0.25">
      <c r="A524" t="s">
        <v>6</v>
      </c>
      <c r="B524">
        <v>7.7000000000000003E-10</v>
      </c>
    </row>
    <row r="525" spans="1:2" x14ac:dyDescent="0.25">
      <c r="A525" t="s">
        <v>1059</v>
      </c>
      <c r="B525">
        <v>2.4000000000000001E-11</v>
      </c>
    </row>
    <row r="526" spans="1:2" x14ac:dyDescent="0.25">
      <c r="A526" t="s">
        <v>1060</v>
      </c>
      <c r="B526">
        <v>2.6000000000000001E-11</v>
      </c>
    </row>
    <row r="527" spans="1:2" x14ac:dyDescent="0.25">
      <c r="A527" t="s">
        <v>1061</v>
      </c>
      <c r="B527">
        <v>6.7000000000000001E-11</v>
      </c>
    </row>
    <row r="528" spans="1:2" x14ac:dyDescent="0.25">
      <c r="A528" t="s">
        <v>1062</v>
      </c>
      <c r="B528">
        <v>1.7999999999999999E-11</v>
      </c>
    </row>
    <row r="529" spans="1:2" x14ac:dyDescent="0.25">
      <c r="A529" t="s">
        <v>1063</v>
      </c>
      <c r="B529">
        <v>2.1E-10</v>
      </c>
    </row>
    <row r="530" spans="1:2" x14ac:dyDescent="0.25">
      <c r="A530" t="s">
        <v>1064</v>
      </c>
      <c r="B530">
        <v>7.9999999999999995E-11</v>
      </c>
    </row>
    <row r="531" spans="1:2" x14ac:dyDescent="0.25">
      <c r="A531" t="s">
        <v>1065</v>
      </c>
      <c r="B531">
        <v>1.4E-11</v>
      </c>
    </row>
    <row r="532" spans="1:2" x14ac:dyDescent="0.25">
      <c r="A532" t="s">
        <v>1066</v>
      </c>
      <c r="B532">
        <v>1.2E-9</v>
      </c>
    </row>
    <row r="533" spans="1:2" x14ac:dyDescent="0.25">
      <c r="A533" t="s">
        <v>1067</v>
      </c>
      <c r="B533">
        <v>1.6999999999999999E-9</v>
      </c>
    </row>
    <row r="534" spans="1:2" x14ac:dyDescent="0.25">
      <c r="A534" t="s">
        <v>1068</v>
      </c>
      <c r="B534">
        <v>2.5000000000000001E-9</v>
      </c>
    </row>
    <row r="535" spans="1:2" x14ac:dyDescent="0.25">
      <c r="A535" t="s">
        <v>1069</v>
      </c>
      <c r="B535">
        <v>7.9999999999999998E-12</v>
      </c>
    </row>
    <row r="536" spans="1:2" x14ac:dyDescent="0.25">
      <c r="A536" t="s">
        <v>117</v>
      </c>
      <c r="B536">
        <v>1.0999999999999999E-9</v>
      </c>
    </row>
    <row r="537" spans="1:2" x14ac:dyDescent="0.25">
      <c r="A537" t="s">
        <v>121</v>
      </c>
      <c r="B537">
        <v>2.4E-9</v>
      </c>
    </row>
    <row r="538" spans="1:2" x14ac:dyDescent="0.25">
      <c r="A538" t="s">
        <v>120</v>
      </c>
      <c r="B538">
        <v>3.5999999999999998E-11</v>
      </c>
    </row>
    <row r="539" spans="1:2" x14ac:dyDescent="0.25">
      <c r="A539" t="s">
        <v>1070</v>
      </c>
      <c r="B539">
        <v>1.6999999999999999E-9</v>
      </c>
    </row>
    <row r="540" spans="1:2" x14ac:dyDescent="0.25">
      <c r="A540" t="s">
        <v>1071</v>
      </c>
      <c r="B540">
        <v>7.5999999999999996E-10</v>
      </c>
    </row>
    <row r="541" spans="1:2" x14ac:dyDescent="0.25">
      <c r="A541" t="s">
        <v>1072</v>
      </c>
      <c r="B541">
        <v>3.3000000000000002E-11</v>
      </c>
    </row>
    <row r="542" spans="1:2" x14ac:dyDescent="0.25">
      <c r="A542" t="s">
        <v>1073</v>
      </c>
      <c r="B542">
        <v>4.2E-10</v>
      </c>
    </row>
    <row r="543" spans="1:2" x14ac:dyDescent="0.25">
      <c r="A543" t="s">
        <v>1074</v>
      </c>
      <c r="B543">
        <v>9.0999999999999996E-11</v>
      </c>
    </row>
    <row r="544" spans="1:2" x14ac:dyDescent="0.25">
      <c r="A544" t="s">
        <v>1075</v>
      </c>
      <c r="B544">
        <v>1E-10</v>
      </c>
    </row>
    <row r="545" spans="1:2" x14ac:dyDescent="0.25">
      <c r="A545" t="s">
        <v>1076</v>
      </c>
      <c r="B545">
        <v>1.8999999999999999E-10</v>
      </c>
    </row>
    <row r="546" spans="1:2" x14ac:dyDescent="0.25">
      <c r="A546" t="s">
        <v>1077</v>
      </c>
      <c r="B546">
        <v>3.4999999999999998E-10</v>
      </c>
    </row>
    <row r="547" spans="1:2" x14ac:dyDescent="0.25">
      <c r="A547" t="s">
        <v>1078</v>
      </c>
      <c r="B547">
        <v>2.4E-9</v>
      </c>
    </row>
    <row r="548" spans="1:2" x14ac:dyDescent="0.25">
      <c r="A548" t="s">
        <v>1079</v>
      </c>
      <c r="B548">
        <v>1.5E-9</v>
      </c>
    </row>
    <row r="549" spans="1:2" x14ac:dyDescent="0.25">
      <c r="A549" t="s">
        <v>1080</v>
      </c>
      <c r="B549">
        <v>5.4E-10</v>
      </c>
    </row>
    <row r="550" spans="1:2" x14ac:dyDescent="0.25">
      <c r="A550" t="s">
        <v>1081</v>
      </c>
      <c r="B550">
        <v>1.6999999999999999E-9</v>
      </c>
    </row>
    <row r="551" spans="1:2" x14ac:dyDescent="0.25">
      <c r="A551" t="s">
        <v>1082</v>
      </c>
      <c r="B551">
        <v>8.2000000000000001E-11</v>
      </c>
    </row>
    <row r="552" spans="1:2" x14ac:dyDescent="0.25">
      <c r="A552" t="s">
        <v>1083</v>
      </c>
      <c r="B552">
        <v>1.2E-10</v>
      </c>
    </row>
    <row r="553" spans="1:2" x14ac:dyDescent="0.25">
      <c r="A553" t="s">
        <v>1084</v>
      </c>
      <c r="B553">
        <v>2.1E-10</v>
      </c>
    </row>
    <row r="554" spans="1:2" x14ac:dyDescent="0.25">
      <c r="A554" t="s">
        <v>1085</v>
      </c>
      <c r="B554">
        <v>2.8E-11</v>
      </c>
    </row>
    <row r="555" spans="1:2" x14ac:dyDescent="0.25">
      <c r="A555" t="s">
        <v>1086</v>
      </c>
      <c r="B555">
        <v>2.6000000000000001E-9</v>
      </c>
    </row>
    <row r="556" spans="1:2" x14ac:dyDescent="0.25">
      <c r="A556" t="s">
        <v>109</v>
      </c>
      <c r="B556">
        <v>2.8999999999999999E-9</v>
      </c>
    </row>
    <row r="557" spans="1:2" x14ac:dyDescent="0.25">
      <c r="A557" t="s">
        <v>1087</v>
      </c>
      <c r="B557">
        <v>2.7E-11</v>
      </c>
    </row>
    <row r="558" spans="1:2" x14ac:dyDescent="0.25">
      <c r="A558" t="s">
        <v>1088</v>
      </c>
      <c r="B558">
        <v>5.2999999999999998E-11</v>
      </c>
    </row>
    <row r="559" spans="1:2" x14ac:dyDescent="0.25">
      <c r="A559" t="s">
        <v>1089</v>
      </c>
      <c r="B559">
        <v>4.6999999999999999E-11</v>
      </c>
    </row>
    <row r="560" spans="1:2" x14ac:dyDescent="0.25">
      <c r="A560" t="s">
        <v>1090</v>
      </c>
      <c r="B560">
        <v>1.5999999999999999E-10</v>
      </c>
    </row>
    <row r="561" spans="1:2" x14ac:dyDescent="0.25">
      <c r="A561" t="s">
        <v>1091</v>
      </c>
      <c r="B561">
        <v>5.6000000000000003E-10</v>
      </c>
    </row>
    <row r="562" spans="1:2" x14ac:dyDescent="0.25">
      <c r="A562" t="s">
        <v>1092</v>
      </c>
      <c r="B562">
        <v>3.9000000000000001E-11</v>
      </c>
    </row>
    <row r="563" spans="1:2" x14ac:dyDescent="0.25">
      <c r="A563" t="s">
        <v>1093</v>
      </c>
      <c r="B563">
        <v>6.4999999999999995E-11</v>
      </c>
    </row>
    <row r="564" spans="1:2" x14ac:dyDescent="0.25">
      <c r="A564" t="s">
        <v>1094</v>
      </c>
      <c r="B564">
        <v>1.8999999999999999E-10</v>
      </c>
    </row>
    <row r="565" spans="1:2" x14ac:dyDescent="0.25">
      <c r="A565" t="s">
        <v>1095</v>
      </c>
      <c r="B565">
        <v>2.1E-10</v>
      </c>
    </row>
    <row r="566" spans="1:2" x14ac:dyDescent="0.25">
      <c r="A566" t="s">
        <v>147</v>
      </c>
      <c r="B566">
        <v>5.4E-8</v>
      </c>
    </row>
    <row r="567" spans="1:2" x14ac:dyDescent="0.25">
      <c r="A567" t="s">
        <v>148</v>
      </c>
      <c r="B567">
        <v>4.9000000000000002E-8</v>
      </c>
    </row>
    <row r="568" spans="1:2" x14ac:dyDescent="0.25">
      <c r="A568" t="s">
        <v>128</v>
      </c>
      <c r="B568">
        <v>9.7999999999999998E-11</v>
      </c>
    </row>
    <row r="569" spans="1:2" x14ac:dyDescent="0.25">
      <c r="A569" t="s">
        <v>1096</v>
      </c>
      <c r="B569">
        <v>7.4000000000000003E-10</v>
      </c>
    </row>
    <row r="570" spans="1:2" x14ac:dyDescent="0.25">
      <c r="A570" t="s">
        <v>1097</v>
      </c>
      <c r="B570">
        <v>2.9E-11</v>
      </c>
    </row>
    <row r="571" spans="1:2" x14ac:dyDescent="0.25">
      <c r="A571" t="s">
        <v>1098</v>
      </c>
      <c r="B571">
        <v>2.5000000000000002E-10</v>
      </c>
    </row>
    <row r="572" spans="1:2" x14ac:dyDescent="0.25">
      <c r="A572" t="s">
        <v>1099</v>
      </c>
      <c r="B572">
        <v>3.4999999999999998E-10</v>
      </c>
    </row>
    <row r="573" spans="1:2" x14ac:dyDescent="0.25">
      <c r="A573" t="s">
        <v>1100</v>
      </c>
      <c r="B573">
        <v>2.3000000000000001E-11</v>
      </c>
    </row>
    <row r="574" spans="1:2" x14ac:dyDescent="0.25">
      <c r="A574" t="s">
        <v>1101</v>
      </c>
      <c r="B574">
        <v>7.2999999999999996E-10</v>
      </c>
    </row>
    <row r="575" spans="1:2" x14ac:dyDescent="0.25">
      <c r="A575" t="s">
        <v>1102</v>
      </c>
      <c r="B575">
        <v>7.1000000000000003E-10</v>
      </c>
    </row>
    <row r="576" spans="1:2" x14ac:dyDescent="0.25">
      <c r="A576" t="s">
        <v>1103</v>
      </c>
      <c r="B576">
        <v>3.4000000000000001E-10</v>
      </c>
    </row>
    <row r="577" spans="1:2" x14ac:dyDescent="0.25">
      <c r="A577" t="s">
        <v>146</v>
      </c>
      <c r="B577">
        <v>2.3000000000000001E-10</v>
      </c>
    </row>
    <row r="578" spans="1:2" x14ac:dyDescent="0.25">
      <c r="A578" t="s">
        <v>116</v>
      </c>
      <c r="B578">
        <v>3.7999999999999998E-10</v>
      </c>
    </row>
    <row r="579" spans="1:2" x14ac:dyDescent="0.25">
      <c r="A579" t="s">
        <v>1104</v>
      </c>
      <c r="B579">
        <v>2.1000000000000002E-9</v>
      </c>
    </row>
    <row r="580" spans="1:2" x14ac:dyDescent="0.25">
      <c r="A580" t="s">
        <v>1105</v>
      </c>
      <c r="B580">
        <v>3.7999999999999998E-11</v>
      </c>
    </row>
    <row r="581" spans="1:2" x14ac:dyDescent="0.25">
      <c r="A581" t="s">
        <v>1106</v>
      </c>
      <c r="B581">
        <v>3.1E-9</v>
      </c>
    </row>
    <row r="582" spans="1:2" x14ac:dyDescent="0.25">
      <c r="A582" t="s">
        <v>119</v>
      </c>
      <c r="B582">
        <v>4.6999999999999999E-9</v>
      </c>
    </row>
    <row r="583" spans="1:2" x14ac:dyDescent="0.25">
      <c r="A583" t="s">
        <v>1107</v>
      </c>
      <c r="B583">
        <v>2.0000000000000001E-10</v>
      </c>
    </row>
    <row r="584" spans="1:2" x14ac:dyDescent="0.25">
      <c r="A584" t="s">
        <v>1108</v>
      </c>
      <c r="B584">
        <v>1.5E-10</v>
      </c>
    </row>
    <row r="585" spans="1:2" x14ac:dyDescent="0.25">
      <c r="A585" t="s">
        <v>1109</v>
      </c>
      <c r="B585">
        <v>3.4000000000000001E-10</v>
      </c>
    </row>
    <row r="586" spans="1:2" x14ac:dyDescent="0.25">
      <c r="A586" t="s">
        <v>1110</v>
      </c>
      <c r="B586">
        <v>7.7000000000000006E-11</v>
      </c>
    </row>
    <row r="587" spans="1:2" x14ac:dyDescent="0.25">
      <c r="A587" t="s">
        <v>1111</v>
      </c>
      <c r="B587">
        <v>6.1E-9</v>
      </c>
    </row>
    <row r="588" spans="1:2" x14ac:dyDescent="0.25">
      <c r="A588" t="s">
        <v>1112</v>
      </c>
      <c r="B588">
        <v>4.8999999999999996E-10</v>
      </c>
    </row>
    <row r="589" spans="1:2" x14ac:dyDescent="0.25">
      <c r="A589" t="s">
        <v>1113</v>
      </c>
      <c r="B589">
        <v>5.6000000000000003E-10</v>
      </c>
    </row>
    <row r="590" spans="1:2" x14ac:dyDescent="0.25">
      <c r="A590" t="s">
        <v>1114</v>
      </c>
      <c r="B590">
        <v>6.1000000000000003E-12</v>
      </c>
    </row>
    <row r="591" spans="1:2" x14ac:dyDescent="0.25">
      <c r="A591" t="s">
        <v>1115</v>
      </c>
      <c r="B591">
        <v>3E-11</v>
      </c>
    </row>
    <row r="592" spans="1:2" x14ac:dyDescent="0.25">
      <c r="A592" t="s">
        <v>1116</v>
      </c>
      <c r="B592">
        <v>2.6000000000000001E-9</v>
      </c>
    </row>
    <row r="593" spans="1:2" x14ac:dyDescent="0.25">
      <c r="A593" t="s">
        <v>21</v>
      </c>
      <c r="B593">
        <v>2.7999999999999999E-8</v>
      </c>
    </row>
    <row r="594" spans="1:2" x14ac:dyDescent="0.25">
      <c r="A594" t="s">
        <v>1117</v>
      </c>
      <c r="B594">
        <v>6.5000000000000003E-10</v>
      </c>
    </row>
    <row r="595" spans="1:2" x14ac:dyDescent="0.25">
      <c r="A595" t="s">
        <v>1118</v>
      </c>
      <c r="B595">
        <v>4.3000000000000001E-10</v>
      </c>
    </row>
    <row r="596" spans="1:2" x14ac:dyDescent="0.25">
      <c r="A596" t="s">
        <v>1119</v>
      </c>
      <c r="B596">
        <v>5.2999999999999998E-11</v>
      </c>
    </row>
    <row r="597" spans="1:2" x14ac:dyDescent="0.25">
      <c r="A597" t="s">
        <v>1120</v>
      </c>
      <c r="B597">
        <v>1.8999999999999999E-10</v>
      </c>
    </row>
    <row r="598" spans="1:2" x14ac:dyDescent="0.25">
      <c r="A598" t="s">
        <v>1121</v>
      </c>
      <c r="B598">
        <v>5.6999999999999997E-11</v>
      </c>
    </row>
    <row r="599" spans="1:2" x14ac:dyDescent="0.25">
      <c r="A599" t="s">
        <v>1122</v>
      </c>
      <c r="B599">
        <v>2.1E-10</v>
      </c>
    </row>
    <row r="600" spans="1:2" x14ac:dyDescent="0.25">
      <c r="A600" t="s">
        <v>1123</v>
      </c>
      <c r="B600">
        <v>3.1000000000000002E-10</v>
      </c>
    </row>
    <row r="601" spans="1:2" x14ac:dyDescent="0.25">
      <c r="A601" t="s">
        <v>1124</v>
      </c>
      <c r="B601">
        <v>1.0999999999999999E-10</v>
      </c>
    </row>
    <row r="602" spans="1:2" x14ac:dyDescent="0.25">
      <c r="A602" t="s">
        <v>1125</v>
      </c>
      <c r="B602">
        <v>7.1999999999999997E-11</v>
      </c>
    </row>
    <row r="603" spans="1:2" x14ac:dyDescent="0.25">
      <c r="A603" t="s">
        <v>1126</v>
      </c>
      <c r="B603">
        <v>6.4999999999999995E-11</v>
      </c>
    </row>
    <row r="604" spans="1:2" x14ac:dyDescent="0.25">
      <c r="A604" t="s">
        <v>1127</v>
      </c>
      <c r="B604">
        <v>5.4000000000000001E-11</v>
      </c>
    </row>
    <row r="605" spans="1:2" x14ac:dyDescent="0.25">
      <c r="A605" t="s">
        <v>1128</v>
      </c>
      <c r="B605">
        <v>1.5E-9</v>
      </c>
    </row>
    <row r="606" spans="1:2" x14ac:dyDescent="0.25">
      <c r="A606" t="s">
        <v>1218</v>
      </c>
      <c r="B606">
        <v>1.2000000000000001E-11</v>
      </c>
    </row>
    <row r="607" spans="1:2" x14ac:dyDescent="0.25">
      <c r="A607" t="s">
        <v>1129</v>
      </c>
      <c r="B607">
        <v>1.3000000000000001E-9</v>
      </c>
    </row>
    <row r="608" spans="1:2" x14ac:dyDescent="0.25">
      <c r="A608" t="s">
        <v>1130</v>
      </c>
      <c r="B608">
        <v>6.8000000000000003E-10</v>
      </c>
    </row>
    <row r="609" spans="1:2" x14ac:dyDescent="0.25">
      <c r="A609" t="s">
        <v>1131</v>
      </c>
      <c r="B609">
        <v>6.7999999999999998E-11</v>
      </c>
    </row>
    <row r="610" spans="1:2" x14ac:dyDescent="0.25">
      <c r="A610" t="s">
        <v>1132</v>
      </c>
      <c r="B610">
        <v>3.3000000000000002E-11</v>
      </c>
    </row>
    <row r="611" spans="1:2" x14ac:dyDescent="0.25">
      <c r="A611" t="s">
        <v>1133</v>
      </c>
      <c r="B611">
        <v>1.5999999999999999E-10</v>
      </c>
    </row>
    <row r="612" spans="1:2" x14ac:dyDescent="0.25">
      <c r="A612" t="s">
        <v>1134</v>
      </c>
      <c r="B612">
        <v>2.5000000000000002E-10</v>
      </c>
    </row>
    <row r="613" spans="1:2" x14ac:dyDescent="0.25">
      <c r="A613" t="s">
        <v>1135</v>
      </c>
      <c r="B613">
        <v>2.5000000000000002E-10</v>
      </c>
    </row>
    <row r="614" spans="1:2" x14ac:dyDescent="0.25">
      <c r="A614" t="s">
        <v>1136</v>
      </c>
      <c r="B614">
        <v>3.4000000000000001E-10</v>
      </c>
    </row>
    <row r="615" spans="1:2" x14ac:dyDescent="0.25">
      <c r="A615" t="s">
        <v>1137</v>
      </c>
      <c r="B615">
        <v>2.5000000000000002E-10</v>
      </c>
    </row>
    <row r="616" spans="1:2" x14ac:dyDescent="0.25">
      <c r="A616" t="s">
        <v>1138</v>
      </c>
      <c r="B616">
        <v>6.5000000000000003E-10</v>
      </c>
    </row>
    <row r="617" spans="1:2" x14ac:dyDescent="0.25">
      <c r="A617" t="s">
        <v>1139</v>
      </c>
      <c r="B617">
        <v>2.1E-10</v>
      </c>
    </row>
    <row r="618" spans="1:2" x14ac:dyDescent="0.25">
      <c r="A618" t="s">
        <v>1140</v>
      </c>
      <c r="B618">
        <v>1.2E-9</v>
      </c>
    </row>
    <row r="619" spans="1:2" x14ac:dyDescent="0.25">
      <c r="A619" t="s">
        <v>1141</v>
      </c>
      <c r="B619">
        <v>1.7000000000000001E-10</v>
      </c>
    </row>
    <row r="620" spans="1:2" x14ac:dyDescent="0.25">
      <c r="A620" t="s">
        <v>1142</v>
      </c>
      <c r="B620">
        <v>8.1000000000000005E-11</v>
      </c>
    </row>
    <row r="621" spans="1:2" x14ac:dyDescent="0.25">
      <c r="A621" t="s">
        <v>1143</v>
      </c>
      <c r="B621">
        <v>3.3999999999999999E-11</v>
      </c>
    </row>
    <row r="622" spans="1:2" x14ac:dyDescent="0.25">
      <c r="A622" t="s">
        <v>1144</v>
      </c>
      <c r="B622">
        <v>1.0999999999999999E-9</v>
      </c>
    </row>
    <row r="623" spans="1:2" x14ac:dyDescent="0.25">
      <c r="A623" t="s">
        <v>1145</v>
      </c>
      <c r="B623">
        <v>1.6000000000000001E-9</v>
      </c>
    </row>
    <row r="624" spans="1:2" x14ac:dyDescent="0.25">
      <c r="A624" t="s">
        <v>1146</v>
      </c>
      <c r="B624">
        <v>7.2E-10</v>
      </c>
    </row>
    <row r="625" spans="1:2" x14ac:dyDescent="0.25">
      <c r="A625" t="s">
        <v>1147</v>
      </c>
      <c r="B625">
        <v>1.8999999999999999E-11</v>
      </c>
    </row>
    <row r="626" spans="1:2" x14ac:dyDescent="0.25">
      <c r="A626" t="s">
        <v>1148</v>
      </c>
      <c r="B626">
        <v>7.9999999999999995E-11</v>
      </c>
    </row>
    <row r="627" spans="1:2" x14ac:dyDescent="0.25">
      <c r="A627" t="s">
        <v>1149</v>
      </c>
      <c r="B627">
        <v>5.4999999999999997E-11</v>
      </c>
    </row>
    <row r="628" spans="1:2" x14ac:dyDescent="0.25">
      <c r="A628" t="s">
        <v>1150</v>
      </c>
      <c r="B628">
        <v>2.5000000000000001E-11</v>
      </c>
    </row>
    <row r="629" spans="1:2" x14ac:dyDescent="0.25">
      <c r="A629" t="s">
        <v>1151</v>
      </c>
      <c r="B629">
        <v>2.0000000000000001E-10</v>
      </c>
    </row>
    <row r="630" spans="1:2" x14ac:dyDescent="0.25">
      <c r="A630" t="s">
        <v>1152</v>
      </c>
      <c r="B630">
        <v>1E-10</v>
      </c>
    </row>
    <row r="631" spans="1:2" x14ac:dyDescent="0.25">
      <c r="A631" t="s">
        <v>1153</v>
      </c>
      <c r="B631">
        <v>1.8E-10</v>
      </c>
    </row>
    <row r="632" spans="1:2" x14ac:dyDescent="0.25">
      <c r="A632" t="s">
        <v>1154</v>
      </c>
      <c r="B632">
        <v>5.6000000000000003E-10</v>
      </c>
    </row>
    <row r="633" spans="1:2" x14ac:dyDescent="0.25">
      <c r="A633" t="s">
        <v>1155</v>
      </c>
      <c r="B633">
        <v>1.0999999999999999E-9</v>
      </c>
    </row>
    <row r="634" spans="1:2" x14ac:dyDescent="0.25">
      <c r="A634" t="s">
        <v>1156</v>
      </c>
      <c r="B634">
        <v>1.2000000000000001E-11</v>
      </c>
    </row>
    <row r="635" spans="1:2" x14ac:dyDescent="0.25">
      <c r="A635" t="s">
        <v>1157</v>
      </c>
      <c r="B635">
        <v>6.7999999999999998E-11</v>
      </c>
    </row>
    <row r="636" spans="1:2" x14ac:dyDescent="0.25">
      <c r="A636" t="s">
        <v>1158</v>
      </c>
      <c r="B636">
        <v>5.4999999999999996E-10</v>
      </c>
    </row>
    <row r="637" spans="1:2" x14ac:dyDescent="0.25">
      <c r="A637" t="s">
        <v>1159</v>
      </c>
      <c r="B637">
        <v>2.0000000000000001E-9</v>
      </c>
    </row>
    <row r="638" spans="1:2" x14ac:dyDescent="0.25">
      <c r="A638" t="s">
        <v>22</v>
      </c>
      <c r="B638">
        <v>6.3999999999999996E-10</v>
      </c>
    </row>
    <row r="639" spans="1:2" x14ac:dyDescent="0.25">
      <c r="A639" t="s">
        <v>23</v>
      </c>
      <c r="B639">
        <v>2.2000000000000002E-11</v>
      </c>
    </row>
    <row r="640" spans="1:2" x14ac:dyDescent="0.25">
      <c r="A640" t="s">
        <v>1160</v>
      </c>
      <c r="B640">
        <v>1.7000000000000001E-10</v>
      </c>
    </row>
    <row r="641" spans="1:2" x14ac:dyDescent="0.25">
      <c r="A641" t="s">
        <v>1161</v>
      </c>
      <c r="B641">
        <v>4.3000000000000001E-10</v>
      </c>
    </row>
    <row r="642" spans="1:2" x14ac:dyDescent="0.25">
      <c r="A642" t="s">
        <v>1162</v>
      </c>
      <c r="B642">
        <v>2.2999999999999999E-9</v>
      </c>
    </row>
    <row r="643" spans="1:2" x14ac:dyDescent="0.25">
      <c r="A643" t="s">
        <v>1163</v>
      </c>
      <c r="B643">
        <v>4.3999999999999997E-9</v>
      </c>
    </row>
    <row r="644" spans="1:2" x14ac:dyDescent="0.25">
      <c r="A644" t="s">
        <v>1164</v>
      </c>
      <c r="B644">
        <v>1.3999999999999999E-9</v>
      </c>
    </row>
    <row r="645" spans="1:2" x14ac:dyDescent="0.25">
      <c r="A645" t="s">
        <v>118</v>
      </c>
      <c r="B645">
        <v>8.6999999999999999E-10</v>
      </c>
    </row>
    <row r="646" spans="1:2" x14ac:dyDescent="0.25">
      <c r="A646" t="s">
        <v>1165</v>
      </c>
      <c r="B646">
        <v>1.7000000000000001E-10</v>
      </c>
    </row>
    <row r="647" spans="1:2" x14ac:dyDescent="0.25">
      <c r="A647" t="s">
        <v>1166</v>
      </c>
      <c r="B647">
        <v>2.2999999999999999E-9</v>
      </c>
    </row>
    <row r="648" spans="1:2" x14ac:dyDescent="0.25">
      <c r="A648" t="s">
        <v>1167</v>
      </c>
      <c r="B648">
        <v>6.3000000000000002E-11</v>
      </c>
    </row>
    <row r="649" spans="1:2" x14ac:dyDescent="0.25">
      <c r="A649" t="s">
        <v>1168</v>
      </c>
      <c r="B649">
        <v>3E-9</v>
      </c>
    </row>
    <row r="650" spans="1:2" x14ac:dyDescent="0.25">
      <c r="A650" t="s">
        <v>1169</v>
      </c>
      <c r="B650">
        <v>8.6999999999999997E-11</v>
      </c>
    </row>
    <row r="651" spans="1:2" x14ac:dyDescent="0.25">
      <c r="A651" t="s">
        <v>1170</v>
      </c>
      <c r="B651">
        <v>1.9000000000000001E-9</v>
      </c>
    </row>
    <row r="652" spans="1:2" x14ac:dyDescent="0.25">
      <c r="A652" t="s">
        <v>1171</v>
      </c>
      <c r="B652">
        <v>3.8000000000000001E-9</v>
      </c>
    </row>
    <row r="653" spans="1:2" x14ac:dyDescent="0.25">
      <c r="A653" t="s">
        <v>1172</v>
      </c>
      <c r="B653">
        <v>7.1999999999999997E-11</v>
      </c>
    </row>
    <row r="654" spans="1:2" x14ac:dyDescent="0.25">
      <c r="A654" t="s">
        <v>1173</v>
      </c>
      <c r="B654">
        <v>2.8000000000000002E-10</v>
      </c>
    </row>
    <row r="655" spans="1:2" x14ac:dyDescent="0.25">
      <c r="A655" t="s">
        <v>1174</v>
      </c>
      <c r="B655">
        <v>1.0999999999999999E-10</v>
      </c>
    </row>
    <row r="656" spans="1:2" x14ac:dyDescent="0.25">
      <c r="A656" t="s">
        <v>1175</v>
      </c>
      <c r="B656">
        <v>3.4999999999999998E-10</v>
      </c>
    </row>
    <row r="657" spans="1:2" x14ac:dyDescent="0.25">
      <c r="A657" t="s">
        <v>77</v>
      </c>
      <c r="B657">
        <v>8.7999999999999994E-9</v>
      </c>
    </row>
    <row r="658" spans="1:2" x14ac:dyDescent="0.25">
      <c r="A658" t="s">
        <v>79</v>
      </c>
      <c r="B658">
        <v>7.1999999999999996E-8</v>
      </c>
    </row>
    <row r="659" spans="1:2" x14ac:dyDescent="0.25">
      <c r="A659" t="s">
        <v>82</v>
      </c>
      <c r="B659">
        <v>4.8999999999999997E-7</v>
      </c>
    </row>
    <row r="660" spans="1:2" x14ac:dyDescent="0.25">
      <c r="A660" t="s">
        <v>83</v>
      </c>
      <c r="B660">
        <v>2.1E-7</v>
      </c>
    </row>
    <row r="661" spans="1:2" x14ac:dyDescent="0.25">
      <c r="A661" t="s">
        <v>85</v>
      </c>
      <c r="B661">
        <v>3.4000000000000001E-10</v>
      </c>
    </row>
    <row r="662" spans="1:2" x14ac:dyDescent="0.25">
      <c r="A662" t="s">
        <v>86</v>
      </c>
      <c r="B662">
        <v>2.2999999999999999E-7</v>
      </c>
    </row>
    <row r="663" spans="1:2" x14ac:dyDescent="0.25">
      <c r="A663" t="s">
        <v>92</v>
      </c>
      <c r="B663">
        <v>3.3999999999999998E-9</v>
      </c>
    </row>
    <row r="664" spans="1:2" x14ac:dyDescent="0.25">
      <c r="A664" t="s">
        <v>1176</v>
      </c>
      <c r="B664">
        <v>5.7999999999999998E-9</v>
      </c>
    </row>
    <row r="665" spans="1:2" x14ac:dyDescent="0.25">
      <c r="A665" t="s">
        <v>1177</v>
      </c>
      <c r="B665">
        <v>1.5E-10</v>
      </c>
    </row>
    <row r="666" spans="1:2" x14ac:dyDescent="0.25">
      <c r="A666" t="s">
        <v>1178</v>
      </c>
      <c r="B666">
        <v>8.0999999999999998E-12</v>
      </c>
    </row>
    <row r="667" spans="1:2" x14ac:dyDescent="0.25">
      <c r="A667" t="s">
        <v>1179</v>
      </c>
      <c r="B667">
        <v>3.9999999999999998E-11</v>
      </c>
    </row>
    <row r="668" spans="1:2" x14ac:dyDescent="0.25">
      <c r="A668" t="s">
        <v>1180</v>
      </c>
      <c r="B668">
        <v>2.7E-11</v>
      </c>
    </row>
    <row r="669" spans="1:2" x14ac:dyDescent="0.25">
      <c r="A669" t="s">
        <v>1181</v>
      </c>
      <c r="B669">
        <v>2.3000000000000001E-11</v>
      </c>
    </row>
    <row r="670" spans="1:2" x14ac:dyDescent="0.25">
      <c r="A670" t="s">
        <v>1182</v>
      </c>
      <c r="B670">
        <v>7.3000000000000006E-11</v>
      </c>
    </row>
    <row r="671" spans="1:2" x14ac:dyDescent="0.25">
      <c r="A671" t="s">
        <v>1183</v>
      </c>
      <c r="B671">
        <v>5.4000000000000001E-11</v>
      </c>
    </row>
    <row r="672" spans="1:2" x14ac:dyDescent="0.25">
      <c r="A672" t="s">
        <v>1184</v>
      </c>
      <c r="B672">
        <v>2.6000000000000001E-11</v>
      </c>
    </row>
    <row r="673" spans="1:2" x14ac:dyDescent="0.25">
      <c r="A673" t="s">
        <v>1185</v>
      </c>
      <c r="B673">
        <v>2.0000000000000001E-10</v>
      </c>
    </row>
    <row r="674" spans="1:2" x14ac:dyDescent="0.25">
      <c r="A674" t="s">
        <v>1186</v>
      </c>
      <c r="B674">
        <v>9.4999999999999995E-11</v>
      </c>
    </row>
    <row r="675" spans="1:2" x14ac:dyDescent="0.25">
      <c r="A675" t="s">
        <v>1187</v>
      </c>
      <c r="B675">
        <v>4.5E-10</v>
      </c>
    </row>
    <row r="676" spans="1:2" x14ac:dyDescent="0.25">
      <c r="A676" t="s">
        <v>1188</v>
      </c>
      <c r="B676">
        <v>1.2E-9</v>
      </c>
    </row>
    <row r="677" spans="1:2" x14ac:dyDescent="0.25">
      <c r="A677" t="s">
        <v>1189</v>
      </c>
      <c r="B677">
        <v>2.9E-11</v>
      </c>
    </row>
    <row r="678" spans="1:2" x14ac:dyDescent="0.25">
      <c r="A678" t="s">
        <v>1190</v>
      </c>
      <c r="B678">
        <v>2.8000000000000002E-10</v>
      </c>
    </row>
    <row r="679" spans="1:2" x14ac:dyDescent="0.25">
      <c r="A679" t="s">
        <v>1191</v>
      </c>
      <c r="B679">
        <v>5.6000000000000003E-10</v>
      </c>
    </row>
    <row r="680" spans="1:2" x14ac:dyDescent="0.25">
      <c r="A680" t="s">
        <v>1192</v>
      </c>
      <c r="B680">
        <v>1.3000000000000001E-9</v>
      </c>
    </row>
    <row r="681" spans="1:2" x14ac:dyDescent="0.25">
      <c r="A681" t="s">
        <v>1193</v>
      </c>
      <c r="B681">
        <v>1.0999999999999999E-10</v>
      </c>
    </row>
    <row r="682" spans="1:2" x14ac:dyDescent="0.25">
      <c r="A682" t="s">
        <v>1194</v>
      </c>
      <c r="B682">
        <v>1.6999999999999999E-9</v>
      </c>
    </row>
    <row r="683" spans="1:2" x14ac:dyDescent="0.25">
      <c r="A683" t="s">
        <v>1195</v>
      </c>
      <c r="B683">
        <v>3.1000000000000002E-10</v>
      </c>
    </row>
    <row r="684" spans="1:2" x14ac:dyDescent="0.25">
      <c r="A684" t="s">
        <v>1196</v>
      </c>
      <c r="B684">
        <v>2.7E-11</v>
      </c>
    </row>
    <row r="685" spans="1:2" x14ac:dyDescent="0.25">
      <c r="A685" t="s">
        <v>608</v>
      </c>
      <c r="B685">
        <v>5.5999999999999999E-8</v>
      </c>
    </row>
    <row r="686" spans="1:2" x14ac:dyDescent="0.25">
      <c r="A686" t="s">
        <v>607</v>
      </c>
      <c r="B686">
        <v>2.8000000000000002E-10</v>
      </c>
    </row>
    <row r="687" spans="1:2" x14ac:dyDescent="0.25">
      <c r="A687" t="s">
        <v>107</v>
      </c>
      <c r="B687">
        <v>3.3000000000000002E-7</v>
      </c>
    </row>
    <row r="688" spans="1:2" x14ac:dyDescent="0.25">
      <c r="A688" t="s">
        <v>87</v>
      </c>
      <c r="B688">
        <v>5.1E-8</v>
      </c>
    </row>
    <row r="689" spans="1:2" x14ac:dyDescent="0.25">
      <c r="A689" t="s">
        <v>89</v>
      </c>
      <c r="B689">
        <v>4.9000000000000002E-8</v>
      </c>
    </row>
    <row r="690" spans="1:2" x14ac:dyDescent="0.25">
      <c r="A690" t="s">
        <v>93</v>
      </c>
      <c r="B690">
        <v>4.6999999999999997E-8</v>
      </c>
    </row>
    <row r="691" spans="1:2" x14ac:dyDescent="0.25">
      <c r="A691" t="s">
        <v>94</v>
      </c>
      <c r="B691">
        <v>4.6999999999999997E-8</v>
      </c>
    </row>
    <row r="692" spans="1:2" x14ac:dyDescent="0.25">
      <c r="A692" t="s">
        <v>96</v>
      </c>
      <c r="B692">
        <v>7.5999999999999996E-10</v>
      </c>
    </row>
    <row r="693" spans="1:2" x14ac:dyDescent="0.25">
      <c r="A693" t="s">
        <v>98</v>
      </c>
      <c r="B693">
        <v>4.4999999999999999E-8</v>
      </c>
    </row>
    <row r="694" spans="1:2" x14ac:dyDescent="0.25">
      <c r="A694" t="s">
        <v>606</v>
      </c>
      <c r="B694">
        <v>2.7E-11</v>
      </c>
    </row>
    <row r="695" spans="1:2" x14ac:dyDescent="0.25">
      <c r="A695" t="s">
        <v>605</v>
      </c>
      <c r="B695">
        <v>1.0999999999999999E-9</v>
      </c>
    </row>
    <row r="696" spans="1:2" x14ac:dyDescent="0.25">
      <c r="A696" t="s">
        <v>604</v>
      </c>
      <c r="B696">
        <v>6.3000000000000002E-11</v>
      </c>
    </row>
    <row r="697" spans="1:2" x14ac:dyDescent="0.25">
      <c r="A697" t="s">
        <v>603</v>
      </c>
      <c r="B697">
        <v>2.0000000000000001E-9</v>
      </c>
    </row>
    <row r="698" spans="1:2" x14ac:dyDescent="0.25">
      <c r="A698" t="s">
        <v>602</v>
      </c>
      <c r="B698">
        <v>1.7999999999999999E-11</v>
      </c>
    </row>
    <row r="699" spans="1:2" x14ac:dyDescent="0.25">
      <c r="A699" t="s">
        <v>601</v>
      </c>
      <c r="B699">
        <v>1E-10</v>
      </c>
    </row>
    <row r="700" spans="1:2" x14ac:dyDescent="0.25">
      <c r="A700" t="s">
        <v>600</v>
      </c>
      <c r="B700">
        <v>5.8E-11</v>
      </c>
    </row>
    <row r="701" spans="1:2" x14ac:dyDescent="0.25">
      <c r="A701" t="s">
        <v>599</v>
      </c>
      <c r="B701">
        <v>2.1999999999999999E-10</v>
      </c>
    </row>
    <row r="702" spans="1:2" x14ac:dyDescent="0.25">
      <c r="A702" t="s">
        <v>598</v>
      </c>
      <c r="B702">
        <v>3.3000000000000001E-12</v>
      </c>
    </row>
    <row r="703" spans="1:2" x14ac:dyDescent="0.25">
      <c r="A703" t="s">
        <v>597</v>
      </c>
      <c r="B703">
        <v>7.5999999999999996E-11</v>
      </c>
    </row>
    <row r="704" spans="1:2" x14ac:dyDescent="0.25">
      <c r="A704" t="s">
        <v>596</v>
      </c>
      <c r="B704">
        <v>4.3999999999999998E-10</v>
      </c>
    </row>
    <row r="705" spans="1:2" x14ac:dyDescent="0.25">
      <c r="A705" t="s">
        <v>595</v>
      </c>
      <c r="B705">
        <v>6.3E-10</v>
      </c>
    </row>
    <row r="706" spans="1:2" x14ac:dyDescent="0.25">
      <c r="A706" t="s">
        <v>594</v>
      </c>
      <c r="B706">
        <v>2.1000000000000002E-9</v>
      </c>
    </row>
    <row r="707" spans="1:2" x14ac:dyDescent="0.25">
      <c r="A707" t="s">
        <v>593</v>
      </c>
      <c r="B707">
        <v>9.5999999999999999E-10</v>
      </c>
    </row>
    <row r="708" spans="1:2" x14ac:dyDescent="0.25">
      <c r="A708" t="s">
        <v>1197</v>
      </c>
      <c r="B708">
        <v>5.6E-11</v>
      </c>
    </row>
    <row r="709" spans="1:2" x14ac:dyDescent="0.25">
      <c r="A709" t="s">
        <v>592</v>
      </c>
      <c r="B709">
        <v>5.4999999999999996E-10</v>
      </c>
    </row>
    <row r="710" spans="1:2" x14ac:dyDescent="0.25">
      <c r="A710" t="s">
        <v>591</v>
      </c>
      <c r="B710">
        <v>1.3000000000000001E-9</v>
      </c>
    </row>
    <row r="711" spans="1:2" x14ac:dyDescent="0.25">
      <c r="A711" t="s">
        <v>20</v>
      </c>
      <c r="B711">
        <v>2.7000000000000002E-9</v>
      </c>
    </row>
    <row r="712" spans="1:2" x14ac:dyDescent="0.25">
      <c r="A712" t="s">
        <v>1198</v>
      </c>
      <c r="B712">
        <v>1.7000000000000001E-10</v>
      </c>
    </row>
    <row r="713" spans="1:2" x14ac:dyDescent="0.25">
      <c r="A713" t="s">
        <v>590</v>
      </c>
      <c r="B713">
        <v>2.4E-9</v>
      </c>
    </row>
    <row r="714" spans="1:2" x14ac:dyDescent="0.25">
      <c r="A714" t="s">
        <v>1199</v>
      </c>
      <c r="B714">
        <v>1.1000000000000001E-11</v>
      </c>
    </row>
    <row r="715" spans="1:2" x14ac:dyDescent="0.25">
      <c r="A715" t="s">
        <v>589</v>
      </c>
      <c r="B715">
        <v>4.8999999999999996E-10</v>
      </c>
    </row>
    <row r="716" spans="1:2" x14ac:dyDescent="0.25">
      <c r="A716" t="s">
        <v>588</v>
      </c>
      <c r="B716">
        <v>1.2E-9</v>
      </c>
    </row>
    <row r="717" spans="1:2" x14ac:dyDescent="0.25">
      <c r="A717" t="s">
        <v>587</v>
      </c>
      <c r="B717">
        <v>8.1000000000000005E-11</v>
      </c>
    </row>
    <row r="718" spans="1:2" x14ac:dyDescent="0.25">
      <c r="A718" t="s">
        <v>586</v>
      </c>
      <c r="B718">
        <v>4.6000000000000003E-11</v>
      </c>
    </row>
    <row r="719" spans="1:2" x14ac:dyDescent="0.25">
      <c r="A719" t="s">
        <v>1200</v>
      </c>
      <c r="B719">
        <v>2.3000000000000001E-11</v>
      </c>
    </row>
    <row r="720" spans="1:2" x14ac:dyDescent="0.25">
      <c r="A720" t="s">
        <v>1201</v>
      </c>
      <c r="B720">
        <v>9.5000000000000003E-10</v>
      </c>
    </row>
    <row r="721" spans="1:2" x14ac:dyDescent="0.25">
      <c r="A721" t="s">
        <v>1202</v>
      </c>
      <c r="B721">
        <v>6.7000000000000001E-12</v>
      </c>
    </row>
    <row r="722" spans="1:2" x14ac:dyDescent="0.25">
      <c r="A722" t="s">
        <v>1203</v>
      </c>
      <c r="B722">
        <v>7.1000000000000003E-10</v>
      </c>
    </row>
    <row r="723" spans="1:2" x14ac:dyDescent="0.25">
      <c r="A723" t="s">
        <v>1204</v>
      </c>
      <c r="B723">
        <v>4.3999999999999998E-10</v>
      </c>
    </row>
    <row r="724" spans="1:2" x14ac:dyDescent="0.25">
      <c r="A724" t="s">
        <v>1205</v>
      </c>
      <c r="B724">
        <v>8.8000000000000006E-11</v>
      </c>
    </row>
    <row r="725" spans="1:2" x14ac:dyDescent="0.25">
      <c r="A725" t="s">
        <v>1206</v>
      </c>
      <c r="B725">
        <v>1.2E-10</v>
      </c>
    </row>
    <row r="726" spans="1:2" x14ac:dyDescent="0.25">
      <c r="A726" t="s">
        <v>1207</v>
      </c>
      <c r="B726">
        <v>9.4000000000000006E-10</v>
      </c>
    </row>
    <row r="727" spans="1:2" x14ac:dyDescent="0.25">
      <c r="A727" t="s">
        <v>1208</v>
      </c>
      <c r="B727">
        <v>7.8999999999999999E-11</v>
      </c>
    </row>
    <row r="728" spans="1:2" x14ac:dyDescent="0.25">
      <c r="A728" t="s">
        <v>17</v>
      </c>
      <c r="B728">
        <v>3.9000000000000002E-9</v>
      </c>
    </row>
    <row r="729" spans="1:2" x14ac:dyDescent="0.25">
      <c r="A729" t="s">
        <v>1209</v>
      </c>
      <c r="B729">
        <v>3.1000000000000003E-11</v>
      </c>
    </row>
    <row r="730" spans="1:2" x14ac:dyDescent="0.25">
      <c r="A730" t="s">
        <v>1210</v>
      </c>
      <c r="B730">
        <v>3.3E-10</v>
      </c>
    </row>
    <row r="731" spans="1:2" x14ac:dyDescent="0.25">
      <c r="A731" t="s">
        <v>1211</v>
      </c>
      <c r="B731">
        <v>2.4E-10</v>
      </c>
    </row>
    <row r="732" spans="1:2" x14ac:dyDescent="0.25">
      <c r="A732" t="s">
        <v>1212</v>
      </c>
      <c r="B732">
        <v>1.3999999999999999E-9</v>
      </c>
    </row>
    <row r="733" spans="1:2" x14ac:dyDescent="0.25">
      <c r="A733" t="s">
        <v>1213</v>
      </c>
      <c r="B733">
        <v>8.6000000000000003E-10</v>
      </c>
    </row>
    <row r="734" spans="1:2" x14ac:dyDescent="0.25">
      <c r="A734" t="s">
        <v>1214</v>
      </c>
      <c r="B734">
        <v>4.5E-10</v>
      </c>
    </row>
    <row r="735" spans="1:2" x14ac:dyDescent="0.25">
      <c r="A735" t="s">
        <v>1215</v>
      </c>
      <c r="B735">
        <v>7.8999999999999996E-10</v>
      </c>
    </row>
    <row r="736" spans="1:2" x14ac:dyDescent="0.25">
      <c r="A736" t="s">
        <v>110</v>
      </c>
      <c r="B736">
        <v>1.0999999999999999E-9</v>
      </c>
    </row>
    <row r="737" spans="1:2" x14ac:dyDescent="0.25">
      <c r="A737" t="s">
        <v>1216</v>
      </c>
      <c r="B737">
        <v>9.5000000000000003E-10</v>
      </c>
    </row>
    <row r="738" spans="1:2" x14ac:dyDescent="0.25">
      <c r="A738" t="s">
        <v>1217</v>
      </c>
      <c r="B738">
        <v>2.1000000000000002E-9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738"/>
  <sheetViews>
    <sheetView workbookViewId="0">
      <selection activeCell="B134" sqref="B134"/>
    </sheetView>
  </sheetViews>
  <sheetFormatPr defaultRowHeight="15" x14ac:dyDescent="0.25"/>
  <cols>
    <col min="1" max="1" width="12" bestFit="1" customWidth="1"/>
    <col min="2" max="4" width="11.28515625" style="2" bestFit="1" customWidth="1"/>
  </cols>
  <sheetData>
    <row r="1" spans="1:4" x14ac:dyDescent="0.25">
      <c r="A1" t="s">
        <v>585</v>
      </c>
      <c r="B1" s="2" t="s">
        <v>629</v>
      </c>
      <c r="C1" s="2" t="s">
        <v>627</v>
      </c>
      <c r="D1" s="2" t="s">
        <v>625</v>
      </c>
    </row>
    <row r="2" spans="1:4" x14ac:dyDescent="0.25">
      <c r="A2" t="s">
        <v>633</v>
      </c>
      <c r="B2" s="2">
        <v>1.0999999999999999E-8</v>
      </c>
      <c r="C2" s="2">
        <v>1.1000000000000001E-7</v>
      </c>
      <c r="D2" s="2">
        <v>1.3E-7</v>
      </c>
    </row>
    <row r="3" spans="1:4" x14ac:dyDescent="0.25">
      <c r="A3" t="s">
        <v>74</v>
      </c>
      <c r="B3" s="2">
        <v>8.8000000000000004E-7</v>
      </c>
      <c r="C3" s="2">
        <v>7.4000000000000003E-6</v>
      </c>
      <c r="D3" s="2">
        <v>8.4999999999999999E-6</v>
      </c>
    </row>
    <row r="4" spans="1:4" x14ac:dyDescent="0.25">
      <c r="A4" t="s">
        <v>634</v>
      </c>
      <c r="B4" s="2">
        <v>9.5999999999999999E-8</v>
      </c>
      <c r="C4" s="2">
        <v>1.1999999999999999E-6</v>
      </c>
      <c r="D4" s="2">
        <v>1.3E-6</v>
      </c>
    </row>
    <row r="5" spans="1:4" x14ac:dyDescent="0.25">
      <c r="A5" t="s">
        <v>78</v>
      </c>
      <c r="B5" s="2">
        <v>5.5000000000000003E-4</v>
      </c>
      <c r="C5" s="2">
        <v>2.2000000000000001E-4</v>
      </c>
      <c r="D5" s="2">
        <v>7.2000000000000002E-5</v>
      </c>
    </row>
    <row r="6" spans="1:4" x14ac:dyDescent="0.25">
      <c r="A6" t="s">
        <v>80</v>
      </c>
      <c r="B6" s="2">
        <v>2.4999999999999999E-8</v>
      </c>
      <c r="C6" s="2">
        <v>1.7E-8</v>
      </c>
      <c r="D6" s="2">
        <v>1.6000000000000001E-8</v>
      </c>
    </row>
    <row r="7" spans="1:4" x14ac:dyDescent="0.25">
      <c r="A7" t="s">
        <v>635</v>
      </c>
      <c r="B7" s="2">
        <v>1.3E-11</v>
      </c>
      <c r="C7" s="2">
        <v>1.6999999999999999E-11</v>
      </c>
      <c r="D7" s="2">
        <v>1.7999999999999999E-11</v>
      </c>
    </row>
    <row r="8" spans="1:4" x14ac:dyDescent="0.25">
      <c r="A8" t="s">
        <v>636</v>
      </c>
      <c r="B8" s="2">
        <v>1.4E-11</v>
      </c>
      <c r="C8" s="2">
        <v>2.6000000000000001E-11</v>
      </c>
      <c r="D8" s="2">
        <v>2.7E-11</v>
      </c>
    </row>
    <row r="9" spans="1:4" x14ac:dyDescent="0.25">
      <c r="A9" t="s">
        <v>637</v>
      </c>
      <c r="B9" s="2">
        <v>2.8E-11</v>
      </c>
      <c r="C9" s="2">
        <v>3.5999999999999998E-11</v>
      </c>
      <c r="D9" s="2">
        <v>3.7000000000000001E-11</v>
      </c>
    </row>
    <row r="10" spans="1:4" x14ac:dyDescent="0.25">
      <c r="A10" t="s">
        <v>638</v>
      </c>
      <c r="B10" s="2">
        <v>1.6E-11</v>
      </c>
      <c r="C10" s="2">
        <v>2.5000000000000001E-11</v>
      </c>
      <c r="D10" s="2">
        <v>2.6000000000000001E-11</v>
      </c>
    </row>
    <row r="11" spans="1:4" x14ac:dyDescent="0.25">
      <c r="A11" t="s">
        <v>639</v>
      </c>
      <c r="B11" s="2">
        <v>5.4E-10</v>
      </c>
      <c r="C11" s="2">
        <v>7.2999999999999996E-10</v>
      </c>
      <c r="D11" s="2">
        <v>8.0999999999999999E-10</v>
      </c>
    </row>
    <row r="12" spans="1:4" x14ac:dyDescent="0.25">
      <c r="A12" t="s">
        <v>640</v>
      </c>
      <c r="B12" s="2">
        <v>9.0999999999999996E-12</v>
      </c>
      <c r="C12" s="2">
        <v>1.5E-11</v>
      </c>
      <c r="D12" s="2">
        <v>1.6E-11</v>
      </c>
    </row>
    <row r="13" spans="1:4" x14ac:dyDescent="0.25">
      <c r="A13" t="s">
        <v>641</v>
      </c>
      <c r="B13" s="2">
        <v>1.0999999999999999E-9</v>
      </c>
      <c r="C13" s="2">
        <v>1.0999999999999999E-9</v>
      </c>
      <c r="D13" s="2">
        <v>1.0999999999999999E-9</v>
      </c>
    </row>
    <row r="14" spans="1:4" x14ac:dyDescent="0.25">
      <c r="A14" t="s">
        <v>642</v>
      </c>
      <c r="B14" s="2">
        <v>6.1E-9</v>
      </c>
      <c r="C14" s="2">
        <v>7.4000000000000001E-9</v>
      </c>
      <c r="D14" s="2">
        <v>3.7E-8</v>
      </c>
    </row>
    <row r="15" spans="1:4" x14ac:dyDescent="0.25">
      <c r="A15" t="s">
        <v>643</v>
      </c>
      <c r="B15" s="2">
        <v>5.4999999999999996E-9</v>
      </c>
      <c r="C15" s="2">
        <v>7.6000000000000002E-9</v>
      </c>
      <c r="D15" s="2">
        <v>1.2E-8</v>
      </c>
    </row>
    <row r="16" spans="1:4" x14ac:dyDescent="0.25">
      <c r="A16" t="s">
        <v>644</v>
      </c>
      <c r="B16" s="2">
        <v>4.0000000000000001E-10</v>
      </c>
      <c r="C16" s="2">
        <v>1.5E-9</v>
      </c>
      <c r="D16" s="2">
        <v>1.6999999999999999E-9</v>
      </c>
    </row>
    <row r="17" spans="1:4" x14ac:dyDescent="0.25">
      <c r="A17" t="s">
        <v>645</v>
      </c>
      <c r="B17" s="2">
        <v>7.5999999999999996E-11</v>
      </c>
      <c r="C17" s="2">
        <v>1.5999999999999999E-10</v>
      </c>
      <c r="D17" s="2">
        <v>1.7000000000000001E-10</v>
      </c>
    </row>
    <row r="18" spans="1:4" x14ac:dyDescent="0.25">
      <c r="A18" t="s">
        <v>646</v>
      </c>
      <c r="B18" s="2">
        <v>1.5E-11</v>
      </c>
      <c r="C18" s="2">
        <v>2.7E-11</v>
      </c>
      <c r="D18" s="2">
        <v>2.9E-11</v>
      </c>
    </row>
    <row r="19" spans="1:4" x14ac:dyDescent="0.25">
      <c r="A19" t="s">
        <v>647</v>
      </c>
      <c r="B19" s="2">
        <v>1.0999999999999999E-8</v>
      </c>
      <c r="C19" s="2">
        <v>2E-8</v>
      </c>
      <c r="D19" s="2">
        <v>-1</v>
      </c>
    </row>
    <row r="20" spans="1:4" x14ac:dyDescent="0.25">
      <c r="A20" t="s">
        <v>648</v>
      </c>
      <c r="B20" s="2">
        <v>1.1000000000000001E-11</v>
      </c>
      <c r="C20" s="2">
        <v>2.5000000000000001E-11</v>
      </c>
      <c r="D20" s="2">
        <v>2.6000000000000001E-11</v>
      </c>
    </row>
    <row r="21" spans="1:4" x14ac:dyDescent="0.25">
      <c r="A21" t="s">
        <v>649</v>
      </c>
      <c r="B21" s="2">
        <v>1.8999999999999999E-10</v>
      </c>
      <c r="C21" s="2">
        <v>8.9999999999999999E-11</v>
      </c>
      <c r="D21" s="2">
        <v>5.4000000000000001E-11</v>
      </c>
    </row>
    <row r="22" spans="1:4" x14ac:dyDescent="0.25">
      <c r="A22" t="s">
        <v>650</v>
      </c>
      <c r="B22" s="2">
        <v>7.5999999999999996E-11</v>
      </c>
      <c r="C22" s="2">
        <v>2.1999999999999999E-10</v>
      </c>
      <c r="D22" s="2">
        <v>2.4E-10</v>
      </c>
    </row>
    <row r="23" spans="1:4" x14ac:dyDescent="0.25">
      <c r="A23" t="s">
        <v>651</v>
      </c>
      <c r="B23" s="2">
        <v>2.3000000000000001E-10</v>
      </c>
      <c r="C23" s="2">
        <v>4.3000000000000001E-10</v>
      </c>
      <c r="D23" s="2">
        <v>4.3000000000000001E-10</v>
      </c>
    </row>
    <row r="24" spans="1:4" x14ac:dyDescent="0.25">
      <c r="A24" t="s">
        <v>102</v>
      </c>
      <c r="B24" s="2">
        <v>9.6000000000000002E-5</v>
      </c>
      <c r="C24" s="2">
        <v>4.1999999999999998E-5</v>
      </c>
      <c r="D24" s="2">
        <v>1.5999999999999999E-5</v>
      </c>
    </row>
    <row r="25" spans="1:4" x14ac:dyDescent="0.25">
      <c r="A25" t="s">
        <v>134</v>
      </c>
      <c r="B25" s="2">
        <v>1.0999999999999999E-8</v>
      </c>
      <c r="C25" s="2">
        <v>1.7E-8</v>
      </c>
      <c r="D25" s="2">
        <v>2E-8</v>
      </c>
    </row>
    <row r="26" spans="1:4" x14ac:dyDescent="0.25">
      <c r="A26" t="s">
        <v>135</v>
      </c>
      <c r="B26" s="2">
        <v>9.2E-5</v>
      </c>
      <c r="C26" s="2">
        <v>3.6999999999999998E-5</v>
      </c>
      <c r="D26" s="2">
        <v>1.1E-5</v>
      </c>
    </row>
    <row r="27" spans="1:4" x14ac:dyDescent="0.25">
      <c r="A27" t="s">
        <v>104</v>
      </c>
      <c r="B27" s="2">
        <v>9.6000000000000002E-5</v>
      </c>
      <c r="C27" s="2">
        <v>4.1E-5</v>
      </c>
      <c r="D27" s="2">
        <v>1.5E-5</v>
      </c>
    </row>
    <row r="28" spans="1:4" x14ac:dyDescent="0.25">
      <c r="A28" t="s">
        <v>652</v>
      </c>
      <c r="B28" s="2">
        <v>3.7E-9</v>
      </c>
      <c r="C28" s="2">
        <v>2.0000000000000001E-9</v>
      </c>
      <c r="D28" s="2">
        <v>1.2E-9</v>
      </c>
    </row>
    <row r="29" spans="1:4" x14ac:dyDescent="0.25">
      <c r="A29" t="s">
        <v>653</v>
      </c>
      <c r="B29" s="2">
        <v>1.5999999999999999E-10</v>
      </c>
      <c r="C29" s="2">
        <v>8.3999999999999994E-11</v>
      </c>
      <c r="D29" s="2">
        <v>5.6999999999999997E-11</v>
      </c>
    </row>
    <row r="30" spans="1:4" x14ac:dyDescent="0.25">
      <c r="A30" t="s">
        <v>654</v>
      </c>
      <c r="B30" s="2">
        <v>2.0999999999999999E-11</v>
      </c>
      <c r="C30" s="2">
        <v>5.2999999999999998E-11</v>
      </c>
      <c r="D30" s="2">
        <v>5.6E-11</v>
      </c>
    </row>
    <row r="31" spans="1:4" x14ac:dyDescent="0.25">
      <c r="A31" t="s">
        <v>655</v>
      </c>
      <c r="B31" s="2">
        <v>3.3000000000000002E-11</v>
      </c>
      <c r="C31" s="2">
        <v>6.6000000000000005E-11</v>
      </c>
      <c r="D31" s="2">
        <v>6.8999999999999994E-11</v>
      </c>
    </row>
    <row r="32" spans="1:4" x14ac:dyDescent="0.25">
      <c r="A32" t="s">
        <v>656</v>
      </c>
      <c r="B32" s="2">
        <v>1.4E-11</v>
      </c>
      <c r="C32" s="2">
        <v>2.2000000000000002E-11</v>
      </c>
      <c r="D32" s="2">
        <v>2.3000000000000001E-11</v>
      </c>
    </row>
    <row r="33" spans="1:4" x14ac:dyDescent="0.25">
      <c r="A33" t="s">
        <v>657</v>
      </c>
      <c r="B33" s="2">
        <v>-1</v>
      </c>
      <c r="C33" s="2">
        <v>2.0999999999999999E-11</v>
      </c>
      <c r="D33" s="2">
        <v>-1</v>
      </c>
    </row>
    <row r="34" spans="1:4" x14ac:dyDescent="0.25">
      <c r="A34" t="s">
        <v>658</v>
      </c>
      <c r="B34" s="2">
        <v>-1</v>
      </c>
      <c r="C34" s="2">
        <v>6.7000000000000001E-11</v>
      </c>
      <c r="D34" s="2">
        <v>-1</v>
      </c>
    </row>
    <row r="35" spans="1:4" x14ac:dyDescent="0.25">
      <c r="A35" t="s">
        <v>659</v>
      </c>
      <c r="B35" s="2">
        <v>-1</v>
      </c>
      <c r="C35" s="2">
        <v>4.0000000000000001E-10</v>
      </c>
      <c r="D35" s="2">
        <v>-1</v>
      </c>
    </row>
    <row r="36" spans="1:4" x14ac:dyDescent="0.25">
      <c r="A36" t="s">
        <v>660</v>
      </c>
      <c r="B36" s="2">
        <v>-1</v>
      </c>
      <c r="C36" s="2">
        <v>8.9999999999999999E-10</v>
      </c>
      <c r="D36" s="2">
        <v>-1</v>
      </c>
    </row>
    <row r="37" spans="1:4" x14ac:dyDescent="0.25">
      <c r="A37" t="s">
        <v>661</v>
      </c>
      <c r="B37" s="2">
        <v>-1</v>
      </c>
      <c r="C37" s="2">
        <v>1.0000000000000001E-9</v>
      </c>
      <c r="D37" s="2">
        <v>-1</v>
      </c>
    </row>
    <row r="38" spans="1:4" x14ac:dyDescent="0.25">
      <c r="A38" t="s">
        <v>662</v>
      </c>
      <c r="B38" s="2">
        <v>-1</v>
      </c>
      <c r="C38" s="2">
        <v>2.1000000000000002E-9</v>
      </c>
      <c r="D38" s="2">
        <v>-1</v>
      </c>
    </row>
    <row r="39" spans="1:4" x14ac:dyDescent="0.25">
      <c r="A39" t="s">
        <v>663</v>
      </c>
      <c r="B39" s="2">
        <v>-1</v>
      </c>
      <c r="C39" s="2">
        <v>7.4000000000000003E-10</v>
      </c>
      <c r="D39" s="2">
        <v>-1</v>
      </c>
    </row>
    <row r="40" spans="1:4" x14ac:dyDescent="0.25">
      <c r="A40" t="s">
        <v>664</v>
      </c>
      <c r="B40" s="2">
        <v>-1</v>
      </c>
      <c r="C40" s="2">
        <v>3.9E-10</v>
      </c>
      <c r="D40" s="2">
        <v>-1</v>
      </c>
    </row>
    <row r="41" spans="1:4" x14ac:dyDescent="0.25">
      <c r="A41" t="s">
        <v>665</v>
      </c>
      <c r="B41" s="2">
        <v>-1</v>
      </c>
      <c r="C41" s="2">
        <v>8.9000000000000003E-11</v>
      </c>
      <c r="D41" s="2">
        <v>-1</v>
      </c>
    </row>
    <row r="42" spans="1:4" x14ac:dyDescent="0.25">
      <c r="A42" t="s">
        <v>666</v>
      </c>
      <c r="B42" s="2">
        <v>3.3E-10</v>
      </c>
      <c r="C42" s="2">
        <v>2.2999999999999999E-9</v>
      </c>
      <c r="D42" s="2">
        <v>-1</v>
      </c>
    </row>
    <row r="43" spans="1:4" x14ac:dyDescent="0.25">
      <c r="A43" t="s">
        <v>667</v>
      </c>
      <c r="B43" s="2">
        <v>1.6000000000000001E-8</v>
      </c>
      <c r="C43" s="2">
        <v>1.1000000000000001E-7</v>
      </c>
      <c r="D43" s="2">
        <v>-1</v>
      </c>
    </row>
    <row r="44" spans="1:4" x14ac:dyDescent="0.25">
      <c r="A44" t="s">
        <v>668</v>
      </c>
      <c r="B44" s="2">
        <v>3.5999999999999998E-11</v>
      </c>
      <c r="C44" s="2">
        <v>1.0999999999999999E-10</v>
      </c>
      <c r="D44" s="2">
        <v>1.2E-10</v>
      </c>
    </row>
    <row r="45" spans="1:4" x14ac:dyDescent="0.25">
      <c r="A45" t="s">
        <v>669</v>
      </c>
      <c r="B45" s="2">
        <v>1.4000000000000001E-10</v>
      </c>
      <c r="C45" s="2">
        <v>2.3000000000000001E-10</v>
      </c>
      <c r="D45" s="2">
        <v>2.4E-10</v>
      </c>
    </row>
    <row r="46" spans="1:4" x14ac:dyDescent="0.25">
      <c r="A46" t="s">
        <v>670</v>
      </c>
      <c r="B46" s="2">
        <v>6.6000000000000005E-11</v>
      </c>
      <c r="C46" s="2">
        <v>1.0999999999999999E-9</v>
      </c>
      <c r="D46" s="2">
        <v>1.6999999999999999E-9</v>
      </c>
    </row>
    <row r="47" spans="1:4" x14ac:dyDescent="0.25">
      <c r="A47" t="s">
        <v>671</v>
      </c>
      <c r="B47" s="2">
        <v>2.1E-10</v>
      </c>
      <c r="C47" s="2">
        <v>7.7999999999999999E-10</v>
      </c>
      <c r="D47" s="2">
        <v>8.6000000000000003E-10</v>
      </c>
    </row>
    <row r="48" spans="1:4" x14ac:dyDescent="0.25">
      <c r="A48" t="s">
        <v>672</v>
      </c>
      <c r="B48" s="2">
        <v>3.1999999999999998E-10</v>
      </c>
      <c r="C48" s="2">
        <v>1.8E-9</v>
      </c>
      <c r="D48" s="2">
        <v>2.0000000000000001E-9</v>
      </c>
    </row>
    <row r="49" spans="1:4" x14ac:dyDescent="0.25">
      <c r="A49" t="s">
        <v>673</v>
      </c>
      <c r="B49" s="2">
        <v>9.7999999999999998E-11</v>
      </c>
      <c r="C49" s="2">
        <v>7.1000000000000003E-10</v>
      </c>
      <c r="D49" s="2">
        <v>7.8999999999999996E-10</v>
      </c>
    </row>
    <row r="50" spans="1:4" x14ac:dyDescent="0.25">
      <c r="A50" t="s">
        <v>674</v>
      </c>
      <c r="B50" s="2">
        <v>1.6E-11</v>
      </c>
      <c r="C50" s="2">
        <v>3.3000000000000002E-11</v>
      </c>
      <c r="D50" s="2">
        <v>3.5000000000000002E-11</v>
      </c>
    </row>
    <row r="51" spans="1:4" x14ac:dyDescent="0.25">
      <c r="A51" t="s">
        <v>675</v>
      </c>
      <c r="B51" s="2">
        <v>2.8999999999999998E-10</v>
      </c>
      <c r="C51" s="2">
        <v>6.8000000000000003E-10</v>
      </c>
      <c r="D51" s="2">
        <v>7.2E-10</v>
      </c>
    </row>
    <row r="52" spans="1:4" x14ac:dyDescent="0.25">
      <c r="A52" t="s">
        <v>676</v>
      </c>
      <c r="B52" s="2">
        <v>8.6999999999999997E-12</v>
      </c>
      <c r="C52" s="2">
        <v>1.6999999999999999E-11</v>
      </c>
      <c r="D52" s="2">
        <v>1.6999999999999999E-11</v>
      </c>
    </row>
    <row r="53" spans="1:4" x14ac:dyDescent="0.25">
      <c r="A53" t="s">
        <v>677</v>
      </c>
      <c r="B53" s="2">
        <v>7.4000000000000003E-11</v>
      </c>
      <c r="C53" s="2">
        <v>1E-10</v>
      </c>
      <c r="D53" s="2">
        <v>1.0999999999999999E-10</v>
      </c>
    </row>
    <row r="54" spans="1:4" x14ac:dyDescent="0.25">
      <c r="A54" t="s">
        <v>678</v>
      </c>
      <c r="B54" s="2">
        <v>7.5999999999999996E-10</v>
      </c>
      <c r="C54" s="2">
        <v>1.3000000000000001E-9</v>
      </c>
      <c r="D54" s="2">
        <v>1.3999999999999999E-9</v>
      </c>
    </row>
    <row r="55" spans="1:4" x14ac:dyDescent="0.25">
      <c r="A55" t="s">
        <v>679</v>
      </c>
      <c r="B55" s="2">
        <v>2.1999999999999999E-10</v>
      </c>
      <c r="C55" s="2">
        <v>7.5999999999999996E-10</v>
      </c>
      <c r="D55" s="2">
        <v>8.6999999999999999E-10</v>
      </c>
    </row>
    <row r="56" spans="1:4" x14ac:dyDescent="0.25">
      <c r="A56" t="s">
        <v>680</v>
      </c>
      <c r="B56" s="2">
        <v>3.9999999999999999E-12</v>
      </c>
      <c r="C56" s="2">
        <v>7.4E-12</v>
      </c>
      <c r="D56" s="2">
        <v>7.7999999999999999E-12</v>
      </c>
    </row>
    <row r="57" spans="1:4" x14ac:dyDescent="0.25">
      <c r="A57" t="s">
        <v>681</v>
      </c>
      <c r="B57" s="2">
        <v>1.5E-9</v>
      </c>
      <c r="C57" s="2">
        <v>3.1E-9</v>
      </c>
      <c r="D57" s="2">
        <v>1E-8</v>
      </c>
    </row>
    <row r="58" spans="1:4" x14ac:dyDescent="0.25">
      <c r="A58" t="s">
        <v>682</v>
      </c>
      <c r="B58" s="2">
        <v>1.8E-10</v>
      </c>
      <c r="C58" s="2">
        <v>4.2E-10</v>
      </c>
      <c r="D58" s="2">
        <v>4.6000000000000001E-10</v>
      </c>
    </row>
    <row r="59" spans="1:4" x14ac:dyDescent="0.25">
      <c r="A59" t="s">
        <v>683</v>
      </c>
      <c r="B59" s="2">
        <v>1.4000000000000001E-10</v>
      </c>
      <c r="C59" s="2">
        <v>3.3E-10</v>
      </c>
      <c r="D59" s="2">
        <v>3.6E-10</v>
      </c>
    </row>
    <row r="60" spans="1:4" x14ac:dyDescent="0.25">
      <c r="A60" t="s">
        <v>684</v>
      </c>
      <c r="B60" s="2">
        <v>3.3999999999999999E-11</v>
      </c>
      <c r="C60" s="2">
        <v>5.6E-11</v>
      </c>
      <c r="D60" s="2">
        <v>5.9000000000000003E-11</v>
      </c>
    </row>
    <row r="61" spans="1:4" x14ac:dyDescent="0.25">
      <c r="A61" t="s">
        <v>685</v>
      </c>
      <c r="B61" s="2">
        <v>1.0000000000000001E-9</v>
      </c>
      <c r="C61" s="2">
        <v>5.1000000000000002E-9</v>
      </c>
      <c r="D61" s="2">
        <v>5.7999999999999998E-9</v>
      </c>
    </row>
    <row r="62" spans="1:4" x14ac:dyDescent="0.25">
      <c r="A62" t="s">
        <v>686</v>
      </c>
      <c r="B62" s="2">
        <v>2.0999999999999999E-11</v>
      </c>
      <c r="C62" s="2">
        <v>3.1999999999999999E-11</v>
      </c>
      <c r="D62" s="2">
        <v>3.3999999999999999E-11</v>
      </c>
    </row>
    <row r="63" spans="1:4" x14ac:dyDescent="0.25">
      <c r="A63" t="s">
        <v>687</v>
      </c>
      <c r="B63" s="2">
        <v>1.5E-11</v>
      </c>
      <c r="C63" s="2">
        <v>2.0999999999999999E-11</v>
      </c>
      <c r="D63" s="2">
        <v>2.2000000000000002E-11</v>
      </c>
    </row>
    <row r="64" spans="1:4" x14ac:dyDescent="0.25">
      <c r="A64" t="s">
        <v>688</v>
      </c>
      <c r="B64" s="2">
        <v>-1</v>
      </c>
      <c r="C64" s="2">
        <v>9.5999999999999999E-9</v>
      </c>
      <c r="D64" s="2">
        <v>3.5000000000000002E-8</v>
      </c>
    </row>
    <row r="65" spans="1:4" x14ac:dyDescent="0.25">
      <c r="A65" t="s">
        <v>689</v>
      </c>
      <c r="B65" s="2">
        <v>-1</v>
      </c>
      <c r="C65" s="2">
        <v>5.0000000000000002E-11</v>
      </c>
      <c r="D65" s="2">
        <v>5.4999999999999997E-11</v>
      </c>
    </row>
    <row r="66" spans="1:4" x14ac:dyDescent="0.25">
      <c r="A66" t="s">
        <v>690</v>
      </c>
      <c r="B66" s="2">
        <v>2.2000000000000002E-11</v>
      </c>
      <c r="C66" s="2">
        <v>3.3000000000000002E-11</v>
      </c>
      <c r="D66" s="2">
        <v>-1</v>
      </c>
    </row>
    <row r="67" spans="1:4" x14ac:dyDescent="0.25">
      <c r="A67" t="s">
        <v>691</v>
      </c>
      <c r="B67" s="2">
        <v>4.4000000000000003E-11</v>
      </c>
      <c r="C67" s="2">
        <v>6.6000000000000005E-11</v>
      </c>
      <c r="D67" s="2">
        <v>-1</v>
      </c>
    </row>
    <row r="68" spans="1:4" x14ac:dyDescent="0.25">
      <c r="A68" t="s">
        <v>692</v>
      </c>
      <c r="B68" s="2">
        <v>4.3E-11</v>
      </c>
      <c r="C68" s="2">
        <v>5.4999999999999997E-11</v>
      </c>
      <c r="D68" s="2">
        <v>-1</v>
      </c>
    </row>
    <row r="69" spans="1:4" x14ac:dyDescent="0.25">
      <c r="A69" t="s">
        <v>693</v>
      </c>
      <c r="B69" s="2">
        <v>1.8999999999999999E-10</v>
      </c>
      <c r="C69" s="2">
        <v>2.5999999999999998E-10</v>
      </c>
      <c r="D69" s="2">
        <v>-1</v>
      </c>
    </row>
    <row r="70" spans="1:4" x14ac:dyDescent="0.25">
      <c r="A70" t="s">
        <v>694</v>
      </c>
      <c r="B70" s="2">
        <v>3.7999999999999998E-10</v>
      </c>
      <c r="C70" s="2">
        <v>9.2999999999999999E-10</v>
      </c>
      <c r="D70" s="2">
        <v>-1</v>
      </c>
    </row>
    <row r="71" spans="1:4" x14ac:dyDescent="0.25">
      <c r="A71" t="s">
        <v>695</v>
      </c>
      <c r="B71" s="2">
        <v>7.4000000000000003E-10</v>
      </c>
      <c r="C71" s="2">
        <v>1.6999999999999999E-9</v>
      </c>
      <c r="D71" s="2">
        <v>-1</v>
      </c>
    </row>
    <row r="72" spans="1:4" x14ac:dyDescent="0.25">
      <c r="A72" t="s">
        <v>696</v>
      </c>
      <c r="B72" s="2">
        <v>4.8999999999999996E-10</v>
      </c>
      <c r="C72" s="2">
        <v>5.5999999999999997E-9</v>
      </c>
      <c r="D72" s="2">
        <v>-1</v>
      </c>
    </row>
    <row r="73" spans="1:4" x14ac:dyDescent="0.25">
      <c r="A73" t="s">
        <v>43</v>
      </c>
      <c r="B73" s="2">
        <v>1.0999999999999999E-9</v>
      </c>
      <c r="C73" s="2">
        <v>9.2999999999999999E-8</v>
      </c>
      <c r="D73" s="2">
        <v>-1</v>
      </c>
    </row>
    <row r="74" spans="1:4" x14ac:dyDescent="0.25">
      <c r="A74" t="s">
        <v>697</v>
      </c>
      <c r="B74" s="2">
        <v>4.6000000000000002E-8</v>
      </c>
      <c r="C74" s="2">
        <v>3.4000000000000001E-6</v>
      </c>
      <c r="D74" s="2">
        <v>-1</v>
      </c>
    </row>
    <row r="75" spans="1:4" x14ac:dyDescent="0.25">
      <c r="A75" t="s">
        <v>50</v>
      </c>
      <c r="B75" s="2">
        <v>9.1000000000000004E-9</v>
      </c>
      <c r="C75" s="2">
        <v>3.1E-8</v>
      </c>
      <c r="D75" s="2">
        <v>-1</v>
      </c>
    </row>
    <row r="76" spans="1:4" x14ac:dyDescent="0.25">
      <c r="A76" t="s">
        <v>53</v>
      </c>
      <c r="B76" s="2">
        <v>1E-8</v>
      </c>
      <c r="C76" s="2">
        <v>2.9999999999999997E-8</v>
      </c>
      <c r="D76" s="2">
        <v>-1</v>
      </c>
    </row>
    <row r="77" spans="1:4" x14ac:dyDescent="0.25">
      <c r="A77" t="s">
        <v>55</v>
      </c>
      <c r="B77" s="2">
        <v>7.0999999999999999E-9</v>
      </c>
      <c r="C77" s="2">
        <v>1.4E-8</v>
      </c>
      <c r="D77" s="2">
        <v>-1</v>
      </c>
    </row>
    <row r="78" spans="1:4" x14ac:dyDescent="0.25">
      <c r="A78" t="s">
        <v>698</v>
      </c>
      <c r="B78" s="2">
        <v>-1</v>
      </c>
      <c r="C78" s="2">
        <v>2.1000000000000002E-9</v>
      </c>
      <c r="D78" s="2">
        <v>-1</v>
      </c>
    </row>
    <row r="79" spans="1:4" x14ac:dyDescent="0.25">
      <c r="A79" t="s">
        <v>699</v>
      </c>
      <c r="B79" s="2">
        <v>-1</v>
      </c>
      <c r="C79" s="2">
        <v>3.3E-10</v>
      </c>
      <c r="D79" s="2">
        <v>-1</v>
      </c>
    </row>
    <row r="80" spans="1:4" x14ac:dyDescent="0.25">
      <c r="A80" t="s">
        <v>700</v>
      </c>
      <c r="B80" s="2">
        <v>-1</v>
      </c>
      <c r="C80" s="2">
        <v>6.8999999999999997E-5</v>
      </c>
      <c r="D80" s="2">
        <v>-1</v>
      </c>
    </row>
    <row r="81" spans="1:4" x14ac:dyDescent="0.25">
      <c r="A81" t="s">
        <v>701</v>
      </c>
      <c r="B81" s="2">
        <v>-1</v>
      </c>
      <c r="C81" s="2">
        <v>1.6E-7</v>
      </c>
      <c r="D81" s="2">
        <v>-1</v>
      </c>
    </row>
    <row r="82" spans="1:4" x14ac:dyDescent="0.25">
      <c r="A82" t="s">
        <v>702</v>
      </c>
      <c r="B82" s="2">
        <v>-1</v>
      </c>
      <c r="C82" s="2">
        <v>1.0000000000000001E-9</v>
      </c>
      <c r="D82" s="2">
        <v>-1</v>
      </c>
    </row>
    <row r="83" spans="1:4" x14ac:dyDescent="0.25">
      <c r="A83" t="s">
        <v>703</v>
      </c>
      <c r="B83" s="2">
        <v>2.6000000000000001E-11</v>
      </c>
      <c r="C83" s="2">
        <v>3.7999999999999998E-11</v>
      </c>
      <c r="D83" s="2">
        <v>-1</v>
      </c>
    </row>
    <row r="84" spans="1:4" x14ac:dyDescent="0.25">
      <c r="A84" t="s">
        <v>704</v>
      </c>
      <c r="B84" s="2">
        <v>3.9000000000000001E-11</v>
      </c>
      <c r="C84" s="2">
        <v>6.2000000000000006E-11</v>
      </c>
      <c r="D84" s="2">
        <v>-1</v>
      </c>
    </row>
    <row r="85" spans="1:4" x14ac:dyDescent="0.25">
      <c r="A85" t="s">
        <v>705</v>
      </c>
      <c r="B85" s="2">
        <v>2.9E-11</v>
      </c>
      <c r="C85" s="2">
        <v>5.2999999999999998E-11</v>
      </c>
      <c r="D85" s="2">
        <v>-1</v>
      </c>
    </row>
    <row r="86" spans="1:4" x14ac:dyDescent="0.25">
      <c r="A86" t="s">
        <v>706</v>
      </c>
      <c r="B86" s="2">
        <v>2.4E-10</v>
      </c>
      <c r="C86" s="2">
        <v>4.0999999999999998E-10</v>
      </c>
      <c r="D86" s="2">
        <v>-1</v>
      </c>
    </row>
    <row r="87" spans="1:4" x14ac:dyDescent="0.25">
      <c r="A87" t="s">
        <v>707</v>
      </c>
      <c r="B87" s="2">
        <v>6.2000000000000006E-11</v>
      </c>
      <c r="C87" s="2">
        <v>8.3999999999999994E-11</v>
      </c>
      <c r="D87" s="2">
        <v>-1</v>
      </c>
    </row>
    <row r="88" spans="1:4" x14ac:dyDescent="0.25">
      <c r="A88" t="s">
        <v>708</v>
      </c>
      <c r="B88" s="2">
        <v>5.9000000000000003E-12</v>
      </c>
      <c r="C88" s="2">
        <v>9.3999999999999995E-12</v>
      </c>
      <c r="D88" s="2">
        <v>-1</v>
      </c>
    </row>
    <row r="89" spans="1:4" x14ac:dyDescent="0.25">
      <c r="A89" t="s">
        <v>709</v>
      </c>
      <c r="B89" s="2">
        <v>3.3000000000000002E-11</v>
      </c>
      <c r="C89" s="2">
        <v>7.5999999999999996E-11</v>
      </c>
      <c r="D89" s="2">
        <v>-1</v>
      </c>
    </row>
    <row r="90" spans="1:4" x14ac:dyDescent="0.25">
      <c r="A90" t="s">
        <v>710</v>
      </c>
      <c r="B90" s="2">
        <v>3.4999999999999998E-10</v>
      </c>
      <c r="C90" s="2">
        <v>6.3E-10</v>
      </c>
      <c r="D90" s="2">
        <v>-1</v>
      </c>
    </row>
    <row r="91" spans="1:4" x14ac:dyDescent="0.25">
      <c r="A91" t="s">
        <v>711</v>
      </c>
      <c r="B91" s="2">
        <v>1.6E-11</v>
      </c>
      <c r="C91" s="2">
        <v>4.8000000000000002E-11</v>
      </c>
      <c r="D91" s="2">
        <v>-1</v>
      </c>
    </row>
    <row r="92" spans="1:4" x14ac:dyDescent="0.25">
      <c r="A92" t="s">
        <v>712</v>
      </c>
      <c r="B92" s="2">
        <v>2.2000000000000002E-11</v>
      </c>
      <c r="C92" s="2">
        <v>3.7000000000000001E-11</v>
      </c>
      <c r="D92" s="2">
        <v>-1</v>
      </c>
    </row>
    <row r="93" spans="1:4" x14ac:dyDescent="0.25">
      <c r="A93" t="s">
        <v>630</v>
      </c>
      <c r="B93" s="2">
        <v>1.1000000000000001E-11</v>
      </c>
      <c r="C93" s="2">
        <v>1.7999999999999999E-11</v>
      </c>
      <c r="D93" s="2">
        <v>1.7999999999999999E-11</v>
      </c>
    </row>
    <row r="94" spans="1:4" x14ac:dyDescent="0.25">
      <c r="A94" t="s">
        <v>2</v>
      </c>
      <c r="B94" s="2">
        <v>2.0000000000000001E-10</v>
      </c>
      <c r="C94" s="2">
        <v>2.0000000000000001E-9</v>
      </c>
      <c r="D94" s="2">
        <v>5.7999999999999998E-9</v>
      </c>
    </row>
    <row r="95" spans="1:4" x14ac:dyDescent="0.25">
      <c r="A95" t="s">
        <v>713</v>
      </c>
      <c r="B95" s="2">
        <v>1.7000000000000001E-10</v>
      </c>
      <c r="C95" s="2">
        <v>9.4999999999999995E-11</v>
      </c>
      <c r="D95" s="2">
        <v>1.8E-10</v>
      </c>
    </row>
    <row r="96" spans="1:4" x14ac:dyDescent="0.25">
      <c r="A96" t="s">
        <v>8</v>
      </c>
      <c r="B96" s="2">
        <v>4.6000000000000001E-10</v>
      </c>
      <c r="C96" s="2">
        <v>2.7000000000000002E-9</v>
      </c>
      <c r="D96" s="2">
        <v>3.7E-9</v>
      </c>
    </row>
    <row r="97" spans="1:4" x14ac:dyDescent="0.25">
      <c r="A97" t="s">
        <v>714</v>
      </c>
      <c r="B97" s="2">
        <v>5.4999999999999996E-10</v>
      </c>
      <c r="C97" s="2">
        <v>1.9000000000000001E-9</v>
      </c>
      <c r="D97" s="2">
        <v>2.1000000000000002E-9</v>
      </c>
    </row>
    <row r="98" spans="1:4" x14ac:dyDescent="0.25">
      <c r="A98" t="s">
        <v>715</v>
      </c>
      <c r="B98" s="2">
        <v>2.4000000000000001E-11</v>
      </c>
      <c r="C98" s="2">
        <v>3.3999999999999999E-11</v>
      </c>
      <c r="D98" s="2">
        <v>3.5000000000000002E-11</v>
      </c>
    </row>
    <row r="99" spans="1:4" x14ac:dyDescent="0.25">
      <c r="A99" t="s">
        <v>716</v>
      </c>
      <c r="B99" s="2">
        <v>2.0999999999999999E-11</v>
      </c>
      <c r="C99" s="2">
        <v>8.2999999999999998E-11</v>
      </c>
      <c r="D99" s="2">
        <v>7.7000000000000006E-11</v>
      </c>
    </row>
    <row r="100" spans="1:4" x14ac:dyDescent="0.25">
      <c r="A100" t="s">
        <v>717</v>
      </c>
      <c r="B100" s="2">
        <v>8.0999999999999997E-9</v>
      </c>
      <c r="C100" s="2">
        <v>6.6000000000000004E-9</v>
      </c>
      <c r="D100" s="2">
        <v>6.2000000000000001E-9</v>
      </c>
    </row>
    <row r="101" spans="1:4" x14ac:dyDescent="0.25">
      <c r="A101" t="s">
        <v>145</v>
      </c>
      <c r="B101" s="2">
        <v>1.1999999999999999E-7</v>
      </c>
      <c r="C101" s="2">
        <v>5.5000000000000003E-8</v>
      </c>
      <c r="D101" s="2">
        <v>2.6000000000000001E-8</v>
      </c>
    </row>
    <row r="102" spans="1:4" x14ac:dyDescent="0.25">
      <c r="A102" t="s">
        <v>115</v>
      </c>
      <c r="B102" s="2">
        <v>1.1000000000000001E-7</v>
      </c>
      <c r="C102" s="2">
        <v>5.2000000000000002E-8</v>
      </c>
      <c r="D102" s="2">
        <v>3.1E-8</v>
      </c>
    </row>
    <row r="103" spans="1:4" x14ac:dyDescent="0.25">
      <c r="A103" t="s">
        <v>718</v>
      </c>
      <c r="B103" s="2">
        <v>3.4999999999999998E-10</v>
      </c>
      <c r="C103" s="2">
        <v>9.7999999999999992E-10</v>
      </c>
      <c r="D103" s="2">
        <v>1.0999999999999999E-9</v>
      </c>
    </row>
    <row r="104" spans="1:4" x14ac:dyDescent="0.25">
      <c r="A104" t="s">
        <v>719</v>
      </c>
      <c r="B104" s="2">
        <v>5.3000000000000003E-9</v>
      </c>
      <c r="C104" s="2">
        <v>6.2000000000000001E-9</v>
      </c>
      <c r="D104" s="2">
        <v>7.6999999999999995E-9</v>
      </c>
    </row>
    <row r="105" spans="1:4" x14ac:dyDescent="0.25">
      <c r="A105" t="s">
        <v>720</v>
      </c>
      <c r="B105" s="2">
        <v>6.7000000000000001E-11</v>
      </c>
      <c r="C105" s="2">
        <v>1.5999999999999999E-10</v>
      </c>
      <c r="D105" s="2">
        <v>1.7000000000000001E-10</v>
      </c>
    </row>
    <row r="106" spans="1:4" x14ac:dyDescent="0.25">
      <c r="A106" t="s">
        <v>721</v>
      </c>
      <c r="B106" s="2">
        <v>9.3999999999999999E-11</v>
      </c>
      <c r="C106" s="2">
        <v>2.0000000000000001E-10</v>
      </c>
      <c r="D106" s="2">
        <v>2.1E-10</v>
      </c>
    </row>
    <row r="107" spans="1:4" x14ac:dyDescent="0.25">
      <c r="A107" t="s">
        <v>722</v>
      </c>
      <c r="B107" s="2">
        <v>5.7E-10</v>
      </c>
      <c r="C107" s="2">
        <v>1.3000000000000001E-9</v>
      </c>
      <c r="D107" s="2">
        <v>1.3000000000000001E-9</v>
      </c>
    </row>
    <row r="108" spans="1:4" x14ac:dyDescent="0.25">
      <c r="A108" t="s">
        <v>723</v>
      </c>
      <c r="B108" s="2">
        <v>2.4E-10</v>
      </c>
      <c r="C108" s="2">
        <v>4.8E-10</v>
      </c>
      <c r="D108" s="2">
        <v>5.0000000000000003E-10</v>
      </c>
    </row>
    <row r="109" spans="1:4" x14ac:dyDescent="0.25">
      <c r="A109" t="s">
        <v>724</v>
      </c>
      <c r="B109" s="2">
        <v>7.0000000000000001E-12</v>
      </c>
      <c r="C109" s="2">
        <v>9.7999999999999994E-12</v>
      </c>
      <c r="D109" s="2">
        <v>9.9999999999999994E-12</v>
      </c>
    </row>
    <row r="110" spans="1:4" x14ac:dyDescent="0.25">
      <c r="A110" t="s">
        <v>725</v>
      </c>
      <c r="B110" s="2">
        <v>1.2E-10</v>
      </c>
      <c r="C110" s="2">
        <v>4.0999999999999998E-10</v>
      </c>
      <c r="D110" s="2">
        <v>4.3999999999999998E-10</v>
      </c>
    </row>
    <row r="111" spans="1:4" x14ac:dyDescent="0.25">
      <c r="A111" t="s">
        <v>726</v>
      </c>
      <c r="B111" s="2">
        <v>1.5E-9</v>
      </c>
      <c r="C111" s="2">
        <v>1.6999999999999999E-9</v>
      </c>
      <c r="D111" s="2">
        <v>1.9000000000000001E-9</v>
      </c>
    </row>
    <row r="112" spans="1:4" x14ac:dyDescent="0.25">
      <c r="A112" t="s">
        <v>727</v>
      </c>
      <c r="B112" s="2">
        <v>9.2999999999999999E-10</v>
      </c>
      <c r="C112" s="2">
        <v>3.2000000000000001E-9</v>
      </c>
      <c r="D112" s="2">
        <v>3.8000000000000001E-9</v>
      </c>
    </row>
    <row r="113" spans="1:4" x14ac:dyDescent="0.25">
      <c r="A113" t="s">
        <v>728</v>
      </c>
      <c r="B113" s="2">
        <v>2.7E-10</v>
      </c>
      <c r="C113" s="2">
        <v>7.5E-10</v>
      </c>
      <c r="D113" s="2">
        <v>8.3000000000000003E-10</v>
      </c>
    </row>
    <row r="114" spans="1:4" x14ac:dyDescent="0.25">
      <c r="A114" t="s">
        <v>124</v>
      </c>
      <c r="B114" s="2">
        <v>4.0000000000000001E-8</v>
      </c>
      <c r="C114" s="2">
        <v>3.5999999999999998E-8</v>
      </c>
      <c r="D114" s="2">
        <v>5.2999999999999998E-8</v>
      </c>
    </row>
    <row r="115" spans="1:4" x14ac:dyDescent="0.25">
      <c r="A115" t="s">
        <v>729</v>
      </c>
      <c r="B115" s="2">
        <v>-1</v>
      </c>
      <c r="C115" s="2">
        <v>1.4E-8</v>
      </c>
      <c r="D115" s="2">
        <v>-1</v>
      </c>
    </row>
    <row r="116" spans="1:4" x14ac:dyDescent="0.25">
      <c r="A116" t="s">
        <v>730</v>
      </c>
      <c r="B116" s="2">
        <v>-1</v>
      </c>
      <c r="C116" s="2">
        <v>4.4999999999999998E-7</v>
      </c>
      <c r="D116" s="2">
        <v>-1</v>
      </c>
    </row>
    <row r="117" spans="1:4" x14ac:dyDescent="0.25">
      <c r="A117" t="s">
        <v>731</v>
      </c>
      <c r="B117" s="2">
        <v>-1</v>
      </c>
      <c r="C117" s="2">
        <v>8.8000000000000004E-6</v>
      </c>
      <c r="D117" s="2">
        <v>-1</v>
      </c>
    </row>
    <row r="118" spans="1:4" x14ac:dyDescent="0.25">
      <c r="A118" t="s">
        <v>732</v>
      </c>
      <c r="B118" s="2">
        <v>-1</v>
      </c>
      <c r="C118" s="2">
        <v>6.9999999999999994E-5</v>
      </c>
      <c r="D118" s="2">
        <v>-1</v>
      </c>
    </row>
    <row r="119" spans="1:4" x14ac:dyDescent="0.25">
      <c r="A119" t="s">
        <v>733</v>
      </c>
      <c r="B119" s="2">
        <v>-1</v>
      </c>
      <c r="C119" s="2">
        <v>3.4E-5</v>
      </c>
      <c r="D119" s="2">
        <v>-1</v>
      </c>
    </row>
    <row r="120" spans="1:4" x14ac:dyDescent="0.25">
      <c r="A120" t="s">
        <v>734</v>
      </c>
      <c r="B120" s="2">
        <v>-1</v>
      </c>
      <c r="C120" s="2">
        <v>7.1000000000000005E-5</v>
      </c>
      <c r="D120" s="2">
        <v>-1</v>
      </c>
    </row>
    <row r="121" spans="1:4" x14ac:dyDescent="0.25">
      <c r="A121" t="s">
        <v>735</v>
      </c>
      <c r="B121" s="2">
        <v>-1</v>
      </c>
      <c r="C121" s="2">
        <v>2.0000000000000002E-5</v>
      </c>
      <c r="D121" s="2">
        <v>-1</v>
      </c>
    </row>
    <row r="122" spans="1:4" x14ac:dyDescent="0.25">
      <c r="A122" t="s">
        <v>736</v>
      </c>
      <c r="B122" s="2">
        <v>-1</v>
      </c>
      <c r="C122" s="2">
        <v>1.3E-6</v>
      </c>
      <c r="D122" s="2">
        <v>-1</v>
      </c>
    </row>
    <row r="123" spans="1:4" x14ac:dyDescent="0.25">
      <c r="A123" t="s">
        <v>737</v>
      </c>
      <c r="B123" s="2">
        <v>-1</v>
      </c>
      <c r="C123" s="2">
        <v>4.1E-5</v>
      </c>
      <c r="D123" s="2">
        <v>-1</v>
      </c>
    </row>
    <row r="124" spans="1:4" x14ac:dyDescent="0.25">
      <c r="A124" t="s">
        <v>7</v>
      </c>
      <c r="B124" s="2">
        <v>3.3E-10</v>
      </c>
      <c r="C124" s="2">
        <v>7.3E-9</v>
      </c>
      <c r="D124" s="2">
        <v>-1</v>
      </c>
    </row>
    <row r="125" spans="1:4" x14ac:dyDescent="0.25">
      <c r="A125" t="s">
        <v>738</v>
      </c>
      <c r="B125" s="2">
        <v>2.5000000000000001E-11</v>
      </c>
      <c r="C125" s="2">
        <v>4.5E-11</v>
      </c>
      <c r="D125" s="2">
        <v>-1</v>
      </c>
    </row>
    <row r="126" spans="1:4" x14ac:dyDescent="0.25">
      <c r="A126" t="s">
        <v>739</v>
      </c>
      <c r="B126" s="2">
        <v>2.5000000000000001E-11</v>
      </c>
      <c r="C126" s="2">
        <v>4.6000000000000003E-11</v>
      </c>
      <c r="D126" s="2">
        <v>-1</v>
      </c>
    </row>
    <row r="127" spans="1:4" x14ac:dyDescent="0.25">
      <c r="A127" t="s">
        <v>740</v>
      </c>
      <c r="B127" s="2">
        <v>7.7999999999999999E-10</v>
      </c>
      <c r="C127" s="2">
        <v>4.4999999999999998E-9</v>
      </c>
      <c r="D127" s="2">
        <v>4.9E-9</v>
      </c>
    </row>
    <row r="128" spans="1:4" x14ac:dyDescent="0.25">
      <c r="A128" t="s">
        <v>741</v>
      </c>
      <c r="B128" s="2">
        <v>1.3E-6</v>
      </c>
      <c r="C128" s="2">
        <v>3.1999999999999999E-6</v>
      </c>
      <c r="D128" s="2">
        <v>3.4999999999999999E-6</v>
      </c>
    </row>
    <row r="129" spans="1:4" x14ac:dyDescent="0.25">
      <c r="A129" t="s">
        <v>742</v>
      </c>
      <c r="B129" s="2">
        <v>2.7E-8</v>
      </c>
      <c r="C129" s="2">
        <v>3.7E-8</v>
      </c>
      <c r="D129" s="2">
        <v>3.7E-8</v>
      </c>
    </row>
    <row r="130" spans="1:4" x14ac:dyDescent="0.25">
      <c r="A130" t="s">
        <v>136</v>
      </c>
      <c r="B130" s="2">
        <v>3.3000000000000002E-6</v>
      </c>
      <c r="C130" s="2">
        <v>5.2000000000000002E-6</v>
      </c>
      <c r="D130" s="2">
        <v>5.9000000000000003E-6</v>
      </c>
    </row>
    <row r="131" spans="1:4" x14ac:dyDescent="0.25">
      <c r="A131" t="s">
        <v>105</v>
      </c>
      <c r="B131" s="2">
        <v>6.8999999999999997E-5</v>
      </c>
      <c r="C131" s="2">
        <v>3.1000000000000001E-5</v>
      </c>
      <c r="D131" s="2">
        <v>1.5E-5</v>
      </c>
    </row>
    <row r="132" spans="1:4" x14ac:dyDescent="0.25">
      <c r="A132" t="s">
        <v>106</v>
      </c>
      <c r="B132" s="2">
        <v>5.7000000000000003E-5</v>
      </c>
      <c r="C132" s="2">
        <v>2.6999999999999999E-5</v>
      </c>
      <c r="D132" s="2">
        <v>1.2999999999999999E-5</v>
      </c>
    </row>
    <row r="133" spans="1:4" x14ac:dyDescent="0.25">
      <c r="A133" t="s">
        <v>137</v>
      </c>
      <c r="B133" s="2">
        <v>9.8999999999999994E-5</v>
      </c>
      <c r="C133" s="2">
        <v>4.1999999999999998E-5</v>
      </c>
      <c r="D133" s="2">
        <v>1.5999999999999999E-5</v>
      </c>
    </row>
    <row r="134" spans="1:4" x14ac:dyDescent="0.25">
      <c r="A134" t="s">
        <v>138</v>
      </c>
      <c r="B134" s="2">
        <v>9.7999999999999997E-5</v>
      </c>
      <c r="C134" s="2">
        <v>4.1999999999999998E-5</v>
      </c>
      <c r="D134" s="2">
        <v>1.5999999999999999E-5</v>
      </c>
    </row>
    <row r="135" spans="1:4" x14ac:dyDescent="0.25">
      <c r="A135" t="s">
        <v>743</v>
      </c>
      <c r="B135" s="2">
        <v>9.0000000000000006E-5</v>
      </c>
      <c r="C135" s="2">
        <v>3.8999999999999999E-5</v>
      </c>
      <c r="D135" s="2">
        <v>1.4E-5</v>
      </c>
    </row>
    <row r="136" spans="1:4" x14ac:dyDescent="0.25">
      <c r="A136" t="s">
        <v>744</v>
      </c>
      <c r="B136" s="2">
        <v>3.6000000000000002E-4</v>
      </c>
      <c r="C136" s="2">
        <v>1.4999999999999999E-4</v>
      </c>
      <c r="D136" s="2">
        <v>4.8000000000000001E-5</v>
      </c>
    </row>
    <row r="137" spans="1:4" x14ac:dyDescent="0.25">
      <c r="A137" t="s">
        <v>745</v>
      </c>
      <c r="B137" s="2">
        <v>3.9999999999999998E-11</v>
      </c>
      <c r="C137" s="2">
        <v>3.3000000000000002E-11</v>
      </c>
      <c r="D137" s="2">
        <v>3.3000000000000002E-11</v>
      </c>
    </row>
    <row r="138" spans="1:4" x14ac:dyDescent="0.25">
      <c r="A138" t="s">
        <v>746</v>
      </c>
      <c r="B138" s="2">
        <v>2.0999999999999999E-3</v>
      </c>
      <c r="C138" s="2">
        <v>8.4000000000000003E-4</v>
      </c>
      <c r="D138" s="2">
        <v>2.5999999999999998E-4</v>
      </c>
    </row>
    <row r="139" spans="1:4" x14ac:dyDescent="0.25">
      <c r="A139" t="s">
        <v>747</v>
      </c>
      <c r="B139" s="2">
        <v>2.7E-10</v>
      </c>
      <c r="C139" s="2">
        <v>5.0000000000000003E-10</v>
      </c>
      <c r="D139" s="2">
        <v>5.3000000000000003E-10</v>
      </c>
    </row>
    <row r="140" spans="1:4" x14ac:dyDescent="0.25">
      <c r="A140" t="s">
        <v>748</v>
      </c>
      <c r="B140" s="2">
        <v>1.8E-9</v>
      </c>
      <c r="C140" s="2">
        <v>4.8E-9</v>
      </c>
      <c r="D140" s="2">
        <v>6.6999999999999996E-9</v>
      </c>
    </row>
    <row r="141" spans="1:4" x14ac:dyDescent="0.25">
      <c r="A141" t="s">
        <v>12</v>
      </c>
      <c r="B141" s="2">
        <v>1.8999999999999999E-10</v>
      </c>
      <c r="C141" s="2">
        <v>5.4999999999999996E-10</v>
      </c>
      <c r="D141" s="2">
        <v>1.0000000000000001E-9</v>
      </c>
    </row>
    <row r="142" spans="1:4" x14ac:dyDescent="0.25">
      <c r="A142" t="s">
        <v>749</v>
      </c>
      <c r="B142" s="2">
        <v>5.3000000000000003E-10</v>
      </c>
      <c r="C142" s="2">
        <v>1.6000000000000001E-9</v>
      </c>
      <c r="D142" s="2">
        <v>2.1000000000000002E-9</v>
      </c>
    </row>
    <row r="143" spans="1:4" x14ac:dyDescent="0.25">
      <c r="A143" t="s">
        <v>750</v>
      </c>
      <c r="B143" s="2">
        <v>5.1999999999999997E-12</v>
      </c>
      <c r="C143" s="2">
        <v>1.3E-11</v>
      </c>
      <c r="D143" s="2">
        <v>1.6999999999999999E-11</v>
      </c>
    </row>
    <row r="144" spans="1:4" x14ac:dyDescent="0.25">
      <c r="A144" t="s">
        <v>14</v>
      </c>
      <c r="B144" s="2">
        <v>5.2000000000000002E-9</v>
      </c>
      <c r="C144" s="2">
        <v>1E-8</v>
      </c>
      <c r="D144" s="2">
        <v>3.1E-8</v>
      </c>
    </row>
    <row r="145" spans="1:4" x14ac:dyDescent="0.25">
      <c r="A145" t="s">
        <v>751</v>
      </c>
      <c r="B145" s="2">
        <v>6.8999999999999999E-13</v>
      </c>
      <c r="C145" s="2">
        <v>1.1999999999999999E-12</v>
      </c>
      <c r="D145" s="2">
        <v>1.4000000000000001E-12</v>
      </c>
    </row>
    <row r="146" spans="1:4" x14ac:dyDescent="0.25">
      <c r="A146" t="s">
        <v>752</v>
      </c>
      <c r="B146" s="2">
        <v>1.8999999999999999E-11</v>
      </c>
      <c r="C146" s="2">
        <v>4.6999999999999999E-11</v>
      </c>
      <c r="D146" s="2">
        <v>5.0999999999999998E-11</v>
      </c>
    </row>
    <row r="147" spans="1:4" x14ac:dyDescent="0.25">
      <c r="A147" t="s">
        <v>753</v>
      </c>
      <c r="B147" s="2">
        <v>1.4E-11</v>
      </c>
      <c r="C147" s="2">
        <v>1.9999999999999999E-11</v>
      </c>
      <c r="D147" s="2">
        <v>2.0999999999999999E-11</v>
      </c>
    </row>
    <row r="148" spans="1:4" x14ac:dyDescent="0.25">
      <c r="A148" t="s">
        <v>754</v>
      </c>
      <c r="B148" s="2">
        <v>9.8999999999999994E-11</v>
      </c>
      <c r="C148" s="2">
        <v>2.0000000000000001E-10</v>
      </c>
      <c r="D148" s="2">
        <v>2.1999999999999999E-10</v>
      </c>
    </row>
    <row r="149" spans="1:4" x14ac:dyDescent="0.25">
      <c r="A149" t="s">
        <v>755</v>
      </c>
      <c r="B149" s="2">
        <v>1.8999999999999999E-11</v>
      </c>
      <c r="C149" s="2">
        <v>3.3000000000000002E-11</v>
      </c>
      <c r="D149" s="2">
        <v>3.5000000000000002E-11</v>
      </c>
    </row>
    <row r="150" spans="1:4" x14ac:dyDescent="0.25">
      <c r="A150" t="s">
        <v>9</v>
      </c>
      <c r="B150" s="2">
        <v>1.9999999999999999E-11</v>
      </c>
      <c r="C150" s="2">
        <v>3.1999999999999999E-11</v>
      </c>
      <c r="D150" s="2">
        <v>3.7000000000000001E-11</v>
      </c>
    </row>
    <row r="151" spans="1:4" x14ac:dyDescent="0.25">
      <c r="A151" t="s">
        <v>756</v>
      </c>
      <c r="B151" s="2">
        <v>1.2000000000000001E-11</v>
      </c>
      <c r="C151" s="2">
        <v>2.2000000000000002E-11</v>
      </c>
      <c r="D151" s="2">
        <v>2.3000000000000001E-11</v>
      </c>
    </row>
    <row r="152" spans="1:4" x14ac:dyDescent="0.25">
      <c r="A152" t="s">
        <v>757</v>
      </c>
      <c r="B152" s="2">
        <v>1.9999999999999999E-11</v>
      </c>
      <c r="C152" s="2">
        <v>3.5999999999999998E-11</v>
      </c>
      <c r="D152" s="2">
        <v>3.7999999999999998E-11</v>
      </c>
    </row>
    <row r="153" spans="1:4" x14ac:dyDescent="0.25">
      <c r="A153" t="s">
        <v>758</v>
      </c>
      <c r="B153" s="2">
        <v>4.1999999999999997E-11</v>
      </c>
      <c r="C153" s="2">
        <v>7.3000000000000006E-11</v>
      </c>
      <c r="D153" s="2">
        <v>7.7000000000000006E-11</v>
      </c>
    </row>
    <row r="154" spans="1:4" x14ac:dyDescent="0.25">
      <c r="A154" t="s">
        <v>759</v>
      </c>
      <c r="B154" s="2">
        <v>7.7999999999999999E-12</v>
      </c>
      <c r="C154" s="2">
        <v>1.4E-11</v>
      </c>
      <c r="D154" s="2">
        <v>1.4E-11</v>
      </c>
    </row>
    <row r="155" spans="1:4" x14ac:dyDescent="0.25">
      <c r="A155" t="s">
        <v>760</v>
      </c>
      <c r="B155" s="2">
        <v>2.7E-11</v>
      </c>
      <c r="C155" s="2">
        <v>4.4000000000000003E-11</v>
      </c>
      <c r="D155" s="2">
        <v>4.6999999999999999E-11</v>
      </c>
    </row>
    <row r="156" spans="1:4" x14ac:dyDescent="0.25">
      <c r="A156" t="s">
        <v>761</v>
      </c>
      <c r="B156" s="2">
        <v>2.3000000000000001E-10</v>
      </c>
      <c r="C156" s="2">
        <v>2.8999999999999998E-10</v>
      </c>
      <c r="D156" s="2">
        <v>3E-10</v>
      </c>
    </row>
    <row r="157" spans="1:4" x14ac:dyDescent="0.25">
      <c r="A157" t="s">
        <v>122</v>
      </c>
      <c r="B157" s="2">
        <v>6.6000000000000004E-9</v>
      </c>
      <c r="C157" s="2">
        <v>9.1000000000000004E-9</v>
      </c>
      <c r="D157" s="2">
        <v>2E-8</v>
      </c>
    </row>
    <row r="158" spans="1:4" x14ac:dyDescent="0.25">
      <c r="A158" t="s">
        <v>762</v>
      </c>
      <c r="B158" s="2">
        <v>1.4E-11</v>
      </c>
      <c r="C158" s="2">
        <v>5.4000000000000001E-11</v>
      </c>
      <c r="D158" s="2">
        <v>6E-11</v>
      </c>
    </row>
    <row r="159" spans="1:4" x14ac:dyDescent="0.25">
      <c r="A159" t="s">
        <v>123</v>
      </c>
      <c r="B159" s="2">
        <v>6.9E-10</v>
      </c>
      <c r="C159" s="2">
        <v>3.1E-9</v>
      </c>
      <c r="D159" s="2">
        <v>8.5999999999999993E-9</v>
      </c>
    </row>
    <row r="160" spans="1:4" x14ac:dyDescent="0.25">
      <c r="A160" t="s">
        <v>763</v>
      </c>
      <c r="B160" s="2">
        <v>1.2000000000000001E-11</v>
      </c>
      <c r="C160" s="2">
        <v>1.5E-11</v>
      </c>
      <c r="D160" s="2">
        <v>1.6E-11</v>
      </c>
    </row>
    <row r="161" spans="1:4" x14ac:dyDescent="0.25">
      <c r="A161" t="s">
        <v>764</v>
      </c>
      <c r="B161" s="2">
        <v>1.2E-9</v>
      </c>
      <c r="C161" s="2">
        <v>2.5000000000000001E-9</v>
      </c>
      <c r="D161" s="2">
        <v>2.7999999999999998E-9</v>
      </c>
    </row>
    <row r="162" spans="1:4" x14ac:dyDescent="0.25">
      <c r="A162" t="s">
        <v>31</v>
      </c>
      <c r="B162" s="2">
        <v>4.5999999999999998E-9</v>
      </c>
      <c r="C162" s="2">
        <v>9.6999999999999992E-9</v>
      </c>
      <c r="D162" s="2">
        <v>3.8999999999999998E-8</v>
      </c>
    </row>
    <row r="163" spans="1:4" x14ac:dyDescent="0.25">
      <c r="A163" t="s">
        <v>765</v>
      </c>
      <c r="B163" s="2">
        <v>2.4000000000000001E-11</v>
      </c>
      <c r="C163" s="2">
        <v>4.1000000000000001E-11</v>
      </c>
      <c r="D163" s="2">
        <v>4.3E-11</v>
      </c>
    </row>
    <row r="164" spans="1:4" x14ac:dyDescent="0.25">
      <c r="A164" t="s">
        <v>766</v>
      </c>
      <c r="B164" s="2">
        <v>2.3000000000000001E-11</v>
      </c>
      <c r="C164" s="2">
        <v>3.3000000000000002E-11</v>
      </c>
      <c r="D164" s="2">
        <v>3.3999999999999999E-11</v>
      </c>
    </row>
    <row r="165" spans="1:4" x14ac:dyDescent="0.25">
      <c r="A165" t="s">
        <v>767</v>
      </c>
      <c r="B165" s="2">
        <v>3.7000000000000001E-11</v>
      </c>
      <c r="C165" s="2">
        <v>7.4000000000000003E-11</v>
      </c>
      <c r="D165" s="2">
        <v>7.8000000000000002E-11</v>
      </c>
    </row>
    <row r="166" spans="1:4" x14ac:dyDescent="0.25">
      <c r="A166" t="s">
        <v>16</v>
      </c>
      <c r="B166" s="2">
        <v>3.5000000000000002E-11</v>
      </c>
      <c r="C166" s="2">
        <v>1.0999999999999999E-10</v>
      </c>
      <c r="D166" s="2">
        <v>1.2E-10</v>
      </c>
    </row>
    <row r="167" spans="1:4" x14ac:dyDescent="0.25">
      <c r="A167" t="s">
        <v>768</v>
      </c>
      <c r="B167" s="2">
        <v>1E-10</v>
      </c>
      <c r="C167" s="2">
        <v>5.4999999999999996E-10</v>
      </c>
      <c r="D167" s="2">
        <v>6.0999999999999996E-10</v>
      </c>
    </row>
    <row r="168" spans="1:4" x14ac:dyDescent="0.25">
      <c r="A168" t="s">
        <v>769</v>
      </c>
      <c r="B168" s="2">
        <v>-1</v>
      </c>
      <c r="C168" s="2">
        <v>7.7000000000000006E-11</v>
      </c>
      <c r="D168" s="2">
        <v>-1</v>
      </c>
    </row>
    <row r="169" spans="1:4" x14ac:dyDescent="0.25">
      <c r="A169" t="s">
        <v>770</v>
      </c>
      <c r="B169" s="2">
        <v>-1</v>
      </c>
      <c r="C169" s="2">
        <v>3E-11</v>
      </c>
      <c r="D169" s="2">
        <v>-1</v>
      </c>
    </row>
    <row r="170" spans="1:4" x14ac:dyDescent="0.25">
      <c r="A170" t="s">
        <v>771</v>
      </c>
      <c r="B170" s="2">
        <v>-1</v>
      </c>
      <c r="C170" s="2">
        <v>3.7000000000000001E-10</v>
      </c>
      <c r="D170" s="2">
        <v>-1</v>
      </c>
    </row>
    <row r="171" spans="1:4" x14ac:dyDescent="0.25">
      <c r="A171" t="s">
        <v>772</v>
      </c>
      <c r="B171" s="2">
        <v>-1</v>
      </c>
      <c r="C171" s="2">
        <v>6E-11</v>
      </c>
      <c r="D171" s="2">
        <v>-1</v>
      </c>
    </row>
    <row r="172" spans="1:4" x14ac:dyDescent="0.25">
      <c r="A172" t="s">
        <v>773</v>
      </c>
      <c r="B172" s="2">
        <v>-1</v>
      </c>
      <c r="C172" s="2">
        <v>1.9000000000000001E-9</v>
      </c>
      <c r="D172" s="2">
        <v>-1</v>
      </c>
    </row>
    <row r="173" spans="1:4" x14ac:dyDescent="0.25">
      <c r="A173" t="s">
        <v>774</v>
      </c>
      <c r="B173" s="2">
        <v>-1</v>
      </c>
      <c r="C173" s="2">
        <v>4.8000000000000002E-11</v>
      </c>
      <c r="D173" s="2">
        <v>-1</v>
      </c>
    </row>
    <row r="174" spans="1:4" x14ac:dyDescent="0.25">
      <c r="A174" t="s">
        <v>775</v>
      </c>
      <c r="B174" s="2">
        <v>-1</v>
      </c>
      <c r="C174" s="2">
        <v>7.8999999999999999E-12</v>
      </c>
      <c r="D174" s="2">
        <v>-1</v>
      </c>
    </row>
    <row r="175" spans="1:4" x14ac:dyDescent="0.25">
      <c r="A175" t="s">
        <v>776</v>
      </c>
      <c r="B175" s="2">
        <v>-1</v>
      </c>
      <c r="C175" s="2">
        <v>1.0000000000000001E-9</v>
      </c>
      <c r="D175" s="2">
        <v>-1</v>
      </c>
    </row>
    <row r="176" spans="1:4" x14ac:dyDescent="0.25">
      <c r="A176" t="s">
        <v>777</v>
      </c>
      <c r="B176" s="2">
        <v>-1</v>
      </c>
      <c r="C176" s="2">
        <v>2.1999999999999999E-10</v>
      </c>
      <c r="D176" s="2">
        <v>-1</v>
      </c>
    </row>
    <row r="177" spans="1:4" x14ac:dyDescent="0.25">
      <c r="A177" t="s">
        <v>778</v>
      </c>
      <c r="B177" s="2">
        <v>-1</v>
      </c>
      <c r="C177" s="2">
        <v>1.0999999999999999E-9</v>
      </c>
      <c r="D177" s="2">
        <v>-1</v>
      </c>
    </row>
    <row r="178" spans="1:4" x14ac:dyDescent="0.25">
      <c r="A178" t="s">
        <v>779</v>
      </c>
      <c r="B178" s="2">
        <v>-1</v>
      </c>
      <c r="C178" s="2">
        <v>6.3E-10</v>
      </c>
      <c r="D178" s="2">
        <v>-1</v>
      </c>
    </row>
    <row r="179" spans="1:4" x14ac:dyDescent="0.25">
      <c r="A179" t="s">
        <v>780</v>
      </c>
      <c r="B179" s="2">
        <v>-1</v>
      </c>
      <c r="C179" s="2">
        <v>2.1000000000000002E-9</v>
      </c>
      <c r="D179" s="2">
        <v>-1</v>
      </c>
    </row>
    <row r="180" spans="1:4" x14ac:dyDescent="0.25">
      <c r="A180" t="s">
        <v>781</v>
      </c>
      <c r="B180" s="2">
        <v>-1</v>
      </c>
      <c r="C180" s="2">
        <v>2.7E-6</v>
      </c>
      <c r="D180" s="2">
        <v>-1</v>
      </c>
    </row>
    <row r="181" spans="1:4" x14ac:dyDescent="0.25">
      <c r="A181" t="s">
        <v>782</v>
      </c>
      <c r="B181" s="2">
        <v>-1</v>
      </c>
      <c r="C181" s="2">
        <v>8.6000000000000007E-6</v>
      </c>
      <c r="D181" s="2">
        <v>-1</v>
      </c>
    </row>
    <row r="182" spans="1:4" x14ac:dyDescent="0.25">
      <c r="A182" t="s">
        <v>783</v>
      </c>
      <c r="B182" s="2">
        <v>-1</v>
      </c>
      <c r="C182" s="2">
        <v>4.7E-7</v>
      </c>
      <c r="D182" s="2">
        <v>-1</v>
      </c>
    </row>
    <row r="183" spans="1:4" x14ac:dyDescent="0.25">
      <c r="A183" t="s">
        <v>784</v>
      </c>
      <c r="B183" s="2">
        <v>-1</v>
      </c>
      <c r="C183" s="2">
        <v>5.4999999999999996E-10</v>
      </c>
      <c r="D183" s="2">
        <v>-1</v>
      </c>
    </row>
    <row r="184" spans="1:4" x14ac:dyDescent="0.25">
      <c r="A184" t="s">
        <v>785</v>
      </c>
      <c r="B184" s="2">
        <v>-1</v>
      </c>
      <c r="C184" s="2">
        <v>8.0000000000000003E-10</v>
      </c>
      <c r="D184" s="2">
        <v>-1</v>
      </c>
    </row>
    <row r="185" spans="1:4" x14ac:dyDescent="0.25">
      <c r="A185" t="s">
        <v>786</v>
      </c>
      <c r="B185" s="2">
        <v>-1</v>
      </c>
      <c r="C185" s="2">
        <v>1.0999999999999999E-9</v>
      </c>
      <c r="D185" s="2">
        <v>-1</v>
      </c>
    </row>
    <row r="186" spans="1:4" x14ac:dyDescent="0.25">
      <c r="A186" t="s">
        <v>787</v>
      </c>
      <c r="B186" s="2">
        <v>-1</v>
      </c>
      <c r="C186" s="2">
        <v>2.6000000000000001E-9</v>
      </c>
      <c r="D186" s="2">
        <v>-1</v>
      </c>
    </row>
    <row r="187" spans="1:4" x14ac:dyDescent="0.25">
      <c r="A187" t="s">
        <v>788</v>
      </c>
      <c r="B187" s="2">
        <v>-1</v>
      </c>
      <c r="C187" s="2">
        <v>2.8999999999999998E-10</v>
      </c>
      <c r="D187" s="2">
        <v>-1</v>
      </c>
    </row>
    <row r="188" spans="1:4" x14ac:dyDescent="0.25">
      <c r="A188" t="s">
        <v>789</v>
      </c>
      <c r="B188" s="2">
        <v>-1</v>
      </c>
      <c r="C188" s="2">
        <v>5.2999999999999998E-8</v>
      </c>
      <c r="D188" s="2">
        <v>-1</v>
      </c>
    </row>
    <row r="189" spans="1:4" x14ac:dyDescent="0.25">
      <c r="A189" t="s">
        <v>790</v>
      </c>
      <c r="B189" s="2">
        <v>-1</v>
      </c>
      <c r="C189" s="2">
        <v>1.8999999999999999E-10</v>
      </c>
      <c r="D189" s="2">
        <v>-1</v>
      </c>
    </row>
    <row r="190" spans="1:4" x14ac:dyDescent="0.25">
      <c r="A190" t="s">
        <v>36</v>
      </c>
      <c r="B190" s="2">
        <v>-1</v>
      </c>
      <c r="C190" s="2">
        <v>4.1999999999999999E-8</v>
      </c>
      <c r="D190" s="2">
        <v>-1</v>
      </c>
    </row>
    <row r="191" spans="1:4" x14ac:dyDescent="0.25">
      <c r="A191" t="s">
        <v>791</v>
      </c>
      <c r="B191" s="2">
        <v>-1</v>
      </c>
      <c r="C191" s="2">
        <v>2.1999999999999999E-10</v>
      </c>
      <c r="D191" s="2">
        <v>-1</v>
      </c>
    </row>
    <row r="192" spans="1:4" x14ac:dyDescent="0.25">
      <c r="A192" t="s">
        <v>129</v>
      </c>
      <c r="B192" s="2">
        <v>-1</v>
      </c>
      <c r="C192" s="2">
        <v>5.2999999999999998E-8</v>
      </c>
      <c r="D192" s="2">
        <v>-1</v>
      </c>
    </row>
    <row r="193" spans="1:4" x14ac:dyDescent="0.25">
      <c r="A193" t="s">
        <v>130</v>
      </c>
      <c r="B193" s="2">
        <v>-1</v>
      </c>
      <c r="C193" s="2">
        <v>6.8999999999999997E-9</v>
      </c>
      <c r="D193" s="2">
        <v>-1</v>
      </c>
    </row>
    <row r="194" spans="1:4" x14ac:dyDescent="0.25">
      <c r="A194" t="s">
        <v>792</v>
      </c>
      <c r="B194" s="2">
        <v>-1</v>
      </c>
      <c r="C194" s="2">
        <v>3.3999999999999998E-9</v>
      </c>
      <c r="D194" s="2">
        <v>-1</v>
      </c>
    </row>
    <row r="195" spans="1:4" x14ac:dyDescent="0.25">
      <c r="A195" t="s">
        <v>793</v>
      </c>
      <c r="B195" s="2">
        <v>-1</v>
      </c>
      <c r="C195" s="2">
        <v>2.8000000000000002E-10</v>
      </c>
      <c r="D195" s="2">
        <v>-1</v>
      </c>
    </row>
    <row r="196" spans="1:4" x14ac:dyDescent="0.25">
      <c r="A196" t="s">
        <v>794</v>
      </c>
      <c r="B196" s="2">
        <v>-1</v>
      </c>
      <c r="C196" s="2">
        <v>4.6999999999999999E-11</v>
      </c>
      <c r="D196" s="2">
        <v>-1</v>
      </c>
    </row>
    <row r="197" spans="1:4" x14ac:dyDescent="0.25">
      <c r="A197" t="s">
        <v>623</v>
      </c>
      <c r="B197" s="2">
        <v>2.8E-11</v>
      </c>
      <c r="C197" s="2">
        <v>5.6E-11</v>
      </c>
      <c r="D197" s="2">
        <v>5.9000000000000003E-11</v>
      </c>
    </row>
    <row r="198" spans="1:4" x14ac:dyDescent="0.25">
      <c r="A198" t="s">
        <v>795</v>
      </c>
      <c r="B198" s="2">
        <v>3.9E-10</v>
      </c>
      <c r="C198" s="2">
        <v>6E-10</v>
      </c>
      <c r="D198" s="2">
        <v>6.3E-10</v>
      </c>
    </row>
    <row r="199" spans="1:4" x14ac:dyDescent="0.25">
      <c r="A199" t="s">
        <v>11</v>
      </c>
      <c r="B199" s="2">
        <v>7.7000000000000003E-10</v>
      </c>
      <c r="C199" s="2">
        <v>3.7999999999999998E-10</v>
      </c>
      <c r="D199" s="2">
        <v>1.8E-10</v>
      </c>
    </row>
    <row r="200" spans="1:4" x14ac:dyDescent="0.25">
      <c r="A200" t="s">
        <v>13</v>
      </c>
      <c r="B200" s="2">
        <v>2.1999999999999998E-9</v>
      </c>
      <c r="C200" s="2">
        <v>3.7E-9</v>
      </c>
      <c r="D200" s="2">
        <v>4.0000000000000002E-9</v>
      </c>
    </row>
    <row r="201" spans="1:4" x14ac:dyDescent="0.25">
      <c r="A201" t="s">
        <v>796</v>
      </c>
      <c r="B201" s="2">
        <v>2.8000000000000002E-7</v>
      </c>
      <c r="C201" s="2">
        <v>1.4000000000000001E-7</v>
      </c>
      <c r="D201" s="2">
        <v>4.9000000000000002E-8</v>
      </c>
    </row>
    <row r="202" spans="1:4" x14ac:dyDescent="0.25">
      <c r="A202" t="s">
        <v>797</v>
      </c>
      <c r="B202" s="2">
        <v>-1</v>
      </c>
      <c r="C202" s="2">
        <v>3.2000000000000001E-7</v>
      </c>
      <c r="D202" s="2">
        <v>-1</v>
      </c>
    </row>
    <row r="203" spans="1:4" x14ac:dyDescent="0.25">
      <c r="A203" t="s">
        <v>798</v>
      </c>
      <c r="B203" s="2">
        <v>-1</v>
      </c>
      <c r="C203" s="2">
        <v>3.9999999999999998E-7</v>
      </c>
      <c r="D203" s="2">
        <v>-1</v>
      </c>
    </row>
    <row r="204" spans="1:4" x14ac:dyDescent="0.25">
      <c r="A204" t="s">
        <v>799</v>
      </c>
      <c r="B204" s="2">
        <v>-1</v>
      </c>
      <c r="C204" s="2">
        <v>6.1000000000000004E-8</v>
      </c>
      <c r="D204" s="2">
        <v>-1</v>
      </c>
    </row>
    <row r="205" spans="1:4" x14ac:dyDescent="0.25">
      <c r="A205" t="s">
        <v>800</v>
      </c>
      <c r="B205" s="2">
        <v>-1</v>
      </c>
      <c r="C205" s="2">
        <v>2.7000000000000001E-7</v>
      </c>
      <c r="D205" s="2">
        <v>-1</v>
      </c>
    </row>
    <row r="206" spans="1:4" x14ac:dyDescent="0.25">
      <c r="A206" t="s">
        <v>801</v>
      </c>
      <c r="B206" s="2">
        <v>-1</v>
      </c>
      <c r="C206" s="2">
        <v>7.0999999999999998E-6</v>
      </c>
      <c r="D206" s="2">
        <v>-1</v>
      </c>
    </row>
    <row r="207" spans="1:4" x14ac:dyDescent="0.25">
      <c r="A207" t="s">
        <v>802</v>
      </c>
      <c r="B207" s="2">
        <v>1.4E-8</v>
      </c>
      <c r="C207" s="2">
        <v>-1</v>
      </c>
      <c r="D207" s="2">
        <v>-1</v>
      </c>
    </row>
    <row r="208" spans="1:4" x14ac:dyDescent="0.25">
      <c r="A208" t="s">
        <v>72</v>
      </c>
      <c r="B208" s="2">
        <v>8.9000000000000003E-10</v>
      </c>
      <c r="C208" s="2">
        <v>-1</v>
      </c>
      <c r="D208" s="2">
        <v>-1</v>
      </c>
    </row>
    <row r="209" spans="1:4" x14ac:dyDescent="0.25">
      <c r="A209" t="s">
        <v>803</v>
      </c>
      <c r="B209" s="2">
        <v>1.1000000000000001E-11</v>
      </c>
      <c r="C209" s="2">
        <v>1.6999999999999999E-11</v>
      </c>
      <c r="D209" s="2">
        <v>-1</v>
      </c>
    </row>
    <row r="210" spans="1:4" x14ac:dyDescent="0.25">
      <c r="A210" t="s">
        <v>804</v>
      </c>
      <c r="B210" s="2">
        <v>2.5000000000000002E-10</v>
      </c>
      <c r="C210" s="2">
        <v>4.3999999999999998E-10</v>
      </c>
      <c r="D210" s="2">
        <v>-1</v>
      </c>
    </row>
    <row r="211" spans="1:4" x14ac:dyDescent="0.25">
      <c r="A211" t="s">
        <v>805</v>
      </c>
      <c r="B211" s="2">
        <v>6.3999999999999999E-11</v>
      </c>
      <c r="C211" s="2">
        <v>2.4E-10</v>
      </c>
      <c r="D211" s="2">
        <v>-1</v>
      </c>
    </row>
    <row r="212" spans="1:4" x14ac:dyDescent="0.25">
      <c r="A212" t="s">
        <v>806</v>
      </c>
      <c r="B212" s="2">
        <v>2.6000000000000001E-11</v>
      </c>
      <c r="C212" s="2">
        <v>4.8999999999999999E-11</v>
      </c>
      <c r="D212" s="2">
        <v>-1</v>
      </c>
    </row>
    <row r="213" spans="1:4" x14ac:dyDescent="0.25">
      <c r="A213" t="s">
        <v>807</v>
      </c>
      <c r="B213" s="2">
        <v>8.7999999999999997E-12</v>
      </c>
      <c r="C213" s="2">
        <v>1.6E-11</v>
      </c>
      <c r="D213" s="2">
        <v>-1</v>
      </c>
    </row>
    <row r="214" spans="1:4" x14ac:dyDescent="0.25">
      <c r="A214" t="s">
        <v>808</v>
      </c>
      <c r="B214" s="2">
        <v>2.8999999999999998E-10</v>
      </c>
      <c r="C214" s="2">
        <v>5.3000000000000003E-10</v>
      </c>
      <c r="D214" s="2">
        <v>-1</v>
      </c>
    </row>
    <row r="215" spans="1:4" x14ac:dyDescent="0.25">
      <c r="A215" t="s">
        <v>809</v>
      </c>
      <c r="B215" s="2">
        <v>5.4000000000000001E-11</v>
      </c>
      <c r="C215" s="2">
        <v>1.4000000000000001E-10</v>
      </c>
      <c r="D215" s="2">
        <v>-1</v>
      </c>
    </row>
    <row r="216" spans="1:4" x14ac:dyDescent="0.25">
      <c r="A216" t="s">
        <v>810</v>
      </c>
      <c r="B216" s="2">
        <v>1.4E-11</v>
      </c>
      <c r="C216" s="2">
        <v>1.9999999999999999E-11</v>
      </c>
      <c r="D216" s="2">
        <v>-1</v>
      </c>
    </row>
    <row r="217" spans="1:4" x14ac:dyDescent="0.25">
      <c r="A217" t="s">
        <v>811</v>
      </c>
      <c r="B217" s="2">
        <v>4.3999999999999997E-9</v>
      </c>
      <c r="C217" s="2">
        <v>6.4000000000000002E-9</v>
      </c>
      <c r="D217" s="2">
        <v>-1</v>
      </c>
    </row>
    <row r="218" spans="1:4" x14ac:dyDescent="0.25">
      <c r="A218" t="s">
        <v>812</v>
      </c>
      <c r="B218" s="2">
        <v>2.5999999999999998E-10</v>
      </c>
      <c r="C218" s="2">
        <v>4.0000000000000001E-10</v>
      </c>
      <c r="D218" s="2">
        <v>-1</v>
      </c>
    </row>
    <row r="219" spans="1:4" x14ac:dyDescent="0.25">
      <c r="A219" t="s">
        <v>813</v>
      </c>
      <c r="B219" s="2">
        <v>2.5999999999999998E-5</v>
      </c>
      <c r="C219" s="2">
        <v>1.1E-5</v>
      </c>
      <c r="D219" s="2">
        <v>-1</v>
      </c>
    </row>
    <row r="220" spans="1:4" x14ac:dyDescent="0.25">
      <c r="A220" t="s">
        <v>814</v>
      </c>
      <c r="B220" s="2">
        <v>2.5999999999999998E-10</v>
      </c>
      <c r="C220" s="2">
        <v>7.2999999999999996E-10</v>
      </c>
      <c r="D220" s="2">
        <v>-1</v>
      </c>
    </row>
    <row r="221" spans="1:4" x14ac:dyDescent="0.25">
      <c r="A221" t="s">
        <v>815</v>
      </c>
      <c r="B221" s="2">
        <v>7.7999999999999999E-10</v>
      </c>
      <c r="C221" s="2">
        <v>8.6000000000000003E-10</v>
      </c>
      <c r="D221" s="2">
        <v>-1</v>
      </c>
    </row>
    <row r="222" spans="1:4" x14ac:dyDescent="0.25">
      <c r="A222" t="s">
        <v>35</v>
      </c>
      <c r="B222" s="2">
        <v>1.9000000000000001E-5</v>
      </c>
      <c r="C222" s="2">
        <v>7.9999999999999996E-6</v>
      </c>
      <c r="D222" s="2">
        <v>-1</v>
      </c>
    </row>
    <row r="223" spans="1:4" x14ac:dyDescent="0.25">
      <c r="A223" t="s">
        <v>816</v>
      </c>
      <c r="B223" s="2">
        <v>2.1000000000000002E-9</v>
      </c>
      <c r="C223" s="2">
        <v>2.1000000000000002E-9</v>
      </c>
      <c r="D223" s="2">
        <v>-1</v>
      </c>
    </row>
    <row r="224" spans="1:4" x14ac:dyDescent="0.25">
      <c r="A224" t="s">
        <v>817</v>
      </c>
      <c r="B224" s="2">
        <v>1E-10</v>
      </c>
      <c r="C224" s="2">
        <v>2.7E-10</v>
      </c>
      <c r="D224" s="2">
        <v>-1</v>
      </c>
    </row>
    <row r="225" spans="1:4" x14ac:dyDescent="0.25">
      <c r="A225" t="s">
        <v>818</v>
      </c>
      <c r="B225" s="2">
        <v>5.4000000000000001E-11</v>
      </c>
      <c r="C225" s="2">
        <v>9.0999999999999996E-11</v>
      </c>
      <c r="D225" s="2">
        <v>-1</v>
      </c>
    </row>
    <row r="226" spans="1:4" x14ac:dyDescent="0.25">
      <c r="A226" t="s">
        <v>819</v>
      </c>
      <c r="B226" s="2">
        <v>1.5E-11</v>
      </c>
      <c r="C226" s="2">
        <v>2.5000000000000001E-11</v>
      </c>
      <c r="D226" s="2">
        <v>-1</v>
      </c>
    </row>
    <row r="227" spans="1:4" x14ac:dyDescent="0.25">
      <c r="A227" t="s">
        <v>820</v>
      </c>
      <c r="B227" s="2">
        <v>5.1999999999999996E-10</v>
      </c>
      <c r="C227" s="2">
        <v>1.4E-8</v>
      </c>
      <c r="D227" s="2">
        <v>-1</v>
      </c>
    </row>
    <row r="228" spans="1:4" x14ac:dyDescent="0.25">
      <c r="A228" t="s">
        <v>821</v>
      </c>
      <c r="B228" s="2">
        <v>1.2999999999999999E-10</v>
      </c>
      <c r="C228" s="2">
        <v>2.8999999999999998E-10</v>
      </c>
      <c r="D228" s="2">
        <v>-1</v>
      </c>
    </row>
    <row r="229" spans="1:4" x14ac:dyDescent="0.25">
      <c r="A229" t="s">
        <v>822</v>
      </c>
      <c r="B229" s="2">
        <v>4.7999999999999997E-12</v>
      </c>
      <c r="C229" s="2">
        <v>1.1000000000000001E-11</v>
      </c>
      <c r="D229" s="2">
        <v>-1</v>
      </c>
    </row>
    <row r="230" spans="1:4" x14ac:dyDescent="0.25">
      <c r="A230" t="s">
        <v>823</v>
      </c>
      <c r="B230" s="2">
        <v>1.5E-11</v>
      </c>
      <c r="C230" s="2">
        <v>3.5999999999999998E-11</v>
      </c>
      <c r="D230" s="2">
        <v>-1</v>
      </c>
    </row>
    <row r="231" spans="1:4" x14ac:dyDescent="0.25">
      <c r="A231" t="s">
        <v>824</v>
      </c>
      <c r="B231" s="2">
        <v>1.4000000000000001E-10</v>
      </c>
      <c r="C231" s="2">
        <v>3.7000000000000001E-10</v>
      </c>
      <c r="D231" s="2">
        <v>-1</v>
      </c>
    </row>
    <row r="232" spans="1:4" x14ac:dyDescent="0.25">
      <c r="A232" t="s">
        <v>825</v>
      </c>
      <c r="B232" s="2">
        <v>4.5E-11</v>
      </c>
      <c r="C232" s="2">
        <v>9.4999999999999995E-11</v>
      </c>
      <c r="D232" s="2">
        <v>-1</v>
      </c>
    </row>
    <row r="233" spans="1:4" x14ac:dyDescent="0.25">
      <c r="A233" t="s">
        <v>1</v>
      </c>
      <c r="B233" s="2">
        <v>6.2000000000000002E-12</v>
      </c>
      <c r="C233" s="2">
        <v>4.5E-11</v>
      </c>
      <c r="D233" s="2">
        <v>2.5999999999999998E-10</v>
      </c>
    </row>
    <row r="234" spans="1:4" x14ac:dyDescent="0.25">
      <c r="A234" t="s">
        <v>826</v>
      </c>
      <c r="B234" s="2">
        <v>1.5999999999999999E-10</v>
      </c>
      <c r="C234" s="2">
        <v>3.1999999999999998E-10</v>
      </c>
      <c r="D234" s="2">
        <v>-1</v>
      </c>
    </row>
    <row r="235" spans="1:4" x14ac:dyDescent="0.25">
      <c r="A235" t="s">
        <v>827</v>
      </c>
      <c r="B235" s="2">
        <v>3.2000000000000002E-8</v>
      </c>
      <c r="C235" s="2">
        <v>2E-8</v>
      </c>
      <c r="D235" s="2">
        <v>-1</v>
      </c>
    </row>
    <row r="236" spans="1:4" x14ac:dyDescent="0.25">
      <c r="A236" t="s">
        <v>828</v>
      </c>
      <c r="B236" s="2">
        <v>7.4000000000000003E-11</v>
      </c>
      <c r="C236" s="2">
        <v>1.5999999999999999E-10</v>
      </c>
      <c r="D236" s="2">
        <v>-1</v>
      </c>
    </row>
    <row r="237" spans="1:4" x14ac:dyDescent="0.25">
      <c r="A237" t="s">
        <v>829</v>
      </c>
      <c r="B237" s="2">
        <v>7.2E-10</v>
      </c>
      <c r="C237" s="2">
        <v>1.2E-9</v>
      </c>
      <c r="D237" s="2">
        <v>-1</v>
      </c>
    </row>
    <row r="238" spans="1:4" x14ac:dyDescent="0.25">
      <c r="A238" t="s">
        <v>830</v>
      </c>
      <c r="B238" s="2">
        <v>4.4000000000000003E-11</v>
      </c>
      <c r="C238" s="2">
        <v>8.9999999999999999E-11</v>
      </c>
      <c r="D238" s="2">
        <v>-1</v>
      </c>
    </row>
    <row r="239" spans="1:4" x14ac:dyDescent="0.25">
      <c r="A239" t="s">
        <v>831</v>
      </c>
      <c r="B239" s="2">
        <v>2.6E-7</v>
      </c>
      <c r="C239" s="2">
        <v>1.1999999999999999E-7</v>
      </c>
      <c r="D239" s="2">
        <v>-1</v>
      </c>
    </row>
    <row r="240" spans="1:4" x14ac:dyDescent="0.25">
      <c r="A240" t="s">
        <v>832</v>
      </c>
      <c r="B240" s="2">
        <v>1.0999999999999999E-9</v>
      </c>
      <c r="C240" s="2">
        <v>3.8000000000000001E-9</v>
      </c>
      <c r="D240" s="2">
        <v>-1</v>
      </c>
    </row>
    <row r="241" spans="1:4" x14ac:dyDescent="0.25">
      <c r="A241" t="s">
        <v>833</v>
      </c>
      <c r="B241" s="2">
        <v>5.9000000000000003E-11</v>
      </c>
      <c r="C241" s="2">
        <v>1.2999999999999999E-10</v>
      </c>
      <c r="D241" s="2">
        <v>-1</v>
      </c>
    </row>
    <row r="242" spans="1:4" x14ac:dyDescent="0.25">
      <c r="A242" t="s">
        <v>834</v>
      </c>
      <c r="B242" s="2">
        <v>1.3999999999999999E-9</v>
      </c>
      <c r="C242" s="2">
        <v>5.0000000000000001E-9</v>
      </c>
      <c r="D242" s="2">
        <v>-1</v>
      </c>
    </row>
    <row r="243" spans="1:4" x14ac:dyDescent="0.25">
      <c r="A243" t="s">
        <v>835</v>
      </c>
      <c r="B243" s="2">
        <v>3.1E-7</v>
      </c>
      <c r="C243" s="2">
        <v>1.3E-7</v>
      </c>
      <c r="D243" s="2">
        <v>-1</v>
      </c>
    </row>
    <row r="244" spans="1:4" x14ac:dyDescent="0.25">
      <c r="A244" t="s">
        <v>836</v>
      </c>
      <c r="B244" s="2">
        <v>2.0999999999999999E-11</v>
      </c>
      <c r="C244" s="2">
        <v>4.6000000000000003E-11</v>
      </c>
      <c r="D244" s="2">
        <v>-1</v>
      </c>
    </row>
    <row r="245" spans="1:4" x14ac:dyDescent="0.25">
      <c r="A245" t="s">
        <v>837</v>
      </c>
      <c r="B245" s="2">
        <v>2.4000000000000001E-11</v>
      </c>
      <c r="C245" s="2">
        <v>5.6999999999999997E-11</v>
      </c>
      <c r="D245" s="2">
        <v>-1</v>
      </c>
    </row>
    <row r="246" spans="1:4" x14ac:dyDescent="0.25">
      <c r="A246" t="s">
        <v>838</v>
      </c>
      <c r="B246" s="2">
        <v>1.2E-10</v>
      </c>
      <c r="C246" s="2">
        <v>3.3E-10</v>
      </c>
      <c r="D246" s="2">
        <v>-1</v>
      </c>
    </row>
    <row r="247" spans="1:4" x14ac:dyDescent="0.25">
      <c r="A247" t="s">
        <v>839</v>
      </c>
      <c r="B247" s="2">
        <v>2.4000000000000001E-11</v>
      </c>
      <c r="C247" s="2">
        <v>7.5E-11</v>
      </c>
      <c r="D247" s="2">
        <v>-1</v>
      </c>
    </row>
    <row r="248" spans="1:4" x14ac:dyDescent="0.25">
      <c r="A248" t="s">
        <v>840</v>
      </c>
      <c r="B248" s="2">
        <v>1E-10</v>
      </c>
      <c r="C248" s="2">
        <v>2.5999999999999998E-10</v>
      </c>
      <c r="D248" s="2">
        <v>-1</v>
      </c>
    </row>
    <row r="249" spans="1:4" x14ac:dyDescent="0.25">
      <c r="A249" t="s">
        <v>841</v>
      </c>
      <c r="B249" s="2">
        <v>1.4E-8</v>
      </c>
      <c r="C249" s="2">
        <v>8.2999999999999999E-9</v>
      </c>
      <c r="D249" s="2">
        <v>-1</v>
      </c>
    </row>
    <row r="250" spans="1:4" x14ac:dyDescent="0.25">
      <c r="A250" t="s">
        <v>842</v>
      </c>
      <c r="B250" s="2">
        <v>2.3000000000000001E-11</v>
      </c>
      <c r="C250" s="2">
        <v>7.3000000000000006E-11</v>
      </c>
      <c r="D250" s="2">
        <v>-1</v>
      </c>
    </row>
    <row r="251" spans="1:4" x14ac:dyDescent="0.25">
      <c r="A251" t="s">
        <v>843</v>
      </c>
      <c r="B251" s="2">
        <v>1.2E-10</v>
      </c>
      <c r="C251" s="2">
        <v>5.3000000000000003E-10</v>
      </c>
      <c r="D251" s="2">
        <v>-1</v>
      </c>
    </row>
    <row r="252" spans="1:4" x14ac:dyDescent="0.25">
      <c r="A252" t="s">
        <v>844</v>
      </c>
      <c r="B252" s="2">
        <v>4.6999999999999999E-11</v>
      </c>
      <c r="C252" s="2">
        <v>3E-10</v>
      </c>
      <c r="D252" s="2">
        <v>-1</v>
      </c>
    </row>
    <row r="253" spans="1:4" x14ac:dyDescent="0.25">
      <c r="A253" t="s">
        <v>845</v>
      </c>
      <c r="B253" s="2">
        <v>9.6000000000000005E-11</v>
      </c>
      <c r="C253" s="2">
        <v>5.3000000000000003E-10</v>
      </c>
      <c r="D253" s="2">
        <v>-1</v>
      </c>
    </row>
    <row r="254" spans="1:4" x14ac:dyDescent="0.25">
      <c r="A254" t="s">
        <v>846</v>
      </c>
      <c r="B254" s="2">
        <v>1.5E-11</v>
      </c>
      <c r="C254" s="2">
        <v>3.1999999999999999E-11</v>
      </c>
      <c r="D254" s="2">
        <v>-1</v>
      </c>
    </row>
    <row r="255" spans="1:4" x14ac:dyDescent="0.25">
      <c r="A255" t="s">
        <v>847</v>
      </c>
      <c r="B255" s="2">
        <v>5.6000000000000003E-10</v>
      </c>
      <c r="C255" s="2">
        <v>2.4E-9</v>
      </c>
      <c r="D255" s="2">
        <v>-1</v>
      </c>
    </row>
    <row r="256" spans="1:4" x14ac:dyDescent="0.25">
      <c r="A256" t="s">
        <v>848</v>
      </c>
      <c r="B256" s="2">
        <v>-1</v>
      </c>
      <c r="C256" s="2">
        <v>1.9999999999999999E-11</v>
      </c>
      <c r="D256" s="2">
        <v>-1</v>
      </c>
    </row>
    <row r="257" spans="1:4" x14ac:dyDescent="0.25">
      <c r="A257" t="s">
        <v>849</v>
      </c>
      <c r="B257" s="2">
        <v>-1</v>
      </c>
      <c r="C257" s="2">
        <v>4.1999999999999999E-12</v>
      </c>
      <c r="D257" s="2">
        <v>-1</v>
      </c>
    </row>
    <row r="258" spans="1:4" x14ac:dyDescent="0.25">
      <c r="A258" t="s">
        <v>850</v>
      </c>
      <c r="B258" s="2">
        <v>-1</v>
      </c>
      <c r="C258" s="2">
        <v>6.1000000000000003E-12</v>
      </c>
      <c r="D258" s="2">
        <v>-1</v>
      </c>
    </row>
    <row r="259" spans="1:4" x14ac:dyDescent="0.25">
      <c r="A259" t="s">
        <v>851</v>
      </c>
      <c r="B259" s="2">
        <v>-1</v>
      </c>
      <c r="C259" s="2">
        <v>6.0000000000000003E-12</v>
      </c>
      <c r="D259" s="2">
        <v>-1</v>
      </c>
    </row>
    <row r="260" spans="1:4" x14ac:dyDescent="0.25">
      <c r="A260" t="s">
        <v>852</v>
      </c>
      <c r="B260" s="2">
        <v>-1</v>
      </c>
      <c r="C260" s="2">
        <v>2.8000000000000002E-12</v>
      </c>
      <c r="D260" s="2">
        <v>-1</v>
      </c>
    </row>
    <row r="261" spans="1:4" x14ac:dyDescent="0.25">
      <c r="A261" t="s">
        <v>853</v>
      </c>
      <c r="B261" s="2">
        <v>-1</v>
      </c>
      <c r="C261" s="2">
        <v>2.0999999999999999E-11</v>
      </c>
      <c r="D261" s="2">
        <v>-1</v>
      </c>
    </row>
    <row r="262" spans="1:4" x14ac:dyDescent="0.25">
      <c r="A262" t="s">
        <v>854</v>
      </c>
      <c r="B262" s="2">
        <v>-1</v>
      </c>
      <c r="C262" s="2">
        <v>8.3999999999999998E-12</v>
      </c>
      <c r="D262" s="2">
        <v>-1</v>
      </c>
    </row>
    <row r="263" spans="1:4" x14ac:dyDescent="0.25">
      <c r="A263" t="s">
        <v>855</v>
      </c>
      <c r="B263" s="2">
        <v>-1</v>
      </c>
      <c r="C263" s="2">
        <v>1.2000000000000001E-11</v>
      </c>
      <c r="D263" s="2">
        <v>-1</v>
      </c>
    </row>
    <row r="264" spans="1:4" x14ac:dyDescent="0.25">
      <c r="A264" t="s">
        <v>856</v>
      </c>
      <c r="B264" s="2">
        <v>-1</v>
      </c>
      <c r="C264" s="2">
        <v>6.5000000000000003E-10</v>
      </c>
      <c r="D264" s="2">
        <v>-1</v>
      </c>
    </row>
    <row r="265" spans="1:4" x14ac:dyDescent="0.25">
      <c r="A265" t="s">
        <v>857</v>
      </c>
      <c r="B265" s="2">
        <v>-1</v>
      </c>
      <c r="C265" s="2">
        <v>1.1999999999999999E-7</v>
      </c>
      <c r="D265" s="2">
        <v>-1</v>
      </c>
    </row>
    <row r="266" spans="1:4" x14ac:dyDescent="0.25">
      <c r="A266" t="s">
        <v>858</v>
      </c>
      <c r="B266" s="2">
        <v>-1</v>
      </c>
      <c r="C266" s="2">
        <v>7.1E-11</v>
      </c>
      <c r="D266" s="2">
        <v>-1</v>
      </c>
    </row>
    <row r="267" spans="1:4" x14ac:dyDescent="0.25">
      <c r="A267" t="s">
        <v>622</v>
      </c>
      <c r="B267" s="2">
        <v>1E-10</v>
      </c>
      <c r="C267" s="2">
        <v>1E-10</v>
      </c>
      <c r="D267" s="2">
        <v>1E-10</v>
      </c>
    </row>
    <row r="268" spans="1:4" x14ac:dyDescent="0.25">
      <c r="A268" t="s">
        <v>859</v>
      </c>
      <c r="B268" s="2">
        <v>8.2000000000000001E-11</v>
      </c>
      <c r="C268" s="2">
        <v>8.6999999999999997E-11</v>
      </c>
      <c r="D268" s="2">
        <v>8.8000000000000006E-11</v>
      </c>
    </row>
    <row r="269" spans="1:4" x14ac:dyDescent="0.25">
      <c r="A269" t="s">
        <v>621</v>
      </c>
      <c r="B269" s="2">
        <v>2.7E-11</v>
      </c>
      <c r="C269" s="2">
        <v>2.5000000000000001E-11</v>
      </c>
      <c r="D269" s="2">
        <v>2.4000000000000001E-11</v>
      </c>
    </row>
    <row r="270" spans="1:4" x14ac:dyDescent="0.25">
      <c r="A270" t="s">
        <v>25</v>
      </c>
      <c r="B270" s="2">
        <v>7.4000000000000003E-11</v>
      </c>
      <c r="C270" s="2">
        <v>6.3999999999999999E-11</v>
      </c>
      <c r="D270" s="2">
        <v>6E-11</v>
      </c>
    </row>
    <row r="271" spans="1:4" x14ac:dyDescent="0.25">
      <c r="A271" t="s">
        <v>26</v>
      </c>
      <c r="B271" s="2">
        <v>4.3999999999999997E-9</v>
      </c>
      <c r="C271" s="2">
        <v>1.2E-9</v>
      </c>
      <c r="D271" s="2">
        <v>7.7000000000000003E-10</v>
      </c>
    </row>
    <row r="272" spans="1:4" x14ac:dyDescent="0.25">
      <c r="A272" t="s">
        <v>27</v>
      </c>
      <c r="B272" s="2">
        <v>5.1000000000000002E-9</v>
      </c>
      <c r="C272" s="2">
        <v>1.3999999999999999E-9</v>
      </c>
      <c r="D272" s="2">
        <v>3.7999999999999998E-10</v>
      </c>
    </row>
    <row r="273" spans="1:4" x14ac:dyDescent="0.25">
      <c r="A273" t="s">
        <v>620</v>
      </c>
      <c r="B273" s="2">
        <v>9.8000000000000001E-9</v>
      </c>
      <c r="C273" s="2">
        <v>2.7000000000000002E-9</v>
      </c>
      <c r="D273" s="2">
        <v>1.3999999999999999E-9</v>
      </c>
    </row>
    <row r="274" spans="1:4" x14ac:dyDescent="0.25">
      <c r="A274" t="s">
        <v>619</v>
      </c>
      <c r="B274" s="2">
        <v>1.3E-11</v>
      </c>
      <c r="C274" s="2">
        <v>1.8999999999999999E-11</v>
      </c>
      <c r="D274" s="2">
        <v>1.9999999999999999E-11</v>
      </c>
    </row>
    <row r="275" spans="1:4" x14ac:dyDescent="0.25">
      <c r="A275" t="s">
        <v>28</v>
      </c>
      <c r="B275" s="2">
        <v>3.5999999999999998E-8</v>
      </c>
      <c r="C275" s="2">
        <v>1.4999999999999999E-8</v>
      </c>
      <c r="D275" s="2">
        <v>9.8000000000000001E-9</v>
      </c>
    </row>
    <row r="276" spans="1:4" x14ac:dyDescent="0.25">
      <c r="A276" t="s">
        <v>618</v>
      </c>
      <c r="B276" s="2">
        <v>6.6999999999999996E-10</v>
      </c>
      <c r="C276" s="2">
        <v>4.5E-10</v>
      </c>
      <c r="D276" s="2">
        <v>4.0999999999999998E-10</v>
      </c>
    </row>
    <row r="277" spans="1:4" x14ac:dyDescent="0.25">
      <c r="A277" t="s">
        <v>30</v>
      </c>
      <c r="B277" s="2">
        <v>7.4000000000000001E-9</v>
      </c>
      <c r="C277" s="2">
        <v>2.4E-9</v>
      </c>
      <c r="D277" s="2">
        <v>1.6000000000000001E-9</v>
      </c>
    </row>
    <row r="278" spans="1:4" x14ac:dyDescent="0.25">
      <c r="A278" t="s">
        <v>617</v>
      </c>
      <c r="B278" s="2">
        <v>9.3999999999999999E-11</v>
      </c>
      <c r="C278" s="2">
        <v>1.0999999999999999E-10</v>
      </c>
      <c r="D278" s="2">
        <v>1.0999999999999999E-10</v>
      </c>
    </row>
    <row r="279" spans="1:4" x14ac:dyDescent="0.25">
      <c r="A279" t="s">
        <v>860</v>
      </c>
      <c r="B279" s="2">
        <v>7.8999999999999999E-11</v>
      </c>
      <c r="C279" s="2">
        <v>8.6999999999999997E-11</v>
      </c>
      <c r="D279" s="2">
        <v>8.5000000000000004E-11</v>
      </c>
    </row>
    <row r="280" spans="1:4" x14ac:dyDescent="0.25">
      <c r="A280" t="s">
        <v>616</v>
      </c>
      <c r="B280" s="2">
        <v>1.5E-9</v>
      </c>
      <c r="C280" s="2">
        <v>5.4999999999999996E-10</v>
      </c>
      <c r="D280" s="2">
        <v>4.3000000000000001E-10</v>
      </c>
    </row>
    <row r="281" spans="1:4" x14ac:dyDescent="0.25">
      <c r="A281" t="s">
        <v>615</v>
      </c>
      <c r="B281" s="2">
        <v>4.5E-11</v>
      </c>
      <c r="C281" s="2">
        <v>5.4000000000000001E-11</v>
      </c>
      <c r="D281" s="2">
        <v>5.4999999999999997E-11</v>
      </c>
    </row>
    <row r="282" spans="1:4" x14ac:dyDescent="0.25">
      <c r="A282" t="s">
        <v>614</v>
      </c>
      <c r="B282" s="2">
        <v>3.1999999999999998E-10</v>
      </c>
      <c r="C282" s="2">
        <v>2.4E-10</v>
      </c>
      <c r="D282" s="2">
        <v>2.1999999999999999E-10</v>
      </c>
    </row>
    <row r="283" spans="1:4" x14ac:dyDescent="0.25">
      <c r="A283" t="s">
        <v>861</v>
      </c>
      <c r="B283" s="2">
        <v>2.9E-11</v>
      </c>
      <c r="C283" s="2">
        <v>4.1999999999999997E-11</v>
      </c>
      <c r="D283" s="2">
        <v>-1</v>
      </c>
    </row>
    <row r="284" spans="1:4" x14ac:dyDescent="0.25">
      <c r="A284" t="s">
        <v>862</v>
      </c>
      <c r="B284" s="2">
        <v>1.0999999999999999E-10</v>
      </c>
      <c r="C284" s="2">
        <v>1.2999999999999999E-10</v>
      </c>
      <c r="D284" s="2">
        <v>-1</v>
      </c>
    </row>
    <row r="285" spans="1:4" x14ac:dyDescent="0.25">
      <c r="A285" t="s">
        <v>863</v>
      </c>
      <c r="B285" s="2">
        <v>2.8E-11</v>
      </c>
      <c r="C285" s="2">
        <v>4.6999999999999999E-11</v>
      </c>
      <c r="D285" s="2">
        <v>-1</v>
      </c>
    </row>
    <row r="286" spans="1:4" x14ac:dyDescent="0.25">
      <c r="A286" t="s">
        <v>864</v>
      </c>
      <c r="B286" s="2">
        <v>1.2999999999999999E-10</v>
      </c>
      <c r="C286" s="2">
        <v>2.3000000000000001E-10</v>
      </c>
      <c r="D286" s="2">
        <v>-1</v>
      </c>
    </row>
    <row r="287" spans="1:4" x14ac:dyDescent="0.25">
      <c r="A287" t="s">
        <v>865</v>
      </c>
      <c r="B287" s="2">
        <v>4.6999999999999998E-12</v>
      </c>
      <c r="C287" s="2">
        <v>7.4E-12</v>
      </c>
      <c r="D287" s="2">
        <v>-1</v>
      </c>
    </row>
    <row r="288" spans="1:4" x14ac:dyDescent="0.25">
      <c r="A288" t="s">
        <v>866</v>
      </c>
      <c r="B288" s="2">
        <v>9.6999999999999995E-12</v>
      </c>
      <c r="C288" s="2">
        <v>1.9999999999999999E-11</v>
      </c>
      <c r="D288" s="2">
        <v>-1</v>
      </c>
    </row>
    <row r="289" spans="1:4" x14ac:dyDescent="0.25">
      <c r="A289" t="s">
        <v>867</v>
      </c>
      <c r="B289" s="2">
        <v>9.3000000000000006E-9</v>
      </c>
      <c r="C289" s="2">
        <v>6.1E-9</v>
      </c>
      <c r="D289" s="2">
        <v>-1</v>
      </c>
    </row>
    <row r="290" spans="1:4" x14ac:dyDescent="0.25">
      <c r="A290" t="s">
        <v>868</v>
      </c>
      <c r="B290" s="2">
        <v>3.9000000000000002E-7</v>
      </c>
      <c r="C290" s="2">
        <v>1.6E-7</v>
      </c>
      <c r="D290" s="2">
        <v>-1</v>
      </c>
    </row>
    <row r="291" spans="1:4" x14ac:dyDescent="0.25">
      <c r="A291" t="s">
        <v>869</v>
      </c>
      <c r="B291" s="2">
        <v>2.4000000000000001E-11</v>
      </c>
      <c r="C291" s="2">
        <v>5.9000000000000003E-11</v>
      </c>
      <c r="D291" s="2">
        <v>-1</v>
      </c>
    </row>
    <row r="292" spans="1:4" x14ac:dyDescent="0.25">
      <c r="A292" t="s">
        <v>870</v>
      </c>
      <c r="B292" s="2">
        <v>2.8E-11</v>
      </c>
      <c r="C292" s="2">
        <v>4.5E-11</v>
      </c>
      <c r="D292" s="2">
        <v>-1</v>
      </c>
    </row>
    <row r="293" spans="1:4" x14ac:dyDescent="0.25">
      <c r="A293" t="s">
        <v>871</v>
      </c>
      <c r="B293" s="2">
        <v>1.5E-11</v>
      </c>
      <c r="C293" s="2">
        <v>2.9E-11</v>
      </c>
      <c r="D293" s="2">
        <v>-1</v>
      </c>
    </row>
    <row r="294" spans="1:4" x14ac:dyDescent="0.25">
      <c r="A294" t="s">
        <v>872</v>
      </c>
      <c r="B294" s="2">
        <v>2.9E-11</v>
      </c>
      <c r="C294" s="2">
        <v>7.1999999999999997E-11</v>
      </c>
      <c r="D294" s="2">
        <v>-1</v>
      </c>
    </row>
    <row r="295" spans="1:4" x14ac:dyDescent="0.25">
      <c r="A295" t="s">
        <v>873</v>
      </c>
      <c r="B295" s="2">
        <v>9.9999999999999994E-12</v>
      </c>
      <c r="C295" s="2">
        <v>1.6999999999999999E-11</v>
      </c>
      <c r="D295" s="2">
        <v>-1</v>
      </c>
    </row>
    <row r="296" spans="1:4" x14ac:dyDescent="0.25">
      <c r="A296" t="s">
        <v>874</v>
      </c>
      <c r="B296" s="2">
        <v>1.4E-11</v>
      </c>
      <c r="C296" s="2">
        <v>2.3000000000000001E-11</v>
      </c>
      <c r="D296" s="2">
        <v>2.4000000000000001E-11</v>
      </c>
    </row>
    <row r="297" spans="1:4" x14ac:dyDescent="0.25">
      <c r="A297" t="s">
        <v>875</v>
      </c>
      <c r="B297" s="2">
        <v>6.2000000000000006E-11</v>
      </c>
      <c r="C297" s="2">
        <v>1.0999999999999999E-10</v>
      </c>
      <c r="D297" s="2">
        <v>1.2E-10</v>
      </c>
    </row>
    <row r="298" spans="1:4" x14ac:dyDescent="0.25">
      <c r="A298" t="s">
        <v>876</v>
      </c>
      <c r="B298" s="2">
        <v>8.2000000000000001E-11</v>
      </c>
      <c r="C298" s="2">
        <v>1.8E-10</v>
      </c>
      <c r="D298" s="2">
        <v>1.8999999999999999E-10</v>
      </c>
    </row>
    <row r="299" spans="1:4" x14ac:dyDescent="0.25">
      <c r="A299" t="s">
        <v>877</v>
      </c>
      <c r="B299" s="2">
        <v>1.7000000000000001E-10</v>
      </c>
      <c r="C299" s="2">
        <v>3.1000000000000002E-10</v>
      </c>
      <c r="D299" s="2">
        <v>3.1999999999999998E-10</v>
      </c>
    </row>
    <row r="300" spans="1:4" x14ac:dyDescent="0.25">
      <c r="A300" t="s">
        <v>878</v>
      </c>
      <c r="B300" s="2">
        <v>2.3000000000000001E-11</v>
      </c>
      <c r="C300" s="2">
        <v>4.1999999999999997E-11</v>
      </c>
      <c r="D300" s="2">
        <v>4.4000000000000003E-11</v>
      </c>
    </row>
    <row r="301" spans="1:4" x14ac:dyDescent="0.25">
      <c r="A301" t="s">
        <v>879</v>
      </c>
      <c r="B301" s="2">
        <v>3.7000000000000001E-11</v>
      </c>
      <c r="C301" s="2">
        <v>7.4000000000000003E-11</v>
      </c>
      <c r="D301" s="2">
        <v>7.8999999999999999E-11</v>
      </c>
    </row>
    <row r="302" spans="1:4" x14ac:dyDescent="0.25">
      <c r="A302" t="s">
        <v>880</v>
      </c>
      <c r="B302" s="2">
        <v>2.4E-10</v>
      </c>
      <c r="C302" s="2">
        <v>4.0000000000000001E-10</v>
      </c>
      <c r="D302" s="2">
        <v>4.2E-10</v>
      </c>
    </row>
    <row r="303" spans="1:4" x14ac:dyDescent="0.25">
      <c r="A303" t="s">
        <v>881</v>
      </c>
      <c r="B303" s="2">
        <v>1.0999999999999999E-10</v>
      </c>
      <c r="C303" s="2">
        <v>5.1999999999999996E-10</v>
      </c>
      <c r="D303" s="2">
        <v>6E-10</v>
      </c>
    </row>
    <row r="304" spans="1:4" x14ac:dyDescent="0.25">
      <c r="A304" t="s">
        <v>882</v>
      </c>
      <c r="B304" s="2">
        <v>7.7000000000000003E-10</v>
      </c>
      <c r="C304" s="2">
        <v>2.1000000000000002E-9</v>
      </c>
      <c r="D304" s="2">
        <v>2.4E-9</v>
      </c>
    </row>
    <row r="305" spans="1:4" x14ac:dyDescent="0.25">
      <c r="A305" t="s">
        <v>883</v>
      </c>
      <c r="B305" s="2">
        <v>3.6E-12</v>
      </c>
      <c r="C305" s="2">
        <v>9.2999999999999996E-12</v>
      </c>
      <c r="D305" s="2">
        <v>9.9999999999999994E-12</v>
      </c>
    </row>
    <row r="306" spans="1:4" x14ac:dyDescent="0.25">
      <c r="A306" t="s">
        <v>884</v>
      </c>
      <c r="B306" s="2">
        <v>4.8999999999999999E-11</v>
      </c>
      <c r="C306" s="2">
        <v>7.8999999999999999E-11</v>
      </c>
      <c r="D306" s="2">
        <v>8.2999999999999998E-11</v>
      </c>
    </row>
    <row r="307" spans="1:4" x14ac:dyDescent="0.25">
      <c r="A307" t="s">
        <v>885</v>
      </c>
      <c r="B307" s="2">
        <v>1.8E-9</v>
      </c>
      <c r="C307" s="2">
        <v>5.2000000000000002E-9</v>
      </c>
      <c r="D307" s="2">
        <v>6.6000000000000004E-9</v>
      </c>
    </row>
    <row r="308" spans="1:4" x14ac:dyDescent="0.25">
      <c r="A308" t="s">
        <v>886</v>
      </c>
      <c r="B308" s="2">
        <v>4.8E-9</v>
      </c>
      <c r="C308" s="2">
        <v>5.7999999999999998E-9</v>
      </c>
      <c r="D308" s="2">
        <v>3.8999999999999998E-8</v>
      </c>
    </row>
    <row r="309" spans="1:4" x14ac:dyDescent="0.25">
      <c r="A309" t="s">
        <v>887</v>
      </c>
      <c r="B309" s="2">
        <v>1E-10</v>
      </c>
      <c r="C309" s="2">
        <v>1.0999999999999999E-9</v>
      </c>
      <c r="D309" s="2">
        <v>1.3000000000000001E-9</v>
      </c>
    </row>
    <row r="310" spans="1:4" x14ac:dyDescent="0.25">
      <c r="A310" t="s">
        <v>888</v>
      </c>
      <c r="B310" s="2">
        <v>2.1E-10</v>
      </c>
      <c r="C310" s="2">
        <v>5.1999999999999996E-10</v>
      </c>
      <c r="D310" s="2">
        <v>5.6000000000000003E-10</v>
      </c>
    </row>
    <row r="311" spans="1:4" x14ac:dyDescent="0.25">
      <c r="A311" t="s">
        <v>889</v>
      </c>
      <c r="B311" s="2">
        <v>5.4000000000000004E-9</v>
      </c>
      <c r="C311" s="2">
        <v>8.9999999999999995E-9</v>
      </c>
      <c r="D311" s="2">
        <v>1.3000000000000001E-8</v>
      </c>
    </row>
    <row r="312" spans="1:4" x14ac:dyDescent="0.25">
      <c r="A312" t="s">
        <v>890</v>
      </c>
      <c r="B312" s="2">
        <v>2.4000000000000001E-11</v>
      </c>
      <c r="C312" s="2">
        <v>6.7000000000000001E-11</v>
      </c>
      <c r="D312" s="2">
        <v>7.1E-11</v>
      </c>
    </row>
    <row r="313" spans="1:4" x14ac:dyDescent="0.25">
      <c r="A313" t="s">
        <v>891</v>
      </c>
      <c r="B313" s="2">
        <v>6E-11</v>
      </c>
      <c r="C313" s="2">
        <v>1.5999999999999999E-10</v>
      </c>
      <c r="D313" s="2">
        <v>1.7000000000000001E-10</v>
      </c>
    </row>
    <row r="314" spans="1:4" x14ac:dyDescent="0.25">
      <c r="A314" t="s">
        <v>613</v>
      </c>
      <c r="B314" s="2">
        <v>2.1000000000000002E-9</v>
      </c>
      <c r="C314" s="2">
        <v>-1</v>
      </c>
      <c r="D314" s="2">
        <v>-1</v>
      </c>
    </row>
    <row r="315" spans="1:4" x14ac:dyDescent="0.25">
      <c r="A315" t="s">
        <v>612</v>
      </c>
      <c r="B315" s="2">
        <v>1.2E-10</v>
      </c>
      <c r="C315" s="2">
        <v>-1</v>
      </c>
      <c r="D315" s="2">
        <v>-1</v>
      </c>
    </row>
    <row r="316" spans="1:4" x14ac:dyDescent="0.25">
      <c r="A316" t="s">
        <v>611</v>
      </c>
      <c r="B316" s="2">
        <v>1.4000000000000001E-10</v>
      </c>
      <c r="C316" s="2">
        <v>-1</v>
      </c>
      <c r="D316" s="2">
        <v>-1</v>
      </c>
    </row>
    <row r="317" spans="1:4" x14ac:dyDescent="0.25">
      <c r="A317" t="s">
        <v>610</v>
      </c>
      <c r="B317" s="2">
        <v>1.9999999999999999E-11</v>
      </c>
      <c r="C317" s="2">
        <v>-1</v>
      </c>
      <c r="D317" s="2">
        <v>-1</v>
      </c>
    </row>
    <row r="318" spans="1:4" x14ac:dyDescent="0.25">
      <c r="A318" t="s">
        <v>609</v>
      </c>
      <c r="B318" s="2">
        <v>1.5E-11</v>
      </c>
      <c r="C318" s="2">
        <v>-1</v>
      </c>
      <c r="D318" s="2">
        <v>-1</v>
      </c>
    </row>
    <row r="319" spans="1:4" x14ac:dyDescent="0.25">
      <c r="A319" t="s">
        <v>892</v>
      </c>
      <c r="B319" s="2">
        <v>1.3E-11</v>
      </c>
      <c r="C319" s="2">
        <v>2.3000000000000001E-11</v>
      </c>
      <c r="D319" s="2">
        <v>-1</v>
      </c>
    </row>
    <row r="320" spans="1:4" x14ac:dyDescent="0.25">
      <c r="A320" t="s">
        <v>893</v>
      </c>
      <c r="B320" s="2">
        <v>1E-10</v>
      </c>
      <c r="C320" s="2">
        <v>1.5999999999999999E-10</v>
      </c>
      <c r="D320" s="2">
        <v>-1</v>
      </c>
    </row>
    <row r="321" spans="1:4" x14ac:dyDescent="0.25">
      <c r="A321" t="s">
        <v>894</v>
      </c>
      <c r="B321" s="2">
        <v>9.9999999999999994E-12</v>
      </c>
      <c r="C321" s="2">
        <v>1.4E-11</v>
      </c>
      <c r="D321" s="2">
        <v>-1</v>
      </c>
    </row>
    <row r="322" spans="1:4" x14ac:dyDescent="0.25">
      <c r="A322" t="s">
        <v>895</v>
      </c>
      <c r="B322" s="2">
        <v>8.7000000000000001E-9</v>
      </c>
      <c r="C322" s="2">
        <v>3.6E-9</v>
      </c>
      <c r="D322" s="2">
        <v>-1</v>
      </c>
    </row>
    <row r="323" spans="1:4" x14ac:dyDescent="0.25">
      <c r="A323" t="s">
        <v>896</v>
      </c>
      <c r="B323" s="2">
        <v>1.4999999999999999E-7</v>
      </c>
      <c r="C323" s="2">
        <v>6.4000000000000004E-8</v>
      </c>
      <c r="D323" s="2">
        <v>-1</v>
      </c>
    </row>
    <row r="324" spans="1:4" x14ac:dyDescent="0.25">
      <c r="A324" t="s">
        <v>897</v>
      </c>
      <c r="B324" s="2">
        <v>5.7E-10</v>
      </c>
      <c r="C324" s="2">
        <v>1.0999999999999999E-9</v>
      </c>
      <c r="D324" s="2">
        <v>-1</v>
      </c>
    </row>
    <row r="325" spans="1:4" x14ac:dyDescent="0.25">
      <c r="A325" t="s">
        <v>898</v>
      </c>
      <c r="B325" s="2">
        <v>6.3000000000000002E-11</v>
      </c>
      <c r="C325" s="2">
        <v>1.5E-10</v>
      </c>
      <c r="D325" s="2">
        <v>-1</v>
      </c>
    </row>
    <row r="326" spans="1:4" x14ac:dyDescent="0.25">
      <c r="A326" t="s">
        <v>899</v>
      </c>
      <c r="B326" s="2">
        <v>5.2000000000000001E-11</v>
      </c>
      <c r="C326" s="2">
        <v>8.9000000000000003E-11</v>
      </c>
      <c r="D326" s="2">
        <v>-1</v>
      </c>
    </row>
    <row r="327" spans="1:4" x14ac:dyDescent="0.25">
      <c r="A327" t="s">
        <v>900</v>
      </c>
      <c r="B327" s="2">
        <v>1.2000000000000001E-11</v>
      </c>
      <c r="C327" s="2">
        <v>2.0999999999999999E-11</v>
      </c>
      <c r="D327" s="2">
        <v>-1</v>
      </c>
    </row>
    <row r="328" spans="1:4" x14ac:dyDescent="0.25">
      <c r="A328" t="s">
        <v>901</v>
      </c>
      <c r="B328" s="2">
        <v>-1</v>
      </c>
      <c r="C328" s="2">
        <v>3.4999999999999998E-10</v>
      </c>
      <c r="D328" s="2">
        <v>3.7999999999999998E-10</v>
      </c>
    </row>
    <row r="329" spans="1:4" x14ac:dyDescent="0.25">
      <c r="A329" t="s">
        <v>902</v>
      </c>
      <c r="B329" s="2">
        <v>-1</v>
      </c>
      <c r="C329" s="2">
        <v>6.3E-10</v>
      </c>
      <c r="D329" s="2">
        <v>6.6E-10</v>
      </c>
    </row>
    <row r="330" spans="1:4" x14ac:dyDescent="0.25">
      <c r="A330" t="s">
        <v>903</v>
      </c>
      <c r="B330" s="2">
        <v>-1</v>
      </c>
      <c r="C330" s="2">
        <v>8.0000000000000003E-10</v>
      </c>
      <c r="D330" s="2">
        <v>8.7999999999999996E-10</v>
      </c>
    </row>
    <row r="331" spans="1:4" x14ac:dyDescent="0.25">
      <c r="A331" t="s">
        <v>904</v>
      </c>
      <c r="B331" s="2">
        <v>-1</v>
      </c>
      <c r="C331" s="2">
        <v>1.3999999999999999E-9</v>
      </c>
      <c r="D331" s="2">
        <v>1.6000000000000001E-9</v>
      </c>
    </row>
    <row r="332" spans="1:4" x14ac:dyDescent="0.25">
      <c r="A332" t="s">
        <v>905</v>
      </c>
      <c r="B332" s="2">
        <v>-1</v>
      </c>
      <c r="C332" s="2">
        <v>2.1999999999999998E-9</v>
      </c>
      <c r="D332" s="2">
        <v>2.4E-9</v>
      </c>
    </row>
    <row r="333" spans="1:4" x14ac:dyDescent="0.25">
      <c r="A333" t="s">
        <v>906</v>
      </c>
      <c r="B333" s="2">
        <v>-1</v>
      </c>
      <c r="C333" s="2">
        <v>4.2000000000000004E-9</v>
      </c>
      <c r="D333" s="2">
        <v>4.2000000000000004E-9</v>
      </c>
    </row>
    <row r="334" spans="1:4" x14ac:dyDescent="0.25">
      <c r="A334" t="s">
        <v>907</v>
      </c>
      <c r="B334" s="2">
        <v>-1</v>
      </c>
      <c r="C334" s="2">
        <v>3.7E-9</v>
      </c>
      <c r="D334" s="2">
        <v>4.2000000000000004E-9</v>
      </c>
    </row>
    <row r="335" spans="1:4" x14ac:dyDescent="0.25">
      <c r="A335" t="s">
        <v>908</v>
      </c>
      <c r="B335" s="2">
        <v>-1</v>
      </c>
      <c r="C335" s="2">
        <v>7.0000000000000005E-8</v>
      </c>
      <c r="D335" s="2">
        <v>5.5999999999999999E-8</v>
      </c>
    </row>
    <row r="336" spans="1:4" x14ac:dyDescent="0.25">
      <c r="A336" t="s">
        <v>909</v>
      </c>
      <c r="B336" s="2">
        <v>-1</v>
      </c>
      <c r="C336" s="2">
        <v>1.0999999999999999E-10</v>
      </c>
      <c r="D336" s="2">
        <v>1.2E-10</v>
      </c>
    </row>
    <row r="337" spans="1:4" x14ac:dyDescent="0.25">
      <c r="A337" t="s">
        <v>910</v>
      </c>
      <c r="B337" s="2">
        <v>-1</v>
      </c>
      <c r="C337" s="2">
        <v>1.0999999999999999E-9</v>
      </c>
      <c r="D337" s="2">
        <v>1.2E-9</v>
      </c>
    </row>
    <row r="338" spans="1:4" x14ac:dyDescent="0.25">
      <c r="A338" t="s">
        <v>911</v>
      </c>
      <c r="B338" s="2">
        <v>-1</v>
      </c>
      <c r="C338" s="2">
        <v>1.3000000000000001E-8</v>
      </c>
      <c r="D338" s="2">
        <v>1.6000000000000001E-8</v>
      </c>
    </row>
    <row r="339" spans="1:4" x14ac:dyDescent="0.25">
      <c r="A339" t="s">
        <v>912</v>
      </c>
      <c r="B339" s="2">
        <v>-1</v>
      </c>
      <c r="C339" s="2">
        <v>2.4000000000000001E-11</v>
      </c>
      <c r="D339" s="2">
        <v>2.6000000000000001E-11</v>
      </c>
    </row>
    <row r="340" spans="1:4" x14ac:dyDescent="0.25">
      <c r="A340" t="s">
        <v>913</v>
      </c>
      <c r="B340" s="2">
        <v>-1</v>
      </c>
      <c r="C340" s="2">
        <v>3.1999999999999999E-11</v>
      </c>
      <c r="D340" s="2">
        <v>3.3000000000000002E-11</v>
      </c>
    </row>
    <row r="341" spans="1:4" x14ac:dyDescent="0.25">
      <c r="A341" t="s">
        <v>914</v>
      </c>
      <c r="B341" s="2">
        <v>-1</v>
      </c>
      <c r="C341" s="2">
        <v>1.0999999999999999E-10</v>
      </c>
      <c r="D341" s="2">
        <v>1.2E-10</v>
      </c>
    </row>
    <row r="342" spans="1:4" x14ac:dyDescent="0.25">
      <c r="A342" t="s">
        <v>915</v>
      </c>
      <c r="B342" s="2">
        <v>-1</v>
      </c>
      <c r="C342" s="2">
        <v>2.4999999999999999E-8</v>
      </c>
      <c r="D342" s="2">
        <v>-1</v>
      </c>
    </row>
    <row r="343" spans="1:4" x14ac:dyDescent="0.25">
      <c r="A343" t="s">
        <v>916</v>
      </c>
      <c r="B343" s="2">
        <v>-1</v>
      </c>
      <c r="C343" s="2">
        <v>5.9000000000000003E-6</v>
      </c>
      <c r="D343" s="2">
        <v>-1</v>
      </c>
    </row>
    <row r="344" spans="1:4" x14ac:dyDescent="0.25">
      <c r="A344" t="s">
        <v>917</v>
      </c>
      <c r="B344" s="2">
        <v>6E-10</v>
      </c>
      <c r="C344" s="2">
        <v>1.2E-9</v>
      </c>
      <c r="D344" s="2">
        <v>-1</v>
      </c>
    </row>
    <row r="345" spans="1:4" x14ac:dyDescent="0.25">
      <c r="A345" t="s">
        <v>918</v>
      </c>
      <c r="B345" s="2">
        <v>2.3000000000000001E-11</v>
      </c>
      <c r="C345" s="2">
        <v>4.1000000000000001E-11</v>
      </c>
      <c r="D345" s="2">
        <v>-1</v>
      </c>
    </row>
    <row r="346" spans="1:4" x14ac:dyDescent="0.25">
      <c r="A346" t="s">
        <v>919</v>
      </c>
      <c r="B346" s="2">
        <v>9.4000000000000006E-10</v>
      </c>
      <c r="C346" s="2">
        <v>1.3999999999999999E-9</v>
      </c>
      <c r="D346" s="2">
        <v>-1</v>
      </c>
    </row>
    <row r="347" spans="1:4" x14ac:dyDescent="0.25">
      <c r="A347" t="s">
        <v>920</v>
      </c>
      <c r="B347" s="2">
        <v>1.8999999999999999E-11</v>
      </c>
      <c r="C347" s="2">
        <v>2.9E-11</v>
      </c>
      <c r="D347" s="2">
        <v>-1</v>
      </c>
    </row>
    <row r="348" spans="1:4" x14ac:dyDescent="0.25">
      <c r="A348" t="s">
        <v>921</v>
      </c>
      <c r="B348" s="2">
        <v>2.9E-11</v>
      </c>
      <c r="C348" s="2">
        <v>5.4000000000000001E-11</v>
      </c>
      <c r="D348" s="2">
        <v>-1</v>
      </c>
    </row>
    <row r="349" spans="1:4" x14ac:dyDescent="0.25">
      <c r="A349" t="s">
        <v>10</v>
      </c>
      <c r="B349" s="2">
        <v>8.4999999999999996E-10</v>
      </c>
      <c r="C349" s="2">
        <v>1.5E-9</v>
      </c>
      <c r="D349" s="2">
        <v>-1</v>
      </c>
    </row>
    <row r="350" spans="1:4" x14ac:dyDescent="0.25">
      <c r="A350" t="s">
        <v>922</v>
      </c>
      <c r="B350" s="2">
        <v>6.3999999999999999E-11</v>
      </c>
      <c r="C350" s="2">
        <v>1.2E-10</v>
      </c>
      <c r="D350" s="2">
        <v>-1</v>
      </c>
    </row>
    <row r="351" spans="1:4" x14ac:dyDescent="0.25">
      <c r="A351" t="s">
        <v>923</v>
      </c>
      <c r="B351" s="2">
        <v>1.4E-11</v>
      </c>
      <c r="C351" s="2">
        <v>2.5000000000000001E-11</v>
      </c>
      <c r="D351" s="2">
        <v>2.6000000000000001E-11</v>
      </c>
    </row>
    <row r="352" spans="1:4" x14ac:dyDescent="0.25">
      <c r="A352" t="s">
        <v>924</v>
      </c>
      <c r="B352" s="2">
        <v>1.5E-10</v>
      </c>
      <c r="C352" s="2">
        <v>3.4000000000000001E-10</v>
      </c>
      <c r="D352" s="2">
        <v>3.6E-10</v>
      </c>
    </row>
    <row r="353" spans="1:4" x14ac:dyDescent="0.25">
      <c r="A353" t="s">
        <v>925</v>
      </c>
      <c r="B353" s="2">
        <v>1.0000000000000001E-9</v>
      </c>
      <c r="C353" s="2">
        <v>5.9000000000000003E-10</v>
      </c>
      <c r="D353" s="2">
        <v>2.2999999999999999E-9</v>
      </c>
    </row>
    <row r="354" spans="1:4" x14ac:dyDescent="0.25">
      <c r="A354" t="s">
        <v>926</v>
      </c>
      <c r="B354" s="2">
        <v>9.6000000000000005E-11</v>
      </c>
      <c r="C354" s="2">
        <v>1.5999999999999999E-10</v>
      </c>
      <c r="D354" s="2">
        <v>1.7000000000000001E-10</v>
      </c>
    </row>
    <row r="355" spans="1:4" x14ac:dyDescent="0.25">
      <c r="A355" t="s">
        <v>927</v>
      </c>
      <c r="B355" s="2">
        <v>2.1999999999999999E-10</v>
      </c>
      <c r="C355" s="2">
        <v>8.9000000000000003E-10</v>
      </c>
      <c r="D355" s="2">
        <v>9.900000000000001E-10</v>
      </c>
    </row>
    <row r="356" spans="1:4" x14ac:dyDescent="0.25">
      <c r="A356" t="s">
        <v>3</v>
      </c>
      <c r="B356" s="2">
        <v>1.3000000000000001E-9</v>
      </c>
      <c r="C356" s="2">
        <v>-1</v>
      </c>
      <c r="D356" s="2">
        <v>-1</v>
      </c>
    </row>
    <row r="357" spans="1:4" x14ac:dyDescent="0.25">
      <c r="A357" t="s">
        <v>928</v>
      </c>
      <c r="B357" s="2">
        <v>2.7E-10</v>
      </c>
      <c r="C357" s="2">
        <v>-1</v>
      </c>
      <c r="D357" s="2">
        <v>-1</v>
      </c>
    </row>
    <row r="358" spans="1:4" x14ac:dyDescent="0.25">
      <c r="A358" t="s">
        <v>929</v>
      </c>
      <c r="B358" s="2">
        <v>1.8999999999999999E-11</v>
      </c>
      <c r="C358" s="2">
        <v>2.7E-11</v>
      </c>
      <c r="D358" s="2">
        <v>2.8E-11</v>
      </c>
    </row>
    <row r="359" spans="1:4" x14ac:dyDescent="0.25">
      <c r="A359" t="s">
        <v>930</v>
      </c>
      <c r="B359" s="2">
        <v>6.0999999999999996E-11</v>
      </c>
      <c r="C359" s="2">
        <v>1.0999999999999999E-10</v>
      </c>
      <c r="D359" s="2">
        <v>1.2E-10</v>
      </c>
    </row>
    <row r="360" spans="1:4" x14ac:dyDescent="0.25">
      <c r="A360" t="s">
        <v>931</v>
      </c>
      <c r="B360" s="2">
        <v>3.9000000000000001E-11</v>
      </c>
      <c r="C360" s="2">
        <v>6.7999999999999998E-11</v>
      </c>
      <c r="D360" s="2">
        <v>7.1E-11</v>
      </c>
    </row>
    <row r="361" spans="1:4" x14ac:dyDescent="0.25">
      <c r="A361" t="s">
        <v>932</v>
      </c>
      <c r="B361" s="2">
        <v>3.7999999999999998E-10</v>
      </c>
      <c r="C361" s="2">
        <v>6.3E-10</v>
      </c>
      <c r="D361" s="2">
        <v>6.6E-10</v>
      </c>
    </row>
    <row r="362" spans="1:4" x14ac:dyDescent="0.25">
      <c r="A362" t="s">
        <v>111</v>
      </c>
      <c r="B362" s="2">
        <v>2.1999999999999999E-10</v>
      </c>
      <c r="C362" s="2">
        <v>5.1E-10</v>
      </c>
      <c r="D362" s="2">
        <v>1.8E-9</v>
      </c>
    </row>
    <row r="363" spans="1:4" x14ac:dyDescent="0.25">
      <c r="A363" t="s">
        <v>933</v>
      </c>
      <c r="B363" s="2">
        <v>5.7999999999999998E-9</v>
      </c>
      <c r="C363" s="2">
        <v>1.0999999999999999E-8</v>
      </c>
      <c r="D363" s="2">
        <v>4.9000000000000002E-8</v>
      </c>
    </row>
    <row r="364" spans="1:4" x14ac:dyDescent="0.25">
      <c r="A364" t="s">
        <v>934</v>
      </c>
      <c r="B364" s="2">
        <v>5.7E-10</v>
      </c>
      <c r="C364" s="2">
        <v>1.5E-9</v>
      </c>
      <c r="D364" s="2">
        <v>1.8E-9</v>
      </c>
    </row>
    <row r="365" spans="1:4" x14ac:dyDescent="0.25">
      <c r="A365" t="s">
        <v>935</v>
      </c>
      <c r="B365" s="2">
        <v>2.0000000000000001E-10</v>
      </c>
      <c r="C365" s="2">
        <v>7.8999999999999996E-10</v>
      </c>
      <c r="D365" s="2">
        <v>8.7999999999999996E-10</v>
      </c>
    </row>
    <row r="366" spans="1:4" x14ac:dyDescent="0.25">
      <c r="A366" t="s">
        <v>936</v>
      </c>
      <c r="B366" s="2">
        <v>3.4000000000000001E-10</v>
      </c>
      <c r="C366" s="2">
        <v>6.3E-10</v>
      </c>
      <c r="D366" s="2">
        <v>6.6E-10</v>
      </c>
    </row>
    <row r="367" spans="1:4" x14ac:dyDescent="0.25">
      <c r="A367" t="s">
        <v>937</v>
      </c>
      <c r="B367" s="2">
        <v>2.0999999999999999E-11</v>
      </c>
      <c r="C367" s="2">
        <v>4.3E-11</v>
      </c>
      <c r="D367" s="2">
        <v>4.5E-11</v>
      </c>
    </row>
    <row r="368" spans="1:4" x14ac:dyDescent="0.25">
      <c r="A368" t="s">
        <v>938</v>
      </c>
      <c r="B368" s="2">
        <v>3.3000000000000002E-11</v>
      </c>
      <c r="C368" s="2">
        <v>5.6E-11</v>
      </c>
      <c r="D368" s="2">
        <v>5.8E-11</v>
      </c>
    </row>
    <row r="369" spans="1:4" x14ac:dyDescent="0.25">
      <c r="A369" t="s">
        <v>939</v>
      </c>
      <c r="B369" s="2">
        <v>-1</v>
      </c>
      <c r="C369" s="2">
        <v>5.0999999999999998E-11</v>
      </c>
      <c r="D369" s="2">
        <v>5.4000000000000001E-11</v>
      </c>
    </row>
    <row r="370" spans="1:4" x14ac:dyDescent="0.25">
      <c r="A370" t="s">
        <v>940</v>
      </c>
      <c r="B370" s="2">
        <v>-1</v>
      </c>
      <c r="C370" s="2">
        <v>2.3000000000000001E-10</v>
      </c>
      <c r="D370" s="2">
        <v>2.5000000000000002E-10</v>
      </c>
    </row>
    <row r="371" spans="1:4" x14ac:dyDescent="0.25">
      <c r="A371" t="s">
        <v>941</v>
      </c>
      <c r="B371" s="2">
        <v>-1</v>
      </c>
      <c r="C371" s="2">
        <v>9.8999999999999994E-12</v>
      </c>
      <c r="D371" s="2">
        <v>9.9999999999999994E-12</v>
      </c>
    </row>
    <row r="372" spans="1:4" x14ac:dyDescent="0.25">
      <c r="A372" t="s">
        <v>942</v>
      </c>
      <c r="B372" s="2">
        <v>-1</v>
      </c>
      <c r="C372" s="2">
        <v>1.5E-10</v>
      </c>
      <c r="D372" s="2">
        <v>1.5E-10</v>
      </c>
    </row>
    <row r="373" spans="1:4" x14ac:dyDescent="0.25">
      <c r="A373" t="s">
        <v>943</v>
      </c>
      <c r="B373" s="2">
        <v>-1</v>
      </c>
      <c r="C373" s="2">
        <v>4.7999999999999997E-12</v>
      </c>
      <c r="D373" s="2">
        <v>4.9999999999999997E-12</v>
      </c>
    </row>
    <row r="374" spans="1:4" x14ac:dyDescent="0.25">
      <c r="A374" t="s">
        <v>944</v>
      </c>
      <c r="B374" s="2">
        <v>-1</v>
      </c>
      <c r="C374" s="2">
        <v>2.1000000000000002E-9</v>
      </c>
      <c r="D374" s="2">
        <v>2.4E-9</v>
      </c>
    </row>
    <row r="375" spans="1:4" x14ac:dyDescent="0.25">
      <c r="A375" t="s">
        <v>945</v>
      </c>
      <c r="B375" s="2">
        <v>-1</v>
      </c>
      <c r="C375" s="2">
        <v>8.3999999999999994E-11</v>
      </c>
      <c r="D375" s="2">
        <v>8.9000000000000003E-11</v>
      </c>
    </row>
    <row r="376" spans="1:4" x14ac:dyDescent="0.25">
      <c r="A376" t="s">
        <v>946</v>
      </c>
      <c r="B376" s="2">
        <v>-1</v>
      </c>
      <c r="C376" s="2">
        <v>1.6999999999999999E-11</v>
      </c>
      <c r="D376" s="2">
        <v>1.6999999999999999E-11</v>
      </c>
    </row>
    <row r="377" spans="1:4" x14ac:dyDescent="0.25">
      <c r="A377" t="s">
        <v>947</v>
      </c>
      <c r="B377" s="2">
        <v>4.8999999999999996E-10</v>
      </c>
      <c r="C377" s="2">
        <v>8.6999999999999999E-10</v>
      </c>
      <c r="D377" s="2">
        <v>1.0000000000000001E-9</v>
      </c>
    </row>
    <row r="378" spans="1:4" x14ac:dyDescent="0.25">
      <c r="A378" t="s">
        <v>948</v>
      </c>
      <c r="B378" s="2">
        <v>2.5000000000000002E-10</v>
      </c>
      <c r="C378" s="2">
        <v>5.0000000000000003E-10</v>
      </c>
      <c r="D378" s="2">
        <v>5.3000000000000003E-10</v>
      </c>
    </row>
    <row r="379" spans="1:4" x14ac:dyDescent="0.25">
      <c r="A379" t="s">
        <v>108</v>
      </c>
      <c r="B379" s="2">
        <v>1.8E-10</v>
      </c>
      <c r="C379" s="2">
        <v>1.2999999999999999E-10</v>
      </c>
      <c r="D379" s="2">
        <v>4.3999999999999998E-10</v>
      </c>
    </row>
    <row r="380" spans="1:4" x14ac:dyDescent="0.25">
      <c r="A380" t="s">
        <v>15</v>
      </c>
      <c r="B380" s="2">
        <v>4.3999999999999998E-10</v>
      </c>
      <c r="C380" s="2">
        <v>4.8E-10</v>
      </c>
      <c r="D380" s="2">
        <v>1.3000000000000001E-9</v>
      </c>
    </row>
    <row r="381" spans="1:4" x14ac:dyDescent="0.25">
      <c r="A381" t="s">
        <v>949</v>
      </c>
      <c r="B381" s="2">
        <v>4.1000000000000001E-11</v>
      </c>
      <c r="C381" s="2">
        <v>8.5000000000000004E-11</v>
      </c>
      <c r="D381" s="2">
        <v>8.9999999999999999E-11</v>
      </c>
    </row>
    <row r="382" spans="1:4" x14ac:dyDescent="0.25">
      <c r="A382" t="s">
        <v>950</v>
      </c>
      <c r="B382" s="2">
        <v>4.2E-10</v>
      </c>
      <c r="C382" s="2">
        <v>1.6000000000000001E-9</v>
      </c>
      <c r="D382" s="2">
        <v>1.8E-9</v>
      </c>
    </row>
    <row r="383" spans="1:4" x14ac:dyDescent="0.25">
      <c r="A383" t="s">
        <v>951</v>
      </c>
      <c r="B383" s="2">
        <v>1.2E-10</v>
      </c>
      <c r="C383" s="2">
        <v>5.0000000000000002E-11</v>
      </c>
      <c r="D383" s="2">
        <v>2.4000000000000001E-11</v>
      </c>
    </row>
    <row r="384" spans="1:4" x14ac:dyDescent="0.25">
      <c r="A384" t="s">
        <v>952</v>
      </c>
      <c r="B384" s="2">
        <v>1.1E-12</v>
      </c>
      <c r="C384" s="2">
        <v>1.6E-12</v>
      </c>
      <c r="D384" s="2">
        <v>1.7E-12</v>
      </c>
    </row>
    <row r="385" spans="1:4" x14ac:dyDescent="0.25">
      <c r="A385" t="s">
        <v>953</v>
      </c>
      <c r="B385" s="2">
        <v>3.4999999999999998E-10</v>
      </c>
      <c r="C385" s="2">
        <v>5.3000000000000003E-10</v>
      </c>
      <c r="D385" s="2">
        <v>5.4999999999999996E-10</v>
      </c>
    </row>
    <row r="386" spans="1:4" x14ac:dyDescent="0.25">
      <c r="A386" t="s">
        <v>954</v>
      </c>
      <c r="B386" s="2">
        <v>6.3E-10</v>
      </c>
      <c r="C386" s="2">
        <v>4.2E-10</v>
      </c>
      <c r="D386" s="2">
        <v>5.1999999999999996E-10</v>
      </c>
    </row>
    <row r="387" spans="1:4" x14ac:dyDescent="0.25">
      <c r="A387" t="s">
        <v>131</v>
      </c>
      <c r="B387" s="2">
        <v>7.9999999999999996E-6</v>
      </c>
      <c r="C387" s="2">
        <v>3.1999999999999999E-6</v>
      </c>
      <c r="D387" s="2">
        <v>9.9999999999999995E-7</v>
      </c>
    </row>
    <row r="388" spans="1:4" x14ac:dyDescent="0.25">
      <c r="A388" t="s">
        <v>955</v>
      </c>
      <c r="B388" s="2">
        <v>8.9999999999999995E-9</v>
      </c>
      <c r="C388" s="2">
        <v>5.3000000000000003E-9</v>
      </c>
      <c r="D388" s="2">
        <v>4.2000000000000004E-9</v>
      </c>
    </row>
    <row r="389" spans="1:4" x14ac:dyDescent="0.25">
      <c r="A389" t="s">
        <v>95</v>
      </c>
      <c r="B389" s="2">
        <v>5.0000000000000002E-5</v>
      </c>
      <c r="C389" s="2">
        <v>2.3E-5</v>
      </c>
      <c r="D389" s="2">
        <v>1.2E-5</v>
      </c>
    </row>
    <row r="390" spans="1:4" x14ac:dyDescent="0.25">
      <c r="A390" t="s">
        <v>149</v>
      </c>
      <c r="B390" s="2">
        <v>3.4999999999999999E-9</v>
      </c>
      <c r="C390" s="2">
        <v>2.1000000000000002E-9</v>
      </c>
      <c r="D390" s="2">
        <v>1.5E-9</v>
      </c>
    </row>
    <row r="391" spans="1:4" x14ac:dyDescent="0.25">
      <c r="A391" t="s">
        <v>100</v>
      </c>
      <c r="B391" s="2">
        <v>1.7000000000000001E-10</v>
      </c>
      <c r="C391" s="2">
        <v>9.2999999999999999E-10</v>
      </c>
      <c r="D391" s="2">
        <v>1.0000000000000001E-9</v>
      </c>
    </row>
    <row r="392" spans="1:4" x14ac:dyDescent="0.25">
      <c r="A392" t="s">
        <v>956</v>
      </c>
      <c r="B392" s="2">
        <v>3.9999999999999998E-11</v>
      </c>
      <c r="C392" s="2">
        <v>8.5000000000000004E-11</v>
      </c>
      <c r="D392" s="2">
        <v>8.9999999999999999E-11</v>
      </c>
    </row>
    <row r="393" spans="1:4" x14ac:dyDescent="0.25">
      <c r="A393" t="s">
        <v>957</v>
      </c>
      <c r="B393" s="2">
        <v>8.1999999999999998E-12</v>
      </c>
      <c r="C393" s="2">
        <v>1.4E-11</v>
      </c>
      <c r="D393" s="2">
        <v>1.5E-11</v>
      </c>
    </row>
    <row r="394" spans="1:4" x14ac:dyDescent="0.25">
      <c r="A394" t="s">
        <v>958</v>
      </c>
      <c r="B394" s="2">
        <v>3.3000000000000002E-11</v>
      </c>
      <c r="C394" s="2">
        <v>6.2000000000000006E-11</v>
      </c>
      <c r="D394" s="2">
        <v>6.4999999999999995E-11</v>
      </c>
    </row>
    <row r="395" spans="1:4" x14ac:dyDescent="0.25">
      <c r="A395" t="s">
        <v>959</v>
      </c>
      <c r="B395" s="2">
        <v>1.7000000000000001E-10</v>
      </c>
      <c r="C395" s="2">
        <v>3.6E-10</v>
      </c>
      <c r="D395" s="2">
        <v>3.7999999999999998E-10</v>
      </c>
    </row>
    <row r="396" spans="1:4" x14ac:dyDescent="0.25">
      <c r="A396" t="s">
        <v>960</v>
      </c>
      <c r="B396" s="2">
        <v>1.0999999999999999E-9</v>
      </c>
      <c r="C396" s="2">
        <v>1.3000000000000001E-9</v>
      </c>
      <c r="D396" s="2">
        <v>1.6000000000000001E-9</v>
      </c>
    </row>
    <row r="397" spans="1:4" x14ac:dyDescent="0.25">
      <c r="A397" t="s">
        <v>961</v>
      </c>
      <c r="B397" s="2">
        <v>2.4999999999999998E-12</v>
      </c>
      <c r="C397" s="2">
        <v>4.9999999999999997E-12</v>
      </c>
      <c r="D397" s="2">
        <v>5.2999999999999996E-12</v>
      </c>
    </row>
    <row r="398" spans="1:4" x14ac:dyDescent="0.25">
      <c r="A398" t="s">
        <v>962</v>
      </c>
      <c r="B398" s="2">
        <v>2.5000000000000002E-10</v>
      </c>
      <c r="C398" s="2">
        <v>1.6999999999999999E-9</v>
      </c>
      <c r="D398" s="2">
        <v>1.9000000000000001E-9</v>
      </c>
    </row>
    <row r="399" spans="1:4" x14ac:dyDescent="0.25">
      <c r="A399" t="s">
        <v>963</v>
      </c>
      <c r="B399" s="2">
        <v>2.4000000000000001E-11</v>
      </c>
      <c r="C399" s="2">
        <v>1.4000000000000001E-10</v>
      </c>
      <c r="D399" s="2">
        <v>1.5999999999999999E-10</v>
      </c>
    </row>
    <row r="400" spans="1:4" x14ac:dyDescent="0.25">
      <c r="A400" t="s">
        <v>964</v>
      </c>
      <c r="B400" s="2">
        <v>1.5999999999999999E-10</v>
      </c>
      <c r="C400" s="2">
        <v>4.8E-10</v>
      </c>
      <c r="D400" s="2">
        <v>5.1999999999999996E-10</v>
      </c>
    </row>
    <row r="401" spans="1:4" x14ac:dyDescent="0.25">
      <c r="A401" t="s">
        <v>965</v>
      </c>
      <c r="B401" s="2">
        <v>1.0999999999999999E-8</v>
      </c>
      <c r="C401" s="2">
        <v>2.0999999999999999E-8</v>
      </c>
      <c r="D401" s="2">
        <v>8.4999999999999994E-8</v>
      </c>
    </row>
    <row r="402" spans="1:4" x14ac:dyDescent="0.25">
      <c r="A402" t="s">
        <v>4</v>
      </c>
      <c r="B402" s="2">
        <v>7.7000000000000003E-10</v>
      </c>
      <c r="C402" s="2">
        <v>3.3999999999999998E-9</v>
      </c>
      <c r="D402" s="2">
        <v>-1</v>
      </c>
    </row>
    <row r="403" spans="1:4" x14ac:dyDescent="0.25">
      <c r="A403" t="s">
        <v>5</v>
      </c>
      <c r="B403" s="2">
        <v>9.2000000000000005E-11</v>
      </c>
      <c r="C403" s="2">
        <v>1.5E-9</v>
      </c>
      <c r="D403" s="2">
        <v>-1</v>
      </c>
    </row>
    <row r="404" spans="1:4" x14ac:dyDescent="0.25">
      <c r="A404" t="s">
        <v>966</v>
      </c>
      <c r="B404" s="2">
        <v>-1</v>
      </c>
      <c r="C404" s="2">
        <v>7.4000000000000001E-8</v>
      </c>
      <c r="D404" s="2">
        <v>8.0000000000000002E-8</v>
      </c>
    </row>
    <row r="405" spans="1:4" x14ac:dyDescent="0.25">
      <c r="A405" t="s">
        <v>967</v>
      </c>
      <c r="B405" s="2">
        <v>-1</v>
      </c>
      <c r="C405" s="2">
        <v>6.4000000000000004E-8</v>
      </c>
      <c r="D405" s="2">
        <v>7.4999999999999997E-8</v>
      </c>
    </row>
    <row r="406" spans="1:4" x14ac:dyDescent="0.25">
      <c r="A406" t="s">
        <v>968</v>
      </c>
      <c r="B406" s="2">
        <v>-1</v>
      </c>
      <c r="C406" s="2">
        <v>6.0999999999999998E-7</v>
      </c>
      <c r="D406" s="2">
        <v>7.6000000000000003E-7</v>
      </c>
    </row>
    <row r="407" spans="1:4" x14ac:dyDescent="0.25">
      <c r="A407" t="s">
        <v>84</v>
      </c>
      <c r="B407" s="2">
        <v>-1</v>
      </c>
      <c r="C407" s="2">
        <v>1.3999999999999999E-4</v>
      </c>
      <c r="D407" s="2">
        <v>3.4E-5</v>
      </c>
    </row>
    <row r="408" spans="1:4" x14ac:dyDescent="0.25">
      <c r="A408" t="s">
        <v>969</v>
      </c>
      <c r="B408" s="2">
        <v>-1</v>
      </c>
      <c r="C408" s="2">
        <v>1E-8</v>
      </c>
      <c r="D408" s="2">
        <v>3.4999999999999999E-9</v>
      </c>
    </row>
    <row r="409" spans="1:4" x14ac:dyDescent="0.25">
      <c r="A409" t="s">
        <v>88</v>
      </c>
      <c r="B409" s="2">
        <v>-1</v>
      </c>
      <c r="C409" s="2">
        <v>3.3000000000000002E-9</v>
      </c>
      <c r="D409" s="2">
        <v>3.9000000000000002E-9</v>
      </c>
    </row>
    <row r="410" spans="1:4" x14ac:dyDescent="0.25">
      <c r="A410" t="s">
        <v>90</v>
      </c>
      <c r="B410" s="2">
        <v>-1</v>
      </c>
      <c r="C410" s="2">
        <v>3.7999999999999998E-10</v>
      </c>
      <c r="D410" s="2">
        <v>4.0000000000000001E-10</v>
      </c>
    </row>
    <row r="411" spans="1:4" x14ac:dyDescent="0.25">
      <c r="A411" t="s">
        <v>970</v>
      </c>
      <c r="B411" s="2">
        <v>1.6E-11</v>
      </c>
      <c r="C411" s="2">
        <v>2.5000000000000001E-11</v>
      </c>
      <c r="D411" s="2">
        <v>2.7E-11</v>
      </c>
    </row>
    <row r="412" spans="1:4" x14ac:dyDescent="0.25">
      <c r="A412" t="s">
        <v>971</v>
      </c>
      <c r="B412" s="2">
        <v>4.3E-11</v>
      </c>
      <c r="C412" s="2">
        <v>6.6000000000000005E-11</v>
      </c>
      <c r="D412" s="2">
        <v>7.0000000000000004E-11</v>
      </c>
    </row>
    <row r="413" spans="1:4" x14ac:dyDescent="0.25">
      <c r="A413" t="s">
        <v>972</v>
      </c>
      <c r="B413" s="2">
        <v>2.3000000000000001E-11</v>
      </c>
      <c r="C413" s="2">
        <v>3.5999999999999998E-11</v>
      </c>
      <c r="D413" s="2">
        <v>3.7000000000000001E-11</v>
      </c>
    </row>
    <row r="414" spans="1:4" x14ac:dyDescent="0.25">
      <c r="A414" t="s">
        <v>973</v>
      </c>
      <c r="B414" s="2">
        <v>1.4000000000000001E-10</v>
      </c>
      <c r="C414" s="2">
        <v>3.3E-10</v>
      </c>
      <c r="D414" s="2">
        <v>3.4999999999999998E-10</v>
      </c>
    </row>
    <row r="415" spans="1:4" x14ac:dyDescent="0.25">
      <c r="A415" t="s">
        <v>974</v>
      </c>
      <c r="B415" s="2">
        <v>6E-11</v>
      </c>
      <c r="C415" s="2">
        <v>1.0999999999999999E-10</v>
      </c>
      <c r="D415" s="2">
        <v>1.2E-10</v>
      </c>
    </row>
    <row r="416" spans="1:4" x14ac:dyDescent="0.25">
      <c r="A416" t="s">
        <v>975</v>
      </c>
      <c r="B416" s="2">
        <v>1.0999999999999999E-8</v>
      </c>
      <c r="C416" s="2">
        <v>6.3000000000000002E-9</v>
      </c>
      <c r="D416" s="2">
        <v>1.2E-8</v>
      </c>
    </row>
    <row r="417" spans="1:4" x14ac:dyDescent="0.25">
      <c r="A417" t="s">
        <v>976</v>
      </c>
      <c r="B417" s="2">
        <v>6.2000000000000006E-11</v>
      </c>
      <c r="C417" s="2">
        <v>9.4999999999999995E-11</v>
      </c>
      <c r="D417" s="2">
        <v>1E-10</v>
      </c>
    </row>
    <row r="418" spans="1:4" x14ac:dyDescent="0.25">
      <c r="A418" t="s">
        <v>977</v>
      </c>
      <c r="B418" s="2">
        <v>8.5000000000000004E-11</v>
      </c>
      <c r="C418" s="2">
        <v>2.0000000000000001E-10</v>
      </c>
      <c r="D418" s="2">
        <v>2.1999999999999999E-10</v>
      </c>
    </row>
    <row r="419" spans="1:4" x14ac:dyDescent="0.25">
      <c r="A419" t="s">
        <v>978</v>
      </c>
      <c r="B419" s="2">
        <v>3.3E-10</v>
      </c>
      <c r="C419" s="2">
        <v>2.5000000000000002E-10</v>
      </c>
      <c r="D419" s="2">
        <v>8.4999999999999996E-10</v>
      </c>
    </row>
    <row r="420" spans="1:4" x14ac:dyDescent="0.25">
      <c r="A420" t="s">
        <v>40</v>
      </c>
      <c r="B420" s="2">
        <v>1.6999999999999999E-11</v>
      </c>
      <c r="C420" s="2">
        <v>5.6E-11</v>
      </c>
      <c r="D420" s="2">
        <v>6.0999999999999996E-11</v>
      </c>
    </row>
    <row r="421" spans="1:4" x14ac:dyDescent="0.25">
      <c r="A421" t="s">
        <v>44</v>
      </c>
      <c r="B421" s="2">
        <v>8.9999999999999996E-7</v>
      </c>
      <c r="C421" s="2">
        <v>1.1000000000000001E-6</v>
      </c>
      <c r="D421" s="2">
        <v>5.5999999999999997E-6</v>
      </c>
    </row>
    <row r="422" spans="1:4" x14ac:dyDescent="0.25">
      <c r="A422" t="s">
        <v>48</v>
      </c>
      <c r="B422" s="2">
        <v>3.9000000000000002E-9</v>
      </c>
      <c r="C422" s="2">
        <v>1.0999999999999999E-8</v>
      </c>
      <c r="D422" s="2">
        <v>1.2E-8</v>
      </c>
    </row>
    <row r="423" spans="1:4" x14ac:dyDescent="0.25">
      <c r="A423" t="s">
        <v>51</v>
      </c>
      <c r="B423" s="2">
        <v>1.7999999999999999E-8</v>
      </c>
      <c r="C423" s="2">
        <v>1.6999999999999999E-7</v>
      </c>
      <c r="D423" s="2">
        <v>1.9000000000000001E-7</v>
      </c>
    </row>
    <row r="424" spans="1:4" x14ac:dyDescent="0.25">
      <c r="A424" t="s">
        <v>56</v>
      </c>
      <c r="B424" s="2">
        <v>2.7999999999999998E-9</v>
      </c>
      <c r="C424" s="2">
        <v>1.4E-8</v>
      </c>
      <c r="D424" s="2">
        <v>1.4999999999999999E-8</v>
      </c>
    </row>
    <row r="425" spans="1:4" x14ac:dyDescent="0.25">
      <c r="A425" t="s">
        <v>979</v>
      </c>
      <c r="B425" s="2">
        <v>4.7000000000000003E-10</v>
      </c>
      <c r="C425" s="2">
        <v>8.0000000000000003E-10</v>
      </c>
      <c r="D425" s="2">
        <v>8.4999999999999996E-10</v>
      </c>
    </row>
    <row r="426" spans="1:4" x14ac:dyDescent="0.25">
      <c r="A426" t="s">
        <v>980</v>
      </c>
      <c r="B426" s="2">
        <v>3.9000000000000001E-11</v>
      </c>
      <c r="C426" s="2">
        <v>5.9000000000000003E-11</v>
      </c>
      <c r="D426" s="2">
        <v>6.2000000000000006E-11</v>
      </c>
    </row>
    <row r="427" spans="1:4" x14ac:dyDescent="0.25">
      <c r="A427" t="s">
        <v>981</v>
      </c>
      <c r="B427" s="2">
        <v>8.9000000000000003E-11</v>
      </c>
      <c r="C427" s="2">
        <v>3.7999999999999998E-10</v>
      </c>
      <c r="D427" s="2">
        <v>4.5E-10</v>
      </c>
    </row>
    <row r="428" spans="1:4" x14ac:dyDescent="0.25">
      <c r="A428" t="s">
        <v>114</v>
      </c>
      <c r="B428" s="2">
        <v>2.5000000000000001E-11</v>
      </c>
      <c r="C428" s="2">
        <v>8.5000000000000004E-11</v>
      </c>
      <c r="D428" s="2">
        <v>5.9000000000000003E-10</v>
      </c>
    </row>
    <row r="429" spans="1:4" x14ac:dyDescent="0.25">
      <c r="A429" t="s">
        <v>982</v>
      </c>
      <c r="B429" s="2">
        <v>1.2E-10</v>
      </c>
      <c r="C429" s="2">
        <v>3.4000000000000001E-10</v>
      </c>
      <c r="D429" s="2">
        <v>3.7000000000000001E-10</v>
      </c>
    </row>
    <row r="430" spans="1:4" x14ac:dyDescent="0.25">
      <c r="A430" t="s">
        <v>983</v>
      </c>
      <c r="B430" s="2">
        <v>-1</v>
      </c>
      <c r="C430" s="2">
        <v>1.4E-11</v>
      </c>
      <c r="D430" s="2">
        <v>1.5E-11</v>
      </c>
    </row>
    <row r="431" spans="1:4" x14ac:dyDescent="0.25">
      <c r="A431" t="s">
        <v>984</v>
      </c>
      <c r="B431" s="2">
        <v>-1</v>
      </c>
      <c r="C431" s="2">
        <v>1.5E-9</v>
      </c>
      <c r="D431" s="2">
        <v>1.3999999999999999E-9</v>
      </c>
    </row>
    <row r="432" spans="1:4" x14ac:dyDescent="0.25">
      <c r="A432" t="s">
        <v>985</v>
      </c>
      <c r="B432" s="2">
        <v>-1</v>
      </c>
      <c r="C432" s="2">
        <v>8.2000000000000006E-9</v>
      </c>
      <c r="D432" s="2">
        <v>7.4999999999999993E-9</v>
      </c>
    </row>
    <row r="433" spans="1:4" x14ac:dyDescent="0.25">
      <c r="A433" t="s">
        <v>986</v>
      </c>
      <c r="B433" s="2">
        <v>-1</v>
      </c>
      <c r="C433" s="2">
        <v>3.6E-9</v>
      </c>
      <c r="D433" s="2">
        <v>2.2999999999999999E-9</v>
      </c>
    </row>
    <row r="434" spans="1:4" x14ac:dyDescent="0.25">
      <c r="A434" t="s">
        <v>126</v>
      </c>
      <c r="B434" s="2">
        <v>-1</v>
      </c>
      <c r="C434" s="2">
        <v>2.0999999999999999E-8</v>
      </c>
      <c r="D434" s="2">
        <v>1.7E-8</v>
      </c>
    </row>
    <row r="435" spans="1:4" x14ac:dyDescent="0.25">
      <c r="A435" t="s">
        <v>127</v>
      </c>
      <c r="B435" s="2">
        <v>-1</v>
      </c>
      <c r="C435" s="2">
        <v>5.0000000000000001E-9</v>
      </c>
      <c r="D435" s="2">
        <v>4.9E-9</v>
      </c>
    </row>
    <row r="436" spans="1:4" x14ac:dyDescent="0.25">
      <c r="A436" t="s">
        <v>987</v>
      </c>
      <c r="B436" s="2">
        <v>-1</v>
      </c>
      <c r="C436" s="2">
        <v>2.0000000000000001E-9</v>
      </c>
      <c r="D436" s="2">
        <v>2.1999999999999998E-9</v>
      </c>
    </row>
    <row r="437" spans="1:4" x14ac:dyDescent="0.25">
      <c r="A437" t="s">
        <v>988</v>
      </c>
      <c r="B437" s="2">
        <v>-1</v>
      </c>
      <c r="C437" s="2">
        <v>5.1000000000000002E-9</v>
      </c>
      <c r="D437" s="2">
        <v>5.6999999999999998E-9</v>
      </c>
    </row>
    <row r="438" spans="1:4" x14ac:dyDescent="0.25">
      <c r="A438" t="s">
        <v>989</v>
      </c>
      <c r="B438" s="2">
        <v>-1</v>
      </c>
      <c r="C438" s="2">
        <v>6.6999999999999996E-10</v>
      </c>
      <c r="D438" s="2">
        <v>7.2999999999999996E-10</v>
      </c>
    </row>
    <row r="439" spans="1:4" x14ac:dyDescent="0.25">
      <c r="A439" t="s">
        <v>990</v>
      </c>
      <c r="B439" s="2">
        <v>-1</v>
      </c>
      <c r="C439" s="2">
        <v>1.2E-10</v>
      </c>
      <c r="D439" s="2">
        <v>1.2999999999999999E-10</v>
      </c>
    </row>
    <row r="440" spans="1:4" x14ac:dyDescent="0.25">
      <c r="A440" t="s">
        <v>991</v>
      </c>
      <c r="B440" s="2">
        <v>-1</v>
      </c>
      <c r="C440" s="2">
        <v>4.3000000000000001E-10</v>
      </c>
      <c r="D440" s="2">
        <v>4.6000000000000001E-10</v>
      </c>
    </row>
    <row r="441" spans="1:4" x14ac:dyDescent="0.25">
      <c r="A441" t="s">
        <v>992</v>
      </c>
      <c r="B441" s="2">
        <v>2.3000000000000001E-11</v>
      </c>
      <c r="C441" s="2">
        <v>3.5000000000000002E-11</v>
      </c>
      <c r="D441" s="2">
        <v>3.5999999999999998E-11</v>
      </c>
    </row>
    <row r="442" spans="1:4" x14ac:dyDescent="0.25">
      <c r="A442" t="s">
        <v>993</v>
      </c>
      <c r="B442" s="2">
        <v>3.3000000000000002E-11</v>
      </c>
      <c r="C442" s="2">
        <v>6.4999999999999995E-11</v>
      </c>
      <c r="D442" s="2">
        <v>6.8999999999999994E-11</v>
      </c>
    </row>
    <row r="443" spans="1:4" x14ac:dyDescent="0.25">
      <c r="A443" t="s">
        <v>994</v>
      </c>
      <c r="B443" s="2">
        <v>5.8E-11</v>
      </c>
      <c r="C443" s="2">
        <v>7.8000000000000002E-11</v>
      </c>
      <c r="D443" s="2">
        <v>8.2000000000000001E-11</v>
      </c>
    </row>
    <row r="444" spans="1:4" x14ac:dyDescent="0.25">
      <c r="A444" t="s">
        <v>42</v>
      </c>
      <c r="B444" s="2">
        <v>6.0999999999999998E-7</v>
      </c>
      <c r="C444" s="2">
        <v>3.3000000000000002E-6</v>
      </c>
      <c r="D444" s="2">
        <v>4.3000000000000003E-6</v>
      </c>
    </row>
    <row r="445" spans="1:4" x14ac:dyDescent="0.25">
      <c r="A445" t="s">
        <v>995</v>
      </c>
      <c r="B445" s="2">
        <v>-1</v>
      </c>
      <c r="C445" s="2">
        <v>1.3E-11</v>
      </c>
      <c r="D445" s="2">
        <v>1.4E-11</v>
      </c>
    </row>
    <row r="446" spans="1:4" x14ac:dyDescent="0.25">
      <c r="A446" t="s">
        <v>996</v>
      </c>
      <c r="B446" s="2">
        <v>-1</v>
      </c>
      <c r="C446" s="2">
        <v>1.9999999999999999E-11</v>
      </c>
      <c r="D446" s="2">
        <v>2.0999999999999999E-11</v>
      </c>
    </row>
    <row r="447" spans="1:4" x14ac:dyDescent="0.25">
      <c r="A447" t="s">
        <v>997</v>
      </c>
      <c r="B447" s="2">
        <v>-1</v>
      </c>
      <c r="C447" s="2">
        <v>7.1999999999999997E-11</v>
      </c>
      <c r="D447" s="2">
        <v>7.4000000000000003E-11</v>
      </c>
    </row>
    <row r="448" spans="1:4" x14ac:dyDescent="0.25">
      <c r="A448" t="s">
        <v>998</v>
      </c>
      <c r="B448" s="2">
        <v>-1</v>
      </c>
      <c r="C448" s="2">
        <v>1.7999999999999999E-11</v>
      </c>
      <c r="D448" s="2">
        <v>1.9999999999999999E-11</v>
      </c>
    </row>
    <row r="449" spans="1:4" x14ac:dyDescent="0.25">
      <c r="A449" t="s">
        <v>999</v>
      </c>
      <c r="B449" s="2">
        <v>-1</v>
      </c>
      <c r="C449" s="2">
        <v>5.1999999999999996E-10</v>
      </c>
      <c r="D449" s="2">
        <v>5.4999999999999996E-10</v>
      </c>
    </row>
    <row r="450" spans="1:4" x14ac:dyDescent="0.25">
      <c r="A450" t="s">
        <v>1000</v>
      </c>
      <c r="B450" s="2">
        <v>-1</v>
      </c>
      <c r="C450" s="2">
        <v>6.6000000000000001E-12</v>
      </c>
      <c r="D450" s="2">
        <v>7.0000000000000001E-12</v>
      </c>
    </row>
    <row r="451" spans="1:4" x14ac:dyDescent="0.25">
      <c r="A451" t="s">
        <v>1001</v>
      </c>
      <c r="B451" s="2">
        <v>-1</v>
      </c>
      <c r="C451" s="2">
        <v>2.1999999999999998E-9</v>
      </c>
      <c r="D451" s="2">
        <v>2.4E-9</v>
      </c>
    </row>
    <row r="452" spans="1:4" x14ac:dyDescent="0.25">
      <c r="A452" t="s">
        <v>125</v>
      </c>
      <c r="B452" s="2">
        <v>-1</v>
      </c>
      <c r="C452" s="2">
        <v>1.7999999999999999E-11</v>
      </c>
      <c r="D452" s="2">
        <v>1.7999999999999999E-11</v>
      </c>
    </row>
    <row r="453" spans="1:4" x14ac:dyDescent="0.25">
      <c r="A453" t="s">
        <v>1002</v>
      </c>
      <c r="B453" s="2">
        <v>-1</v>
      </c>
      <c r="C453" s="2">
        <v>1.5999999999999999E-10</v>
      </c>
      <c r="D453" s="2">
        <v>1.7000000000000001E-10</v>
      </c>
    </row>
    <row r="454" spans="1:4" x14ac:dyDescent="0.25">
      <c r="A454" t="s">
        <v>1003</v>
      </c>
      <c r="B454" s="2">
        <v>-1</v>
      </c>
      <c r="C454" s="2">
        <v>1.7999999999999999E-11</v>
      </c>
      <c r="D454" s="2">
        <v>1.7999999999999999E-11</v>
      </c>
    </row>
    <row r="455" spans="1:4" x14ac:dyDescent="0.25">
      <c r="A455" t="s">
        <v>1004</v>
      </c>
      <c r="B455" s="2">
        <v>3.3000000000000002E-11</v>
      </c>
      <c r="C455" s="2">
        <v>-1</v>
      </c>
      <c r="D455" s="2">
        <v>-1</v>
      </c>
    </row>
    <row r="456" spans="1:4" x14ac:dyDescent="0.25">
      <c r="A456" t="s">
        <v>1005</v>
      </c>
      <c r="B456" s="2">
        <v>4.2E-10</v>
      </c>
      <c r="C456" s="2">
        <v>-1</v>
      </c>
      <c r="D456" s="2">
        <v>-1</v>
      </c>
    </row>
    <row r="457" spans="1:4" x14ac:dyDescent="0.25">
      <c r="A457" t="s">
        <v>1006</v>
      </c>
      <c r="B457" s="2">
        <v>3.7999999999999998E-11</v>
      </c>
      <c r="C457" s="2">
        <v>-1</v>
      </c>
      <c r="D457" s="2">
        <v>-1</v>
      </c>
    </row>
    <row r="458" spans="1:4" x14ac:dyDescent="0.25">
      <c r="A458" t="s">
        <v>1007</v>
      </c>
      <c r="B458" s="2">
        <v>1.0999999999999999E-10</v>
      </c>
      <c r="C458" s="2">
        <v>-1</v>
      </c>
      <c r="D458" s="2">
        <v>-1</v>
      </c>
    </row>
    <row r="459" spans="1:4" x14ac:dyDescent="0.25">
      <c r="A459" t="s">
        <v>1008</v>
      </c>
      <c r="B459" s="2">
        <v>2.0999999999999999E-11</v>
      </c>
      <c r="C459" s="2">
        <v>-1</v>
      </c>
      <c r="D459" s="2">
        <v>-1</v>
      </c>
    </row>
    <row r="460" spans="1:4" x14ac:dyDescent="0.25">
      <c r="A460" t="s">
        <v>1009</v>
      </c>
      <c r="B460" s="2">
        <v>1.2E-10</v>
      </c>
      <c r="C460" s="2">
        <v>-1</v>
      </c>
      <c r="D460" s="2">
        <v>-1</v>
      </c>
    </row>
    <row r="461" spans="1:4" x14ac:dyDescent="0.25">
      <c r="A461" t="s">
        <v>1010</v>
      </c>
      <c r="B461" s="2">
        <v>1.8E-10</v>
      </c>
      <c r="C461" s="2">
        <v>-1</v>
      </c>
      <c r="D461" s="2">
        <v>-1</v>
      </c>
    </row>
    <row r="462" spans="1:4" x14ac:dyDescent="0.25">
      <c r="A462" t="s">
        <v>1011</v>
      </c>
      <c r="B462" s="2">
        <v>8.5000000000000004E-11</v>
      </c>
      <c r="C462" s="2">
        <v>-1</v>
      </c>
      <c r="D462" s="2">
        <v>-1</v>
      </c>
    </row>
    <row r="463" spans="1:4" x14ac:dyDescent="0.25">
      <c r="A463" t="s">
        <v>1012</v>
      </c>
      <c r="B463" s="2">
        <v>2.4000000000000001E-11</v>
      </c>
      <c r="C463" s="2">
        <v>-1</v>
      </c>
      <c r="D463" s="2">
        <v>-1</v>
      </c>
    </row>
    <row r="464" spans="1:4" x14ac:dyDescent="0.25">
      <c r="A464" t="s">
        <v>1013</v>
      </c>
      <c r="B464" s="2">
        <v>1.2000000000000001E-11</v>
      </c>
      <c r="C464" s="2">
        <v>-1</v>
      </c>
      <c r="D464" s="2">
        <v>-1</v>
      </c>
    </row>
    <row r="465" spans="1:4" x14ac:dyDescent="0.25">
      <c r="A465" t="s">
        <v>1014</v>
      </c>
      <c r="B465" s="2">
        <v>2.1999999999999999E-10</v>
      </c>
      <c r="C465" s="2">
        <v>-1</v>
      </c>
      <c r="D465" s="2">
        <v>-1</v>
      </c>
    </row>
    <row r="466" spans="1:4" x14ac:dyDescent="0.25">
      <c r="A466" t="s">
        <v>1015</v>
      </c>
      <c r="B466" s="2">
        <v>3E-9</v>
      </c>
      <c r="C466" s="2">
        <v>2.0999999999999999E-8</v>
      </c>
      <c r="D466" s="2">
        <v>2.4E-8</v>
      </c>
    </row>
    <row r="467" spans="1:4" x14ac:dyDescent="0.25">
      <c r="A467" t="s">
        <v>1016</v>
      </c>
      <c r="B467" s="2">
        <v>9.9999999999999998E-13</v>
      </c>
      <c r="C467" s="2">
        <v>1.4000000000000001E-12</v>
      </c>
      <c r="D467" s="2">
        <v>1.5000000000000001E-12</v>
      </c>
    </row>
    <row r="468" spans="1:4" x14ac:dyDescent="0.25">
      <c r="A468" t="s">
        <v>132</v>
      </c>
      <c r="B468" s="2">
        <v>4.0000000000000003E-5</v>
      </c>
      <c r="C468" s="2">
        <v>2.0000000000000002E-5</v>
      </c>
      <c r="D468" s="2">
        <v>1.0000000000000001E-5</v>
      </c>
    </row>
    <row r="469" spans="1:4" x14ac:dyDescent="0.25">
      <c r="A469" t="s">
        <v>1017</v>
      </c>
      <c r="B469" s="2">
        <v>2.5999999999999998E-10</v>
      </c>
      <c r="C469" s="2">
        <v>3.4999999999999998E-10</v>
      </c>
      <c r="D469" s="2">
        <v>3.9E-10</v>
      </c>
    </row>
    <row r="470" spans="1:4" x14ac:dyDescent="0.25">
      <c r="A470" t="s">
        <v>97</v>
      </c>
      <c r="B470" s="2">
        <v>1.1E-4</v>
      </c>
      <c r="C470" s="2">
        <v>4.6E-5</v>
      </c>
      <c r="D470" s="2">
        <v>1.5999999999999999E-5</v>
      </c>
    </row>
    <row r="471" spans="1:4" x14ac:dyDescent="0.25">
      <c r="A471" t="s">
        <v>99</v>
      </c>
      <c r="B471" s="2">
        <v>1.2E-4</v>
      </c>
      <c r="C471" s="2">
        <v>5.0000000000000002E-5</v>
      </c>
      <c r="D471" s="2">
        <v>1.5999999999999999E-5</v>
      </c>
    </row>
    <row r="472" spans="1:4" x14ac:dyDescent="0.25">
      <c r="A472" t="s">
        <v>101</v>
      </c>
      <c r="B472" s="2">
        <v>1.2E-4</v>
      </c>
      <c r="C472" s="2">
        <v>5.0000000000000002E-5</v>
      </c>
      <c r="D472" s="2">
        <v>1.5999999999999999E-5</v>
      </c>
    </row>
    <row r="473" spans="1:4" x14ac:dyDescent="0.25">
      <c r="A473" t="s">
        <v>103</v>
      </c>
      <c r="B473" s="2">
        <v>2.3E-6</v>
      </c>
      <c r="C473" s="2">
        <v>8.9999999999999996E-7</v>
      </c>
      <c r="D473" s="2">
        <v>1.6999999999999999E-7</v>
      </c>
    </row>
    <row r="474" spans="1:4" x14ac:dyDescent="0.25">
      <c r="A474" t="s">
        <v>133</v>
      </c>
      <c r="B474" s="2">
        <v>1.1E-4</v>
      </c>
      <c r="C474" s="2">
        <v>4.8000000000000001E-5</v>
      </c>
      <c r="D474" s="2">
        <v>1.5E-5</v>
      </c>
    </row>
    <row r="475" spans="1:4" x14ac:dyDescent="0.25">
      <c r="A475" t="s">
        <v>1018</v>
      </c>
      <c r="B475" s="2">
        <v>3.1999999999999999E-11</v>
      </c>
      <c r="C475" s="2">
        <v>8.2999999999999998E-11</v>
      </c>
      <c r="D475" s="2">
        <v>8.6E-11</v>
      </c>
    </row>
    <row r="476" spans="1:4" x14ac:dyDescent="0.25">
      <c r="A476" t="s">
        <v>1019</v>
      </c>
      <c r="B476" s="2">
        <v>1.1E-4</v>
      </c>
      <c r="C476" s="2">
        <v>4.6999999999999997E-5</v>
      </c>
      <c r="D476" s="2">
        <v>1.5E-5</v>
      </c>
    </row>
    <row r="477" spans="1:4" x14ac:dyDescent="0.25">
      <c r="A477" t="s">
        <v>1020</v>
      </c>
      <c r="B477" s="2">
        <v>1.5999999999999999E-10</v>
      </c>
      <c r="C477" s="2">
        <v>4.0000000000000001E-10</v>
      </c>
      <c r="D477" s="2">
        <v>4.3000000000000001E-10</v>
      </c>
    </row>
    <row r="478" spans="1:4" x14ac:dyDescent="0.25">
      <c r="A478" t="s">
        <v>1021</v>
      </c>
      <c r="B478" s="2">
        <v>2.5000000000000001E-9</v>
      </c>
      <c r="C478" s="2">
        <v>7.4000000000000001E-9</v>
      </c>
      <c r="D478" s="2">
        <v>8.0000000000000005E-9</v>
      </c>
    </row>
    <row r="479" spans="1:4" x14ac:dyDescent="0.25">
      <c r="A479" t="s">
        <v>71</v>
      </c>
      <c r="B479" s="2">
        <v>1.1999999999999999E-7</v>
      </c>
      <c r="C479" s="2">
        <v>7.4000000000000003E-6</v>
      </c>
      <c r="D479" s="2">
        <v>8.6999999999999997E-6</v>
      </c>
    </row>
    <row r="480" spans="1:4" x14ac:dyDescent="0.25">
      <c r="A480" t="s">
        <v>73</v>
      </c>
      <c r="B480" s="2">
        <v>7.4999999999999997E-8</v>
      </c>
      <c r="C480" s="2">
        <v>3.0000000000000001E-6</v>
      </c>
      <c r="D480" s="2">
        <v>3.4000000000000001E-6</v>
      </c>
    </row>
    <row r="481" spans="1:4" x14ac:dyDescent="0.25">
      <c r="A481" t="s">
        <v>75</v>
      </c>
      <c r="B481" s="2">
        <v>1.3E-7</v>
      </c>
      <c r="C481" s="2">
        <v>6.2999999999999998E-6</v>
      </c>
      <c r="D481" s="2">
        <v>7.7000000000000008E-6</v>
      </c>
    </row>
    <row r="482" spans="1:4" x14ac:dyDescent="0.25">
      <c r="A482" t="s">
        <v>76</v>
      </c>
      <c r="B482" s="2">
        <v>3.5999999999999999E-7</v>
      </c>
      <c r="C482" s="2">
        <v>3.4999999999999999E-6</v>
      </c>
      <c r="D482" s="2">
        <v>9.5000000000000005E-6</v>
      </c>
    </row>
    <row r="483" spans="1:4" x14ac:dyDescent="0.25">
      <c r="A483" t="s">
        <v>1022</v>
      </c>
      <c r="B483" s="2">
        <v>4.6000000000000001E-10</v>
      </c>
      <c r="C483" s="2">
        <v>2.8000000000000002E-10</v>
      </c>
      <c r="D483" s="2">
        <v>2.1999999999999999E-10</v>
      </c>
    </row>
    <row r="484" spans="1:4" x14ac:dyDescent="0.25">
      <c r="A484" t="s">
        <v>81</v>
      </c>
      <c r="B484" s="2">
        <v>8.9999999999999996E-7</v>
      </c>
      <c r="C484" s="2">
        <v>2.6000000000000001E-6</v>
      </c>
      <c r="D484" s="2">
        <v>1.5999999999999999E-5</v>
      </c>
    </row>
    <row r="485" spans="1:4" x14ac:dyDescent="0.25">
      <c r="A485" t="s">
        <v>1023</v>
      </c>
      <c r="B485" s="2">
        <v>1.6E-11</v>
      </c>
      <c r="C485" s="2">
        <v>-1</v>
      </c>
      <c r="D485" s="2">
        <v>-1</v>
      </c>
    </row>
    <row r="486" spans="1:4" x14ac:dyDescent="0.25">
      <c r="A486" t="s">
        <v>1024</v>
      </c>
      <c r="B486" s="2">
        <v>3.3999999999999999E-11</v>
      </c>
      <c r="C486" s="2">
        <v>-1</v>
      </c>
      <c r="D486" s="2">
        <v>-1</v>
      </c>
    </row>
    <row r="487" spans="1:4" x14ac:dyDescent="0.25">
      <c r="A487" t="s">
        <v>1025</v>
      </c>
      <c r="B487" s="2">
        <v>7.0000000000000001E-12</v>
      </c>
      <c r="C487" s="2">
        <v>-1</v>
      </c>
      <c r="D487" s="2">
        <v>-1</v>
      </c>
    </row>
    <row r="488" spans="1:4" x14ac:dyDescent="0.25">
      <c r="A488" t="s">
        <v>1026</v>
      </c>
      <c r="B488" s="2">
        <v>1.0999999999999999E-10</v>
      </c>
      <c r="C488" s="2">
        <v>-1</v>
      </c>
      <c r="D488" s="2">
        <v>-1</v>
      </c>
    </row>
    <row r="489" spans="1:4" x14ac:dyDescent="0.25">
      <c r="A489" t="s">
        <v>1027</v>
      </c>
      <c r="B489" s="2">
        <v>6.9E-10</v>
      </c>
      <c r="C489" s="2">
        <v>-1</v>
      </c>
      <c r="D489" s="2">
        <v>-1</v>
      </c>
    </row>
    <row r="490" spans="1:4" x14ac:dyDescent="0.25">
      <c r="A490" t="s">
        <v>1028</v>
      </c>
      <c r="B490" s="2">
        <v>1.0000000000000001E-9</v>
      </c>
      <c r="C490" s="2">
        <v>-1</v>
      </c>
      <c r="D490" s="2">
        <v>-1</v>
      </c>
    </row>
    <row r="491" spans="1:4" x14ac:dyDescent="0.25">
      <c r="A491" t="s">
        <v>19</v>
      </c>
      <c r="B491" s="2">
        <v>9.2999999999999999E-10</v>
      </c>
      <c r="C491" s="2">
        <v>-1</v>
      </c>
      <c r="D491" s="2">
        <v>-1</v>
      </c>
    </row>
    <row r="492" spans="1:4" x14ac:dyDescent="0.25">
      <c r="A492" t="s">
        <v>1029</v>
      </c>
      <c r="B492" s="2">
        <v>5.0000000000000003E-10</v>
      </c>
      <c r="C492" s="2">
        <v>-1</v>
      </c>
      <c r="D492" s="2">
        <v>-1</v>
      </c>
    </row>
    <row r="493" spans="1:4" x14ac:dyDescent="0.25">
      <c r="A493" t="s">
        <v>1030</v>
      </c>
      <c r="B493" s="2">
        <v>1.6E-11</v>
      </c>
      <c r="C493" s="2">
        <v>-1</v>
      </c>
      <c r="D493" s="2">
        <v>-1</v>
      </c>
    </row>
    <row r="494" spans="1:4" x14ac:dyDescent="0.25">
      <c r="A494" t="s">
        <v>1031</v>
      </c>
      <c r="B494" s="2">
        <v>1.4E-11</v>
      </c>
      <c r="C494" s="2">
        <v>-1</v>
      </c>
      <c r="D494" s="2">
        <v>-1</v>
      </c>
    </row>
    <row r="495" spans="1:4" x14ac:dyDescent="0.25">
      <c r="A495" t="s">
        <v>1032</v>
      </c>
      <c r="B495" s="2">
        <v>9.6999999999999995E-12</v>
      </c>
      <c r="C495" s="2">
        <v>1.4E-11</v>
      </c>
      <c r="D495" s="2">
        <v>-1</v>
      </c>
    </row>
    <row r="496" spans="1:4" x14ac:dyDescent="0.25">
      <c r="A496" t="s">
        <v>1033</v>
      </c>
      <c r="B496" s="2">
        <v>9.9999999999999994E-12</v>
      </c>
      <c r="C496" s="2">
        <v>1.4E-11</v>
      </c>
      <c r="D496" s="2">
        <v>-1</v>
      </c>
    </row>
    <row r="497" spans="1:4" x14ac:dyDescent="0.25">
      <c r="A497" t="s">
        <v>1034</v>
      </c>
      <c r="B497" s="2">
        <v>1.8E-10</v>
      </c>
      <c r="C497" s="2">
        <v>2.5000000000000002E-10</v>
      </c>
      <c r="D497" s="2">
        <v>-1</v>
      </c>
    </row>
    <row r="498" spans="1:4" x14ac:dyDescent="0.25">
      <c r="A498" t="s">
        <v>1035</v>
      </c>
      <c r="B498" s="2">
        <v>6.3999999999999996E-10</v>
      </c>
      <c r="C498" s="2">
        <v>1.2E-9</v>
      </c>
      <c r="D498" s="2">
        <v>-1</v>
      </c>
    </row>
    <row r="499" spans="1:4" x14ac:dyDescent="0.25">
      <c r="A499" t="s">
        <v>1036</v>
      </c>
      <c r="B499" s="2">
        <v>1.4000000000000001E-10</v>
      </c>
      <c r="C499" s="2">
        <v>2.0000000000000001E-10</v>
      </c>
      <c r="D499" s="2">
        <v>-1</v>
      </c>
    </row>
    <row r="500" spans="1:4" x14ac:dyDescent="0.25">
      <c r="A500" t="s">
        <v>1037</v>
      </c>
      <c r="B500" s="2">
        <v>4.3999999999999998E-10</v>
      </c>
      <c r="C500" s="2">
        <v>1.9000000000000001E-9</v>
      </c>
      <c r="D500" s="2">
        <v>-1</v>
      </c>
    </row>
    <row r="501" spans="1:4" x14ac:dyDescent="0.25">
      <c r="A501" t="s">
        <v>1038</v>
      </c>
      <c r="B501" s="2">
        <v>5.9000000000000003E-10</v>
      </c>
      <c r="C501" s="2">
        <v>6.5000000000000003E-9</v>
      </c>
      <c r="D501" s="2">
        <v>-1</v>
      </c>
    </row>
    <row r="502" spans="1:4" x14ac:dyDescent="0.25">
      <c r="A502" t="s">
        <v>1039</v>
      </c>
      <c r="B502" s="2">
        <v>5.1999999999999996E-10</v>
      </c>
      <c r="C502" s="2">
        <v>1.0999999999999999E-9</v>
      </c>
      <c r="D502" s="2">
        <v>-1</v>
      </c>
    </row>
    <row r="503" spans="1:4" x14ac:dyDescent="0.25">
      <c r="A503" t="s">
        <v>1040</v>
      </c>
      <c r="B503" s="2">
        <v>8.3000000000000003E-10</v>
      </c>
      <c r="C503" s="2">
        <v>1.2E-8</v>
      </c>
      <c r="D503" s="2">
        <v>-1</v>
      </c>
    </row>
    <row r="504" spans="1:4" x14ac:dyDescent="0.25">
      <c r="A504" t="s">
        <v>1041</v>
      </c>
      <c r="B504" s="2">
        <v>1.8E-12</v>
      </c>
      <c r="C504" s="2">
        <v>6.3000000000000002E-12</v>
      </c>
      <c r="D504" s="2">
        <v>-1</v>
      </c>
    </row>
    <row r="505" spans="1:4" x14ac:dyDescent="0.25">
      <c r="A505" t="s">
        <v>1042</v>
      </c>
      <c r="B505" s="2">
        <v>4.6000000000000001E-10</v>
      </c>
      <c r="C505" s="2">
        <v>5.4E-10</v>
      </c>
      <c r="D505" s="2">
        <v>-1</v>
      </c>
    </row>
    <row r="506" spans="1:4" x14ac:dyDescent="0.25">
      <c r="A506" t="s">
        <v>1043</v>
      </c>
      <c r="B506" s="2">
        <v>9.9999999999999994E-12</v>
      </c>
      <c r="C506" s="2">
        <v>1.3E-11</v>
      </c>
      <c r="D506" s="2">
        <v>-1</v>
      </c>
    </row>
    <row r="507" spans="1:4" x14ac:dyDescent="0.25">
      <c r="A507" t="s">
        <v>1044</v>
      </c>
      <c r="B507" s="2">
        <v>2.7E-10</v>
      </c>
      <c r="C507" s="2">
        <v>4.3000000000000001E-10</v>
      </c>
      <c r="D507" s="2">
        <v>-1</v>
      </c>
    </row>
    <row r="508" spans="1:4" x14ac:dyDescent="0.25">
      <c r="A508" t="s">
        <v>1045</v>
      </c>
      <c r="B508" s="2">
        <v>2.5999999999999998E-10</v>
      </c>
      <c r="C508" s="2">
        <v>3.4000000000000001E-10</v>
      </c>
      <c r="D508" s="2">
        <v>3.4999999999999998E-10</v>
      </c>
    </row>
    <row r="509" spans="1:4" x14ac:dyDescent="0.25">
      <c r="A509" t="s">
        <v>1046</v>
      </c>
      <c r="B509" s="2">
        <v>1.3999999999999999E-9</v>
      </c>
      <c r="C509" s="2">
        <v>2.2999999999999999E-9</v>
      </c>
      <c r="D509" s="2">
        <v>5.4000000000000004E-9</v>
      </c>
    </row>
    <row r="510" spans="1:4" x14ac:dyDescent="0.25">
      <c r="A510" t="s">
        <v>1047</v>
      </c>
      <c r="B510" s="2">
        <v>9.7000000000000001E-11</v>
      </c>
      <c r="C510" s="2">
        <v>1.8999999999999999E-10</v>
      </c>
      <c r="D510" s="2">
        <v>2.1E-10</v>
      </c>
    </row>
    <row r="511" spans="1:4" x14ac:dyDescent="0.25">
      <c r="A511" t="s">
        <v>1048</v>
      </c>
      <c r="B511" s="2">
        <v>1.5E-9</v>
      </c>
      <c r="C511" s="2">
        <v>4.0000000000000002E-9</v>
      </c>
      <c r="D511" s="2">
        <v>7.0999999999999999E-9</v>
      </c>
    </row>
    <row r="512" spans="1:4" x14ac:dyDescent="0.25">
      <c r="A512" t="s">
        <v>1049</v>
      </c>
      <c r="B512" s="2">
        <v>7.3E-9</v>
      </c>
      <c r="C512" s="2">
        <v>6.8999999999999997E-9</v>
      </c>
      <c r="D512" s="2">
        <v>1.7E-8</v>
      </c>
    </row>
    <row r="513" spans="1:4" x14ac:dyDescent="0.25">
      <c r="A513" t="s">
        <v>1050</v>
      </c>
      <c r="B513" s="2">
        <v>8.5999999999999997E-13</v>
      </c>
      <c r="C513" s="2">
        <v>2.4999999999999998E-12</v>
      </c>
      <c r="D513" s="2">
        <v>2.6999999999999998E-12</v>
      </c>
    </row>
    <row r="514" spans="1:4" x14ac:dyDescent="0.25">
      <c r="A514" t="s">
        <v>1051</v>
      </c>
      <c r="B514" s="2">
        <v>8.2000000000000001E-11</v>
      </c>
      <c r="C514" s="2">
        <v>3.1999999999999998E-10</v>
      </c>
      <c r="D514" s="2">
        <v>3.4999999999999998E-10</v>
      </c>
    </row>
    <row r="515" spans="1:4" x14ac:dyDescent="0.25">
      <c r="A515" t="s">
        <v>1052</v>
      </c>
      <c r="B515" s="2">
        <v>6.4999999999999995E-11</v>
      </c>
      <c r="C515" s="2">
        <v>1.0999999999999999E-10</v>
      </c>
      <c r="D515" s="2">
        <v>1.0999999999999999E-10</v>
      </c>
    </row>
    <row r="516" spans="1:4" x14ac:dyDescent="0.25">
      <c r="A516" t="s">
        <v>1053</v>
      </c>
      <c r="B516" s="2">
        <v>8.9999999999999996E-12</v>
      </c>
      <c r="C516" s="2">
        <v>1.6E-11</v>
      </c>
      <c r="D516" s="2">
        <v>1.6999999999999999E-11</v>
      </c>
    </row>
    <row r="517" spans="1:4" x14ac:dyDescent="0.25">
      <c r="A517" t="s">
        <v>24</v>
      </c>
      <c r="B517" s="2">
        <v>3.1999999999999998E-10</v>
      </c>
      <c r="C517" s="2">
        <v>7.7000000000000003E-10</v>
      </c>
      <c r="D517" s="2">
        <v>8.6999999999999999E-10</v>
      </c>
    </row>
    <row r="518" spans="1:4" x14ac:dyDescent="0.25">
      <c r="A518" t="s">
        <v>1054</v>
      </c>
      <c r="B518" s="2">
        <v>2.8E-11</v>
      </c>
      <c r="C518" s="2">
        <v>3.9000000000000001E-11</v>
      </c>
      <c r="D518" s="2">
        <v>3.9999999999999998E-11</v>
      </c>
    </row>
    <row r="519" spans="1:4" x14ac:dyDescent="0.25">
      <c r="A519" t="s">
        <v>1055</v>
      </c>
      <c r="B519" s="2">
        <v>4.8E-10</v>
      </c>
      <c r="C519" s="2">
        <v>2.4E-9</v>
      </c>
      <c r="D519" s="2">
        <v>3E-9</v>
      </c>
    </row>
    <row r="520" spans="1:4" x14ac:dyDescent="0.25">
      <c r="A520" t="s">
        <v>1056</v>
      </c>
      <c r="B520" s="2">
        <v>6.4999999999999995E-11</v>
      </c>
      <c r="C520" s="2">
        <v>1.7000000000000001E-10</v>
      </c>
      <c r="D520" s="2">
        <v>1.8E-10</v>
      </c>
    </row>
    <row r="521" spans="1:4" x14ac:dyDescent="0.25">
      <c r="A521" t="s">
        <v>112</v>
      </c>
      <c r="B521" s="2">
        <v>7.8999999999999996E-9</v>
      </c>
      <c r="C521" s="2">
        <v>2.7999999999999999E-8</v>
      </c>
      <c r="D521" s="2">
        <v>6.5999999999999995E-8</v>
      </c>
    </row>
    <row r="522" spans="1:4" x14ac:dyDescent="0.25">
      <c r="A522" t="s">
        <v>1057</v>
      </c>
      <c r="B522" s="2">
        <v>2.5000000000000001E-11</v>
      </c>
      <c r="C522" s="2">
        <v>4.1999999999999997E-11</v>
      </c>
      <c r="D522" s="2">
        <v>4.4000000000000003E-11</v>
      </c>
    </row>
    <row r="523" spans="1:4" x14ac:dyDescent="0.25">
      <c r="A523" t="s">
        <v>1058</v>
      </c>
      <c r="B523" s="2">
        <v>6.2000000000000006E-11</v>
      </c>
      <c r="C523" s="2">
        <v>1E-10</v>
      </c>
      <c r="D523" s="2">
        <v>1.0999999999999999E-10</v>
      </c>
    </row>
    <row r="524" spans="1:4" x14ac:dyDescent="0.25">
      <c r="A524" t="s">
        <v>6</v>
      </c>
      <c r="B524" s="2">
        <v>5.0999999999999998E-11</v>
      </c>
      <c r="C524" s="2">
        <v>1.3999999999999999E-9</v>
      </c>
      <c r="D524" s="2">
        <v>1.9000000000000001E-9</v>
      </c>
    </row>
    <row r="525" spans="1:4" x14ac:dyDescent="0.25">
      <c r="A525" t="s">
        <v>1059</v>
      </c>
      <c r="B525" s="2">
        <v>8.4999999999999997E-12</v>
      </c>
      <c r="C525" s="2">
        <v>1.3E-11</v>
      </c>
      <c r="D525" s="2">
        <v>1.4E-11</v>
      </c>
    </row>
    <row r="526" spans="1:4" x14ac:dyDescent="0.25">
      <c r="A526" t="s">
        <v>1060</v>
      </c>
      <c r="B526" s="2">
        <v>9.0999999999999996E-12</v>
      </c>
      <c r="C526" s="2">
        <v>1.3E-11</v>
      </c>
      <c r="D526" s="2">
        <v>1.3E-11</v>
      </c>
    </row>
    <row r="527" spans="1:4" x14ac:dyDescent="0.25">
      <c r="A527" t="s">
        <v>1061</v>
      </c>
      <c r="B527" s="2">
        <v>3.1999999999999999E-11</v>
      </c>
      <c r="C527" s="2">
        <v>4.6999999999999999E-11</v>
      </c>
      <c r="D527" s="2">
        <v>4.8999999999999999E-11</v>
      </c>
    </row>
    <row r="528" spans="1:4" x14ac:dyDescent="0.25">
      <c r="A528" t="s">
        <v>1062</v>
      </c>
      <c r="B528" s="2">
        <v>8.4999999999999997E-12</v>
      </c>
      <c r="C528" s="2">
        <v>1.6E-11</v>
      </c>
      <c r="D528" s="2">
        <v>1.6999999999999999E-11</v>
      </c>
    </row>
    <row r="529" spans="1:4" x14ac:dyDescent="0.25">
      <c r="A529" t="s">
        <v>1063</v>
      </c>
      <c r="B529" s="2">
        <v>9.3000000000000002E-11</v>
      </c>
      <c r="C529" s="2">
        <v>1.2E-10</v>
      </c>
      <c r="D529" s="2">
        <v>1.2E-10</v>
      </c>
    </row>
    <row r="530" spans="1:4" x14ac:dyDescent="0.25">
      <c r="A530" t="s">
        <v>1064</v>
      </c>
      <c r="B530" s="2">
        <v>2.3000000000000001E-11</v>
      </c>
      <c r="C530" s="2">
        <v>3.5000000000000002E-11</v>
      </c>
      <c r="D530" s="2">
        <v>3.5999999999999998E-11</v>
      </c>
    </row>
    <row r="531" spans="1:4" x14ac:dyDescent="0.25">
      <c r="A531" t="s">
        <v>1065</v>
      </c>
      <c r="B531" s="2">
        <v>4.5999999999999998E-12</v>
      </c>
      <c r="C531" s="2">
        <v>7.0000000000000001E-12</v>
      </c>
      <c r="D531" s="2">
        <v>7.3E-12</v>
      </c>
    </row>
    <row r="532" spans="1:4" x14ac:dyDescent="0.25">
      <c r="A532" t="s">
        <v>1066</v>
      </c>
      <c r="B532" s="2">
        <v>5.4999999999999996E-10</v>
      </c>
      <c r="C532" s="2">
        <v>1.0000000000000001E-9</v>
      </c>
      <c r="D532" s="2">
        <v>1.0999999999999999E-9</v>
      </c>
    </row>
    <row r="533" spans="1:4" x14ac:dyDescent="0.25">
      <c r="A533" t="s">
        <v>1067</v>
      </c>
      <c r="B533" s="2">
        <v>3.6E-10</v>
      </c>
      <c r="C533" s="2">
        <v>1.0000000000000001E-9</v>
      </c>
      <c r="D533" s="2">
        <v>1.0999999999999999E-9</v>
      </c>
    </row>
    <row r="534" spans="1:4" x14ac:dyDescent="0.25">
      <c r="A534" t="s">
        <v>1068</v>
      </c>
      <c r="B534" s="2">
        <v>1.3000000000000001E-9</v>
      </c>
      <c r="C534" s="2">
        <v>6.4000000000000002E-9</v>
      </c>
      <c r="D534" s="2">
        <v>8.5999999999999993E-9</v>
      </c>
    </row>
    <row r="535" spans="1:4" x14ac:dyDescent="0.25">
      <c r="A535" t="s">
        <v>1069</v>
      </c>
      <c r="B535" s="2">
        <v>2.8000000000000002E-12</v>
      </c>
      <c r="C535" s="2">
        <v>5.3999999999999996E-12</v>
      </c>
      <c r="D535" s="2">
        <v>5.9000000000000003E-12</v>
      </c>
    </row>
    <row r="536" spans="1:4" x14ac:dyDescent="0.25">
      <c r="A536" t="s">
        <v>117</v>
      </c>
      <c r="B536" s="2">
        <v>1.3999999999999999E-9</v>
      </c>
      <c r="C536" s="2">
        <v>4.8E-9</v>
      </c>
      <c r="D536" s="2">
        <v>1.2E-8</v>
      </c>
    </row>
    <row r="537" spans="1:4" x14ac:dyDescent="0.25">
      <c r="A537" t="s">
        <v>121</v>
      </c>
      <c r="B537" s="2">
        <v>1.0000000000000001E-9</v>
      </c>
      <c r="C537" s="2">
        <v>2.7999999999999998E-9</v>
      </c>
      <c r="D537" s="2">
        <v>3.2000000000000001E-9</v>
      </c>
    </row>
    <row r="538" spans="1:4" x14ac:dyDescent="0.25">
      <c r="A538" t="s">
        <v>120</v>
      </c>
      <c r="B538" s="2">
        <v>1.2000000000000001E-11</v>
      </c>
      <c r="C538" s="2">
        <v>1.8999999999999999E-11</v>
      </c>
      <c r="D538" s="2">
        <v>1.9999999999999999E-11</v>
      </c>
    </row>
    <row r="539" spans="1:4" x14ac:dyDescent="0.25">
      <c r="A539" t="s">
        <v>1070</v>
      </c>
      <c r="B539" s="2">
        <v>4.3000000000000001E-10</v>
      </c>
      <c r="C539" s="2">
        <v>1.6999999999999999E-9</v>
      </c>
      <c r="D539" s="2">
        <v>1.9000000000000001E-9</v>
      </c>
    </row>
    <row r="540" spans="1:4" x14ac:dyDescent="0.25">
      <c r="A540" t="s">
        <v>1071</v>
      </c>
      <c r="B540" s="2">
        <v>2.3000000000000001E-10</v>
      </c>
      <c r="C540" s="2">
        <v>4.0000000000000001E-10</v>
      </c>
      <c r="D540" s="2">
        <v>4.2E-10</v>
      </c>
    </row>
    <row r="541" spans="1:4" x14ac:dyDescent="0.25">
      <c r="A541" t="s">
        <v>1072</v>
      </c>
      <c r="B541" s="2">
        <v>9.9999999999999994E-12</v>
      </c>
      <c r="C541" s="2">
        <v>1.4E-11</v>
      </c>
      <c r="D541" s="2">
        <v>1.5E-11</v>
      </c>
    </row>
    <row r="542" spans="1:4" x14ac:dyDescent="0.25">
      <c r="A542" t="s">
        <v>1073</v>
      </c>
      <c r="B542" s="2">
        <v>1E-10</v>
      </c>
      <c r="C542" s="2">
        <v>2.3000000000000001E-10</v>
      </c>
      <c r="D542" s="2">
        <v>2.5000000000000002E-10</v>
      </c>
    </row>
    <row r="543" spans="1:4" x14ac:dyDescent="0.25">
      <c r="A543" t="s">
        <v>1074</v>
      </c>
      <c r="B543" s="2">
        <v>3.3000000000000002E-11</v>
      </c>
      <c r="C543" s="2">
        <v>5.0999999999999998E-11</v>
      </c>
      <c r="D543" s="2">
        <v>5.2999999999999998E-11</v>
      </c>
    </row>
    <row r="544" spans="1:4" x14ac:dyDescent="0.25">
      <c r="A544" t="s">
        <v>1075</v>
      </c>
      <c r="B544" s="2">
        <v>3.5000000000000002E-11</v>
      </c>
      <c r="C544" s="2">
        <v>4.4000000000000003E-11</v>
      </c>
      <c r="D544" s="2">
        <v>4.4000000000000003E-11</v>
      </c>
    </row>
    <row r="545" spans="1:4" x14ac:dyDescent="0.25">
      <c r="A545" t="s">
        <v>1076</v>
      </c>
      <c r="B545" s="2">
        <v>-1</v>
      </c>
      <c r="C545" s="2">
        <v>-1</v>
      </c>
      <c r="D545" s="2">
        <v>1.0999999999999999E-10</v>
      </c>
    </row>
    <row r="546" spans="1:4" x14ac:dyDescent="0.25">
      <c r="A546" t="s">
        <v>1077</v>
      </c>
      <c r="B546" s="2">
        <v>-1</v>
      </c>
      <c r="C546" s="2">
        <v>-1</v>
      </c>
      <c r="D546" s="2">
        <v>1.8E-10</v>
      </c>
    </row>
    <row r="547" spans="1:4" x14ac:dyDescent="0.25">
      <c r="A547" t="s">
        <v>1078</v>
      </c>
      <c r="B547" s="2">
        <v>-1</v>
      </c>
      <c r="C547" s="2">
        <v>-1</v>
      </c>
      <c r="D547" s="2">
        <v>1.3999999999999999E-9</v>
      </c>
    </row>
    <row r="548" spans="1:4" x14ac:dyDescent="0.25">
      <c r="A548" t="s">
        <v>1079</v>
      </c>
      <c r="B548" s="2">
        <v>-1</v>
      </c>
      <c r="C548" s="2">
        <v>-1</v>
      </c>
      <c r="D548" s="2">
        <v>6.7999999999999997E-9</v>
      </c>
    </row>
    <row r="549" spans="1:4" x14ac:dyDescent="0.25">
      <c r="A549" t="s">
        <v>1080</v>
      </c>
      <c r="B549" s="2">
        <v>-1</v>
      </c>
      <c r="C549" s="2">
        <v>-1</v>
      </c>
      <c r="D549" s="2">
        <v>7.2999999999999996E-10</v>
      </c>
    </row>
    <row r="550" spans="1:4" x14ac:dyDescent="0.25">
      <c r="A550" t="s">
        <v>1081</v>
      </c>
      <c r="B550" s="2">
        <v>-1</v>
      </c>
      <c r="C550" s="2">
        <v>-1</v>
      </c>
      <c r="D550" s="2">
        <v>1.0999999999999999E-9</v>
      </c>
    </row>
    <row r="551" spans="1:4" x14ac:dyDescent="0.25">
      <c r="A551" t="s">
        <v>1082</v>
      </c>
      <c r="B551" s="2">
        <v>-1</v>
      </c>
      <c r="C551" s="2">
        <v>-1</v>
      </c>
      <c r="D551" s="2">
        <v>3.9999999999999998E-11</v>
      </c>
    </row>
    <row r="552" spans="1:4" x14ac:dyDescent="0.25">
      <c r="A552" t="s">
        <v>1083</v>
      </c>
      <c r="B552" s="2">
        <v>4.1999999999999997E-11</v>
      </c>
      <c r="C552" s="2">
        <v>7.3000000000000006E-11</v>
      </c>
      <c r="D552" s="2">
        <v>7.5999999999999996E-11</v>
      </c>
    </row>
    <row r="553" spans="1:4" x14ac:dyDescent="0.25">
      <c r="A553" t="s">
        <v>1084</v>
      </c>
      <c r="B553" s="2">
        <v>7.9999999999999995E-11</v>
      </c>
      <c r="C553" s="2">
        <v>1.8999999999999999E-10</v>
      </c>
      <c r="D553" s="2">
        <v>2.1E-10</v>
      </c>
    </row>
    <row r="554" spans="1:4" x14ac:dyDescent="0.25">
      <c r="A554" t="s">
        <v>1085</v>
      </c>
      <c r="B554" s="2">
        <v>9.1999999999999996E-12</v>
      </c>
      <c r="C554" s="2">
        <v>1.9999999999999999E-11</v>
      </c>
      <c r="D554" s="2">
        <v>2.2000000000000002E-11</v>
      </c>
    </row>
    <row r="555" spans="1:4" x14ac:dyDescent="0.25">
      <c r="A555" t="s">
        <v>1086</v>
      </c>
      <c r="B555" s="2">
        <v>1.0000000000000001E-9</v>
      </c>
      <c r="C555" s="2">
        <v>1.0999999999999999E-9</v>
      </c>
      <c r="D555" s="2">
        <v>1.3000000000000001E-9</v>
      </c>
    </row>
    <row r="556" spans="1:4" x14ac:dyDescent="0.25">
      <c r="A556" t="s">
        <v>109</v>
      </c>
      <c r="B556" s="2">
        <v>1.0999999999999999E-9</v>
      </c>
      <c r="C556" s="2">
        <v>2.6000000000000001E-9</v>
      </c>
      <c r="D556" s="2">
        <v>6.7999999999999997E-9</v>
      </c>
    </row>
    <row r="557" spans="1:4" x14ac:dyDescent="0.25">
      <c r="A557" t="s">
        <v>1087</v>
      </c>
      <c r="B557" s="2">
        <v>7.9999999999999998E-12</v>
      </c>
      <c r="C557" s="2">
        <v>1.4E-11</v>
      </c>
      <c r="D557" s="2">
        <v>1.5E-11</v>
      </c>
    </row>
    <row r="558" spans="1:4" x14ac:dyDescent="0.25">
      <c r="A558" t="s">
        <v>1088</v>
      </c>
      <c r="B558" s="2">
        <v>1.6E-11</v>
      </c>
      <c r="C558" s="2">
        <v>4.6999999999999999E-11</v>
      </c>
      <c r="D558" s="2">
        <v>5.0999999999999998E-11</v>
      </c>
    </row>
    <row r="559" spans="1:4" x14ac:dyDescent="0.25">
      <c r="A559" t="s">
        <v>1089</v>
      </c>
      <c r="B559" s="2">
        <v>1.7999999999999999E-11</v>
      </c>
      <c r="C559" s="2">
        <v>3.1999999999999999E-11</v>
      </c>
      <c r="D559" s="2">
        <v>3.3999999999999999E-11</v>
      </c>
    </row>
    <row r="560" spans="1:4" x14ac:dyDescent="0.25">
      <c r="A560" t="s">
        <v>1090</v>
      </c>
      <c r="B560" s="2">
        <v>2.7E-11</v>
      </c>
      <c r="C560" s="2">
        <v>7.4000000000000003E-11</v>
      </c>
      <c r="D560" s="2">
        <v>7.8999999999999999E-11</v>
      </c>
    </row>
    <row r="561" spans="1:4" x14ac:dyDescent="0.25">
      <c r="A561" t="s">
        <v>1091</v>
      </c>
      <c r="B561" s="2">
        <v>3.2000000000000001E-9</v>
      </c>
      <c r="C561" s="2">
        <v>1.7E-8</v>
      </c>
      <c r="D561" s="2">
        <v>1.1000000000000001E-7</v>
      </c>
    </row>
    <row r="562" spans="1:4" x14ac:dyDescent="0.25">
      <c r="A562" t="s">
        <v>1092</v>
      </c>
      <c r="B562" s="2">
        <v>-1</v>
      </c>
      <c r="C562" s="2">
        <v>1.5E-11</v>
      </c>
      <c r="D562" s="2">
        <v>-1</v>
      </c>
    </row>
    <row r="563" spans="1:4" x14ac:dyDescent="0.25">
      <c r="A563" t="s">
        <v>1093</v>
      </c>
      <c r="B563" s="2">
        <v>-1</v>
      </c>
      <c r="C563" s="2">
        <v>3.1999999999999999E-11</v>
      </c>
      <c r="D563" s="2">
        <v>-1</v>
      </c>
    </row>
    <row r="564" spans="1:4" x14ac:dyDescent="0.25">
      <c r="A564" t="s">
        <v>1094</v>
      </c>
      <c r="B564" s="2">
        <v>-1</v>
      </c>
      <c r="C564" s="2">
        <v>7.1E-11</v>
      </c>
      <c r="D564" s="2">
        <v>-1</v>
      </c>
    </row>
    <row r="565" spans="1:4" x14ac:dyDescent="0.25">
      <c r="A565" t="s">
        <v>1095</v>
      </c>
      <c r="B565" s="2">
        <v>-1</v>
      </c>
      <c r="C565" s="2">
        <v>1.6000000000000001E-9</v>
      </c>
      <c r="D565" s="2">
        <v>-1</v>
      </c>
    </row>
    <row r="566" spans="1:4" x14ac:dyDescent="0.25">
      <c r="A566" t="s">
        <v>147</v>
      </c>
      <c r="B566" s="2">
        <v>-1</v>
      </c>
      <c r="C566" s="2">
        <v>1.1E-5</v>
      </c>
      <c r="D566" s="2">
        <v>-1</v>
      </c>
    </row>
    <row r="567" spans="1:4" x14ac:dyDescent="0.25">
      <c r="A567" t="s">
        <v>148</v>
      </c>
      <c r="B567" s="2">
        <v>-1</v>
      </c>
      <c r="C567" s="2">
        <v>9.5999999999999996E-6</v>
      </c>
      <c r="D567" s="2">
        <v>-1</v>
      </c>
    </row>
    <row r="568" spans="1:4" x14ac:dyDescent="0.25">
      <c r="A568" t="s">
        <v>128</v>
      </c>
      <c r="B568" s="2">
        <v>-1</v>
      </c>
      <c r="C568" s="2">
        <v>4.0000000000000002E-9</v>
      </c>
      <c r="D568" s="2">
        <v>-1</v>
      </c>
    </row>
    <row r="569" spans="1:4" x14ac:dyDescent="0.25">
      <c r="A569" t="s">
        <v>1096</v>
      </c>
      <c r="B569" s="2">
        <v>-1</v>
      </c>
      <c r="C569" s="2">
        <v>6.3E-10</v>
      </c>
      <c r="D569" s="2">
        <v>-1</v>
      </c>
    </row>
    <row r="570" spans="1:4" x14ac:dyDescent="0.25">
      <c r="A570" t="s">
        <v>1097</v>
      </c>
      <c r="B570" s="2">
        <v>-1</v>
      </c>
      <c r="C570" s="2">
        <v>1.6999999999999999E-11</v>
      </c>
      <c r="D570" s="2">
        <v>-1</v>
      </c>
    </row>
    <row r="571" spans="1:4" x14ac:dyDescent="0.25">
      <c r="A571" t="s">
        <v>1098</v>
      </c>
      <c r="B571" s="2">
        <v>-1</v>
      </c>
      <c r="C571" s="2">
        <v>2.1999999999999999E-10</v>
      </c>
      <c r="D571" s="2">
        <v>-1</v>
      </c>
    </row>
    <row r="572" spans="1:4" x14ac:dyDescent="0.25">
      <c r="A572" t="s">
        <v>1099</v>
      </c>
      <c r="B572" s="2">
        <v>9.8999999999999994E-11</v>
      </c>
      <c r="C572" s="2">
        <v>1.5999999999999999E-10</v>
      </c>
      <c r="D572" s="2">
        <v>-1</v>
      </c>
    </row>
    <row r="573" spans="1:4" x14ac:dyDescent="0.25">
      <c r="A573" t="s">
        <v>1100</v>
      </c>
      <c r="B573" s="2">
        <v>7.7999999999999999E-12</v>
      </c>
      <c r="C573" s="2">
        <v>1.3E-11</v>
      </c>
      <c r="D573" s="2">
        <v>-1</v>
      </c>
    </row>
    <row r="574" spans="1:4" x14ac:dyDescent="0.25">
      <c r="A574" t="s">
        <v>1101</v>
      </c>
      <c r="B574" s="2">
        <v>5.4E-10</v>
      </c>
      <c r="C574" s="2">
        <v>2.7000000000000002E-9</v>
      </c>
      <c r="D574" s="2">
        <v>-1</v>
      </c>
    </row>
    <row r="575" spans="1:4" x14ac:dyDescent="0.25">
      <c r="A575" t="s">
        <v>1102</v>
      </c>
      <c r="B575" s="2">
        <v>2.8000000000000002E-10</v>
      </c>
      <c r="C575" s="2">
        <v>2.4E-9</v>
      </c>
      <c r="D575" s="2">
        <v>-1</v>
      </c>
    </row>
    <row r="576" spans="1:4" x14ac:dyDescent="0.25">
      <c r="A576" t="s">
        <v>1103</v>
      </c>
      <c r="B576" s="2">
        <v>2.8000000000000002E-10</v>
      </c>
      <c r="C576" s="2">
        <v>2.1999999999999998E-9</v>
      </c>
      <c r="D576" s="2">
        <v>-1</v>
      </c>
    </row>
    <row r="577" spans="1:4" x14ac:dyDescent="0.25">
      <c r="A577" t="s">
        <v>146</v>
      </c>
      <c r="B577" s="2">
        <v>6E-11</v>
      </c>
      <c r="C577" s="2">
        <v>2.3000000000000001E-10</v>
      </c>
      <c r="D577" s="2">
        <v>-1</v>
      </c>
    </row>
    <row r="578" spans="1:4" x14ac:dyDescent="0.25">
      <c r="A578" t="s">
        <v>116</v>
      </c>
      <c r="B578" s="2">
        <v>8.0000000000000003E-10</v>
      </c>
      <c r="C578" s="2">
        <v>4.4999999999999998E-9</v>
      </c>
      <c r="D578" s="2">
        <v>-1</v>
      </c>
    </row>
    <row r="579" spans="1:4" x14ac:dyDescent="0.25">
      <c r="A579" t="s">
        <v>1104</v>
      </c>
      <c r="B579" s="2">
        <v>1.2E-9</v>
      </c>
      <c r="C579" s="2">
        <v>8.0999999999999997E-9</v>
      </c>
      <c r="D579" s="2">
        <v>-1</v>
      </c>
    </row>
    <row r="580" spans="1:4" x14ac:dyDescent="0.25">
      <c r="A580" t="s">
        <v>1105</v>
      </c>
      <c r="B580" s="2">
        <v>1.3E-11</v>
      </c>
      <c r="C580" s="2">
        <v>2.7E-11</v>
      </c>
      <c r="D580" s="2">
        <v>-1</v>
      </c>
    </row>
    <row r="581" spans="1:4" x14ac:dyDescent="0.25">
      <c r="A581" t="s">
        <v>1106</v>
      </c>
      <c r="B581" s="2">
        <v>8.9000000000000003E-10</v>
      </c>
      <c r="C581" s="2">
        <v>3.1E-9</v>
      </c>
      <c r="D581" s="2">
        <v>-1</v>
      </c>
    </row>
    <row r="582" spans="1:4" x14ac:dyDescent="0.25">
      <c r="A582" t="s">
        <v>119</v>
      </c>
      <c r="B582" s="2">
        <v>1.0999999999999999E-8</v>
      </c>
      <c r="C582" s="2">
        <v>2.7999999999999999E-8</v>
      </c>
      <c r="D582" s="2">
        <v>-1</v>
      </c>
    </row>
    <row r="583" spans="1:4" x14ac:dyDescent="0.25">
      <c r="A583" t="s">
        <v>1107</v>
      </c>
      <c r="B583" s="2">
        <v>6.4999999999999995E-11</v>
      </c>
      <c r="C583" s="2">
        <v>1.2999999999999999E-10</v>
      </c>
      <c r="D583" s="2">
        <v>-1</v>
      </c>
    </row>
    <row r="584" spans="1:4" x14ac:dyDescent="0.25">
      <c r="A584" t="s">
        <v>1108</v>
      </c>
      <c r="B584" s="2">
        <v>5.0000000000000002E-11</v>
      </c>
      <c r="C584" s="2">
        <v>9.2000000000000005E-11</v>
      </c>
      <c r="D584" s="2">
        <v>-1</v>
      </c>
    </row>
    <row r="585" spans="1:4" x14ac:dyDescent="0.25">
      <c r="A585" t="s">
        <v>1109</v>
      </c>
      <c r="B585" s="2">
        <v>7.1E-11</v>
      </c>
      <c r="C585" s="2">
        <v>1.2999999999999999E-10</v>
      </c>
      <c r="D585" s="2">
        <v>1.4000000000000001E-10</v>
      </c>
    </row>
    <row r="586" spans="1:4" x14ac:dyDescent="0.25">
      <c r="A586" t="s">
        <v>1110</v>
      </c>
      <c r="B586" s="2">
        <v>2.0999999999999999E-11</v>
      </c>
      <c r="C586" s="2">
        <v>3.5000000000000002E-11</v>
      </c>
      <c r="D586" s="2">
        <v>3.7000000000000001E-11</v>
      </c>
    </row>
    <row r="587" spans="1:4" x14ac:dyDescent="0.25">
      <c r="A587" t="s">
        <v>1111</v>
      </c>
      <c r="B587" s="2">
        <v>2.1000000000000002E-9</v>
      </c>
      <c r="C587" s="2">
        <v>8.9000000000000003E-9</v>
      </c>
      <c r="D587" s="2">
        <v>1.0999999999999999E-8</v>
      </c>
    </row>
    <row r="588" spans="1:4" x14ac:dyDescent="0.25">
      <c r="A588" t="s">
        <v>1112</v>
      </c>
      <c r="B588" s="2">
        <v>1.5999999999999999E-10</v>
      </c>
      <c r="C588" s="2">
        <v>3.1000000000000002E-10</v>
      </c>
      <c r="D588" s="2">
        <v>3.4000000000000001E-10</v>
      </c>
    </row>
    <row r="589" spans="1:4" x14ac:dyDescent="0.25">
      <c r="A589" t="s">
        <v>1113</v>
      </c>
      <c r="B589" s="2">
        <v>3.7999999999999998E-10</v>
      </c>
      <c r="C589" s="2">
        <v>6.3999999999999996E-10</v>
      </c>
      <c r="D589" s="2">
        <v>8.0999999999999999E-10</v>
      </c>
    </row>
    <row r="590" spans="1:4" x14ac:dyDescent="0.25">
      <c r="A590" t="s">
        <v>1114</v>
      </c>
      <c r="B590" s="2">
        <v>2.9000000000000002E-12</v>
      </c>
      <c r="C590" s="2">
        <v>4.0999999999999999E-12</v>
      </c>
      <c r="D590" s="2">
        <v>4.2999999999999999E-12</v>
      </c>
    </row>
    <row r="591" spans="1:4" x14ac:dyDescent="0.25">
      <c r="A591" t="s">
        <v>1115</v>
      </c>
      <c r="B591" s="2">
        <v>1.1000000000000001E-11</v>
      </c>
      <c r="C591" s="2">
        <v>1.9999999999999999E-11</v>
      </c>
      <c r="D591" s="2">
        <v>2.0999999999999999E-11</v>
      </c>
    </row>
    <row r="592" spans="1:4" x14ac:dyDescent="0.25">
      <c r="A592" t="s">
        <v>1116</v>
      </c>
      <c r="B592" s="2">
        <v>1.0000000000000001E-9</v>
      </c>
      <c r="C592" s="2">
        <v>6.1E-9</v>
      </c>
      <c r="D592" s="2">
        <v>7.8999999999999996E-9</v>
      </c>
    </row>
    <row r="593" spans="1:4" x14ac:dyDescent="0.25">
      <c r="A593" t="s">
        <v>21</v>
      </c>
      <c r="B593" s="2">
        <v>2.4E-8</v>
      </c>
      <c r="C593" s="2">
        <v>3.5999999999999998E-8</v>
      </c>
      <c r="D593" s="2">
        <v>1.6E-7</v>
      </c>
    </row>
    <row r="594" spans="1:4" x14ac:dyDescent="0.25">
      <c r="A594" t="s">
        <v>1117</v>
      </c>
      <c r="B594" s="2">
        <v>1.5999999999999999E-10</v>
      </c>
      <c r="C594" s="2">
        <v>3.7000000000000001E-10</v>
      </c>
      <c r="D594" s="2">
        <v>4.0999999999999998E-10</v>
      </c>
    </row>
    <row r="595" spans="1:4" x14ac:dyDescent="0.25">
      <c r="A595" t="s">
        <v>1118</v>
      </c>
      <c r="B595" s="2">
        <v>9.7999999999999998E-11</v>
      </c>
      <c r="C595" s="2">
        <v>2.1E-10</v>
      </c>
      <c r="D595" s="2">
        <v>2.3000000000000001E-10</v>
      </c>
    </row>
    <row r="596" spans="1:4" x14ac:dyDescent="0.25">
      <c r="A596" t="s">
        <v>1119</v>
      </c>
      <c r="B596" s="2">
        <v>-1</v>
      </c>
      <c r="C596" s="2">
        <v>3.3000000000000002E-11</v>
      </c>
      <c r="D596" s="2">
        <v>3.5000000000000002E-11</v>
      </c>
    </row>
    <row r="597" spans="1:4" x14ac:dyDescent="0.25">
      <c r="A597" t="s">
        <v>1120</v>
      </c>
      <c r="B597" s="2">
        <v>-1</v>
      </c>
      <c r="C597" s="2">
        <v>1.0999999999999999E-10</v>
      </c>
      <c r="D597" s="2">
        <v>1.0999999999999999E-10</v>
      </c>
    </row>
    <row r="598" spans="1:4" x14ac:dyDescent="0.25">
      <c r="A598" t="s">
        <v>1121</v>
      </c>
      <c r="B598" s="2">
        <v>-1</v>
      </c>
      <c r="C598" s="2">
        <v>4.1000000000000001E-11</v>
      </c>
      <c r="D598" s="2">
        <v>4.3E-11</v>
      </c>
    </row>
    <row r="599" spans="1:4" x14ac:dyDescent="0.25">
      <c r="A599" t="s">
        <v>1122</v>
      </c>
      <c r="B599" s="2">
        <v>-1</v>
      </c>
      <c r="C599" s="2">
        <v>1.2E-10</v>
      </c>
      <c r="D599" s="2">
        <v>1.2999999999999999E-10</v>
      </c>
    </row>
    <row r="600" spans="1:4" x14ac:dyDescent="0.25">
      <c r="A600" t="s">
        <v>1123</v>
      </c>
      <c r="B600" s="2">
        <v>-1</v>
      </c>
      <c r="C600" s="2">
        <v>1.8999999999999999E-10</v>
      </c>
      <c r="D600" s="2">
        <v>2.0000000000000001E-10</v>
      </c>
    </row>
    <row r="601" spans="1:4" x14ac:dyDescent="0.25">
      <c r="A601" t="s">
        <v>1124</v>
      </c>
      <c r="B601" s="2">
        <v>-1</v>
      </c>
      <c r="C601" s="2">
        <v>9.6000000000000005E-11</v>
      </c>
      <c r="D601" s="2">
        <v>1.0999999999999999E-10</v>
      </c>
    </row>
    <row r="602" spans="1:4" x14ac:dyDescent="0.25">
      <c r="A602" t="s">
        <v>1125</v>
      </c>
      <c r="B602" s="2">
        <v>-1</v>
      </c>
      <c r="C602" s="2">
        <v>6.4999999999999995E-11</v>
      </c>
      <c r="D602" s="2">
        <v>6.7999999999999998E-11</v>
      </c>
    </row>
    <row r="603" spans="1:4" x14ac:dyDescent="0.25">
      <c r="A603" t="s">
        <v>1126</v>
      </c>
      <c r="B603" s="2">
        <v>-1</v>
      </c>
      <c r="C603" s="2">
        <v>2.1999999999999999E-10</v>
      </c>
      <c r="D603" s="2">
        <v>5.6000000000000003E-10</v>
      </c>
    </row>
    <row r="604" spans="1:4" x14ac:dyDescent="0.25">
      <c r="A604" t="s">
        <v>1127</v>
      </c>
      <c r="B604" s="2">
        <v>-1</v>
      </c>
      <c r="C604" s="2">
        <v>4.4000000000000003E-11</v>
      </c>
      <c r="D604" s="2">
        <v>4.1999999999999997E-11</v>
      </c>
    </row>
    <row r="605" spans="1:4" x14ac:dyDescent="0.25">
      <c r="A605" t="s">
        <v>1128</v>
      </c>
      <c r="B605" s="2">
        <v>-1</v>
      </c>
      <c r="C605" s="2">
        <v>7.6000000000000002E-9</v>
      </c>
      <c r="D605" s="2">
        <v>1E-8</v>
      </c>
    </row>
    <row r="606" spans="1:4" x14ac:dyDescent="0.25">
      <c r="A606" t="s">
        <v>1218</v>
      </c>
      <c r="B606" s="2">
        <v>-1</v>
      </c>
      <c r="C606" s="2">
        <v>1.9999999999999999E-11</v>
      </c>
      <c r="D606" s="2">
        <v>2.0999999999999999E-11</v>
      </c>
    </row>
    <row r="607" spans="1:4" x14ac:dyDescent="0.25">
      <c r="A607" t="s">
        <v>1129</v>
      </c>
      <c r="B607" s="2">
        <v>-1</v>
      </c>
      <c r="C607" s="2">
        <v>1.9000000000000001E-9</v>
      </c>
      <c r="D607" s="2">
        <v>2.1000000000000002E-9</v>
      </c>
    </row>
    <row r="608" spans="1:4" x14ac:dyDescent="0.25">
      <c r="A608" t="s">
        <v>1130</v>
      </c>
      <c r="B608" s="2">
        <v>-1</v>
      </c>
      <c r="C608" s="2">
        <v>4.0999999999999998E-10</v>
      </c>
      <c r="D608" s="2">
        <v>4.3000000000000001E-10</v>
      </c>
    </row>
    <row r="609" spans="1:4" x14ac:dyDescent="0.25">
      <c r="A609" t="s">
        <v>1131</v>
      </c>
      <c r="B609" s="2">
        <v>-1</v>
      </c>
      <c r="C609" s="2">
        <v>4.5E-11</v>
      </c>
      <c r="D609" s="2">
        <v>4.8000000000000002E-11</v>
      </c>
    </row>
    <row r="610" spans="1:4" x14ac:dyDescent="0.25">
      <c r="A610" t="s">
        <v>1132</v>
      </c>
      <c r="B610" s="2">
        <v>-1</v>
      </c>
      <c r="C610" s="2">
        <v>1.6999999999999999E-11</v>
      </c>
      <c r="D610" s="2">
        <v>1.7999999999999999E-11</v>
      </c>
    </row>
    <row r="611" spans="1:4" x14ac:dyDescent="0.25">
      <c r="A611" t="s">
        <v>1133</v>
      </c>
      <c r="B611" s="2">
        <v>-1</v>
      </c>
      <c r="C611" s="2">
        <v>7.5999999999999996E-11</v>
      </c>
      <c r="D611" s="2">
        <v>-1</v>
      </c>
    </row>
    <row r="612" spans="1:4" x14ac:dyDescent="0.25">
      <c r="A612" t="s">
        <v>1134</v>
      </c>
      <c r="B612" s="2">
        <v>-1</v>
      </c>
      <c r="C612" s="2">
        <v>4.9E-9</v>
      </c>
      <c r="D612" s="2">
        <v>-1</v>
      </c>
    </row>
    <row r="613" spans="1:4" x14ac:dyDescent="0.25">
      <c r="A613" t="s">
        <v>1135</v>
      </c>
      <c r="B613" s="2">
        <v>-1</v>
      </c>
      <c r="C613" s="2">
        <v>1.0999999999999999E-10</v>
      </c>
      <c r="D613" s="2">
        <v>-1</v>
      </c>
    </row>
    <row r="614" spans="1:4" x14ac:dyDescent="0.25">
      <c r="A614" t="s">
        <v>1136</v>
      </c>
      <c r="B614" s="2">
        <v>-1</v>
      </c>
      <c r="C614" s="2">
        <v>2.3000000000000001E-10</v>
      </c>
      <c r="D614" s="2">
        <v>-1</v>
      </c>
    </row>
    <row r="615" spans="1:4" x14ac:dyDescent="0.25">
      <c r="A615" t="s">
        <v>1137</v>
      </c>
      <c r="B615" s="2">
        <v>-1</v>
      </c>
      <c r="C615" s="2">
        <v>1.8999999999999999E-10</v>
      </c>
      <c r="D615" s="2">
        <v>-1</v>
      </c>
    </row>
    <row r="616" spans="1:4" x14ac:dyDescent="0.25">
      <c r="A616" t="s">
        <v>1138</v>
      </c>
      <c r="B616" s="2">
        <v>-1</v>
      </c>
      <c r="C616" s="2">
        <v>3.6E-10</v>
      </c>
      <c r="D616" s="2">
        <v>-1</v>
      </c>
    </row>
    <row r="617" spans="1:4" x14ac:dyDescent="0.25">
      <c r="A617" t="s">
        <v>1139</v>
      </c>
      <c r="B617" s="2">
        <v>-1</v>
      </c>
      <c r="C617" s="2">
        <v>2.1999999999999999E-10</v>
      </c>
      <c r="D617" s="2">
        <v>-1</v>
      </c>
    </row>
    <row r="618" spans="1:4" x14ac:dyDescent="0.25">
      <c r="A618" t="s">
        <v>1140</v>
      </c>
      <c r="B618" s="2">
        <v>-1</v>
      </c>
      <c r="C618" s="2">
        <v>1.2E-9</v>
      </c>
      <c r="D618" s="2">
        <v>-1</v>
      </c>
    </row>
    <row r="619" spans="1:4" x14ac:dyDescent="0.25">
      <c r="A619" t="s">
        <v>1141</v>
      </c>
      <c r="B619" s="2">
        <v>-1</v>
      </c>
      <c r="C619" s="2">
        <v>2.1E-10</v>
      </c>
      <c r="D619" s="2">
        <v>-1</v>
      </c>
    </row>
    <row r="620" spans="1:4" x14ac:dyDescent="0.25">
      <c r="A620" t="s">
        <v>1142</v>
      </c>
      <c r="B620" s="2">
        <v>-1</v>
      </c>
      <c r="C620" s="2">
        <v>9.6000000000000005E-11</v>
      </c>
      <c r="D620" s="2">
        <v>-1</v>
      </c>
    </row>
    <row r="621" spans="1:4" x14ac:dyDescent="0.25">
      <c r="A621" t="s">
        <v>1143</v>
      </c>
      <c r="B621" s="2">
        <v>-1</v>
      </c>
      <c r="C621" s="2">
        <v>1.2E-9</v>
      </c>
      <c r="D621" s="2">
        <v>-1</v>
      </c>
    </row>
    <row r="622" spans="1:4" x14ac:dyDescent="0.25">
      <c r="A622" t="s">
        <v>1144</v>
      </c>
      <c r="B622" s="2">
        <v>-1</v>
      </c>
      <c r="C622" s="2">
        <v>4.6000000000000002E-8</v>
      </c>
      <c r="D622" s="2">
        <v>-1</v>
      </c>
    </row>
    <row r="623" spans="1:4" x14ac:dyDescent="0.25">
      <c r="A623" t="s">
        <v>1145</v>
      </c>
      <c r="B623" s="2">
        <v>-1</v>
      </c>
      <c r="C623" s="2">
        <v>6.9999999999999998E-9</v>
      </c>
      <c r="D623" s="2">
        <v>-1</v>
      </c>
    </row>
    <row r="624" spans="1:4" x14ac:dyDescent="0.25">
      <c r="A624" t="s">
        <v>1146</v>
      </c>
      <c r="B624" s="2">
        <v>-1</v>
      </c>
      <c r="C624" s="2">
        <v>1.3000000000000001E-9</v>
      </c>
      <c r="D624" s="2">
        <v>-1</v>
      </c>
    </row>
    <row r="625" spans="1:4" x14ac:dyDescent="0.25">
      <c r="A625" t="s">
        <v>1147</v>
      </c>
      <c r="B625" s="2">
        <v>8.1999999999999998E-12</v>
      </c>
      <c r="C625" s="2">
        <v>1.2000000000000001E-11</v>
      </c>
      <c r="D625" s="2">
        <v>1.2000000000000001E-11</v>
      </c>
    </row>
    <row r="626" spans="1:4" x14ac:dyDescent="0.25">
      <c r="A626" t="s">
        <v>1148</v>
      </c>
      <c r="B626" s="2">
        <v>2.3000000000000001E-11</v>
      </c>
      <c r="C626" s="2">
        <v>2.8E-11</v>
      </c>
      <c r="D626" s="2">
        <v>2.9E-11</v>
      </c>
    </row>
    <row r="627" spans="1:4" x14ac:dyDescent="0.25">
      <c r="A627" t="s">
        <v>1149</v>
      </c>
      <c r="B627" s="2">
        <v>3.1999999999999999E-11</v>
      </c>
      <c r="C627" s="2">
        <v>3.5000000000000002E-11</v>
      </c>
      <c r="D627" s="2">
        <v>3.5000000000000002E-11</v>
      </c>
    </row>
    <row r="628" spans="1:4" x14ac:dyDescent="0.25">
      <c r="A628" t="s">
        <v>1150</v>
      </c>
      <c r="B628" s="2">
        <v>1.4E-11</v>
      </c>
      <c r="C628" s="2">
        <v>1.6999999999999999E-11</v>
      </c>
      <c r="D628" s="2">
        <v>1.6999999999999999E-11</v>
      </c>
    </row>
    <row r="629" spans="1:4" x14ac:dyDescent="0.25">
      <c r="A629" t="s">
        <v>1151</v>
      </c>
      <c r="B629" s="2">
        <v>1.0999999999999999E-10</v>
      </c>
      <c r="C629" s="2">
        <v>1.2E-10</v>
      </c>
      <c r="D629" s="2">
        <v>1.2999999999999999E-10</v>
      </c>
    </row>
    <row r="630" spans="1:4" x14ac:dyDescent="0.25">
      <c r="A630" t="s">
        <v>1152</v>
      </c>
      <c r="B630" s="2">
        <v>4.1000000000000001E-11</v>
      </c>
      <c r="C630" s="2">
        <v>4.5E-11</v>
      </c>
      <c r="D630" s="2">
        <v>4.6000000000000003E-11</v>
      </c>
    </row>
    <row r="631" spans="1:4" x14ac:dyDescent="0.25">
      <c r="A631" t="s">
        <v>1153</v>
      </c>
      <c r="B631" s="2">
        <v>9.6000000000000005E-11</v>
      </c>
      <c r="C631" s="2">
        <v>1E-10</v>
      </c>
      <c r="D631" s="2">
        <v>1.0999999999999999E-10</v>
      </c>
    </row>
    <row r="632" spans="1:4" x14ac:dyDescent="0.25">
      <c r="A632" t="s">
        <v>1154</v>
      </c>
      <c r="B632" s="2">
        <v>2.8999999999999998E-10</v>
      </c>
      <c r="C632" s="2">
        <v>8.7999999999999996E-10</v>
      </c>
      <c r="D632" s="2">
        <v>1.2E-9</v>
      </c>
    </row>
    <row r="633" spans="1:4" x14ac:dyDescent="0.25">
      <c r="A633" t="s">
        <v>1155</v>
      </c>
      <c r="B633" s="2">
        <v>5.7E-10</v>
      </c>
      <c r="C633" s="2">
        <v>6.8000000000000003E-10</v>
      </c>
      <c r="D633" s="2">
        <v>6.9999999999999996E-10</v>
      </c>
    </row>
    <row r="634" spans="1:4" x14ac:dyDescent="0.25">
      <c r="A634" t="s">
        <v>1156</v>
      </c>
      <c r="B634" s="2">
        <v>6.2000000000000002E-12</v>
      </c>
      <c r="C634" s="2">
        <v>7.4E-12</v>
      </c>
      <c r="D634" s="2">
        <v>7.5E-12</v>
      </c>
    </row>
    <row r="635" spans="1:4" x14ac:dyDescent="0.25">
      <c r="A635" t="s">
        <v>1157</v>
      </c>
      <c r="B635" s="2">
        <v>4.3E-11</v>
      </c>
      <c r="C635" s="2">
        <v>2.1999999999999999E-10</v>
      </c>
      <c r="D635" s="2">
        <v>1.8E-9</v>
      </c>
    </row>
    <row r="636" spans="1:4" x14ac:dyDescent="0.25">
      <c r="A636" t="s">
        <v>1158</v>
      </c>
      <c r="B636" s="2">
        <v>2.7E-10</v>
      </c>
      <c r="C636" s="2">
        <v>3.2000000000000001E-9</v>
      </c>
      <c r="D636" s="2">
        <v>4.1000000000000003E-9</v>
      </c>
    </row>
    <row r="637" spans="1:4" x14ac:dyDescent="0.25">
      <c r="A637" t="s">
        <v>1159</v>
      </c>
      <c r="B637" s="2">
        <v>9.6999999999999996E-10</v>
      </c>
      <c r="C637" s="2">
        <v>8.2999999999999999E-9</v>
      </c>
      <c r="D637" s="2">
        <v>4.4999999999999999E-8</v>
      </c>
    </row>
    <row r="638" spans="1:4" x14ac:dyDescent="0.25">
      <c r="A638" t="s">
        <v>22</v>
      </c>
      <c r="B638" s="2">
        <v>2.8999999999999998E-10</v>
      </c>
      <c r="C638" s="2">
        <v>4.0000000000000002E-9</v>
      </c>
      <c r="D638" s="2">
        <v>1.3000000000000001E-8</v>
      </c>
    </row>
    <row r="639" spans="1:4" x14ac:dyDescent="0.25">
      <c r="A639" t="s">
        <v>23</v>
      </c>
      <c r="B639" s="2">
        <v>1.2000000000000001E-11</v>
      </c>
      <c r="C639" s="2">
        <v>1.8999999999999999E-11</v>
      </c>
      <c r="D639" s="2">
        <v>1.9999999999999999E-11</v>
      </c>
    </row>
    <row r="640" spans="1:4" x14ac:dyDescent="0.25">
      <c r="A640" t="s">
        <v>1160</v>
      </c>
      <c r="B640" s="2">
        <v>5.8E-11</v>
      </c>
      <c r="C640" s="2">
        <v>1E-10</v>
      </c>
      <c r="D640" s="2">
        <v>1.0999999999999999E-10</v>
      </c>
    </row>
    <row r="641" spans="1:4" x14ac:dyDescent="0.25">
      <c r="A641" t="s">
        <v>1161</v>
      </c>
      <c r="B641" s="2">
        <v>2.4E-10</v>
      </c>
      <c r="C641" s="2">
        <v>3.7999999999999998E-10</v>
      </c>
      <c r="D641" s="2">
        <v>4.0999999999999998E-10</v>
      </c>
    </row>
    <row r="642" spans="1:4" x14ac:dyDescent="0.25">
      <c r="A642" t="s">
        <v>1162</v>
      </c>
      <c r="B642" s="2">
        <v>1.8E-9</v>
      </c>
      <c r="C642" s="2">
        <v>4.2000000000000004E-9</v>
      </c>
      <c r="D642" s="2">
        <v>5.6999999999999998E-9</v>
      </c>
    </row>
    <row r="643" spans="1:4" x14ac:dyDescent="0.25">
      <c r="A643" t="s">
        <v>1163</v>
      </c>
      <c r="B643" s="2">
        <v>3.9000000000000002E-9</v>
      </c>
      <c r="C643" s="2">
        <v>1.9000000000000001E-9</v>
      </c>
      <c r="D643" s="2">
        <v>2.0000000000000001E-9</v>
      </c>
    </row>
    <row r="644" spans="1:4" x14ac:dyDescent="0.25">
      <c r="A644" t="s">
        <v>1164</v>
      </c>
      <c r="B644" s="2">
        <v>9.5000000000000003E-10</v>
      </c>
      <c r="C644" s="2">
        <v>4.0000000000000002E-9</v>
      </c>
      <c r="D644" s="2">
        <v>5.1000000000000002E-9</v>
      </c>
    </row>
    <row r="645" spans="1:4" x14ac:dyDescent="0.25">
      <c r="A645" t="s">
        <v>118</v>
      </c>
      <c r="B645" s="2">
        <v>5.1E-10</v>
      </c>
      <c r="C645" s="2">
        <v>3.3999999999999998E-9</v>
      </c>
      <c r="D645" s="2">
        <v>4.2000000000000004E-9</v>
      </c>
    </row>
    <row r="646" spans="1:4" x14ac:dyDescent="0.25">
      <c r="A646" t="s">
        <v>1165</v>
      </c>
      <c r="B646" s="2">
        <v>3.9000000000000001E-11</v>
      </c>
      <c r="C646" s="2">
        <v>1.2999999999999999E-10</v>
      </c>
      <c r="D646" s="2">
        <v>1.4000000000000001E-10</v>
      </c>
    </row>
    <row r="647" spans="1:4" x14ac:dyDescent="0.25">
      <c r="A647" t="s">
        <v>1166</v>
      </c>
      <c r="B647" s="2">
        <v>1.5E-9</v>
      </c>
      <c r="C647" s="2">
        <v>7.4000000000000001E-9</v>
      </c>
      <c r="D647" s="2">
        <v>9.8000000000000001E-9</v>
      </c>
    </row>
    <row r="648" spans="1:4" x14ac:dyDescent="0.25">
      <c r="A648" t="s">
        <v>1167</v>
      </c>
      <c r="B648" s="2">
        <v>1.6E-11</v>
      </c>
      <c r="C648" s="2">
        <v>3.7000000000000001E-11</v>
      </c>
      <c r="D648" s="2">
        <v>3.9000000000000001E-11</v>
      </c>
    </row>
    <row r="649" spans="1:4" x14ac:dyDescent="0.25">
      <c r="A649" t="s">
        <v>1168</v>
      </c>
      <c r="B649" s="2">
        <v>1.3000000000000001E-9</v>
      </c>
      <c r="C649" s="2">
        <v>6.6000000000000004E-9</v>
      </c>
      <c r="D649" s="2">
        <v>7.8999999999999996E-9</v>
      </c>
    </row>
    <row r="650" spans="1:4" x14ac:dyDescent="0.25">
      <c r="A650" t="s">
        <v>1169</v>
      </c>
      <c r="B650" s="2">
        <v>2.3000000000000001E-11</v>
      </c>
      <c r="C650" s="2">
        <v>2.8E-11</v>
      </c>
      <c r="D650" s="2">
        <v>2.8E-11</v>
      </c>
    </row>
    <row r="651" spans="1:4" x14ac:dyDescent="0.25">
      <c r="A651" t="s">
        <v>1170</v>
      </c>
      <c r="B651" s="2">
        <v>8.6000000000000003E-10</v>
      </c>
      <c r="C651" s="2">
        <v>9.4000000000000006E-10</v>
      </c>
      <c r="D651" s="2">
        <v>9.0999999999999996E-10</v>
      </c>
    </row>
    <row r="652" spans="1:4" x14ac:dyDescent="0.25">
      <c r="A652" t="s">
        <v>1171</v>
      </c>
      <c r="B652" s="2">
        <v>1.8E-9</v>
      </c>
      <c r="C652" s="2">
        <v>2.0000000000000001E-9</v>
      </c>
      <c r="D652" s="2">
        <v>2.0000000000000001E-9</v>
      </c>
    </row>
    <row r="653" spans="1:4" x14ac:dyDescent="0.25">
      <c r="A653" t="s">
        <v>1172</v>
      </c>
      <c r="B653" s="2">
        <v>1.8999999999999999E-11</v>
      </c>
      <c r="C653" s="2">
        <v>1.9999999999999999E-11</v>
      </c>
      <c r="D653" s="2">
        <v>1.8999999999999999E-11</v>
      </c>
    </row>
    <row r="654" spans="1:4" x14ac:dyDescent="0.25">
      <c r="A654" t="s">
        <v>1173</v>
      </c>
      <c r="B654" s="2">
        <v>8.1000000000000005E-11</v>
      </c>
      <c r="C654" s="2">
        <v>8.6999999999999997E-11</v>
      </c>
      <c r="D654" s="2">
        <v>8.3999999999999994E-11</v>
      </c>
    </row>
    <row r="655" spans="1:4" x14ac:dyDescent="0.25">
      <c r="A655" t="s">
        <v>1174</v>
      </c>
      <c r="B655" s="2">
        <v>4.6999999999999999E-11</v>
      </c>
      <c r="C655" s="2">
        <v>6.6000000000000005E-11</v>
      </c>
      <c r="D655" s="2">
        <v>6.7999999999999998E-11</v>
      </c>
    </row>
    <row r="656" spans="1:4" x14ac:dyDescent="0.25">
      <c r="A656" t="s">
        <v>1175</v>
      </c>
      <c r="B656" s="2">
        <v>2.1999999999999998E-8</v>
      </c>
      <c r="C656" s="2">
        <v>5.8000000000000003E-8</v>
      </c>
      <c r="D656" s="2">
        <v>6.1000000000000004E-8</v>
      </c>
    </row>
    <row r="657" spans="1:4" x14ac:dyDescent="0.25">
      <c r="A657" t="s">
        <v>77</v>
      </c>
      <c r="B657" s="2">
        <v>6.7000000000000004E-7</v>
      </c>
      <c r="C657" s="2">
        <v>8.4999999999999999E-6</v>
      </c>
      <c r="D657" s="2">
        <v>1.0000000000000001E-5</v>
      </c>
    </row>
    <row r="658" spans="1:4" x14ac:dyDescent="0.25">
      <c r="A658" t="s">
        <v>79</v>
      </c>
      <c r="B658" s="2">
        <v>3.0000000000000001E-5</v>
      </c>
      <c r="C658" s="2">
        <v>3.1999999999999999E-5</v>
      </c>
      <c r="D658" s="2">
        <v>4.0000000000000003E-5</v>
      </c>
    </row>
    <row r="659" spans="1:4" x14ac:dyDescent="0.25">
      <c r="A659" t="s">
        <v>82</v>
      </c>
      <c r="B659" s="2">
        <v>2.4000000000000001E-4</v>
      </c>
      <c r="C659" s="2">
        <v>1.1E-4</v>
      </c>
      <c r="D659" s="2">
        <v>7.1000000000000005E-5</v>
      </c>
    </row>
    <row r="660" spans="1:4" x14ac:dyDescent="0.25">
      <c r="A660" t="s">
        <v>83</v>
      </c>
      <c r="B660" s="2">
        <v>1E-4</v>
      </c>
      <c r="C660" s="2">
        <v>4.3000000000000002E-5</v>
      </c>
      <c r="D660" s="2">
        <v>1.4E-5</v>
      </c>
    </row>
    <row r="661" spans="1:4" x14ac:dyDescent="0.25">
      <c r="A661" t="s">
        <v>85</v>
      </c>
      <c r="B661" s="2">
        <v>7.8000000000000002E-11</v>
      </c>
      <c r="C661" s="2">
        <v>3.1000000000000002E-10</v>
      </c>
      <c r="D661" s="2">
        <v>3.3E-10</v>
      </c>
    </row>
    <row r="662" spans="1:4" x14ac:dyDescent="0.25">
      <c r="A662" t="s">
        <v>86</v>
      </c>
      <c r="B662" s="2">
        <v>1.1E-4</v>
      </c>
      <c r="C662" s="2">
        <v>4.5000000000000003E-5</v>
      </c>
      <c r="D662" s="2">
        <v>2.5000000000000001E-5</v>
      </c>
    </row>
    <row r="663" spans="1:4" x14ac:dyDescent="0.25">
      <c r="A663" t="s">
        <v>92</v>
      </c>
      <c r="B663" s="2">
        <v>2.5000000000000001E-9</v>
      </c>
      <c r="C663" s="2">
        <v>6.6000000000000004E-9</v>
      </c>
      <c r="D663" s="2">
        <v>7.6999999999999995E-9</v>
      </c>
    </row>
    <row r="664" spans="1:4" x14ac:dyDescent="0.25">
      <c r="A664" t="s">
        <v>1176</v>
      </c>
      <c r="B664" s="2">
        <v>6.1000000000000004E-8</v>
      </c>
      <c r="C664" s="2">
        <v>4.1999999999999999E-8</v>
      </c>
      <c r="D664" s="2">
        <v>1.1999999999999999E-7</v>
      </c>
    </row>
    <row r="665" spans="1:4" x14ac:dyDescent="0.25">
      <c r="A665" t="s">
        <v>1177</v>
      </c>
      <c r="B665" s="2">
        <v>4.1999999999999997E-11</v>
      </c>
      <c r="C665" s="2">
        <v>8.8000000000000006E-11</v>
      </c>
      <c r="D665" s="2">
        <v>9.3000000000000002E-11</v>
      </c>
    </row>
    <row r="666" spans="1:4" x14ac:dyDescent="0.25">
      <c r="A666" t="s">
        <v>1178</v>
      </c>
      <c r="B666" s="2">
        <v>4.3999999999999998E-12</v>
      </c>
      <c r="C666" s="2">
        <v>-1</v>
      </c>
      <c r="D666" s="2">
        <v>-1</v>
      </c>
    </row>
    <row r="667" spans="1:4" x14ac:dyDescent="0.25">
      <c r="A667" t="s">
        <v>1179</v>
      </c>
      <c r="B667" s="2">
        <v>1.8999999999999999E-11</v>
      </c>
      <c r="C667" s="2">
        <v>-1</v>
      </c>
      <c r="D667" s="2">
        <v>-1</v>
      </c>
    </row>
    <row r="668" spans="1:4" x14ac:dyDescent="0.25">
      <c r="A668" t="s">
        <v>1180</v>
      </c>
      <c r="B668" s="2">
        <v>1.5E-11</v>
      </c>
      <c r="C668" s="2">
        <v>-1</v>
      </c>
      <c r="D668" s="2">
        <v>-1</v>
      </c>
    </row>
    <row r="669" spans="1:4" x14ac:dyDescent="0.25">
      <c r="A669" t="s">
        <v>1181</v>
      </c>
      <c r="B669" s="2">
        <v>1.4E-11</v>
      </c>
      <c r="C669" s="2">
        <v>-1</v>
      </c>
      <c r="D669" s="2">
        <v>-1</v>
      </c>
    </row>
    <row r="670" spans="1:4" x14ac:dyDescent="0.25">
      <c r="A670" t="s">
        <v>1182</v>
      </c>
      <c r="B670" s="2">
        <v>6E-11</v>
      </c>
      <c r="C670" s="2">
        <v>-1</v>
      </c>
      <c r="D670" s="2">
        <v>-1</v>
      </c>
    </row>
    <row r="671" spans="1:4" x14ac:dyDescent="0.25">
      <c r="A671" t="s">
        <v>1183</v>
      </c>
      <c r="B671" s="2">
        <v>3.7000000000000001E-11</v>
      </c>
      <c r="C671" s="2">
        <v>-1</v>
      </c>
      <c r="D671" s="2">
        <v>-1</v>
      </c>
    </row>
    <row r="672" spans="1:4" x14ac:dyDescent="0.25">
      <c r="A672" t="s">
        <v>1184</v>
      </c>
      <c r="B672" s="2">
        <v>1.8999999999999999E-11</v>
      </c>
      <c r="C672" s="2">
        <v>-1</v>
      </c>
      <c r="D672" s="2">
        <v>-1</v>
      </c>
    </row>
    <row r="673" spans="1:4" x14ac:dyDescent="0.25">
      <c r="A673" t="s">
        <v>1185</v>
      </c>
      <c r="B673" s="2">
        <v>1.2999999999999999E-10</v>
      </c>
      <c r="C673" s="2">
        <v>-1</v>
      </c>
      <c r="D673" s="2">
        <v>-1</v>
      </c>
    </row>
    <row r="674" spans="1:4" x14ac:dyDescent="0.25">
      <c r="A674" t="s">
        <v>1186</v>
      </c>
      <c r="B674" s="2">
        <v>4.4000000000000003E-11</v>
      </c>
      <c r="C674" s="2">
        <v>-1</v>
      </c>
      <c r="D674" s="2">
        <v>-1</v>
      </c>
    </row>
    <row r="675" spans="1:4" x14ac:dyDescent="0.25">
      <c r="A675" t="s">
        <v>1187</v>
      </c>
      <c r="B675" s="2">
        <v>1.8999999999999999E-10</v>
      </c>
      <c r="C675" s="2">
        <v>-1</v>
      </c>
      <c r="D675" s="2">
        <v>-1</v>
      </c>
    </row>
    <row r="676" spans="1:4" x14ac:dyDescent="0.25">
      <c r="A676" t="s">
        <v>1188</v>
      </c>
      <c r="B676" s="2">
        <v>3.9E-10</v>
      </c>
      <c r="C676" s="2">
        <v>-1</v>
      </c>
      <c r="D676" s="2">
        <v>-1</v>
      </c>
    </row>
    <row r="677" spans="1:4" x14ac:dyDescent="0.25">
      <c r="A677" t="s">
        <v>1189</v>
      </c>
      <c r="B677" s="2">
        <v>-1</v>
      </c>
      <c r="C677" s="2">
        <v>1.6E-11</v>
      </c>
      <c r="D677" s="2">
        <v>-1</v>
      </c>
    </row>
    <row r="678" spans="1:4" x14ac:dyDescent="0.25">
      <c r="A678" t="s">
        <v>1190</v>
      </c>
      <c r="B678" s="2">
        <v>-1</v>
      </c>
      <c r="C678" s="2">
        <v>1.7000000000000001E-10</v>
      </c>
      <c r="D678" s="2">
        <v>-1</v>
      </c>
    </row>
    <row r="679" spans="1:4" x14ac:dyDescent="0.25">
      <c r="A679" t="s">
        <v>1191</v>
      </c>
      <c r="B679" s="2">
        <v>-1</v>
      </c>
      <c r="C679" s="2">
        <v>1.0999999999999999E-9</v>
      </c>
      <c r="D679" s="2">
        <v>-1</v>
      </c>
    </row>
    <row r="680" spans="1:4" x14ac:dyDescent="0.25">
      <c r="A680" t="s">
        <v>1192</v>
      </c>
      <c r="B680" s="2">
        <v>-1</v>
      </c>
      <c r="C680" s="2">
        <v>6.9999999999999998E-9</v>
      </c>
      <c r="D680" s="2">
        <v>-1</v>
      </c>
    </row>
    <row r="681" spans="1:4" x14ac:dyDescent="0.25">
      <c r="A681" t="s">
        <v>1193</v>
      </c>
      <c r="B681" s="2">
        <v>-1</v>
      </c>
      <c r="C681" s="2">
        <v>1.3999999999999999E-9</v>
      </c>
      <c r="D681" s="2">
        <v>-1</v>
      </c>
    </row>
    <row r="682" spans="1:4" x14ac:dyDescent="0.25">
      <c r="A682" t="s">
        <v>1194</v>
      </c>
      <c r="B682" s="2">
        <v>-1</v>
      </c>
      <c r="C682" s="2">
        <v>1.0999999999999999E-9</v>
      </c>
      <c r="D682" s="2">
        <v>-1</v>
      </c>
    </row>
    <row r="683" spans="1:4" x14ac:dyDescent="0.25">
      <c r="A683" t="s">
        <v>1195</v>
      </c>
      <c r="B683" s="2">
        <v>-1</v>
      </c>
      <c r="C683" s="2">
        <v>1.8E-10</v>
      </c>
      <c r="D683" s="2">
        <v>-1</v>
      </c>
    </row>
    <row r="684" spans="1:4" x14ac:dyDescent="0.25">
      <c r="A684" t="s">
        <v>1196</v>
      </c>
      <c r="B684" s="2">
        <v>-1</v>
      </c>
      <c r="C684" s="2">
        <v>1.7999999999999999E-11</v>
      </c>
      <c r="D684" s="2">
        <v>-1</v>
      </c>
    </row>
    <row r="685" spans="1:4" x14ac:dyDescent="0.25">
      <c r="A685" t="s">
        <v>608</v>
      </c>
      <c r="B685" s="2">
        <v>3.8000000000000001E-7</v>
      </c>
      <c r="C685" s="2">
        <v>1.2999999999999999E-5</v>
      </c>
      <c r="D685" s="2">
        <v>1.5999999999999999E-5</v>
      </c>
    </row>
    <row r="686" spans="1:4" x14ac:dyDescent="0.25">
      <c r="A686" t="s">
        <v>607</v>
      </c>
      <c r="B686" s="2">
        <v>6.3999999999999999E-11</v>
      </c>
      <c r="C686" s="2">
        <v>4.7000000000000003E-10</v>
      </c>
      <c r="D686" s="2">
        <v>5.1999999999999996E-10</v>
      </c>
    </row>
    <row r="687" spans="1:4" x14ac:dyDescent="0.25">
      <c r="A687" t="s">
        <v>107</v>
      </c>
      <c r="B687" s="2">
        <v>3.9999999999999998E-6</v>
      </c>
      <c r="C687" s="2">
        <v>7.7999999999999999E-6</v>
      </c>
      <c r="D687" s="2">
        <v>3.6999999999999998E-5</v>
      </c>
    </row>
    <row r="688" spans="1:4" x14ac:dyDescent="0.25">
      <c r="A688" t="s">
        <v>87</v>
      </c>
      <c r="B688" s="2">
        <v>5.7999999999999995E-7</v>
      </c>
      <c r="C688" s="2">
        <v>3.5999999999999998E-6</v>
      </c>
      <c r="D688" s="2">
        <v>9.5999999999999996E-6</v>
      </c>
    </row>
    <row r="689" spans="1:4" x14ac:dyDescent="0.25">
      <c r="A689" t="s">
        <v>89</v>
      </c>
      <c r="B689" s="2">
        <v>5.6000000000000004E-7</v>
      </c>
      <c r="C689" s="2">
        <v>3.4999999999999999E-6</v>
      </c>
      <c r="D689" s="2">
        <v>9.3999999999999998E-6</v>
      </c>
    </row>
    <row r="690" spans="1:4" x14ac:dyDescent="0.25">
      <c r="A690" t="s">
        <v>93</v>
      </c>
      <c r="B690" s="2">
        <v>5.2E-7</v>
      </c>
      <c r="C690" s="2">
        <v>3.1E-6</v>
      </c>
      <c r="D690" s="2">
        <v>8.4999999999999999E-6</v>
      </c>
    </row>
    <row r="691" spans="1:4" x14ac:dyDescent="0.25">
      <c r="A691" t="s">
        <v>94</v>
      </c>
      <c r="B691" s="2">
        <v>5.3000000000000001E-7</v>
      </c>
      <c r="C691" s="2">
        <v>3.1999999999999999E-6</v>
      </c>
      <c r="D691" s="2">
        <v>8.6999999999999997E-6</v>
      </c>
    </row>
    <row r="692" spans="1:4" x14ac:dyDescent="0.25">
      <c r="A692" t="s">
        <v>96</v>
      </c>
      <c r="B692" s="2">
        <v>1.8E-10</v>
      </c>
      <c r="C692" s="2">
        <v>1.6999999999999999E-9</v>
      </c>
      <c r="D692" s="2">
        <v>1.9000000000000001E-9</v>
      </c>
    </row>
    <row r="693" spans="1:4" x14ac:dyDescent="0.25">
      <c r="A693" t="s">
        <v>98</v>
      </c>
      <c r="B693" s="2">
        <v>4.9999999999999998E-7</v>
      </c>
      <c r="C693" s="2">
        <v>2.9000000000000002E-6</v>
      </c>
      <c r="D693" s="2">
        <v>7.9999999999999996E-6</v>
      </c>
    </row>
    <row r="694" spans="1:4" x14ac:dyDescent="0.25">
      <c r="A694" t="s">
        <v>606</v>
      </c>
      <c r="B694" s="2">
        <v>9.9999999999999994E-12</v>
      </c>
      <c r="C694" s="2">
        <v>2.2000000000000002E-11</v>
      </c>
      <c r="D694" s="2">
        <v>2.4000000000000001E-11</v>
      </c>
    </row>
    <row r="695" spans="1:4" x14ac:dyDescent="0.25">
      <c r="A695" t="s">
        <v>605</v>
      </c>
      <c r="B695" s="2">
        <v>2.0000000000000001E-10</v>
      </c>
      <c r="C695" s="2">
        <v>5.3000000000000003E-10</v>
      </c>
      <c r="D695" s="2">
        <v>5.7999999999999996E-10</v>
      </c>
    </row>
    <row r="696" spans="1:4" x14ac:dyDescent="0.25">
      <c r="A696" t="s">
        <v>604</v>
      </c>
      <c r="B696" s="2">
        <v>1.6999999999999999E-11</v>
      </c>
      <c r="C696" s="2">
        <v>2.9E-11</v>
      </c>
      <c r="D696" s="2">
        <v>-1</v>
      </c>
    </row>
    <row r="697" spans="1:4" x14ac:dyDescent="0.25">
      <c r="A697" t="s">
        <v>603</v>
      </c>
      <c r="B697" s="2">
        <v>1.0999999999999999E-9</v>
      </c>
      <c r="C697" s="2">
        <v>2.4E-9</v>
      </c>
      <c r="D697" s="2">
        <v>-1</v>
      </c>
    </row>
    <row r="698" spans="1:4" x14ac:dyDescent="0.25">
      <c r="A698" t="s">
        <v>602</v>
      </c>
      <c r="B698" s="2">
        <v>2.0999999999999999E-11</v>
      </c>
      <c r="C698" s="2">
        <v>3.3999999999999999E-11</v>
      </c>
      <c r="D698" s="2">
        <v>-1</v>
      </c>
    </row>
    <row r="699" spans="1:4" x14ac:dyDescent="0.25">
      <c r="A699" t="s">
        <v>601</v>
      </c>
      <c r="B699" s="2">
        <v>4.1000000000000001E-11</v>
      </c>
      <c r="C699" s="2">
        <v>-1</v>
      </c>
      <c r="D699" s="2">
        <v>-1</v>
      </c>
    </row>
    <row r="700" spans="1:4" x14ac:dyDescent="0.25">
      <c r="A700" t="s">
        <v>600</v>
      </c>
      <c r="B700" s="2">
        <v>2.4000000000000001E-11</v>
      </c>
      <c r="C700" s="2">
        <v>-1</v>
      </c>
      <c r="D700" s="2">
        <v>-1</v>
      </c>
    </row>
    <row r="701" spans="1:4" x14ac:dyDescent="0.25">
      <c r="A701" t="s">
        <v>599</v>
      </c>
      <c r="B701" s="2">
        <v>7.1999999999999997E-11</v>
      </c>
      <c r="C701" s="2">
        <v>-1</v>
      </c>
      <c r="D701" s="2">
        <v>-1</v>
      </c>
    </row>
    <row r="702" spans="1:4" x14ac:dyDescent="0.25">
      <c r="A702" t="s">
        <v>598</v>
      </c>
      <c r="B702" s="2">
        <v>9.1999999999999992E-13</v>
      </c>
      <c r="C702" s="2">
        <v>-1</v>
      </c>
      <c r="D702" s="2">
        <v>-1</v>
      </c>
    </row>
    <row r="703" spans="1:4" x14ac:dyDescent="0.25">
      <c r="A703" t="s">
        <v>597</v>
      </c>
      <c r="B703" s="2">
        <v>2.7E-11</v>
      </c>
      <c r="C703" s="2">
        <v>-1</v>
      </c>
      <c r="D703" s="2">
        <v>-1</v>
      </c>
    </row>
    <row r="704" spans="1:4" x14ac:dyDescent="0.25">
      <c r="A704" t="s">
        <v>596</v>
      </c>
      <c r="B704" s="2">
        <v>1.2E-10</v>
      </c>
      <c r="C704" s="2">
        <v>-1</v>
      </c>
      <c r="D704" s="2">
        <v>-1</v>
      </c>
    </row>
    <row r="705" spans="1:4" x14ac:dyDescent="0.25">
      <c r="A705" t="s">
        <v>595</v>
      </c>
      <c r="B705" s="2">
        <v>1.8999999999999999E-10</v>
      </c>
      <c r="C705" s="2">
        <v>-1</v>
      </c>
      <c r="D705" s="2">
        <v>-1</v>
      </c>
    </row>
    <row r="706" spans="1:4" x14ac:dyDescent="0.25">
      <c r="A706" t="s">
        <v>594</v>
      </c>
      <c r="B706" s="2">
        <v>5.7E-10</v>
      </c>
      <c r="C706" s="2">
        <v>-1</v>
      </c>
      <c r="D706" s="2">
        <v>-1</v>
      </c>
    </row>
    <row r="707" spans="1:4" x14ac:dyDescent="0.25">
      <c r="A707" t="s">
        <v>593</v>
      </c>
      <c r="B707" s="2">
        <v>-1</v>
      </c>
      <c r="C707" s="2">
        <v>4.5E-10</v>
      </c>
      <c r="D707" s="2">
        <v>4.7000000000000003E-10</v>
      </c>
    </row>
    <row r="708" spans="1:4" x14ac:dyDescent="0.25">
      <c r="A708" t="s">
        <v>1197</v>
      </c>
      <c r="B708" s="2">
        <v>-1</v>
      </c>
      <c r="C708" s="2">
        <v>2.7E-11</v>
      </c>
      <c r="D708" s="2">
        <v>2.8E-11</v>
      </c>
    </row>
    <row r="709" spans="1:4" x14ac:dyDescent="0.25">
      <c r="A709" t="s">
        <v>592</v>
      </c>
      <c r="B709" s="2">
        <v>-1</v>
      </c>
      <c r="C709" s="2">
        <v>3.7000000000000001E-10</v>
      </c>
      <c r="D709" s="2">
        <v>3.9E-10</v>
      </c>
    </row>
    <row r="710" spans="1:4" x14ac:dyDescent="0.25">
      <c r="A710" t="s">
        <v>591</v>
      </c>
      <c r="B710" s="2">
        <v>-1</v>
      </c>
      <c r="C710" s="2">
        <v>4.1000000000000003E-9</v>
      </c>
      <c r="D710" s="2">
        <v>4.3999999999999997E-9</v>
      </c>
    </row>
    <row r="711" spans="1:4" x14ac:dyDescent="0.25">
      <c r="A711" t="s">
        <v>20</v>
      </c>
      <c r="B711" s="2">
        <v>-1</v>
      </c>
      <c r="C711" s="2">
        <v>1.3999999999999999E-9</v>
      </c>
      <c r="D711" s="2">
        <v>1.5E-9</v>
      </c>
    </row>
    <row r="712" spans="1:4" x14ac:dyDescent="0.25">
      <c r="A712" t="s">
        <v>1198</v>
      </c>
      <c r="B712" s="2">
        <v>-1</v>
      </c>
      <c r="C712" s="2">
        <v>9.4999999999999995E-11</v>
      </c>
      <c r="D712" s="2">
        <v>1E-10</v>
      </c>
    </row>
    <row r="713" spans="1:4" x14ac:dyDescent="0.25">
      <c r="A713" t="s">
        <v>590</v>
      </c>
      <c r="B713" s="2">
        <v>-1</v>
      </c>
      <c r="C713" s="2">
        <v>7.0999999999999999E-9</v>
      </c>
      <c r="D713" s="2">
        <v>8.9000000000000003E-9</v>
      </c>
    </row>
    <row r="714" spans="1:4" x14ac:dyDescent="0.25">
      <c r="A714" t="s">
        <v>1199</v>
      </c>
      <c r="B714" s="2">
        <v>-1</v>
      </c>
      <c r="C714" s="2">
        <v>9.9999999999999994E-12</v>
      </c>
      <c r="D714" s="2">
        <v>1.1000000000000001E-11</v>
      </c>
    </row>
    <row r="715" spans="1:4" x14ac:dyDescent="0.25">
      <c r="A715" t="s">
        <v>589</v>
      </c>
      <c r="B715" s="2">
        <v>-1</v>
      </c>
      <c r="C715" s="2">
        <v>1.7000000000000001E-10</v>
      </c>
      <c r="D715" s="2">
        <v>1.8E-10</v>
      </c>
    </row>
    <row r="716" spans="1:4" x14ac:dyDescent="0.25">
      <c r="A716" t="s">
        <v>588</v>
      </c>
      <c r="B716" s="2">
        <v>-1</v>
      </c>
      <c r="C716" s="2">
        <v>4.0000000000000001E-10</v>
      </c>
      <c r="D716" s="2">
        <v>4.2E-10</v>
      </c>
    </row>
    <row r="717" spans="1:4" x14ac:dyDescent="0.25">
      <c r="A717" t="s">
        <v>587</v>
      </c>
      <c r="B717" s="2">
        <v>-1</v>
      </c>
      <c r="C717" s="2">
        <v>2.7E-11</v>
      </c>
      <c r="D717" s="2">
        <v>2.8E-11</v>
      </c>
    </row>
    <row r="718" spans="1:4" x14ac:dyDescent="0.25">
      <c r="A718" t="s">
        <v>586</v>
      </c>
      <c r="B718" s="2">
        <v>-1</v>
      </c>
      <c r="C718" s="2">
        <v>1.5E-11</v>
      </c>
      <c r="D718" s="2">
        <v>1.6E-11</v>
      </c>
    </row>
    <row r="719" spans="1:4" x14ac:dyDescent="0.25">
      <c r="A719" t="s">
        <v>1200</v>
      </c>
      <c r="B719" s="2">
        <v>-1</v>
      </c>
      <c r="C719" s="2">
        <v>1.3E-11</v>
      </c>
      <c r="D719" s="2">
        <v>1.4E-11</v>
      </c>
    </row>
    <row r="720" spans="1:4" x14ac:dyDescent="0.25">
      <c r="A720" t="s">
        <v>1201</v>
      </c>
      <c r="B720" s="2">
        <v>-1</v>
      </c>
      <c r="C720" s="2">
        <v>7.2E-10</v>
      </c>
      <c r="D720" s="2">
        <v>7.7000000000000003E-10</v>
      </c>
    </row>
    <row r="721" spans="1:4" x14ac:dyDescent="0.25">
      <c r="A721" t="s">
        <v>1202</v>
      </c>
      <c r="B721" s="2">
        <v>-1</v>
      </c>
      <c r="C721" s="2">
        <v>6.5000000000000002E-12</v>
      </c>
      <c r="D721" s="2">
        <v>6.9000000000000001E-12</v>
      </c>
    </row>
    <row r="722" spans="1:4" x14ac:dyDescent="0.25">
      <c r="A722" t="s">
        <v>1203</v>
      </c>
      <c r="B722" s="2">
        <v>-1</v>
      </c>
      <c r="C722" s="2">
        <v>2.5000000000000001E-9</v>
      </c>
      <c r="D722" s="2">
        <v>3E-9</v>
      </c>
    </row>
    <row r="723" spans="1:4" x14ac:dyDescent="0.25">
      <c r="A723" t="s">
        <v>1204</v>
      </c>
      <c r="B723" s="2">
        <v>-1</v>
      </c>
      <c r="C723" s="2">
        <v>6.5000000000000003E-10</v>
      </c>
      <c r="D723" s="2">
        <v>7.2999999999999996E-10</v>
      </c>
    </row>
    <row r="724" spans="1:4" x14ac:dyDescent="0.25">
      <c r="A724" t="s">
        <v>1205</v>
      </c>
      <c r="B724" s="2">
        <v>-1</v>
      </c>
      <c r="C724" s="2">
        <v>6.3999999999999999E-11</v>
      </c>
      <c r="D724" s="2">
        <v>6.8999999999999994E-11</v>
      </c>
    </row>
    <row r="725" spans="1:4" x14ac:dyDescent="0.25">
      <c r="A725" t="s">
        <v>1206</v>
      </c>
      <c r="B725" s="2">
        <v>-1</v>
      </c>
      <c r="C725" s="2">
        <v>7.0000000000000004E-11</v>
      </c>
      <c r="D725" s="2">
        <v>7.5E-11</v>
      </c>
    </row>
    <row r="726" spans="1:4" x14ac:dyDescent="0.25">
      <c r="A726" t="s">
        <v>1207</v>
      </c>
      <c r="B726" s="2">
        <v>2.0000000000000001E-10</v>
      </c>
      <c r="C726" s="2">
        <v>5.0000000000000003E-10</v>
      </c>
      <c r="D726" s="2">
        <v>5.4999999999999996E-10</v>
      </c>
    </row>
    <row r="727" spans="1:4" x14ac:dyDescent="0.25">
      <c r="A727" t="s">
        <v>1208</v>
      </c>
      <c r="B727" s="2">
        <v>1.9999999999999999E-11</v>
      </c>
      <c r="C727" s="2">
        <v>3.5000000000000002E-11</v>
      </c>
      <c r="D727" s="2">
        <v>3.7000000000000001E-11</v>
      </c>
    </row>
    <row r="728" spans="1:4" x14ac:dyDescent="0.25">
      <c r="A728" t="s">
        <v>17</v>
      </c>
      <c r="B728" s="2">
        <v>2.1999999999999998E-9</v>
      </c>
      <c r="C728" s="2">
        <v>1.6000000000000001E-9</v>
      </c>
      <c r="D728" s="2">
        <v>2.0000000000000001E-9</v>
      </c>
    </row>
    <row r="729" spans="1:4" x14ac:dyDescent="0.25">
      <c r="A729" t="s">
        <v>1209</v>
      </c>
      <c r="B729" s="2">
        <v>1.1000000000000001E-11</v>
      </c>
      <c r="C729" s="2">
        <v>2.6000000000000001E-11</v>
      </c>
      <c r="D729" s="2">
        <v>2.8E-11</v>
      </c>
    </row>
    <row r="730" spans="1:4" x14ac:dyDescent="0.25">
      <c r="A730" t="s">
        <v>1210</v>
      </c>
      <c r="B730" s="2">
        <v>8.2000000000000001E-11</v>
      </c>
      <c r="C730" s="2">
        <v>2.4E-10</v>
      </c>
      <c r="D730" s="2">
        <v>2.7E-10</v>
      </c>
    </row>
    <row r="731" spans="1:4" x14ac:dyDescent="0.25">
      <c r="A731" t="s">
        <v>1211</v>
      </c>
      <c r="B731" s="2">
        <v>7.4000000000000003E-11</v>
      </c>
      <c r="C731" s="2">
        <v>1.5E-10</v>
      </c>
      <c r="D731" s="2">
        <v>1.5999999999999999E-10</v>
      </c>
    </row>
    <row r="732" spans="1:4" x14ac:dyDescent="0.25">
      <c r="A732" t="s">
        <v>1212</v>
      </c>
      <c r="B732" s="2">
        <v>4.8999999999999996E-10</v>
      </c>
      <c r="C732" s="2">
        <v>1.2E-9</v>
      </c>
      <c r="D732" s="2">
        <v>1.3000000000000001E-9</v>
      </c>
    </row>
    <row r="733" spans="1:4" x14ac:dyDescent="0.25">
      <c r="A733" t="s">
        <v>1213</v>
      </c>
      <c r="B733" s="2">
        <v>2.7E-10</v>
      </c>
      <c r="C733" s="2">
        <v>4.2E-10</v>
      </c>
      <c r="D733" s="2">
        <v>4.3000000000000001E-10</v>
      </c>
    </row>
    <row r="734" spans="1:4" x14ac:dyDescent="0.25">
      <c r="A734" t="s">
        <v>1214</v>
      </c>
      <c r="B734" s="2">
        <v>3.4999999999999999E-9</v>
      </c>
      <c r="C734" s="2">
        <v>2.6000000000000001E-9</v>
      </c>
      <c r="D734" s="2">
        <v>3.6E-9</v>
      </c>
    </row>
    <row r="735" spans="1:4" x14ac:dyDescent="0.25">
      <c r="A735" t="s">
        <v>1215</v>
      </c>
      <c r="B735" s="2">
        <v>2.8999999999999998E-10</v>
      </c>
      <c r="C735" s="2">
        <v>5.1999999999999996E-10</v>
      </c>
      <c r="D735" s="2">
        <v>5.4999999999999996E-10</v>
      </c>
    </row>
    <row r="736" spans="1:4" x14ac:dyDescent="0.25">
      <c r="A736" t="s">
        <v>110</v>
      </c>
      <c r="B736" s="2">
        <v>2.4999999999999999E-8</v>
      </c>
      <c r="C736" s="2">
        <v>1E-8</v>
      </c>
      <c r="D736" s="2">
        <v>3.3000000000000002E-9</v>
      </c>
    </row>
    <row r="737" spans="1:4" x14ac:dyDescent="0.25">
      <c r="A737" t="s">
        <v>1216</v>
      </c>
      <c r="B737" s="2">
        <v>2.5000000000000001E-9</v>
      </c>
      <c r="C737" s="2">
        <v>4.8E-9</v>
      </c>
      <c r="D737" s="2">
        <v>5.8999999999999999E-9</v>
      </c>
    </row>
    <row r="738" spans="1:4" x14ac:dyDescent="0.25">
      <c r="A738" t="s">
        <v>1217</v>
      </c>
      <c r="B738" s="2">
        <v>3.9E-10</v>
      </c>
      <c r="C738" s="2">
        <v>9.2000000000000003E-10</v>
      </c>
      <c r="D738" s="2">
        <v>8.9000000000000003E-10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52"/>
  <sheetViews>
    <sheetView topLeftCell="A16" workbookViewId="0">
      <selection activeCell="A2" sqref="A2"/>
    </sheetView>
  </sheetViews>
  <sheetFormatPr defaultRowHeight="15" x14ac:dyDescent="0.25"/>
  <cols>
    <col min="1" max="1" width="14.85546875" bestFit="1" customWidth="1"/>
    <col min="2" max="3" width="9.28515625" style="6" bestFit="1" customWidth="1"/>
  </cols>
  <sheetData>
    <row r="1" spans="1:3" x14ac:dyDescent="0.25">
      <c r="A1" t="s">
        <v>2086</v>
      </c>
      <c r="B1" s="6" t="s">
        <v>2087</v>
      </c>
      <c r="C1" s="6" t="s">
        <v>2088</v>
      </c>
    </row>
    <row r="2" spans="1:3" x14ac:dyDescent="0.25">
      <c r="A2" t="s">
        <v>74</v>
      </c>
      <c r="B2" s="6">
        <v>0.8</v>
      </c>
      <c r="C2" s="6">
        <v>6.0000000000000001E-3</v>
      </c>
    </row>
    <row r="3" spans="1:3" x14ac:dyDescent="0.25">
      <c r="A3" t="s">
        <v>78</v>
      </c>
      <c r="B3" s="6">
        <v>0.9</v>
      </c>
      <c r="C3" s="6">
        <v>9.0000000000000006E-5</v>
      </c>
    </row>
    <row r="4" spans="1:3" x14ac:dyDescent="0.25">
      <c r="A4" t="s">
        <v>80</v>
      </c>
      <c r="B4" s="6">
        <v>0.60000000000000009</v>
      </c>
      <c r="C4" s="6">
        <v>0.5</v>
      </c>
    </row>
    <row r="5" spans="1:3" x14ac:dyDescent="0.25">
      <c r="A5" t="s">
        <v>102</v>
      </c>
      <c r="B5" s="6">
        <v>10</v>
      </c>
      <c r="C5" s="6">
        <v>1E-3</v>
      </c>
    </row>
    <row r="6" spans="1:3" x14ac:dyDescent="0.25">
      <c r="A6" t="s">
        <v>134</v>
      </c>
      <c r="B6" s="6">
        <v>0</v>
      </c>
      <c r="C6" s="6">
        <v>0</v>
      </c>
    </row>
    <row r="7" spans="1:3" x14ac:dyDescent="0.25">
      <c r="A7" t="s">
        <v>135</v>
      </c>
      <c r="B7" s="6">
        <v>10</v>
      </c>
      <c r="C7" s="6">
        <v>1E-3</v>
      </c>
    </row>
    <row r="8" spans="1:3" x14ac:dyDescent="0.25">
      <c r="A8" t="s">
        <v>104</v>
      </c>
      <c r="B8" s="6">
        <v>5</v>
      </c>
      <c r="C8" s="6">
        <v>1E-3</v>
      </c>
    </row>
    <row r="9" spans="1:3" x14ac:dyDescent="0.25">
      <c r="A9" t="s">
        <v>57</v>
      </c>
      <c r="B9" s="6">
        <v>0</v>
      </c>
      <c r="C9" s="6">
        <v>0</v>
      </c>
    </row>
    <row r="10" spans="1:3" x14ac:dyDescent="0.25">
      <c r="A10" t="s">
        <v>62</v>
      </c>
      <c r="B10" s="6">
        <v>0</v>
      </c>
      <c r="C10" s="6">
        <v>0</v>
      </c>
    </row>
    <row r="11" spans="1:3" x14ac:dyDescent="0.25">
      <c r="A11" t="s">
        <v>64</v>
      </c>
      <c r="B11" s="6">
        <v>0</v>
      </c>
      <c r="C11" s="6">
        <v>0</v>
      </c>
    </row>
    <row r="12" spans="1:3" x14ac:dyDescent="0.25">
      <c r="A12" t="s">
        <v>67</v>
      </c>
      <c r="B12" s="6">
        <v>0</v>
      </c>
      <c r="C12" s="6">
        <v>0</v>
      </c>
    </row>
    <row r="13" spans="1:3" x14ac:dyDescent="0.25">
      <c r="A13" t="s">
        <v>32</v>
      </c>
      <c r="B13" s="6">
        <v>0</v>
      </c>
      <c r="C13" s="6">
        <v>0</v>
      </c>
    </row>
    <row r="14" spans="1:3" x14ac:dyDescent="0.25">
      <c r="A14" t="s">
        <v>43</v>
      </c>
      <c r="B14" s="6">
        <v>1</v>
      </c>
      <c r="C14" s="6">
        <v>0.60000000000000009</v>
      </c>
    </row>
    <row r="15" spans="1:3" x14ac:dyDescent="0.25">
      <c r="A15" t="s">
        <v>47</v>
      </c>
      <c r="B15" s="6">
        <v>0</v>
      </c>
      <c r="C15" s="6">
        <v>0</v>
      </c>
    </row>
    <row r="16" spans="1:3" x14ac:dyDescent="0.25">
      <c r="A16" t="s">
        <v>50</v>
      </c>
      <c r="B16" s="6">
        <v>0.70000000000000007</v>
      </c>
      <c r="C16" s="6">
        <v>0.60000000000000009</v>
      </c>
    </row>
    <row r="17" spans="1:3" x14ac:dyDescent="0.25">
      <c r="A17" t="s">
        <v>53</v>
      </c>
      <c r="B17" s="6">
        <v>0</v>
      </c>
      <c r="C17" s="6">
        <v>0</v>
      </c>
    </row>
    <row r="18" spans="1:3" x14ac:dyDescent="0.25">
      <c r="A18" t="s">
        <v>55</v>
      </c>
      <c r="B18" s="6">
        <v>0</v>
      </c>
      <c r="C18" s="6">
        <v>0</v>
      </c>
    </row>
    <row r="19" spans="1:3" x14ac:dyDescent="0.25">
      <c r="A19" t="s">
        <v>59</v>
      </c>
      <c r="B19" s="6">
        <v>0</v>
      </c>
      <c r="C19" s="6">
        <v>0</v>
      </c>
    </row>
    <row r="20" spans="1:3" x14ac:dyDescent="0.25">
      <c r="A20" t="s">
        <v>2</v>
      </c>
      <c r="B20" s="6">
        <v>40</v>
      </c>
      <c r="C20" s="6">
        <v>3</v>
      </c>
    </row>
    <row r="21" spans="1:3" x14ac:dyDescent="0.25">
      <c r="A21" t="s">
        <v>8</v>
      </c>
      <c r="B21" s="6">
        <v>40</v>
      </c>
      <c r="C21" s="6">
        <v>1</v>
      </c>
    </row>
    <row r="22" spans="1:3" x14ac:dyDescent="0.25">
      <c r="A22" t="s">
        <v>717</v>
      </c>
      <c r="B22" s="6">
        <v>30</v>
      </c>
      <c r="C22" s="6">
        <v>2</v>
      </c>
    </row>
    <row r="23" spans="1:3" x14ac:dyDescent="0.25">
      <c r="A23" t="s">
        <v>145</v>
      </c>
      <c r="B23" s="6">
        <v>0</v>
      </c>
      <c r="C23" s="6">
        <v>0</v>
      </c>
    </row>
    <row r="24" spans="1:3" x14ac:dyDescent="0.25">
      <c r="A24" t="s">
        <v>115</v>
      </c>
      <c r="B24" s="6">
        <v>40</v>
      </c>
      <c r="C24" s="6">
        <v>0.5</v>
      </c>
    </row>
    <row r="25" spans="1:3" x14ac:dyDescent="0.25">
      <c r="A25" t="s">
        <v>124</v>
      </c>
      <c r="B25" s="6">
        <v>0.2</v>
      </c>
      <c r="C25" s="6">
        <v>0.2</v>
      </c>
    </row>
    <row r="26" spans="1:3" x14ac:dyDescent="0.25">
      <c r="A26" t="s">
        <v>732</v>
      </c>
      <c r="B26" s="6">
        <v>3</v>
      </c>
      <c r="C26" s="6">
        <v>8.0000000000000004E-4</v>
      </c>
    </row>
    <row r="27" spans="1:3" x14ac:dyDescent="0.25">
      <c r="A27" t="s">
        <v>734</v>
      </c>
      <c r="B27" s="6">
        <v>7</v>
      </c>
      <c r="C27" s="6">
        <v>6.9999999999999999E-4</v>
      </c>
    </row>
    <row r="28" spans="1:3" x14ac:dyDescent="0.25">
      <c r="A28" t="s">
        <v>7</v>
      </c>
      <c r="B28" s="6">
        <v>10</v>
      </c>
      <c r="C28" s="6">
        <v>0.60000000000000009</v>
      </c>
    </row>
    <row r="29" spans="1:3" x14ac:dyDescent="0.25">
      <c r="A29" t="s">
        <v>136</v>
      </c>
      <c r="B29" s="6">
        <v>40</v>
      </c>
      <c r="C29" s="6">
        <v>0.01</v>
      </c>
    </row>
    <row r="30" spans="1:3" x14ac:dyDescent="0.25">
      <c r="A30" t="s">
        <v>105</v>
      </c>
      <c r="B30" s="6">
        <v>9</v>
      </c>
      <c r="C30" s="6">
        <v>1E-3</v>
      </c>
    </row>
    <row r="31" spans="1:3" x14ac:dyDescent="0.25">
      <c r="A31" t="s">
        <v>106</v>
      </c>
      <c r="B31" s="6">
        <v>20</v>
      </c>
      <c r="C31" s="6">
        <v>2E-3</v>
      </c>
    </row>
    <row r="32" spans="1:3" x14ac:dyDescent="0.25">
      <c r="A32" t="s">
        <v>137</v>
      </c>
      <c r="B32" s="6">
        <v>9</v>
      </c>
      <c r="C32" s="6">
        <v>9.0000000000000008E-4</v>
      </c>
    </row>
    <row r="33" spans="1:3" x14ac:dyDescent="0.25">
      <c r="A33" t="s">
        <v>138</v>
      </c>
      <c r="B33" s="6">
        <v>9</v>
      </c>
      <c r="C33" s="6">
        <v>9.0000000000000008E-4</v>
      </c>
    </row>
    <row r="34" spans="1:3" x14ac:dyDescent="0.25">
      <c r="A34" t="s">
        <v>743</v>
      </c>
      <c r="B34" s="6">
        <v>3</v>
      </c>
      <c r="C34" s="6">
        <v>1E-3</v>
      </c>
    </row>
    <row r="35" spans="1:3" x14ac:dyDescent="0.25">
      <c r="A35" t="s">
        <v>12</v>
      </c>
      <c r="B35" s="6">
        <v>10</v>
      </c>
      <c r="C35" s="6">
        <v>10</v>
      </c>
    </row>
    <row r="36" spans="1:3" x14ac:dyDescent="0.25">
      <c r="A36" t="s">
        <v>14</v>
      </c>
      <c r="B36" s="6">
        <v>0.4</v>
      </c>
      <c r="C36" s="6">
        <v>0.4</v>
      </c>
    </row>
    <row r="37" spans="1:3" x14ac:dyDescent="0.25">
      <c r="A37" t="s">
        <v>9</v>
      </c>
      <c r="B37" s="6">
        <v>30</v>
      </c>
      <c r="C37" s="6">
        <v>30</v>
      </c>
    </row>
    <row r="38" spans="1:3" x14ac:dyDescent="0.25">
      <c r="A38" t="s">
        <v>122</v>
      </c>
      <c r="B38" s="6">
        <v>0.70000000000000007</v>
      </c>
      <c r="C38" s="6">
        <v>0.70000000000000007</v>
      </c>
    </row>
    <row r="39" spans="1:3" x14ac:dyDescent="0.25">
      <c r="A39" t="s">
        <v>123</v>
      </c>
      <c r="B39" s="6">
        <v>40</v>
      </c>
      <c r="C39" s="6">
        <v>1</v>
      </c>
    </row>
    <row r="40" spans="1:3" x14ac:dyDescent="0.25">
      <c r="A40" t="s">
        <v>31</v>
      </c>
      <c r="B40" s="6">
        <v>2</v>
      </c>
      <c r="C40" s="6">
        <v>0.60000000000000009</v>
      </c>
    </row>
    <row r="41" spans="1:3" x14ac:dyDescent="0.25">
      <c r="A41" t="s">
        <v>144</v>
      </c>
      <c r="B41" s="6">
        <v>0</v>
      </c>
      <c r="C41" s="6">
        <v>0</v>
      </c>
    </row>
    <row r="42" spans="1:3" x14ac:dyDescent="0.25">
      <c r="A42" t="s">
        <v>16</v>
      </c>
      <c r="B42" s="6">
        <v>6</v>
      </c>
      <c r="C42" s="6">
        <v>1</v>
      </c>
    </row>
    <row r="43" spans="1:3" x14ac:dyDescent="0.25">
      <c r="A43" t="s">
        <v>36</v>
      </c>
      <c r="B43" s="6">
        <v>1</v>
      </c>
      <c r="C43" s="6">
        <v>1</v>
      </c>
    </row>
    <row r="44" spans="1:3" x14ac:dyDescent="0.25">
      <c r="A44" t="s">
        <v>129</v>
      </c>
      <c r="B44" s="6">
        <v>0.9</v>
      </c>
      <c r="C44" s="6">
        <v>0.60000000000000009</v>
      </c>
    </row>
    <row r="45" spans="1:3" x14ac:dyDescent="0.25">
      <c r="A45" t="s">
        <v>130</v>
      </c>
      <c r="B45" s="6">
        <v>20</v>
      </c>
      <c r="C45" s="6">
        <v>3</v>
      </c>
    </row>
    <row r="46" spans="1:3" x14ac:dyDescent="0.25">
      <c r="A46" t="s">
        <v>623</v>
      </c>
      <c r="B46" s="6">
        <v>1</v>
      </c>
      <c r="C46" s="6">
        <v>0.60000000000000009</v>
      </c>
    </row>
    <row r="47" spans="1:3" x14ac:dyDescent="0.25">
      <c r="A47" t="s">
        <v>11</v>
      </c>
      <c r="B47" s="6">
        <v>40</v>
      </c>
      <c r="C47" s="6">
        <v>40</v>
      </c>
    </row>
    <row r="48" spans="1:3" x14ac:dyDescent="0.25">
      <c r="A48" t="s">
        <v>13</v>
      </c>
      <c r="B48" s="6">
        <v>0.9</v>
      </c>
      <c r="C48" s="6">
        <v>0.9</v>
      </c>
    </row>
    <row r="49" spans="1:3" x14ac:dyDescent="0.25">
      <c r="A49" t="s">
        <v>69</v>
      </c>
      <c r="B49" s="6">
        <v>0</v>
      </c>
      <c r="C49" s="6">
        <v>0</v>
      </c>
    </row>
    <row r="50" spans="1:3" x14ac:dyDescent="0.25">
      <c r="A50" t="s">
        <v>72</v>
      </c>
      <c r="B50" s="6">
        <v>0</v>
      </c>
      <c r="C50" s="6">
        <v>0</v>
      </c>
    </row>
    <row r="51" spans="1:3" x14ac:dyDescent="0.25">
      <c r="A51" t="s">
        <v>35</v>
      </c>
      <c r="B51" s="6">
        <v>0</v>
      </c>
      <c r="C51" s="6">
        <v>0</v>
      </c>
    </row>
    <row r="52" spans="1:3" x14ac:dyDescent="0.25">
      <c r="A52" t="s">
        <v>1</v>
      </c>
      <c r="B52" s="6">
        <v>0</v>
      </c>
      <c r="C52" s="6">
        <v>0</v>
      </c>
    </row>
    <row r="53" spans="1:3" x14ac:dyDescent="0.25">
      <c r="A53" t="s">
        <v>25</v>
      </c>
      <c r="B53" s="6">
        <v>6</v>
      </c>
      <c r="C53" s="6">
        <v>3</v>
      </c>
    </row>
    <row r="54" spans="1:3" x14ac:dyDescent="0.25">
      <c r="A54" t="s">
        <v>26</v>
      </c>
      <c r="B54" s="6">
        <v>1</v>
      </c>
      <c r="C54" s="6">
        <v>1</v>
      </c>
    </row>
    <row r="55" spans="1:3" x14ac:dyDescent="0.25">
      <c r="A55" t="s">
        <v>27</v>
      </c>
      <c r="B55" s="6">
        <v>20</v>
      </c>
      <c r="C55" s="6">
        <v>3</v>
      </c>
    </row>
    <row r="56" spans="1:3" x14ac:dyDescent="0.25">
      <c r="A56" t="s">
        <v>28</v>
      </c>
      <c r="B56" s="6">
        <v>-1</v>
      </c>
      <c r="C56" s="6">
        <v>-1</v>
      </c>
    </row>
    <row r="57" spans="1:3" x14ac:dyDescent="0.25">
      <c r="A57" t="s">
        <v>30</v>
      </c>
      <c r="B57" s="6">
        <v>3</v>
      </c>
      <c r="C57" s="6">
        <v>0.70000000000000007</v>
      </c>
    </row>
    <row r="58" spans="1:3" x14ac:dyDescent="0.25">
      <c r="A58" t="s">
        <v>18</v>
      </c>
      <c r="B58" s="6">
        <v>10</v>
      </c>
      <c r="C58" s="6">
        <v>10</v>
      </c>
    </row>
    <row r="59" spans="1:3" x14ac:dyDescent="0.25">
      <c r="A59" t="s">
        <v>10</v>
      </c>
      <c r="B59" s="6">
        <v>1</v>
      </c>
      <c r="C59" s="6">
        <v>1</v>
      </c>
    </row>
    <row r="60" spans="1:3" x14ac:dyDescent="0.25">
      <c r="A60" t="s">
        <v>3</v>
      </c>
      <c r="B60" s="6">
        <v>0.5</v>
      </c>
      <c r="C60" s="6">
        <v>0.5</v>
      </c>
    </row>
    <row r="61" spans="1:3" x14ac:dyDescent="0.25">
      <c r="A61" t="s">
        <v>111</v>
      </c>
      <c r="B61" s="6">
        <v>40</v>
      </c>
      <c r="C61" s="6">
        <v>30</v>
      </c>
    </row>
    <row r="62" spans="1:3" x14ac:dyDescent="0.25">
      <c r="A62" t="s">
        <v>33</v>
      </c>
      <c r="B62" s="6">
        <v>0</v>
      </c>
      <c r="C62" s="6">
        <v>0</v>
      </c>
    </row>
    <row r="63" spans="1:3" x14ac:dyDescent="0.25">
      <c r="A63" t="s">
        <v>108</v>
      </c>
      <c r="B63" s="6">
        <v>-1</v>
      </c>
      <c r="C63" s="6">
        <v>-1</v>
      </c>
    </row>
    <row r="64" spans="1:3" x14ac:dyDescent="0.25">
      <c r="A64" t="s">
        <v>15</v>
      </c>
      <c r="B64" s="6">
        <v>40</v>
      </c>
      <c r="C64" s="6">
        <v>30</v>
      </c>
    </row>
    <row r="65" spans="1:3" x14ac:dyDescent="0.25">
      <c r="A65" t="s">
        <v>131</v>
      </c>
      <c r="B65" s="6">
        <v>9</v>
      </c>
      <c r="C65" s="6">
        <v>0.02</v>
      </c>
    </row>
    <row r="66" spans="1:3" x14ac:dyDescent="0.25">
      <c r="A66" t="s">
        <v>95</v>
      </c>
      <c r="B66" s="6">
        <v>20</v>
      </c>
      <c r="C66" s="6">
        <v>2E-3</v>
      </c>
    </row>
    <row r="67" spans="1:3" x14ac:dyDescent="0.25">
      <c r="A67" t="s">
        <v>149</v>
      </c>
      <c r="B67" s="6">
        <v>0</v>
      </c>
      <c r="C67" s="6">
        <v>0</v>
      </c>
    </row>
    <row r="68" spans="1:3" x14ac:dyDescent="0.25">
      <c r="A68" t="s">
        <v>100</v>
      </c>
      <c r="B68" s="6">
        <v>7</v>
      </c>
      <c r="C68" s="6">
        <v>0.4</v>
      </c>
    </row>
    <row r="69" spans="1:3" x14ac:dyDescent="0.25">
      <c r="A69" t="s">
        <v>4</v>
      </c>
      <c r="B69" s="6">
        <v>0.5</v>
      </c>
      <c r="C69" s="6">
        <v>0.5</v>
      </c>
    </row>
    <row r="70" spans="1:3" x14ac:dyDescent="0.25">
      <c r="A70" t="s">
        <v>5</v>
      </c>
      <c r="B70" s="6">
        <v>40</v>
      </c>
      <c r="C70" s="6">
        <v>1</v>
      </c>
    </row>
    <row r="71" spans="1:3" x14ac:dyDescent="0.25">
      <c r="A71" t="s">
        <v>84</v>
      </c>
      <c r="B71" s="6">
        <v>4</v>
      </c>
      <c r="C71" s="6">
        <v>4.0000000000000002E-4</v>
      </c>
    </row>
    <row r="72" spans="1:3" x14ac:dyDescent="0.25">
      <c r="A72" t="s">
        <v>88</v>
      </c>
      <c r="B72" s="6">
        <v>5</v>
      </c>
      <c r="C72" s="6">
        <v>0.70000000000000007</v>
      </c>
    </row>
    <row r="73" spans="1:3" x14ac:dyDescent="0.25">
      <c r="A73" t="s">
        <v>90</v>
      </c>
      <c r="B73" s="6">
        <v>0</v>
      </c>
      <c r="C73" s="6">
        <v>0</v>
      </c>
    </row>
    <row r="74" spans="1:3" x14ac:dyDescent="0.25">
      <c r="A74" t="s">
        <v>91</v>
      </c>
      <c r="B74" s="6">
        <v>0</v>
      </c>
      <c r="C74" s="6">
        <v>0</v>
      </c>
    </row>
    <row r="75" spans="1:3" x14ac:dyDescent="0.25">
      <c r="A75" t="s">
        <v>40</v>
      </c>
      <c r="B75" s="6">
        <v>0</v>
      </c>
      <c r="C75" s="6">
        <v>0</v>
      </c>
    </row>
    <row r="76" spans="1:3" x14ac:dyDescent="0.25">
      <c r="A76" t="s">
        <v>44</v>
      </c>
      <c r="B76" s="6">
        <v>1</v>
      </c>
      <c r="C76" s="6">
        <v>0.05</v>
      </c>
    </row>
    <row r="77" spans="1:3" x14ac:dyDescent="0.25">
      <c r="A77" t="s">
        <v>48</v>
      </c>
      <c r="B77" s="6">
        <v>0</v>
      </c>
      <c r="C77" s="6">
        <v>0</v>
      </c>
    </row>
    <row r="78" spans="1:3" x14ac:dyDescent="0.25">
      <c r="A78" t="s">
        <v>51</v>
      </c>
      <c r="B78" s="6">
        <v>0.70000000000000007</v>
      </c>
      <c r="C78" s="6">
        <v>0.2</v>
      </c>
    </row>
    <row r="79" spans="1:3" x14ac:dyDescent="0.25">
      <c r="A79" t="s">
        <v>56</v>
      </c>
      <c r="B79" s="6">
        <v>0</v>
      </c>
      <c r="C79" s="6">
        <v>0</v>
      </c>
    </row>
    <row r="80" spans="1:3" x14ac:dyDescent="0.25">
      <c r="A80" t="s">
        <v>114</v>
      </c>
      <c r="B80" s="6">
        <v>-1</v>
      </c>
      <c r="C80" s="6">
        <v>-1</v>
      </c>
    </row>
    <row r="81" spans="1:3" x14ac:dyDescent="0.25">
      <c r="A81" t="s">
        <v>126</v>
      </c>
      <c r="B81" s="6">
        <v>0</v>
      </c>
      <c r="C81" s="6">
        <v>0</v>
      </c>
    </row>
    <row r="82" spans="1:3" x14ac:dyDescent="0.25">
      <c r="A82" t="s">
        <v>127</v>
      </c>
      <c r="B82" s="6">
        <v>40</v>
      </c>
      <c r="C82" s="6">
        <v>2</v>
      </c>
    </row>
    <row r="83" spans="1:3" x14ac:dyDescent="0.25">
      <c r="A83" t="s">
        <v>42</v>
      </c>
      <c r="B83" s="6">
        <v>40</v>
      </c>
      <c r="C83" s="6">
        <v>0.02</v>
      </c>
    </row>
    <row r="84" spans="1:3" x14ac:dyDescent="0.25">
      <c r="A84" t="s">
        <v>46</v>
      </c>
      <c r="B84" s="6">
        <v>0</v>
      </c>
      <c r="C84" s="6">
        <v>0</v>
      </c>
    </row>
    <row r="85" spans="1:3" x14ac:dyDescent="0.25">
      <c r="A85" t="s">
        <v>49</v>
      </c>
      <c r="B85" s="6">
        <v>0</v>
      </c>
      <c r="C85" s="6">
        <v>0</v>
      </c>
    </row>
    <row r="86" spans="1:3" x14ac:dyDescent="0.25">
      <c r="A86" t="s">
        <v>52</v>
      </c>
      <c r="B86" s="6">
        <v>0</v>
      </c>
      <c r="C86" s="6">
        <v>0</v>
      </c>
    </row>
    <row r="87" spans="1:3" x14ac:dyDescent="0.25">
      <c r="A87" t="s">
        <v>54</v>
      </c>
      <c r="B87" s="6">
        <v>0</v>
      </c>
      <c r="C87" s="6">
        <v>0</v>
      </c>
    </row>
    <row r="88" spans="1:3" x14ac:dyDescent="0.25">
      <c r="A88" t="s">
        <v>58</v>
      </c>
      <c r="B88" s="6">
        <v>0</v>
      </c>
      <c r="C88" s="6">
        <v>0</v>
      </c>
    </row>
    <row r="89" spans="1:3" x14ac:dyDescent="0.25">
      <c r="A89" t="s">
        <v>60</v>
      </c>
      <c r="B89" s="6">
        <v>0</v>
      </c>
      <c r="C89" s="6">
        <v>0</v>
      </c>
    </row>
    <row r="90" spans="1:3" x14ac:dyDescent="0.25">
      <c r="A90" t="s">
        <v>65</v>
      </c>
      <c r="B90" s="6">
        <v>0</v>
      </c>
      <c r="C90" s="6">
        <v>0</v>
      </c>
    </row>
    <row r="91" spans="1:3" x14ac:dyDescent="0.25">
      <c r="A91" t="s">
        <v>125</v>
      </c>
      <c r="B91" s="6">
        <v>0</v>
      </c>
      <c r="C91" s="6">
        <v>0</v>
      </c>
    </row>
    <row r="92" spans="1:3" x14ac:dyDescent="0.25">
      <c r="A92" t="s">
        <v>132</v>
      </c>
      <c r="B92" s="6">
        <v>30</v>
      </c>
      <c r="C92" s="6">
        <v>3.0000000000000001E-3</v>
      </c>
    </row>
    <row r="93" spans="1:3" x14ac:dyDescent="0.25">
      <c r="A93" t="s">
        <v>97</v>
      </c>
      <c r="B93" s="6">
        <v>10</v>
      </c>
      <c r="C93" s="6">
        <v>1E-3</v>
      </c>
    </row>
    <row r="94" spans="1:3" x14ac:dyDescent="0.25">
      <c r="A94" t="s">
        <v>99</v>
      </c>
      <c r="B94" s="6">
        <v>10</v>
      </c>
      <c r="C94" s="6">
        <v>1E-3</v>
      </c>
    </row>
    <row r="95" spans="1:3" x14ac:dyDescent="0.25">
      <c r="A95" t="s">
        <v>101</v>
      </c>
      <c r="B95" s="6">
        <v>10</v>
      </c>
      <c r="C95" s="6">
        <v>1E-3</v>
      </c>
    </row>
    <row r="96" spans="1:3" x14ac:dyDescent="0.25">
      <c r="A96" t="s">
        <v>103</v>
      </c>
      <c r="B96" s="6">
        <v>40</v>
      </c>
      <c r="C96" s="6">
        <v>0.06</v>
      </c>
    </row>
    <row r="97" spans="1:3" x14ac:dyDescent="0.25">
      <c r="A97" t="s">
        <v>133</v>
      </c>
      <c r="B97" s="6">
        <v>10</v>
      </c>
      <c r="C97" s="6">
        <v>1E-3</v>
      </c>
    </row>
    <row r="98" spans="1:3" x14ac:dyDescent="0.25">
      <c r="A98" t="s">
        <v>1018</v>
      </c>
      <c r="B98" s="6">
        <v>0</v>
      </c>
      <c r="C98" s="6">
        <v>0</v>
      </c>
    </row>
    <row r="99" spans="1:3" x14ac:dyDescent="0.25">
      <c r="A99" t="s">
        <v>71</v>
      </c>
      <c r="B99" s="6">
        <v>0.4</v>
      </c>
      <c r="C99" s="6">
        <v>7.0000000000000001E-3</v>
      </c>
    </row>
    <row r="100" spans="1:3" x14ac:dyDescent="0.25">
      <c r="A100" t="s">
        <v>73</v>
      </c>
      <c r="B100" s="6">
        <v>0.4</v>
      </c>
      <c r="C100" s="6">
        <v>0.02</v>
      </c>
    </row>
    <row r="101" spans="1:3" x14ac:dyDescent="0.25">
      <c r="A101" t="s">
        <v>75</v>
      </c>
      <c r="B101" s="6">
        <v>0.2</v>
      </c>
      <c r="C101" s="6">
        <v>4.0000000000000001E-3</v>
      </c>
    </row>
    <row r="102" spans="1:3" x14ac:dyDescent="0.25">
      <c r="A102" t="s">
        <v>76</v>
      </c>
      <c r="B102" s="6">
        <v>0.2</v>
      </c>
      <c r="C102" s="6">
        <v>3.0000000000000001E-3</v>
      </c>
    </row>
    <row r="103" spans="1:3" x14ac:dyDescent="0.25">
      <c r="A103" t="s">
        <v>81</v>
      </c>
      <c r="B103" s="6">
        <v>0.60000000000000009</v>
      </c>
      <c r="C103" s="6">
        <v>0.02</v>
      </c>
    </row>
    <row r="104" spans="1:3" x14ac:dyDescent="0.25">
      <c r="A104" t="s">
        <v>19</v>
      </c>
      <c r="B104" s="6">
        <v>0.5</v>
      </c>
      <c r="C104" s="6">
        <v>0.5</v>
      </c>
    </row>
    <row r="105" spans="1:3" x14ac:dyDescent="0.25">
      <c r="A105" t="s">
        <v>113</v>
      </c>
      <c r="B105" s="6">
        <v>0</v>
      </c>
      <c r="C105" s="6">
        <v>0</v>
      </c>
    </row>
    <row r="106" spans="1:3" x14ac:dyDescent="0.25">
      <c r="A106" t="s">
        <v>24</v>
      </c>
      <c r="B106" s="6">
        <v>2</v>
      </c>
      <c r="C106" s="6">
        <v>2</v>
      </c>
    </row>
    <row r="107" spans="1:3" x14ac:dyDescent="0.25">
      <c r="A107" t="s">
        <v>61</v>
      </c>
      <c r="B107" s="6">
        <v>0</v>
      </c>
      <c r="C107" s="6">
        <v>0</v>
      </c>
    </row>
    <row r="108" spans="1:3" x14ac:dyDescent="0.25">
      <c r="A108" t="s">
        <v>63</v>
      </c>
      <c r="B108" s="6">
        <v>0</v>
      </c>
      <c r="C108" s="6">
        <v>0</v>
      </c>
    </row>
    <row r="109" spans="1:3" x14ac:dyDescent="0.25">
      <c r="A109" t="s">
        <v>66</v>
      </c>
      <c r="B109" s="6">
        <v>0</v>
      </c>
      <c r="C109" s="6">
        <v>0</v>
      </c>
    </row>
    <row r="110" spans="1:3" x14ac:dyDescent="0.25">
      <c r="A110" t="s">
        <v>68</v>
      </c>
      <c r="B110" s="6">
        <v>0</v>
      </c>
      <c r="C110" s="6">
        <v>0</v>
      </c>
    </row>
    <row r="111" spans="1:3" x14ac:dyDescent="0.25">
      <c r="A111" t="s">
        <v>70</v>
      </c>
      <c r="B111" s="6">
        <v>0.30000000000000004</v>
      </c>
      <c r="C111" s="6">
        <v>4.0000000000000001E-3</v>
      </c>
    </row>
    <row r="112" spans="1:3" x14ac:dyDescent="0.25">
      <c r="A112" t="s">
        <v>112</v>
      </c>
      <c r="B112" s="6">
        <v>0.2</v>
      </c>
      <c r="C112" s="6">
        <v>0.2</v>
      </c>
    </row>
    <row r="113" spans="1:3" x14ac:dyDescent="0.25">
      <c r="A113" t="s">
        <v>6</v>
      </c>
      <c r="B113" s="6">
        <v>40</v>
      </c>
      <c r="C113" s="6">
        <v>3</v>
      </c>
    </row>
    <row r="114" spans="1:3" x14ac:dyDescent="0.25">
      <c r="A114" t="s">
        <v>117</v>
      </c>
      <c r="B114" s="6">
        <v>2</v>
      </c>
      <c r="C114" s="6">
        <v>1</v>
      </c>
    </row>
    <row r="115" spans="1:3" x14ac:dyDescent="0.25">
      <c r="A115" t="s">
        <v>121</v>
      </c>
      <c r="B115" s="6">
        <v>0.4</v>
      </c>
      <c r="C115" s="6">
        <v>0.4</v>
      </c>
    </row>
    <row r="116" spans="1:3" x14ac:dyDescent="0.25">
      <c r="A116" t="s">
        <v>120</v>
      </c>
      <c r="B116" s="6">
        <v>0</v>
      </c>
      <c r="C116" s="6">
        <v>0</v>
      </c>
    </row>
    <row r="117" spans="1:3" x14ac:dyDescent="0.25">
      <c r="A117" t="s">
        <v>109</v>
      </c>
      <c r="B117" s="6">
        <v>40</v>
      </c>
      <c r="C117" s="6">
        <v>2</v>
      </c>
    </row>
    <row r="118" spans="1:3" x14ac:dyDescent="0.25">
      <c r="A118" t="s">
        <v>147</v>
      </c>
      <c r="B118" s="6">
        <v>0</v>
      </c>
      <c r="C118" s="6">
        <v>0</v>
      </c>
    </row>
    <row r="119" spans="1:3" x14ac:dyDescent="0.25">
      <c r="A119" t="s">
        <v>148</v>
      </c>
      <c r="B119" s="6">
        <v>-1</v>
      </c>
      <c r="C119" s="6">
        <v>-1</v>
      </c>
    </row>
    <row r="120" spans="1:3" x14ac:dyDescent="0.25">
      <c r="A120" t="s">
        <v>34</v>
      </c>
      <c r="B120" s="6">
        <v>0</v>
      </c>
      <c r="C120" s="6">
        <v>0</v>
      </c>
    </row>
    <row r="121" spans="1:3" x14ac:dyDescent="0.25">
      <c r="A121" t="s">
        <v>128</v>
      </c>
      <c r="B121" s="6">
        <v>40</v>
      </c>
      <c r="C121" s="6">
        <v>10</v>
      </c>
    </row>
    <row r="122" spans="1:3" x14ac:dyDescent="0.25">
      <c r="A122" t="s">
        <v>146</v>
      </c>
      <c r="B122" s="6">
        <v>0</v>
      </c>
      <c r="C122" s="6">
        <v>0</v>
      </c>
    </row>
    <row r="123" spans="1:3" x14ac:dyDescent="0.25">
      <c r="A123" t="s">
        <v>116</v>
      </c>
      <c r="B123" s="6">
        <v>40</v>
      </c>
      <c r="C123" s="6">
        <v>0.9</v>
      </c>
    </row>
    <row r="124" spans="1:3" x14ac:dyDescent="0.25">
      <c r="A124" t="s">
        <v>119</v>
      </c>
      <c r="B124" s="6">
        <v>0.60000000000000009</v>
      </c>
      <c r="C124" s="6">
        <v>0.4</v>
      </c>
    </row>
    <row r="125" spans="1:3" x14ac:dyDescent="0.25">
      <c r="A125" t="s">
        <v>21</v>
      </c>
      <c r="B125" s="6">
        <v>0.30000000000000004</v>
      </c>
      <c r="C125" s="6">
        <v>0.30000000000000004</v>
      </c>
    </row>
    <row r="126" spans="1:3" x14ac:dyDescent="0.25">
      <c r="A126" t="s">
        <v>22</v>
      </c>
      <c r="B126" s="6">
        <v>40</v>
      </c>
      <c r="C126" s="6">
        <v>0.9</v>
      </c>
    </row>
    <row r="127" spans="1:3" x14ac:dyDescent="0.25">
      <c r="A127" t="s">
        <v>23</v>
      </c>
      <c r="B127" s="6">
        <v>10</v>
      </c>
      <c r="C127" s="6">
        <v>4</v>
      </c>
    </row>
    <row r="128" spans="1:3" x14ac:dyDescent="0.25">
      <c r="A128" t="s">
        <v>118</v>
      </c>
      <c r="B128" s="6">
        <v>20</v>
      </c>
      <c r="C128" s="6">
        <v>0.9</v>
      </c>
    </row>
    <row r="129" spans="1:3" x14ac:dyDescent="0.25">
      <c r="A129" t="s">
        <v>77</v>
      </c>
      <c r="B129" s="6">
        <v>10</v>
      </c>
      <c r="C129" s="6">
        <v>5.0000000000000001E-3</v>
      </c>
    </row>
    <row r="130" spans="1:3" x14ac:dyDescent="0.25">
      <c r="A130" t="s">
        <v>79</v>
      </c>
      <c r="B130" s="6">
        <v>0.5</v>
      </c>
      <c r="C130" s="6">
        <v>1E-3</v>
      </c>
    </row>
    <row r="131" spans="1:3" x14ac:dyDescent="0.25">
      <c r="A131" t="s">
        <v>82</v>
      </c>
      <c r="B131" s="6">
        <v>5</v>
      </c>
      <c r="C131" s="6">
        <v>5.0000000000000001E-4</v>
      </c>
    </row>
    <row r="132" spans="1:3" x14ac:dyDescent="0.25">
      <c r="A132" t="s">
        <v>83</v>
      </c>
      <c r="B132" s="6">
        <v>10</v>
      </c>
      <c r="C132" s="6">
        <v>1E-3</v>
      </c>
    </row>
    <row r="133" spans="1:3" x14ac:dyDescent="0.25">
      <c r="A133" t="s">
        <v>85</v>
      </c>
      <c r="B133" s="6">
        <v>40</v>
      </c>
      <c r="C133" s="6">
        <v>0.02</v>
      </c>
    </row>
    <row r="134" spans="1:3" x14ac:dyDescent="0.25">
      <c r="A134" t="s">
        <v>86</v>
      </c>
      <c r="B134" s="6">
        <v>-1</v>
      </c>
      <c r="C134" s="6">
        <v>-1</v>
      </c>
    </row>
    <row r="135" spans="1:3" x14ac:dyDescent="0.25">
      <c r="A135" t="s">
        <v>92</v>
      </c>
      <c r="B135" s="6">
        <v>0.30000000000000004</v>
      </c>
      <c r="C135" s="6">
        <v>0.30000000000000004</v>
      </c>
    </row>
    <row r="136" spans="1:3" x14ac:dyDescent="0.25">
      <c r="A136" t="s">
        <v>37</v>
      </c>
      <c r="B136" s="6">
        <v>0</v>
      </c>
      <c r="C136" s="6">
        <v>0</v>
      </c>
    </row>
    <row r="137" spans="1:3" x14ac:dyDescent="0.25">
      <c r="A137" t="s">
        <v>38</v>
      </c>
      <c r="B137" s="6">
        <v>0</v>
      </c>
      <c r="C137" s="6">
        <v>0</v>
      </c>
    </row>
    <row r="138" spans="1:3" x14ac:dyDescent="0.25">
      <c r="A138" t="s">
        <v>39</v>
      </c>
      <c r="B138" s="6">
        <v>0</v>
      </c>
      <c r="C138" s="6">
        <v>0</v>
      </c>
    </row>
    <row r="139" spans="1:3" x14ac:dyDescent="0.25">
      <c r="A139" t="s">
        <v>41</v>
      </c>
      <c r="B139" s="6">
        <v>0</v>
      </c>
      <c r="C139" s="6">
        <v>0</v>
      </c>
    </row>
    <row r="140" spans="1:3" x14ac:dyDescent="0.25">
      <c r="A140" t="s">
        <v>45</v>
      </c>
      <c r="B140" s="6">
        <v>0</v>
      </c>
      <c r="C140" s="6">
        <v>0</v>
      </c>
    </row>
    <row r="141" spans="1:3" x14ac:dyDescent="0.25">
      <c r="A141" t="s">
        <v>107</v>
      </c>
      <c r="B141" s="6">
        <v>10</v>
      </c>
      <c r="C141" s="6">
        <v>1E-3</v>
      </c>
    </row>
    <row r="142" spans="1:3" x14ac:dyDescent="0.25">
      <c r="A142" t="s">
        <v>87</v>
      </c>
      <c r="B142" s="6">
        <v>40</v>
      </c>
      <c r="C142" s="6">
        <v>6.0000000000000001E-3</v>
      </c>
    </row>
    <row r="143" spans="1:3" x14ac:dyDescent="0.25">
      <c r="A143" t="s">
        <v>89</v>
      </c>
      <c r="B143" s="6">
        <v>40</v>
      </c>
      <c r="C143" s="6">
        <v>6.0000000000000001E-3</v>
      </c>
    </row>
    <row r="144" spans="1:3" x14ac:dyDescent="0.25">
      <c r="A144" t="s">
        <v>93</v>
      </c>
      <c r="B144" s="6">
        <v>-1</v>
      </c>
      <c r="C144" s="6">
        <v>-1</v>
      </c>
    </row>
    <row r="145" spans="1:3" x14ac:dyDescent="0.25">
      <c r="A145" t="s">
        <v>94</v>
      </c>
      <c r="B145" s="6">
        <v>40</v>
      </c>
      <c r="C145" s="6">
        <v>6.0000000000000001E-3</v>
      </c>
    </row>
    <row r="146" spans="1:3" x14ac:dyDescent="0.25">
      <c r="A146" t="s">
        <v>96</v>
      </c>
      <c r="B146" s="6">
        <v>0</v>
      </c>
      <c r="C146" s="6">
        <v>0</v>
      </c>
    </row>
    <row r="147" spans="1:3" x14ac:dyDescent="0.25">
      <c r="A147" t="s">
        <v>98</v>
      </c>
      <c r="B147" s="6">
        <v>-1</v>
      </c>
      <c r="C147" s="6">
        <v>-1</v>
      </c>
    </row>
    <row r="148" spans="1:3" x14ac:dyDescent="0.25">
      <c r="A148" t="s">
        <v>29</v>
      </c>
      <c r="B148" s="6">
        <v>40</v>
      </c>
      <c r="C148" s="6">
        <v>40</v>
      </c>
    </row>
    <row r="149" spans="1:3" x14ac:dyDescent="0.25">
      <c r="A149" t="s">
        <v>20</v>
      </c>
      <c r="B149" s="6">
        <v>0.30000000000000004</v>
      </c>
      <c r="C149" s="6">
        <v>0.30000000000000004</v>
      </c>
    </row>
    <row r="150" spans="1:3" x14ac:dyDescent="0.25">
      <c r="A150" t="s">
        <v>143</v>
      </c>
      <c r="B150" s="6">
        <v>0</v>
      </c>
      <c r="C150" s="6">
        <v>0</v>
      </c>
    </row>
    <row r="151" spans="1:3" x14ac:dyDescent="0.25">
      <c r="A151" t="s">
        <v>17</v>
      </c>
      <c r="B151" s="6">
        <v>2</v>
      </c>
      <c r="C151" s="6">
        <v>2</v>
      </c>
    </row>
    <row r="152" spans="1:3" x14ac:dyDescent="0.25">
      <c r="A152" t="s">
        <v>110</v>
      </c>
      <c r="B152" s="6">
        <v>-1</v>
      </c>
      <c r="C152" s="6">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RTZLib</vt:lpstr>
      <vt:lpstr>Conversions</vt:lpstr>
      <vt:lpstr>RTZCode</vt:lpstr>
      <vt:lpstr>ICRP68inh</vt:lpstr>
      <vt:lpstr>ICRP68ing</vt:lpstr>
      <vt:lpstr>ICRP72ing</vt:lpstr>
      <vt:lpstr>ICRP72inh</vt:lpstr>
      <vt:lpstr>AValues</vt:lpstr>
      <vt:lpstr>_68ing</vt:lpstr>
      <vt:lpstr>_68inh</vt:lpstr>
      <vt:lpstr>_72ing</vt:lpstr>
      <vt:lpstr>_72inh</vt:lpstr>
      <vt:lpstr>_RTZData</vt:lpstr>
      <vt:lpstr>A1A2</vt:lpstr>
      <vt:lpstr>ICRP72ing!I72_Ing_1</vt:lpstr>
      <vt:lpstr>ICRP72inh!I72_Inh_2</vt:lpstr>
      <vt:lpstr>ICRP68ing!Table_A11</vt:lpstr>
      <vt:lpstr>ICRP68inh!Table_A11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Jamie.Prowse</dc:creator>
  <cp:lastModifiedBy>JJP3</cp:lastModifiedBy>
  <cp:lastPrinted>2014-04-22T14:36:20Z</cp:lastPrinted>
  <dcterms:created xsi:type="dcterms:W3CDTF">2014-02-24T17:31:08Z</dcterms:created>
  <dcterms:modified xsi:type="dcterms:W3CDTF">2016-10-29T17:47:11Z</dcterms:modified>
</cp:coreProperties>
</file>