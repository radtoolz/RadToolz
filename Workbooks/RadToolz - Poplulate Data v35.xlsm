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227" codeName="{957460C9-B318-DD5D-5CC9-C049C1E746CC}"/>
  <workbookPr codeName="ThisWorkbook" hidePivotFieldList="1" defaultThemeVersion="124226"/>
  <mc:AlternateContent xmlns:mc="http://schemas.openxmlformats.org/markup-compatibility/2006">
    <mc:Choice Requires="x15">
      <x15ac:absPath xmlns:x15ac="http://schemas.microsoft.com/office/spreadsheetml/2010/11/ac" url="C:\Users\Jamie\Documents\Visual Studio 2022\Projects\RadToolz\Workbooks\"/>
    </mc:Choice>
  </mc:AlternateContent>
  <xr:revisionPtr revIDLastSave="0" documentId="13_ncr:1_{DA62C423-0CE2-42B2-B9B6-1D0BF2774440}" xr6:coauthVersionLast="47" xr6:coauthVersionMax="47" xr10:uidLastSave="{00000000-0000-0000-0000-000000000000}"/>
  <bookViews>
    <workbookView xWindow="-28920" yWindow="-180" windowWidth="29040" windowHeight="16440" activeTab="1" xr2:uid="{00000000-000D-0000-FFFF-FFFF00000000}"/>
  </bookViews>
  <sheets>
    <sheet name="RTZLib" sheetId="12" r:id="rId1"/>
    <sheet name="RTZCode" sheetId="13" r:id="rId2"/>
    <sheet name="NUDAT Lambda" sheetId="23" r:id="rId3"/>
    <sheet name="ICRP68inh" sheetId="17" r:id="rId4"/>
    <sheet name="ICRP68ing" sheetId="18" r:id="rId5"/>
    <sheet name="ICRP72ing" sheetId="19" r:id="rId6"/>
    <sheet name="ICRP72inh" sheetId="20" r:id="rId7"/>
    <sheet name="AValues" sheetId="22" r:id="rId8"/>
    <sheet name="Conversions" sheetId="21" r:id="rId9"/>
  </sheets>
  <externalReferences>
    <externalReference r:id="rId10"/>
  </externalReferences>
  <definedNames>
    <definedName name="_68ing">ICRP68ing!$A$2:$B$737</definedName>
    <definedName name="_68inh">ICRP68inh!$A$2:$G$734</definedName>
    <definedName name="_72ing">ICRP72ing!$A$2:$B$738</definedName>
    <definedName name="_72inh">ICRP72inh!$A$2:$D$738</definedName>
    <definedName name="_DCF">#REF!</definedName>
    <definedName name="_xlnm._FilterDatabase" localSheetId="7" hidden="1">AValues!$A$1:$C$156</definedName>
    <definedName name="_xlnm._FilterDatabase" localSheetId="4" hidden="1">ICRP68ing!$A$1:$B$46</definedName>
    <definedName name="_xlnm._FilterDatabase" localSheetId="3" hidden="1">ICRP68inh!$A$1:$G$734</definedName>
    <definedName name="_xlnm._FilterDatabase" localSheetId="6" hidden="1">ICRP72inh!$A$1:$D$738</definedName>
    <definedName name="_xlnm._FilterDatabase" localSheetId="0" hidden="1">RTZLib!$A$1:$V$183</definedName>
    <definedName name="_lambda">'NUDAT Lambda'!$A$2:$B$3564</definedName>
    <definedName name="_RTZData">RTZLib!$A$2:$S$179</definedName>
    <definedName name="A1A2">AValues!$A$2:$C$156</definedName>
    <definedName name="dcf_data">#REF!</definedName>
    <definedName name="DCF_Pu239_ICRP30">#REF!</definedName>
    <definedName name="DCF_Pu239_ICRP68m">#REF!</definedName>
    <definedName name="DCF_Pu239_ICRP72m">#REF!</definedName>
    <definedName name="HE_Control_Type_MA">'[1]Control Type - MA'!$A$1:$M$71</definedName>
    <definedName name="HE_Control_Type_ME">'[1]Control Type - ME'!$A$1:$M$71</definedName>
    <definedName name="HE_Control_Type_PA">'[1]Control Type - PA'!$A$1:$M$71</definedName>
    <definedName name="HE_Control_Type_PE">'[1]Control Type - PE'!$A$1:$M$71</definedName>
    <definedName name="HE_DR_Basis">'[1]HE Mitigated DR Basis'!$A$1:$L$125</definedName>
    <definedName name="HE_Gen_Comment">'[1]HE General Comments'!$A$1:$L$37</definedName>
    <definedName name="HE_MAR_Basis">'[1]HE MAR Basis'!$A$1:$L$71</definedName>
    <definedName name="HE_TABLE">'[1]Hazard Evaluation'!$A$7:$AN$184</definedName>
    <definedName name="HEPA_Filter_Efficiency">#REF!</definedName>
    <definedName name="I72_Ing_1" localSheetId="5">ICRP72ing!$A$2:$B$738</definedName>
    <definedName name="I72_Inh_2" localSheetId="6">ICRP72inh!$A$1:$D$738</definedName>
    <definedName name="ICRP68">#REF!</definedName>
    <definedName name="ICRP72">#REF!</definedName>
    <definedName name="nndc">#REF!</definedName>
    <definedName name="Ref_ARFxRF_Values">'[1]ARF RF Basis'!$A$17:$C$102</definedName>
    <definedName name="Ref_BR">'[1]ARF RF Basis'!$C$3</definedName>
    <definedName name="Ref_DCF_Values">#REF!</definedName>
    <definedName name="Ref_XoverQ">'[1]ARF RF Basis'!$A$8:$E$11</definedName>
    <definedName name="Table_A11" localSheetId="4">ICRP68ing!$A$1:$B$737</definedName>
    <definedName name="Table_A11" localSheetId="3">ICRP68inh!$A$1:$G$734</definedName>
  </definedNames>
  <calcPr calcId="191029"/>
</workbook>
</file>

<file path=xl/calcChain.xml><?xml version="1.0" encoding="utf-8"?>
<calcChain xmlns="http://schemas.openxmlformats.org/spreadsheetml/2006/main">
  <c r="Q121" i="12" l="1"/>
  <c r="T121" i="12"/>
  <c r="R121" i="12"/>
  <c r="O121" i="12"/>
  <c r="N121" i="12"/>
  <c r="M121" i="12"/>
  <c r="L121" i="12"/>
  <c r="K121" i="12"/>
  <c r="J121" i="12"/>
  <c r="I121" i="12"/>
  <c r="H121" i="12"/>
  <c r="G121" i="12"/>
  <c r="F121" i="12"/>
  <c r="E121" i="12"/>
  <c r="D121" i="12"/>
  <c r="C121" i="12"/>
  <c r="T3" i="12"/>
  <c r="T4" i="12"/>
  <c r="T5" i="12"/>
  <c r="T6" i="12"/>
  <c r="U6" i="12" s="1"/>
  <c r="T7" i="12"/>
  <c r="U7" i="12" s="1"/>
  <c r="T8" i="12"/>
  <c r="T9" i="12"/>
  <c r="U9" i="12" s="1"/>
  <c r="T10" i="12"/>
  <c r="U10" i="12" s="1"/>
  <c r="T11" i="12"/>
  <c r="T12" i="12"/>
  <c r="T13" i="12"/>
  <c r="T14" i="12"/>
  <c r="T15" i="12"/>
  <c r="T16" i="12"/>
  <c r="T17" i="12"/>
  <c r="T18" i="12"/>
  <c r="U18" i="12" s="1"/>
  <c r="T19" i="12"/>
  <c r="U19" i="12" s="1"/>
  <c r="T20" i="12"/>
  <c r="T21" i="12"/>
  <c r="T22" i="12"/>
  <c r="T23" i="12"/>
  <c r="T24" i="12"/>
  <c r="T25" i="12"/>
  <c r="T26" i="12"/>
  <c r="T27" i="12"/>
  <c r="U27" i="12" s="1"/>
  <c r="T28" i="12"/>
  <c r="T29" i="12"/>
  <c r="T30" i="12"/>
  <c r="T31" i="12"/>
  <c r="T32" i="12"/>
  <c r="T33" i="12"/>
  <c r="U33" i="12" s="1"/>
  <c r="T34" i="12"/>
  <c r="T35" i="12"/>
  <c r="U35" i="12" s="1"/>
  <c r="T36" i="12"/>
  <c r="T37" i="12"/>
  <c r="T38" i="12"/>
  <c r="T39" i="12"/>
  <c r="T40" i="12"/>
  <c r="T41" i="12"/>
  <c r="T42" i="12"/>
  <c r="T43" i="12"/>
  <c r="T44" i="12"/>
  <c r="T45" i="12"/>
  <c r="T46" i="12"/>
  <c r="T47" i="12"/>
  <c r="T48" i="12"/>
  <c r="T49" i="12"/>
  <c r="T50" i="12"/>
  <c r="T51" i="12"/>
  <c r="T52" i="12"/>
  <c r="T53" i="12"/>
  <c r="U53" i="12" s="1"/>
  <c r="T54" i="12"/>
  <c r="U54" i="12" s="1"/>
  <c r="T55" i="12"/>
  <c r="U55" i="12" s="1"/>
  <c r="T56" i="12"/>
  <c r="T57" i="12"/>
  <c r="U57" i="12" s="1"/>
  <c r="T58" i="12"/>
  <c r="T59" i="12"/>
  <c r="T60" i="12"/>
  <c r="T61" i="12"/>
  <c r="T62" i="12"/>
  <c r="T63" i="12"/>
  <c r="U63" i="12" s="1"/>
  <c r="T64" i="12"/>
  <c r="U64" i="12" s="1"/>
  <c r="T65" i="12"/>
  <c r="U65" i="12" s="1"/>
  <c r="T66" i="12"/>
  <c r="T67" i="12"/>
  <c r="T68" i="12"/>
  <c r="T69" i="12"/>
  <c r="T70" i="12"/>
  <c r="U70" i="12" s="1"/>
  <c r="T71" i="12"/>
  <c r="U71" i="12" s="1"/>
  <c r="T72" i="12"/>
  <c r="T73" i="12"/>
  <c r="T74" i="12"/>
  <c r="T75" i="12"/>
  <c r="T76" i="12"/>
  <c r="T77" i="12"/>
  <c r="U77" i="12" s="1"/>
  <c r="T78" i="12"/>
  <c r="T79" i="12"/>
  <c r="T80" i="12"/>
  <c r="T81" i="12"/>
  <c r="U81" i="12" s="1"/>
  <c r="T82" i="12"/>
  <c r="U82" i="12" s="1"/>
  <c r="T83" i="12"/>
  <c r="U83" i="12" s="1"/>
  <c r="T84" i="12"/>
  <c r="T85" i="12"/>
  <c r="T86" i="12"/>
  <c r="T87" i="12"/>
  <c r="T88" i="12"/>
  <c r="T89" i="12"/>
  <c r="U89" i="12" s="1"/>
  <c r="T90" i="12"/>
  <c r="U90" i="12" s="1"/>
  <c r="T91" i="12"/>
  <c r="T92" i="12"/>
  <c r="T93" i="12"/>
  <c r="T94" i="12"/>
  <c r="T95" i="12"/>
  <c r="T96" i="12"/>
  <c r="T97" i="12"/>
  <c r="T98" i="12"/>
  <c r="T99" i="12"/>
  <c r="T100" i="12"/>
  <c r="T101" i="12"/>
  <c r="U101" i="12" s="1"/>
  <c r="T102" i="12"/>
  <c r="U102" i="12" s="1"/>
  <c r="T103" i="12"/>
  <c r="U103" i="12" s="1"/>
  <c r="T104" i="12"/>
  <c r="T105" i="12"/>
  <c r="T106" i="12"/>
  <c r="T107" i="12"/>
  <c r="T108" i="12"/>
  <c r="T109" i="12"/>
  <c r="U109" i="12" s="1"/>
  <c r="T110" i="12"/>
  <c r="T111" i="12"/>
  <c r="U111" i="12" s="1"/>
  <c r="T112" i="12"/>
  <c r="T113" i="12"/>
  <c r="T114" i="12"/>
  <c r="T115" i="12"/>
  <c r="T116" i="12"/>
  <c r="T117" i="12"/>
  <c r="T118" i="12"/>
  <c r="T119" i="12"/>
  <c r="U119" i="12" s="1"/>
  <c r="T120" i="12"/>
  <c r="T122" i="12"/>
  <c r="T123" i="12"/>
  <c r="T124" i="12"/>
  <c r="T125" i="12"/>
  <c r="T126" i="12"/>
  <c r="T127" i="12"/>
  <c r="T128" i="12"/>
  <c r="T129" i="12"/>
  <c r="T130" i="12"/>
  <c r="T131" i="12"/>
  <c r="T132" i="12"/>
  <c r="T133" i="12"/>
  <c r="T134" i="12"/>
  <c r="U134" i="12" s="1"/>
  <c r="T135" i="12"/>
  <c r="T136" i="12"/>
  <c r="T137" i="12"/>
  <c r="T138" i="12"/>
  <c r="T139" i="12"/>
  <c r="T140" i="12"/>
  <c r="T141" i="12"/>
  <c r="T142" i="12"/>
  <c r="T143" i="12"/>
  <c r="T144" i="12"/>
  <c r="T145" i="12"/>
  <c r="U145" i="12" s="1"/>
  <c r="T146" i="12"/>
  <c r="U146" i="12" s="1"/>
  <c r="T147" i="12"/>
  <c r="T148" i="12"/>
  <c r="T149" i="12"/>
  <c r="T150" i="12"/>
  <c r="U150" i="12" s="1"/>
  <c r="T151" i="12"/>
  <c r="T152" i="12"/>
  <c r="U152" i="12" s="1"/>
  <c r="T153" i="12"/>
  <c r="T154" i="12"/>
  <c r="T155" i="12"/>
  <c r="T156" i="12"/>
  <c r="T157" i="12"/>
  <c r="T158" i="12"/>
  <c r="T159" i="12"/>
  <c r="T160" i="12"/>
  <c r="T161" i="12"/>
  <c r="T162" i="12"/>
  <c r="U162" i="12" s="1"/>
  <c r="T163" i="12"/>
  <c r="T164" i="12"/>
  <c r="T165" i="12"/>
  <c r="T166" i="12"/>
  <c r="T167" i="12"/>
  <c r="T168" i="12"/>
  <c r="U168" i="12" s="1"/>
  <c r="T169" i="12"/>
  <c r="T170" i="12"/>
  <c r="T171" i="12"/>
  <c r="T172" i="12"/>
  <c r="T173" i="12"/>
  <c r="T174" i="12"/>
  <c r="U174" i="12" s="1"/>
  <c r="T175" i="12"/>
  <c r="U175" i="12" s="1"/>
  <c r="T176" i="12"/>
  <c r="T177" i="12"/>
  <c r="T178" i="12"/>
  <c r="T179" i="12"/>
  <c r="T180" i="12"/>
  <c r="T181" i="12"/>
  <c r="T182" i="12"/>
  <c r="T183" i="12"/>
  <c r="T2" i="12"/>
  <c r="C73" i="12"/>
  <c r="D73" i="12"/>
  <c r="E73" i="12"/>
  <c r="F73" i="12"/>
  <c r="G73" i="12"/>
  <c r="H73" i="12"/>
  <c r="I73" i="12"/>
  <c r="J73" i="12"/>
  <c r="K73" i="12"/>
  <c r="L73" i="12"/>
  <c r="M73" i="12"/>
  <c r="N73" i="12"/>
  <c r="O73" i="12"/>
  <c r="C74" i="12"/>
  <c r="D74" i="12"/>
  <c r="E74" i="12"/>
  <c r="F74" i="12"/>
  <c r="G74" i="12"/>
  <c r="H74" i="12"/>
  <c r="I74" i="12"/>
  <c r="J74" i="12"/>
  <c r="K74" i="12"/>
  <c r="L74" i="12"/>
  <c r="M74" i="12"/>
  <c r="N74" i="12"/>
  <c r="O74" i="12"/>
  <c r="C54" i="12"/>
  <c r="D54" i="12"/>
  <c r="E54" i="12"/>
  <c r="F54" i="12"/>
  <c r="G54" i="12"/>
  <c r="H54" i="12"/>
  <c r="I54" i="12"/>
  <c r="J54" i="12"/>
  <c r="K54" i="12"/>
  <c r="L54" i="12"/>
  <c r="M54" i="12"/>
  <c r="N54" i="12"/>
  <c r="O54" i="12"/>
  <c r="C33" i="12"/>
  <c r="D33" i="12"/>
  <c r="E33" i="12"/>
  <c r="F33" i="12"/>
  <c r="G33" i="12"/>
  <c r="H33" i="12"/>
  <c r="I33" i="12"/>
  <c r="J33" i="12"/>
  <c r="K33" i="12"/>
  <c r="L33" i="12"/>
  <c r="M33" i="12"/>
  <c r="N33" i="12"/>
  <c r="O33" i="12"/>
  <c r="C89" i="12"/>
  <c r="D89" i="12"/>
  <c r="E89" i="12"/>
  <c r="F89" i="12"/>
  <c r="G89" i="12"/>
  <c r="H89" i="12"/>
  <c r="I89" i="12"/>
  <c r="J89" i="12"/>
  <c r="K89" i="12"/>
  <c r="L89" i="12"/>
  <c r="M89" i="12"/>
  <c r="N89" i="12"/>
  <c r="O89" i="12"/>
  <c r="C90" i="12"/>
  <c r="D90" i="12"/>
  <c r="E90" i="12"/>
  <c r="F90" i="12"/>
  <c r="G90" i="12"/>
  <c r="H90" i="12"/>
  <c r="I90" i="12"/>
  <c r="J90" i="12"/>
  <c r="K90" i="12"/>
  <c r="L90" i="12"/>
  <c r="M90" i="12"/>
  <c r="N90" i="12"/>
  <c r="O90" i="12"/>
  <c r="C93" i="12"/>
  <c r="D93" i="12"/>
  <c r="E93" i="12"/>
  <c r="F93" i="12"/>
  <c r="G93" i="12"/>
  <c r="H93" i="12"/>
  <c r="I93" i="12"/>
  <c r="J93" i="12"/>
  <c r="K93" i="12"/>
  <c r="L93" i="12"/>
  <c r="M93" i="12"/>
  <c r="N93" i="12"/>
  <c r="O93" i="12"/>
  <c r="C94" i="12"/>
  <c r="D94" i="12"/>
  <c r="E94" i="12"/>
  <c r="F94" i="12"/>
  <c r="G94" i="12"/>
  <c r="H94" i="12"/>
  <c r="I94" i="12"/>
  <c r="J94" i="12"/>
  <c r="K94" i="12"/>
  <c r="L94" i="12"/>
  <c r="M94" i="12"/>
  <c r="N94" i="12"/>
  <c r="O94" i="12"/>
  <c r="C67" i="12"/>
  <c r="D67" i="12"/>
  <c r="E67" i="12"/>
  <c r="F67" i="12"/>
  <c r="G67" i="12"/>
  <c r="H67" i="12"/>
  <c r="I67" i="12"/>
  <c r="J67" i="12"/>
  <c r="K67" i="12"/>
  <c r="L67" i="12"/>
  <c r="M67" i="12"/>
  <c r="N67" i="12"/>
  <c r="O67" i="12"/>
  <c r="C85" i="12"/>
  <c r="D85" i="12"/>
  <c r="E85" i="12"/>
  <c r="F85" i="12"/>
  <c r="G85" i="12"/>
  <c r="H85" i="12"/>
  <c r="I85" i="12"/>
  <c r="J85" i="12"/>
  <c r="K85" i="12"/>
  <c r="L85" i="12"/>
  <c r="M85" i="12"/>
  <c r="N85" i="12"/>
  <c r="O85" i="12"/>
  <c r="C41" i="12"/>
  <c r="D41" i="12"/>
  <c r="E41" i="12"/>
  <c r="F41" i="12"/>
  <c r="G41" i="12"/>
  <c r="H41" i="12"/>
  <c r="I41" i="12"/>
  <c r="J41" i="12"/>
  <c r="K41" i="12"/>
  <c r="L41" i="12"/>
  <c r="M41" i="12"/>
  <c r="N41" i="12"/>
  <c r="O41" i="12"/>
  <c r="C42" i="12"/>
  <c r="D42" i="12"/>
  <c r="E42" i="12"/>
  <c r="F42" i="12"/>
  <c r="G42" i="12"/>
  <c r="H42" i="12"/>
  <c r="I42" i="12"/>
  <c r="J42" i="12"/>
  <c r="K42" i="12"/>
  <c r="L42" i="12"/>
  <c r="M42" i="12"/>
  <c r="N42" i="12"/>
  <c r="O42" i="12"/>
  <c r="C23" i="12"/>
  <c r="D23" i="12"/>
  <c r="E23" i="12"/>
  <c r="F23" i="12"/>
  <c r="G23" i="12"/>
  <c r="H23" i="12"/>
  <c r="I23" i="12"/>
  <c r="J23" i="12"/>
  <c r="K23" i="12"/>
  <c r="L23" i="12"/>
  <c r="M23" i="12"/>
  <c r="N23" i="12"/>
  <c r="O23" i="12"/>
  <c r="C24" i="12"/>
  <c r="D24" i="12"/>
  <c r="E24" i="12"/>
  <c r="F24" i="12"/>
  <c r="G24" i="12"/>
  <c r="H24" i="12"/>
  <c r="I24" i="12"/>
  <c r="J24" i="12"/>
  <c r="K24" i="12"/>
  <c r="L24" i="12"/>
  <c r="M24" i="12"/>
  <c r="N24" i="12"/>
  <c r="O24" i="12"/>
  <c r="C101" i="12"/>
  <c r="D101" i="12"/>
  <c r="E101" i="12"/>
  <c r="F101" i="12"/>
  <c r="G101" i="12"/>
  <c r="H101" i="12"/>
  <c r="I101" i="12"/>
  <c r="J101" i="12"/>
  <c r="K101" i="12"/>
  <c r="L101" i="12"/>
  <c r="M101" i="12"/>
  <c r="N101" i="12"/>
  <c r="O101" i="12"/>
  <c r="C102" i="12"/>
  <c r="D102" i="12"/>
  <c r="E102" i="12"/>
  <c r="F102" i="12"/>
  <c r="G102" i="12"/>
  <c r="H102" i="12"/>
  <c r="I102" i="12"/>
  <c r="J102" i="12"/>
  <c r="K102" i="12"/>
  <c r="L102" i="12"/>
  <c r="M102" i="12"/>
  <c r="N102" i="12"/>
  <c r="O102" i="12"/>
  <c r="C122" i="12"/>
  <c r="D122" i="12"/>
  <c r="E122" i="12"/>
  <c r="F122" i="12"/>
  <c r="G122" i="12"/>
  <c r="H122" i="12"/>
  <c r="I122" i="12"/>
  <c r="J122" i="12"/>
  <c r="K122" i="12"/>
  <c r="L122" i="12"/>
  <c r="M122" i="12"/>
  <c r="N122" i="12"/>
  <c r="O122" i="12"/>
  <c r="C19" i="12"/>
  <c r="D19" i="12"/>
  <c r="E19" i="12"/>
  <c r="F19" i="12"/>
  <c r="G19" i="12"/>
  <c r="H19" i="12"/>
  <c r="I19" i="12"/>
  <c r="J19" i="12"/>
  <c r="K19" i="12"/>
  <c r="L19" i="12"/>
  <c r="M19" i="12"/>
  <c r="N19" i="12"/>
  <c r="O19" i="12"/>
  <c r="C20" i="12"/>
  <c r="D20" i="12"/>
  <c r="E20" i="12"/>
  <c r="F20" i="12"/>
  <c r="G20" i="12"/>
  <c r="H20" i="12"/>
  <c r="I20" i="12"/>
  <c r="J20" i="12"/>
  <c r="K20" i="12"/>
  <c r="L20" i="12"/>
  <c r="M20" i="12"/>
  <c r="N20" i="12"/>
  <c r="O20" i="12"/>
  <c r="C81" i="12"/>
  <c r="D81" i="12"/>
  <c r="E81" i="12"/>
  <c r="F81" i="12"/>
  <c r="G81" i="12"/>
  <c r="H81" i="12"/>
  <c r="I81" i="12"/>
  <c r="J81" i="12"/>
  <c r="K81" i="12"/>
  <c r="L81" i="12"/>
  <c r="M81" i="12"/>
  <c r="N81" i="12"/>
  <c r="O81" i="12"/>
  <c r="C82" i="12"/>
  <c r="D82" i="12"/>
  <c r="E82" i="12"/>
  <c r="F82" i="12"/>
  <c r="G82" i="12"/>
  <c r="H82" i="12"/>
  <c r="I82" i="12"/>
  <c r="J82" i="12"/>
  <c r="K82" i="12"/>
  <c r="L82" i="12"/>
  <c r="M82" i="12"/>
  <c r="N82" i="12"/>
  <c r="O82" i="12"/>
  <c r="C60" i="12"/>
  <c r="D60" i="12"/>
  <c r="E60" i="12"/>
  <c r="F60" i="12"/>
  <c r="G60" i="12"/>
  <c r="H60" i="12"/>
  <c r="I60" i="12"/>
  <c r="J60" i="12"/>
  <c r="K60" i="12"/>
  <c r="L60" i="12"/>
  <c r="M60" i="12"/>
  <c r="N60" i="12"/>
  <c r="O60" i="12"/>
  <c r="C61" i="12"/>
  <c r="D61" i="12"/>
  <c r="E61" i="12"/>
  <c r="F61" i="12"/>
  <c r="G61" i="12"/>
  <c r="H61" i="12"/>
  <c r="I61" i="12"/>
  <c r="J61" i="12"/>
  <c r="K61" i="12"/>
  <c r="L61" i="12"/>
  <c r="M61" i="12"/>
  <c r="N61" i="12"/>
  <c r="O61" i="12"/>
  <c r="C43" i="12"/>
  <c r="D43" i="12"/>
  <c r="E43" i="12"/>
  <c r="F43" i="12"/>
  <c r="G43" i="12"/>
  <c r="H43" i="12"/>
  <c r="I43" i="12"/>
  <c r="J43" i="12"/>
  <c r="K43" i="12"/>
  <c r="L43" i="12"/>
  <c r="M43" i="12"/>
  <c r="N43" i="12"/>
  <c r="O43" i="12"/>
  <c r="C104" i="12"/>
  <c r="D104" i="12"/>
  <c r="E104" i="12"/>
  <c r="F104" i="12"/>
  <c r="G104" i="12"/>
  <c r="H104" i="12"/>
  <c r="I104" i="12"/>
  <c r="J104" i="12"/>
  <c r="K104" i="12"/>
  <c r="L104" i="12"/>
  <c r="M104" i="12"/>
  <c r="N104" i="12"/>
  <c r="O104" i="12"/>
  <c r="C15" i="12"/>
  <c r="D15" i="12"/>
  <c r="E15" i="12"/>
  <c r="F15" i="12"/>
  <c r="G15" i="12"/>
  <c r="H15" i="12"/>
  <c r="I15" i="12"/>
  <c r="J15" i="12"/>
  <c r="K15" i="12"/>
  <c r="L15" i="12"/>
  <c r="M15" i="12"/>
  <c r="N15" i="12"/>
  <c r="O15" i="12"/>
  <c r="C16" i="12"/>
  <c r="D16" i="12"/>
  <c r="E16" i="12"/>
  <c r="F16" i="12"/>
  <c r="G16" i="12"/>
  <c r="H16" i="12"/>
  <c r="I16" i="12"/>
  <c r="J16" i="12"/>
  <c r="K16" i="12"/>
  <c r="L16" i="12"/>
  <c r="M16" i="12"/>
  <c r="N16" i="12"/>
  <c r="O16" i="12"/>
  <c r="C103" i="12"/>
  <c r="D103" i="12"/>
  <c r="E103" i="12"/>
  <c r="F103" i="12"/>
  <c r="G103" i="12"/>
  <c r="H103" i="12"/>
  <c r="I103" i="12"/>
  <c r="J103" i="12"/>
  <c r="K103" i="12"/>
  <c r="L103" i="12"/>
  <c r="M103" i="12"/>
  <c r="N103" i="12"/>
  <c r="O103" i="12"/>
  <c r="C180" i="12"/>
  <c r="D180" i="12"/>
  <c r="E180" i="12"/>
  <c r="F180" i="12"/>
  <c r="G180" i="12"/>
  <c r="H180" i="12"/>
  <c r="I180" i="12"/>
  <c r="J180" i="12"/>
  <c r="K180" i="12"/>
  <c r="L180" i="12"/>
  <c r="M180" i="12"/>
  <c r="N180" i="12"/>
  <c r="O180" i="12"/>
  <c r="C174" i="12"/>
  <c r="D174" i="12"/>
  <c r="E174" i="12"/>
  <c r="F174" i="12"/>
  <c r="G174" i="12"/>
  <c r="H174" i="12"/>
  <c r="I174" i="12"/>
  <c r="J174" i="12"/>
  <c r="K174" i="12"/>
  <c r="L174" i="12"/>
  <c r="M174" i="12"/>
  <c r="N174" i="12"/>
  <c r="O174" i="12"/>
  <c r="C182" i="12"/>
  <c r="D182" i="12"/>
  <c r="E182" i="12"/>
  <c r="F182" i="12"/>
  <c r="G182" i="12"/>
  <c r="H182" i="12"/>
  <c r="I182" i="12"/>
  <c r="J182" i="12"/>
  <c r="K182" i="12"/>
  <c r="L182" i="12"/>
  <c r="M182" i="12"/>
  <c r="N182" i="12"/>
  <c r="O182" i="12"/>
  <c r="C140" i="12"/>
  <c r="D140" i="12"/>
  <c r="E140" i="12"/>
  <c r="F140" i="12"/>
  <c r="G140" i="12"/>
  <c r="H140" i="12"/>
  <c r="I140" i="12"/>
  <c r="J140" i="12"/>
  <c r="K140" i="12"/>
  <c r="L140" i="12"/>
  <c r="M140" i="12"/>
  <c r="N140" i="12"/>
  <c r="O140" i="12"/>
  <c r="C141" i="12"/>
  <c r="D141" i="12"/>
  <c r="E141" i="12"/>
  <c r="F141" i="12"/>
  <c r="G141" i="12"/>
  <c r="H141" i="12"/>
  <c r="I141" i="12"/>
  <c r="J141" i="12"/>
  <c r="K141" i="12"/>
  <c r="L141" i="12"/>
  <c r="M141" i="12"/>
  <c r="N141" i="12"/>
  <c r="O141" i="12"/>
  <c r="C142" i="12"/>
  <c r="D142" i="12"/>
  <c r="E142" i="12"/>
  <c r="F142" i="12"/>
  <c r="G142" i="12"/>
  <c r="H142" i="12"/>
  <c r="I142" i="12"/>
  <c r="J142" i="12"/>
  <c r="K142" i="12"/>
  <c r="L142" i="12"/>
  <c r="M142" i="12"/>
  <c r="N142" i="12"/>
  <c r="O142" i="12"/>
  <c r="C118" i="12"/>
  <c r="D118" i="12"/>
  <c r="E118" i="12"/>
  <c r="F118" i="12"/>
  <c r="G118" i="12"/>
  <c r="H118" i="12"/>
  <c r="I118" i="12"/>
  <c r="J118" i="12"/>
  <c r="K118" i="12"/>
  <c r="L118" i="12"/>
  <c r="M118" i="12"/>
  <c r="N118" i="12"/>
  <c r="O118" i="12"/>
  <c r="C29" i="12"/>
  <c r="D29" i="12"/>
  <c r="E29" i="12"/>
  <c r="F29" i="12"/>
  <c r="G29" i="12"/>
  <c r="H29" i="12"/>
  <c r="I29" i="12"/>
  <c r="J29" i="12"/>
  <c r="K29" i="12"/>
  <c r="L29" i="12"/>
  <c r="M29" i="12"/>
  <c r="N29" i="12"/>
  <c r="O29" i="12"/>
  <c r="C64" i="12"/>
  <c r="D64" i="12"/>
  <c r="E64" i="12"/>
  <c r="F64" i="12"/>
  <c r="G64" i="12"/>
  <c r="H64" i="12"/>
  <c r="I64" i="12"/>
  <c r="J64" i="12"/>
  <c r="K64" i="12"/>
  <c r="L64" i="12"/>
  <c r="M64" i="12"/>
  <c r="N64" i="12"/>
  <c r="O64" i="12"/>
  <c r="C175" i="12"/>
  <c r="D175" i="12"/>
  <c r="E175" i="12"/>
  <c r="F175" i="12"/>
  <c r="G175" i="12"/>
  <c r="H175" i="12"/>
  <c r="I175" i="12"/>
  <c r="J175" i="12"/>
  <c r="K175" i="12"/>
  <c r="L175" i="12"/>
  <c r="M175" i="12"/>
  <c r="N175" i="12"/>
  <c r="O175" i="12"/>
  <c r="C91" i="12"/>
  <c r="D91" i="12"/>
  <c r="E91" i="12"/>
  <c r="F91" i="12"/>
  <c r="G91" i="12"/>
  <c r="H91" i="12"/>
  <c r="I91" i="12"/>
  <c r="J91" i="12"/>
  <c r="K91" i="12"/>
  <c r="L91" i="12"/>
  <c r="M91" i="12"/>
  <c r="N91" i="12"/>
  <c r="O91" i="12"/>
  <c r="C87" i="12"/>
  <c r="D87" i="12"/>
  <c r="E87" i="12"/>
  <c r="F87" i="12"/>
  <c r="G87" i="12"/>
  <c r="H87" i="12"/>
  <c r="I87" i="12"/>
  <c r="J87" i="12"/>
  <c r="K87" i="12"/>
  <c r="L87" i="12"/>
  <c r="M87" i="12"/>
  <c r="N87" i="12"/>
  <c r="O87" i="12"/>
  <c r="C88" i="12"/>
  <c r="D88" i="12"/>
  <c r="E88" i="12"/>
  <c r="F88" i="12"/>
  <c r="G88" i="12"/>
  <c r="H88" i="12"/>
  <c r="I88" i="12"/>
  <c r="J88" i="12"/>
  <c r="K88" i="12"/>
  <c r="L88" i="12"/>
  <c r="M88" i="12"/>
  <c r="N88" i="12"/>
  <c r="O88" i="12"/>
  <c r="C49" i="12"/>
  <c r="D49" i="12"/>
  <c r="E49" i="12"/>
  <c r="F49" i="12"/>
  <c r="G49" i="12"/>
  <c r="H49" i="12"/>
  <c r="I49" i="12"/>
  <c r="J49" i="12"/>
  <c r="K49" i="12"/>
  <c r="L49" i="12"/>
  <c r="M49" i="12"/>
  <c r="N49" i="12"/>
  <c r="O49" i="12"/>
  <c r="C30" i="12"/>
  <c r="D30" i="12"/>
  <c r="E30" i="12"/>
  <c r="F30" i="12"/>
  <c r="G30" i="12"/>
  <c r="H30" i="12"/>
  <c r="I30" i="12"/>
  <c r="J30" i="12"/>
  <c r="K30" i="12"/>
  <c r="L30" i="12"/>
  <c r="M30" i="12"/>
  <c r="N30" i="12"/>
  <c r="O30" i="12"/>
  <c r="C2" i="12"/>
  <c r="D2" i="12"/>
  <c r="E2" i="12"/>
  <c r="F2" i="12"/>
  <c r="G2" i="12"/>
  <c r="H2" i="12"/>
  <c r="I2" i="12"/>
  <c r="J2" i="12"/>
  <c r="K2" i="12"/>
  <c r="L2" i="12"/>
  <c r="M2" i="12"/>
  <c r="N2" i="12"/>
  <c r="O2" i="12"/>
  <c r="C28" i="12"/>
  <c r="D28" i="12"/>
  <c r="E28" i="12"/>
  <c r="F28" i="12"/>
  <c r="G28" i="12"/>
  <c r="H28" i="12"/>
  <c r="I28" i="12"/>
  <c r="J28" i="12"/>
  <c r="K28" i="12"/>
  <c r="L28" i="12"/>
  <c r="M28" i="12"/>
  <c r="N28" i="12"/>
  <c r="O28" i="12"/>
  <c r="C65" i="12"/>
  <c r="D65" i="12"/>
  <c r="E65" i="12"/>
  <c r="F65" i="12"/>
  <c r="G65" i="12"/>
  <c r="H65" i="12"/>
  <c r="I65" i="12"/>
  <c r="J65" i="12"/>
  <c r="K65" i="12"/>
  <c r="L65" i="12"/>
  <c r="M65" i="12"/>
  <c r="N65" i="12"/>
  <c r="O65" i="12"/>
  <c r="C170" i="12"/>
  <c r="D170" i="12"/>
  <c r="E170" i="12"/>
  <c r="F170" i="12"/>
  <c r="G170" i="12"/>
  <c r="H170" i="12"/>
  <c r="I170" i="12"/>
  <c r="J170" i="12"/>
  <c r="K170" i="12"/>
  <c r="L170" i="12"/>
  <c r="M170" i="12"/>
  <c r="N170" i="12"/>
  <c r="O170" i="12"/>
  <c r="C165" i="12"/>
  <c r="D165" i="12"/>
  <c r="E165" i="12"/>
  <c r="F165" i="12"/>
  <c r="G165" i="12"/>
  <c r="H165" i="12"/>
  <c r="I165" i="12"/>
  <c r="J165" i="12"/>
  <c r="K165" i="12"/>
  <c r="L165" i="12"/>
  <c r="M165" i="12"/>
  <c r="N165" i="12"/>
  <c r="O165" i="12"/>
  <c r="C173" i="12"/>
  <c r="D173" i="12"/>
  <c r="E173" i="12"/>
  <c r="F173" i="12"/>
  <c r="G173" i="12"/>
  <c r="H173" i="12"/>
  <c r="I173" i="12"/>
  <c r="J173" i="12"/>
  <c r="K173" i="12"/>
  <c r="L173" i="12"/>
  <c r="M173" i="12"/>
  <c r="N173" i="12"/>
  <c r="O173" i="12"/>
  <c r="C124" i="12"/>
  <c r="D124" i="12"/>
  <c r="E124" i="12"/>
  <c r="F124" i="12"/>
  <c r="G124" i="12"/>
  <c r="H124" i="12"/>
  <c r="I124" i="12"/>
  <c r="J124" i="12"/>
  <c r="K124" i="12"/>
  <c r="L124" i="12"/>
  <c r="M124" i="12"/>
  <c r="N124" i="12"/>
  <c r="O124" i="12"/>
  <c r="C123" i="12"/>
  <c r="D123" i="12"/>
  <c r="E123" i="12"/>
  <c r="F123" i="12"/>
  <c r="G123" i="12"/>
  <c r="H123" i="12"/>
  <c r="I123" i="12"/>
  <c r="J123" i="12"/>
  <c r="K123" i="12"/>
  <c r="L123" i="12"/>
  <c r="M123" i="12"/>
  <c r="N123" i="12"/>
  <c r="O123" i="12"/>
  <c r="C120" i="12"/>
  <c r="D120" i="12"/>
  <c r="E120" i="12"/>
  <c r="F120" i="12"/>
  <c r="G120" i="12"/>
  <c r="H120" i="12"/>
  <c r="I120" i="12"/>
  <c r="J120" i="12"/>
  <c r="K120" i="12"/>
  <c r="L120" i="12"/>
  <c r="M120" i="12"/>
  <c r="N120" i="12"/>
  <c r="O120" i="12"/>
  <c r="C166" i="12"/>
  <c r="D166" i="12"/>
  <c r="E166" i="12"/>
  <c r="F166" i="12"/>
  <c r="G166" i="12"/>
  <c r="H166" i="12"/>
  <c r="I166" i="12"/>
  <c r="J166" i="12"/>
  <c r="K166" i="12"/>
  <c r="L166" i="12"/>
  <c r="M166" i="12"/>
  <c r="N166" i="12"/>
  <c r="O166" i="12"/>
  <c r="C163" i="12"/>
  <c r="D163" i="12"/>
  <c r="E163" i="12"/>
  <c r="F163" i="12"/>
  <c r="G163" i="12"/>
  <c r="H163" i="12"/>
  <c r="I163" i="12"/>
  <c r="J163" i="12"/>
  <c r="K163" i="12"/>
  <c r="L163" i="12"/>
  <c r="M163" i="12"/>
  <c r="N163" i="12"/>
  <c r="O163" i="12"/>
  <c r="C107" i="12"/>
  <c r="D107" i="12"/>
  <c r="E107" i="12"/>
  <c r="F107" i="12"/>
  <c r="G107" i="12"/>
  <c r="H107" i="12"/>
  <c r="I107" i="12"/>
  <c r="J107" i="12"/>
  <c r="K107" i="12"/>
  <c r="L107" i="12"/>
  <c r="M107" i="12"/>
  <c r="N107" i="12"/>
  <c r="O107" i="12"/>
  <c r="C108" i="12"/>
  <c r="D108" i="12"/>
  <c r="E108" i="12"/>
  <c r="F108" i="12"/>
  <c r="G108" i="12"/>
  <c r="H108" i="12"/>
  <c r="I108" i="12"/>
  <c r="J108" i="12"/>
  <c r="K108" i="12"/>
  <c r="L108" i="12"/>
  <c r="M108" i="12"/>
  <c r="N108" i="12"/>
  <c r="O108" i="12"/>
  <c r="C106" i="12"/>
  <c r="D106" i="12"/>
  <c r="E106" i="12"/>
  <c r="F106" i="12"/>
  <c r="G106" i="12"/>
  <c r="H106" i="12"/>
  <c r="I106" i="12"/>
  <c r="J106" i="12"/>
  <c r="K106" i="12"/>
  <c r="L106" i="12"/>
  <c r="M106" i="12"/>
  <c r="N106" i="12"/>
  <c r="O106" i="12"/>
  <c r="C105" i="12"/>
  <c r="D105" i="12"/>
  <c r="E105" i="12"/>
  <c r="F105" i="12"/>
  <c r="G105" i="12"/>
  <c r="H105" i="12"/>
  <c r="I105" i="12"/>
  <c r="J105" i="12"/>
  <c r="K105" i="12"/>
  <c r="L105" i="12"/>
  <c r="M105" i="12"/>
  <c r="N105" i="12"/>
  <c r="O105" i="12"/>
  <c r="C183" i="12"/>
  <c r="D183" i="12"/>
  <c r="E183" i="12"/>
  <c r="F183" i="12"/>
  <c r="G183" i="12"/>
  <c r="H183" i="12"/>
  <c r="I183" i="12"/>
  <c r="J183" i="12"/>
  <c r="K183" i="12"/>
  <c r="L183" i="12"/>
  <c r="M183" i="12"/>
  <c r="N183" i="12"/>
  <c r="O183" i="12"/>
  <c r="C171" i="12"/>
  <c r="D171" i="12"/>
  <c r="E171" i="12"/>
  <c r="F171" i="12"/>
  <c r="G171" i="12"/>
  <c r="H171" i="12"/>
  <c r="I171" i="12"/>
  <c r="J171" i="12"/>
  <c r="K171" i="12"/>
  <c r="L171" i="12"/>
  <c r="M171" i="12"/>
  <c r="N171" i="12"/>
  <c r="O171" i="12"/>
  <c r="C168" i="12"/>
  <c r="D168" i="12"/>
  <c r="E168" i="12"/>
  <c r="F168" i="12"/>
  <c r="G168" i="12"/>
  <c r="H168" i="12"/>
  <c r="I168" i="12"/>
  <c r="J168" i="12"/>
  <c r="K168" i="12"/>
  <c r="L168" i="12"/>
  <c r="M168" i="12"/>
  <c r="N168" i="12"/>
  <c r="O168" i="12"/>
  <c r="C40" i="12"/>
  <c r="D40" i="12"/>
  <c r="E40" i="12"/>
  <c r="F40" i="12"/>
  <c r="G40" i="12"/>
  <c r="H40" i="12"/>
  <c r="I40" i="12"/>
  <c r="J40" i="12"/>
  <c r="K40" i="12"/>
  <c r="L40" i="12"/>
  <c r="M40" i="12"/>
  <c r="N40" i="12"/>
  <c r="O40" i="12"/>
  <c r="C84" i="12"/>
  <c r="D84" i="12"/>
  <c r="E84" i="12"/>
  <c r="F84" i="12"/>
  <c r="G84" i="12"/>
  <c r="H84" i="12"/>
  <c r="I84" i="12"/>
  <c r="J84" i="12"/>
  <c r="K84" i="12"/>
  <c r="L84" i="12"/>
  <c r="M84" i="12"/>
  <c r="N84" i="12"/>
  <c r="O84" i="12"/>
  <c r="C100" i="12"/>
  <c r="D100" i="12"/>
  <c r="E100" i="12"/>
  <c r="F100" i="12"/>
  <c r="G100" i="12"/>
  <c r="H100" i="12"/>
  <c r="I100" i="12"/>
  <c r="J100" i="12"/>
  <c r="K100" i="12"/>
  <c r="L100" i="12"/>
  <c r="M100" i="12"/>
  <c r="N100" i="12"/>
  <c r="O100" i="12"/>
  <c r="C109" i="12"/>
  <c r="D109" i="12"/>
  <c r="E109" i="12"/>
  <c r="F109" i="12"/>
  <c r="G109" i="12"/>
  <c r="H109" i="12"/>
  <c r="I109" i="12"/>
  <c r="J109" i="12"/>
  <c r="K109" i="12"/>
  <c r="L109" i="12"/>
  <c r="M109" i="12"/>
  <c r="N109" i="12"/>
  <c r="O109" i="12"/>
  <c r="C181" i="12"/>
  <c r="D181" i="12"/>
  <c r="E181" i="12"/>
  <c r="F181" i="12"/>
  <c r="G181" i="12"/>
  <c r="H181" i="12"/>
  <c r="I181" i="12"/>
  <c r="J181" i="12"/>
  <c r="K181" i="12"/>
  <c r="L181" i="12"/>
  <c r="M181" i="12"/>
  <c r="N181" i="12"/>
  <c r="O181" i="12"/>
  <c r="C136" i="12"/>
  <c r="D136" i="12"/>
  <c r="E136" i="12"/>
  <c r="F136" i="12"/>
  <c r="G136" i="12"/>
  <c r="H136" i="12"/>
  <c r="I136" i="12"/>
  <c r="J136" i="12"/>
  <c r="K136" i="12"/>
  <c r="L136" i="12"/>
  <c r="M136" i="12"/>
  <c r="N136" i="12"/>
  <c r="O136" i="12"/>
  <c r="C135" i="12"/>
  <c r="D135" i="12"/>
  <c r="E135" i="12"/>
  <c r="F135" i="12"/>
  <c r="G135" i="12"/>
  <c r="H135" i="12"/>
  <c r="I135" i="12"/>
  <c r="J135" i="12"/>
  <c r="K135" i="12"/>
  <c r="L135" i="12"/>
  <c r="M135" i="12"/>
  <c r="N135" i="12"/>
  <c r="O135" i="12"/>
  <c r="C132" i="12"/>
  <c r="D132" i="12"/>
  <c r="E132" i="12"/>
  <c r="F132" i="12"/>
  <c r="G132" i="12"/>
  <c r="H132" i="12"/>
  <c r="I132" i="12"/>
  <c r="J132" i="12"/>
  <c r="K132" i="12"/>
  <c r="L132" i="12"/>
  <c r="M132" i="12"/>
  <c r="N132" i="12"/>
  <c r="O132" i="12"/>
  <c r="C127" i="12"/>
  <c r="D127" i="12"/>
  <c r="E127" i="12"/>
  <c r="F127" i="12"/>
  <c r="G127" i="12"/>
  <c r="H127" i="12"/>
  <c r="I127" i="12"/>
  <c r="J127" i="12"/>
  <c r="K127" i="12"/>
  <c r="L127" i="12"/>
  <c r="M127" i="12"/>
  <c r="N127" i="12"/>
  <c r="O127" i="12"/>
  <c r="C125" i="12"/>
  <c r="D125" i="12"/>
  <c r="E125" i="12"/>
  <c r="F125" i="12"/>
  <c r="G125" i="12"/>
  <c r="H125" i="12"/>
  <c r="I125" i="12"/>
  <c r="J125" i="12"/>
  <c r="K125" i="12"/>
  <c r="L125" i="12"/>
  <c r="M125" i="12"/>
  <c r="N125" i="12"/>
  <c r="O125" i="12"/>
  <c r="C158" i="12"/>
  <c r="D158" i="12"/>
  <c r="E158" i="12"/>
  <c r="F158" i="12"/>
  <c r="G158" i="12"/>
  <c r="H158" i="12"/>
  <c r="I158" i="12"/>
  <c r="J158" i="12"/>
  <c r="K158" i="12"/>
  <c r="L158" i="12"/>
  <c r="M158" i="12"/>
  <c r="N158" i="12"/>
  <c r="O158" i="12"/>
  <c r="C159" i="12"/>
  <c r="D159" i="12"/>
  <c r="E159" i="12"/>
  <c r="F159" i="12"/>
  <c r="G159" i="12"/>
  <c r="H159" i="12"/>
  <c r="I159" i="12"/>
  <c r="J159" i="12"/>
  <c r="K159" i="12"/>
  <c r="L159" i="12"/>
  <c r="M159" i="12"/>
  <c r="N159" i="12"/>
  <c r="O159" i="12"/>
  <c r="C160" i="12"/>
  <c r="D160" i="12"/>
  <c r="E160" i="12"/>
  <c r="F160" i="12"/>
  <c r="G160" i="12"/>
  <c r="H160" i="12"/>
  <c r="I160" i="12"/>
  <c r="J160" i="12"/>
  <c r="K160" i="12"/>
  <c r="L160" i="12"/>
  <c r="M160" i="12"/>
  <c r="N160" i="12"/>
  <c r="O160" i="12"/>
  <c r="C172" i="12"/>
  <c r="D172" i="12"/>
  <c r="E172" i="12"/>
  <c r="F172" i="12"/>
  <c r="G172" i="12"/>
  <c r="H172" i="12"/>
  <c r="I172" i="12"/>
  <c r="J172" i="12"/>
  <c r="K172" i="12"/>
  <c r="L172" i="12"/>
  <c r="M172" i="12"/>
  <c r="N172" i="12"/>
  <c r="O172" i="12"/>
  <c r="C179" i="12"/>
  <c r="D179" i="12"/>
  <c r="E179" i="12"/>
  <c r="F179" i="12"/>
  <c r="G179" i="12"/>
  <c r="H179" i="12"/>
  <c r="I179" i="12"/>
  <c r="J179" i="12"/>
  <c r="K179" i="12"/>
  <c r="L179" i="12"/>
  <c r="M179" i="12"/>
  <c r="N179" i="12"/>
  <c r="O179" i="12"/>
  <c r="C153" i="12"/>
  <c r="D153" i="12"/>
  <c r="E153" i="12"/>
  <c r="F153" i="12"/>
  <c r="G153" i="12"/>
  <c r="H153" i="12"/>
  <c r="I153" i="12"/>
  <c r="J153" i="12"/>
  <c r="K153" i="12"/>
  <c r="L153" i="12"/>
  <c r="M153" i="12"/>
  <c r="N153" i="12"/>
  <c r="O153" i="12"/>
  <c r="C154" i="12"/>
  <c r="D154" i="12"/>
  <c r="E154" i="12"/>
  <c r="F154" i="12"/>
  <c r="G154" i="12"/>
  <c r="H154" i="12"/>
  <c r="I154" i="12"/>
  <c r="J154" i="12"/>
  <c r="K154" i="12"/>
  <c r="L154" i="12"/>
  <c r="M154" i="12"/>
  <c r="N154" i="12"/>
  <c r="O154" i="12"/>
  <c r="C152" i="12"/>
  <c r="D152" i="12"/>
  <c r="E152" i="12"/>
  <c r="F152" i="12"/>
  <c r="G152" i="12"/>
  <c r="H152" i="12"/>
  <c r="I152" i="12"/>
  <c r="J152" i="12"/>
  <c r="K152" i="12"/>
  <c r="L152" i="12"/>
  <c r="M152" i="12"/>
  <c r="N152" i="12"/>
  <c r="O152" i="12"/>
  <c r="C111" i="12"/>
  <c r="D111" i="12"/>
  <c r="E111" i="12"/>
  <c r="F111" i="12"/>
  <c r="G111" i="12"/>
  <c r="H111" i="12"/>
  <c r="I111" i="12"/>
  <c r="J111" i="12"/>
  <c r="K111" i="12"/>
  <c r="L111" i="12"/>
  <c r="M111" i="12"/>
  <c r="N111" i="12"/>
  <c r="O111" i="12"/>
  <c r="C167" i="12"/>
  <c r="D167" i="12"/>
  <c r="E167" i="12"/>
  <c r="F167" i="12"/>
  <c r="G167" i="12"/>
  <c r="H167" i="12"/>
  <c r="I167" i="12"/>
  <c r="J167" i="12"/>
  <c r="K167" i="12"/>
  <c r="L167" i="12"/>
  <c r="M167" i="12"/>
  <c r="N167" i="12"/>
  <c r="O167" i="12"/>
  <c r="C164" i="12"/>
  <c r="D164" i="12"/>
  <c r="E164" i="12"/>
  <c r="F164" i="12"/>
  <c r="G164" i="12"/>
  <c r="H164" i="12"/>
  <c r="I164" i="12"/>
  <c r="J164" i="12"/>
  <c r="K164" i="12"/>
  <c r="L164" i="12"/>
  <c r="M164" i="12"/>
  <c r="N164" i="12"/>
  <c r="O164" i="12"/>
  <c r="C96" i="12"/>
  <c r="D96" i="12"/>
  <c r="E96" i="12"/>
  <c r="F96" i="12"/>
  <c r="G96" i="12"/>
  <c r="H96" i="12"/>
  <c r="I96" i="12"/>
  <c r="J96" i="12"/>
  <c r="K96" i="12"/>
  <c r="L96" i="12"/>
  <c r="M96" i="12"/>
  <c r="N96" i="12"/>
  <c r="O96" i="12"/>
  <c r="C97" i="12"/>
  <c r="D97" i="12"/>
  <c r="E97" i="12"/>
  <c r="F97" i="12"/>
  <c r="G97" i="12"/>
  <c r="H97" i="12"/>
  <c r="I97" i="12"/>
  <c r="J97" i="12"/>
  <c r="K97" i="12"/>
  <c r="L97" i="12"/>
  <c r="M97" i="12"/>
  <c r="N97" i="12"/>
  <c r="O97" i="12"/>
  <c r="C34" i="12"/>
  <c r="D34" i="12"/>
  <c r="E34" i="12"/>
  <c r="F34" i="12"/>
  <c r="G34" i="12"/>
  <c r="H34" i="12"/>
  <c r="I34" i="12"/>
  <c r="J34" i="12"/>
  <c r="K34" i="12"/>
  <c r="L34" i="12"/>
  <c r="M34" i="12"/>
  <c r="N34" i="12"/>
  <c r="O34" i="12"/>
  <c r="C95" i="12"/>
  <c r="D95" i="12"/>
  <c r="E95" i="12"/>
  <c r="F95" i="12"/>
  <c r="G95" i="12"/>
  <c r="H95" i="12"/>
  <c r="I95" i="12"/>
  <c r="J95" i="12"/>
  <c r="K95" i="12"/>
  <c r="L95" i="12"/>
  <c r="M95" i="12"/>
  <c r="N95" i="12"/>
  <c r="O95" i="12"/>
  <c r="C68" i="12"/>
  <c r="D68" i="12"/>
  <c r="E68" i="12"/>
  <c r="F68" i="12"/>
  <c r="G68" i="12"/>
  <c r="H68" i="12"/>
  <c r="I68" i="12"/>
  <c r="J68" i="12"/>
  <c r="K68" i="12"/>
  <c r="L68" i="12"/>
  <c r="M68" i="12"/>
  <c r="N68" i="12"/>
  <c r="O68" i="12"/>
  <c r="C178" i="12"/>
  <c r="D178" i="12"/>
  <c r="E178" i="12"/>
  <c r="F178" i="12"/>
  <c r="G178" i="12"/>
  <c r="H178" i="12"/>
  <c r="I178" i="12"/>
  <c r="J178" i="12"/>
  <c r="K178" i="12"/>
  <c r="L178" i="12"/>
  <c r="M178" i="12"/>
  <c r="N178" i="12"/>
  <c r="O178" i="12"/>
  <c r="C177" i="12"/>
  <c r="D177" i="12"/>
  <c r="E177" i="12"/>
  <c r="F177" i="12"/>
  <c r="G177" i="12"/>
  <c r="H177" i="12"/>
  <c r="I177" i="12"/>
  <c r="J177" i="12"/>
  <c r="K177" i="12"/>
  <c r="L177" i="12"/>
  <c r="M177" i="12"/>
  <c r="N177" i="12"/>
  <c r="O177" i="12"/>
  <c r="C72" i="12"/>
  <c r="D72" i="12"/>
  <c r="E72" i="12"/>
  <c r="F72" i="12"/>
  <c r="G72" i="12"/>
  <c r="H72" i="12"/>
  <c r="I72" i="12"/>
  <c r="J72" i="12"/>
  <c r="K72" i="12"/>
  <c r="L72" i="12"/>
  <c r="M72" i="12"/>
  <c r="N72" i="12"/>
  <c r="O72" i="12"/>
  <c r="C35" i="12"/>
  <c r="D35" i="12"/>
  <c r="E35" i="12"/>
  <c r="F35" i="12"/>
  <c r="G35" i="12"/>
  <c r="H35" i="12"/>
  <c r="I35" i="12"/>
  <c r="J35" i="12"/>
  <c r="K35" i="12"/>
  <c r="L35" i="12"/>
  <c r="M35" i="12"/>
  <c r="N35" i="12"/>
  <c r="O35" i="12"/>
  <c r="C22" i="12"/>
  <c r="D22" i="12"/>
  <c r="E22" i="12"/>
  <c r="F22" i="12"/>
  <c r="G22" i="12"/>
  <c r="H22" i="12"/>
  <c r="I22" i="12"/>
  <c r="J22" i="12"/>
  <c r="K22" i="12"/>
  <c r="L22" i="12"/>
  <c r="M22" i="12"/>
  <c r="N22" i="12"/>
  <c r="O22" i="12"/>
  <c r="C6" i="12"/>
  <c r="D6" i="12"/>
  <c r="E6" i="12"/>
  <c r="F6" i="12"/>
  <c r="G6" i="12"/>
  <c r="H6" i="12"/>
  <c r="I6" i="12"/>
  <c r="J6" i="12"/>
  <c r="K6" i="12"/>
  <c r="L6" i="12"/>
  <c r="M6" i="12"/>
  <c r="N6" i="12"/>
  <c r="O6" i="12"/>
  <c r="C7" i="12"/>
  <c r="D7" i="12"/>
  <c r="E7" i="12"/>
  <c r="F7" i="12"/>
  <c r="G7" i="12"/>
  <c r="H7" i="12"/>
  <c r="I7" i="12"/>
  <c r="J7" i="12"/>
  <c r="K7" i="12"/>
  <c r="L7" i="12"/>
  <c r="M7" i="12"/>
  <c r="N7" i="12"/>
  <c r="O7" i="12"/>
  <c r="C45" i="12"/>
  <c r="D45" i="12"/>
  <c r="E45" i="12"/>
  <c r="F45" i="12"/>
  <c r="G45" i="12"/>
  <c r="H45" i="12"/>
  <c r="I45" i="12"/>
  <c r="J45" i="12"/>
  <c r="K45" i="12"/>
  <c r="L45" i="12"/>
  <c r="M45" i="12"/>
  <c r="N45" i="12"/>
  <c r="O45" i="12"/>
  <c r="C18" i="12"/>
  <c r="D18" i="12"/>
  <c r="E18" i="12"/>
  <c r="F18" i="12"/>
  <c r="G18" i="12"/>
  <c r="H18" i="12"/>
  <c r="I18" i="12"/>
  <c r="J18" i="12"/>
  <c r="K18" i="12"/>
  <c r="L18" i="12"/>
  <c r="M18" i="12"/>
  <c r="N18" i="12"/>
  <c r="O18" i="12"/>
  <c r="C80" i="12"/>
  <c r="D80" i="12"/>
  <c r="E80" i="12"/>
  <c r="F80" i="12"/>
  <c r="G80" i="12"/>
  <c r="H80" i="12"/>
  <c r="I80" i="12"/>
  <c r="J80" i="12"/>
  <c r="K80" i="12"/>
  <c r="L80" i="12"/>
  <c r="M80" i="12"/>
  <c r="N80" i="12"/>
  <c r="O80" i="12"/>
  <c r="C59" i="12"/>
  <c r="D59" i="12"/>
  <c r="E59" i="12"/>
  <c r="F59" i="12"/>
  <c r="G59" i="12"/>
  <c r="H59" i="12"/>
  <c r="I59" i="12"/>
  <c r="J59" i="12"/>
  <c r="K59" i="12"/>
  <c r="L59" i="12"/>
  <c r="M59" i="12"/>
  <c r="N59" i="12"/>
  <c r="O59" i="12"/>
  <c r="C14" i="12"/>
  <c r="D14" i="12"/>
  <c r="E14" i="12"/>
  <c r="F14" i="12"/>
  <c r="G14" i="12"/>
  <c r="H14" i="12"/>
  <c r="I14" i="12"/>
  <c r="J14" i="12"/>
  <c r="K14" i="12"/>
  <c r="L14" i="12"/>
  <c r="M14" i="12"/>
  <c r="N14" i="12"/>
  <c r="O14" i="12"/>
  <c r="C143" i="12"/>
  <c r="D143" i="12"/>
  <c r="E143" i="12"/>
  <c r="F143" i="12"/>
  <c r="G143" i="12"/>
  <c r="H143" i="12"/>
  <c r="I143" i="12"/>
  <c r="J143" i="12"/>
  <c r="K143" i="12"/>
  <c r="L143" i="12"/>
  <c r="M143" i="12"/>
  <c r="N143" i="12"/>
  <c r="O143" i="12"/>
  <c r="C115" i="12"/>
  <c r="D115" i="12"/>
  <c r="E115" i="12"/>
  <c r="F115" i="12"/>
  <c r="G115" i="12"/>
  <c r="H115" i="12"/>
  <c r="I115" i="12"/>
  <c r="J115" i="12"/>
  <c r="K115" i="12"/>
  <c r="L115" i="12"/>
  <c r="M115" i="12"/>
  <c r="N115" i="12"/>
  <c r="O115" i="12"/>
  <c r="C116" i="12"/>
  <c r="D116" i="12"/>
  <c r="E116" i="12"/>
  <c r="F116" i="12"/>
  <c r="G116" i="12"/>
  <c r="H116" i="12"/>
  <c r="I116" i="12"/>
  <c r="J116" i="12"/>
  <c r="K116" i="12"/>
  <c r="L116" i="12"/>
  <c r="M116" i="12"/>
  <c r="N116" i="12"/>
  <c r="O116" i="12"/>
  <c r="C113" i="12"/>
  <c r="D113" i="12"/>
  <c r="E113" i="12"/>
  <c r="F113" i="12"/>
  <c r="G113" i="12"/>
  <c r="H113" i="12"/>
  <c r="I113" i="12"/>
  <c r="J113" i="12"/>
  <c r="K113" i="12"/>
  <c r="L113" i="12"/>
  <c r="M113" i="12"/>
  <c r="N113" i="12"/>
  <c r="O113" i="12"/>
  <c r="C21" i="12"/>
  <c r="D21" i="12"/>
  <c r="E21" i="12"/>
  <c r="F21" i="12"/>
  <c r="G21" i="12"/>
  <c r="H21" i="12"/>
  <c r="I21" i="12"/>
  <c r="J21" i="12"/>
  <c r="K21" i="12"/>
  <c r="L21" i="12"/>
  <c r="M21" i="12"/>
  <c r="N21" i="12"/>
  <c r="O21" i="12"/>
  <c r="C86" i="12"/>
  <c r="D86" i="12"/>
  <c r="E86" i="12"/>
  <c r="F86" i="12"/>
  <c r="G86" i="12"/>
  <c r="H86" i="12"/>
  <c r="I86" i="12"/>
  <c r="J86" i="12"/>
  <c r="K86" i="12"/>
  <c r="L86" i="12"/>
  <c r="M86" i="12"/>
  <c r="N86" i="12"/>
  <c r="O86" i="12"/>
  <c r="C62" i="12"/>
  <c r="D62" i="12"/>
  <c r="E62" i="12"/>
  <c r="F62" i="12"/>
  <c r="G62" i="12"/>
  <c r="H62" i="12"/>
  <c r="I62" i="12"/>
  <c r="J62" i="12"/>
  <c r="K62" i="12"/>
  <c r="L62" i="12"/>
  <c r="M62" i="12"/>
  <c r="N62" i="12"/>
  <c r="O62" i="12"/>
  <c r="C48" i="12"/>
  <c r="D48" i="12"/>
  <c r="E48" i="12"/>
  <c r="F48" i="12"/>
  <c r="G48" i="12"/>
  <c r="H48" i="12"/>
  <c r="I48" i="12"/>
  <c r="J48" i="12"/>
  <c r="K48" i="12"/>
  <c r="L48" i="12"/>
  <c r="M48" i="12"/>
  <c r="N48" i="12"/>
  <c r="O48" i="12"/>
  <c r="C17" i="12"/>
  <c r="D17" i="12"/>
  <c r="E17" i="12"/>
  <c r="F17" i="12"/>
  <c r="G17" i="12"/>
  <c r="H17" i="12"/>
  <c r="I17" i="12"/>
  <c r="J17" i="12"/>
  <c r="K17" i="12"/>
  <c r="L17" i="12"/>
  <c r="M17" i="12"/>
  <c r="N17" i="12"/>
  <c r="O17" i="12"/>
  <c r="C78" i="12"/>
  <c r="D78" i="12"/>
  <c r="E78" i="12"/>
  <c r="F78" i="12"/>
  <c r="G78" i="12"/>
  <c r="H78" i="12"/>
  <c r="I78" i="12"/>
  <c r="J78" i="12"/>
  <c r="K78" i="12"/>
  <c r="L78" i="12"/>
  <c r="M78" i="12"/>
  <c r="N78" i="12"/>
  <c r="O78" i="12"/>
  <c r="C79" i="12"/>
  <c r="D79" i="12"/>
  <c r="E79" i="12"/>
  <c r="F79" i="12"/>
  <c r="G79" i="12"/>
  <c r="H79" i="12"/>
  <c r="I79" i="12"/>
  <c r="J79" i="12"/>
  <c r="K79" i="12"/>
  <c r="L79" i="12"/>
  <c r="M79" i="12"/>
  <c r="N79" i="12"/>
  <c r="O79" i="12"/>
  <c r="C58" i="12"/>
  <c r="D58" i="12"/>
  <c r="E58" i="12"/>
  <c r="F58" i="12"/>
  <c r="G58" i="12"/>
  <c r="H58" i="12"/>
  <c r="I58" i="12"/>
  <c r="J58" i="12"/>
  <c r="K58" i="12"/>
  <c r="L58" i="12"/>
  <c r="M58" i="12"/>
  <c r="N58" i="12"/>
  <c r="O58" i="12"/>
  <c r="C12" i="12"/>
  <c r="D12" i="12"/>
  <c r="E12" i="12"/>
  <c r="F12" i="12"/>
  <c r="G12" i="12"/>
  <c r="H12" i="12"/>
  <c r="I12" i="12"/>
  <c r="J12" i="12"/>
  <c r="K12" i="12"/>
  <c r="L12" i="12"/>
  <c r="M12" i="12"/>
  <c r="N12" i="12"/>
  <c r="O12" i="12"/>
  <c r="C13" i="12"/>
  <c r="D13" i="12"/>
  <c r="E13" i="12"/>
  <c r="F13" i="12"/>
  <c r="G13" i="12"/>
  <c r="H13" i="12"/>
  <c r="I13" i="12"/>
  <c r="J13" i="12"/>
  <c r="K13" i="12"/>
  <c r="L13" i="12"/>
  <c r="M13" i="12"/>
  <c r="N13" i="12"/>
  <c r="O13" i="12"/>
  <c r="C119" i="12"/>
  <c r="D119" i="12"/>
  <c r="E119" i="12"/>
  <c r="F119" i="12"/>
  <c r="G119" i="12"/>
  <c r="H119" i="12"/>
  <c r="I119" i="12"/>
  <c r="J119" i="12"/>
  <c r="K119" i="12"/>
  <c r="L119" i="12"/>
  <c r="M119" i="12"/>
  <c r="N119" i="12"/>
  <c r="O119" i="12"/>
  <c r="C98" i="12"/>
  <c r="D98" i="12"/>
  <c r="E98" i="12"/>
  <c r="F98" i="12"/>
  <c r="G98" i="12"/>
  <c r="H98" i="12"/>
  <c r="I98" i="12"/>
  <c r="J98" i="12"/>
  <c r="K98" i="12"/>
  <c r="L98" i="12"/>
  <c r="M98" i="12"/>
  <c r="N98" i="12"/>
  <c r="O98" i="12"/>
  <c r="C92" i="12"/>
  <c r="D92" i="12"/>
  <c r="E92" i="12"/>
  <c r="F92" i="12"/>
  <c r="G92" i="12"/>
  <c r="H92" i="12"/>
  <c r="I92" i="12"/>
  <c r="J92" i="12"/>
  <c r="K92" i="12"/>
  <c r="L92" i="12"/>
  <c r="M92" i="12"/>
  <c r="N92" i="12"/>
  <c r="O92" i="12"/>
  <c r="C69" i="12"/>
  <c r="D69" i="12"/>
  <c r="E69" i="12"/>
  <c r="F69" i="12"/>
  <c r="G69" i="12"/>
  <c r="H69" i="12"/>
  <c r="I69" i="12"/>
  <c r="J69" i="12"/>
  <c r="K69" i="12"/>
  <c r="L69" i="12"/>
  <c r="M69" i="12"/>
  <c r="N69" i="12"/>
  <c r="O69" i="12"/>
  <c r="C50" i="12"/>
  <c r="D50" i="12"/>
  <c r="E50" i="12"/>
  <c r="F50" i="12"/>
  <c r="G50" i="12"/>
  <c r="H50" i="12"/>
  <c r="I50" i="12"/>
  <c r="J50" i="12"/>
  <c r="K50" i="12"/>
  <c r="L50" i="12"/>
  <c r="M50" i="12"/>
  <c r="N50" i="12"/>
  <c r="O50" i="12"/>
  <c r="C31" i="12"/>
  <c r="D31" i="12"/>
  <c r="E31" i="12"/>
  <c r="F31" i="12"/>
  <c r="G31" i="12"/>
  <c r="H31" i="12"/>
  <c r="I31" i="12"/>
  <c r="J31" i="12"/>
  <c r="K31" i="12"/>
  <c r="L31" i="12"/>
  <c r="M31" i="12"/>
  <c r="N31" i="12"/>
  <c r="O31" i="12"/>
  <c r="C32" i="12"/>
  <c r="D32" i="12"/>
  <c r="E32" i="12"/>
  <c r="F32" i="12"/>
  <c r="G32" i="12"/>
  <c r="H32" i="12"/>
  <c r="I32" i="12"/>
  <c r="J32" i="12"/>
  <c r="K32" i="12"/>
  <c r="L32" i="12"/>
  <c r="M32" i="12"/>
  <c r="N32" i="12"/>
  <c r="O32" i="12"/>
  <c r="C3" i="12"/>
  <c r="D3" i="12"/>
  <c r="E3" i="12"/>
  <c r="F3" i="12"/>
  <c r="G3" i="12"/>
  <c r="H3" i="12"/>
  <c r="I3" i="12"/>
  <c r="J3" i="12"/>
  <c r="K3" i="12"/>
  <c r="L3" i="12"/>
  <c r="M3" i="12"/>
  <c r="N3" i="12"/>
  <c r="O3" i="12"/>
  <c r="C66" i="12"/>
  <c r="D66" i="12"/>
  <c r="E66" i="12"/>
  <c r="F66" i="12"/>
  <c r="G66" i="12"/>
  <c r="H66" i="12"/>
  <c r="I66" i="12"/>
  <c r="J66" i="12"/>
  <c r="K66" i="12"/>
  <c r="L66" i="12"/>
  <c r="M66" i="12"/>
  <c r="N66" i="12"/>
  <c r="O66" i="12"/>
  <c r="C76" i="12"/>
  <c r="D76" i="12"/>
  <c r="E76" i="12"/>
  <c r="F76" i="12"/>
  <c r="G76" i="12"/>
  <c r="H76" i="12"/>
  <c r="I76" i="12"/>
  <c r="J76" i="12"/>
  <c r="K76" i="12"/>
  <c r="L76" i="12"/>
  <c r="M76" i="12"/>
  <c r="N76" i="12"/>
  <c r="O76" i="12"/>
  <c r="C56" i="12"/>
  <c r="D56" i="12"/>
  <c r="E56" i="12"/>
  <c r="F56" i="12"/>
  <c r="G56" i="12"/>
  <c r="H56" i="12"/>
  <c r="I56" i="12"/>
  <c r="J56" i="12"/>
  <c r="K56" i="12"/>
  <c r="L56" i="12"/>
  <c r="M56" i="12"/>
  <c r="N56" i="12"/>
  <c r="O56" i="12"/>
  <c r="C38" i="12"/>
  <c r="D38" i="12"/>
  <c r="E38" i="12"/>
  <c r="F38" i="12"/>
  <c r="G38" i="12"/>
  <c r="H38" i="12"/>
  <c r="I38" i="12"/>
  <c r="J38" i="12"/>
  <c r="K38" i="12"/>
  <c r="L38" i="12"/>
  <c r="M38" i="12"/>
  <c r="N38" i="12"/>
  <c r="O38" i="12"/>
  <c r="C10" i="12"/>
  <c r="D10" i="12"/>
  <c r="E10" i="12"/>
  <c r="F10" i="12"/>
  <c r="G10" i="12"/>
  <c r="H10" i="12"/>
  <c r="I10" i="12"/>
  <c r="J10" i="12"/>
  <c r="K10" i="12"/>
  <c r="L10" i="12"/>
  <c r="M10" i="12"/>
  <c r="N10" i="12"/>
  <c r="O10" i="12"/>
  <c r="C53" i="12"/>
  <c r="D53" i="12"/>
  <c r="E53" i="12"/>
  <c r="F53" i="12"/>
  <c r="G53" i="12"/>
  <c r="H53" i="12"/>
  <c r="I53" i="12"/>
  <c r="J53" i="12"/>
  <c r="K53" i="12"/>
  <c r="L53" i="12"/>
  <c r="M53" i="12"/>
  <c r="N53" i="12"/>
  <c r="O53" i="12"/>
  <c r="C157" i="12"/>
  <c r="D157" i="12"/>
  <c r="E157" i="12"/>
  <c r="F157" i="12"/>
  <c r="G157" i="12"/>
  <c r="H157" i="12"/>
  <c r="I157" i="12"/>
  <c r="J157" i="12"/>
  <c r="K157" i="12"/>
  <c r="L157" i="12"/>
  <c r="M157" i="12"/>
  <c r="N157" i="12"/>
  <c r="O157" i="12"/>
  <c r="C145" i="12"/>
  <c r="D145" i="12"/>
  <c r="E145" i="12"/>
  <c r="F145" i="12"/>
  <c r="G145" i="12"/>
  <c r="H145" i="12"/>
  <c r="I145" i="12"/>
  <c r="J145" i="12"/>
  <c r="K145" i="12"/>
  <c r="L145" i="12"/>
  <c r="M145" i="12"/>
  <c r="N145" i="12"/>
  <c r="O145" i="12"/>
  <c r="C146" i="12"/>
  <c r="D146" i="12"/>
  <c r="E146" i="12"/>
  <c r="F146" i="12"/>
  <c r="G146" i="12"/>
  <c r="H146" i="12"/>
  <c r="I146" i="12"/>
  <c r="J146" i="12"/>
  <c r="K146" i="12"/>
  <c r="L146" i="12"/>
  <c r="M146" i="12"/>
  <c r="N146" i="12"/>
  <c r="O146" i="12"/>
  <c r="C47" i="12"/>
  <c r="D47" i="12"/>
  <c r="E47" i="12"/>
  <c r="F47" i="12"/>
  <c r="G47" i="12"/>
  <c r="H47" i="12"/>
  <c r="I47" i="12"/>
  <c r="J47" i="12"/>
  <c r="K47" i="12"/>
  <c r="L47" i="12"/>
  <c r="M47" i="12"/>
  <c r="N47" i="12"/>
  <c r="O47" i="12"/>
  <c r="C25" i="12"/>
  <c r="D25" i="12"/>
  <c r="E25" i="12"/>
  <c r="F25" i="12"/>
  <c r="G25" i="12"/>
  <c r="H25" i="12"/>
  <c r="I25" i="12"/>
  <c r="J25" i="12"/>
  <c r="K25" i="12"/>
  <c r="L25" i="12"/>
  <c r="M25" i="12"/>
  <c r="N25" i="12"/>
  <c r="O25" i="12"/>
  <c r="C77" i="12"/>
  <c r="D77" i="12"/>
  <c r="E77" i="12"/>
  <c r="F77" i="12"/>
  <c r="G77" i="12"/>
  <c r="H77" i="12"/>
  <c r="I77" i="12"/>
  <c r="J77" i="12"/>
  <c r="K77" i="12"/>
  <c r="L77" i="12"/>
  <c r="M77" i="12"/>
  <c r="N77" i="12"/>
  <c r="O77" i="12"/>
  <c r="C57" i="12"/>
  <c r="D57" i="12"/>
  <c r="E57" i="12"/>
  <c r="F57" i="12"/>
  <c r="G57" i="12"/>
  <c r="H57" i="12"/>
  <c r="I57" i="12"/>
  <c r="J57" i="12"/>
  <c r="K57" i="12"/>
  <c r="L57" i="12"/>
  <c r="M57" i="12"/>
  <c r="N57" i="12"/>
  <c r="O57" i="12"/>
  <c r="C11" i="12"/>
  <c r="D11" i="12"/>
  <c r="E11" i="12"/>
  <c r="F11" i="12"/>
  <c r="G11" i="12"/>
  <c r="H11" i="12"/>
  <c r="I11" i="12"/>
  <c r="J11" i="12"/>
  <c r="K11" i="12"/>
  <c r="L11" i="12"/>
  <c r="M11" i="12"/>
  <c r="N11" i="12"/>
  <c r="O11" i="12"/>
  <c r="C144" i="12"/>
  <c r="D144" i="12"/>
  <c r="E144" i="12"/>
  <c r="F144" i="12"/>
  <c r="G144" i="12"/>
  <c r="H144" i="12"/>
  <c r="I144" i="12"/>
  <c r="J144" i="12"/>
  <c r="K144" i="12"/>
  <c r="L144" i="12"/>
  <c r="M144" i="12"/>
  <c r="N144" i="12"/>
  <c r="O144" i="12"/>
  <c r="C176" i="12"/>
  <c r="D176" i="12"/>
  <c r="E176" i="12"/>
  <c r="F176" i="12"/>
  <c r="G176" i="12"/>
  <c r="H176" i="12"/>
  <c r="I176" i="12"/>
  <c r="J176" i="12"/>
  <c r="K176" i="12"/>
  <c r="L176" i="12"/>
  <c r="M176" i="12"/>
  <c r="N176" i="12"/>
  <c r="O176" i="12"/>
  <c r="C133" i="12"/>
  <c r="D133" i="12"/>
  <c r="E133" i="12"/>
  <c r="F133" i="12"/>
  <c r="G133" i="12"/>
  <c r="H133" i="12"/>
  <c r="I133" i="12"/>
  <c r="J133" i="12"/>
  <c r="K133" i="12"/>
  <c r="L133" i="12"/>
  <c r="M133" i="12"/>
  <c r="N133" i="12"/>
  <c r="O133" i="12"/>
  <c r="C128" i="12"/>
  <c r="D128" i="12"/>
  <c r="E128" i="12"/>
  <c r="F128" i="12"/>
  <c r="G128" i="12"/>
  <c r="H128" i="12"/>
  <c r="I128" i="12"/>
  <c r="J128" i="12"/>
  <c r="K128" i="12"/>
  <c r="L128" i="12"/>
  <c r="M128" i="12"/>
  <c r="N128" i="12"/>
  <c r="O128" i="12"/>
  <c r="C129" i="12"/>
  <c r="D129" i="12"/>
  <c r="E129" i="12"/>
  <c r="F129" i="12"/>
  <c r="G129" i="12"/>
  <c r="H129" i="12"/>
  <c r="I129" i="12"/>
  <c r="J129" i="12"/>
  <c r="K129" i="12"/>
  <c r="L129" i="12"/>
  <c r="M129" i="12"/>
  <c r="N129" i="12"/>
  <c r="O129" i="12"/>
  <c r="C130" i="12"/>
  <c r="D130" i="12"/>
  <c r="E130" i="12"/>
  <c r="F130" i="12"/>
  <c r="G130" i="12"/>
  <c r="H130" i="12"/>
  <c r="I130" i="12"/>
  <c r="J130" i="12"/>
  <c r="K130" i="12"/>
  <c r="L130" i="12"/>
  <c r="M130" i="12"/>
  <c r="N130" i="12"/>
  <c r="O130" i="12"/>
  <c r="C161" i="12"/>
  <c r="D161" i="12"/>
  <c r="E161" i="12"/>
  <c r="F161" i="12"/>
  <c r="G161" i="12"/>
  <c r="H161" i="12"/>
  <c r="I161" i="12"/>
  <c r="J161" i="12"/>
  <c r="K161" i="12"/>
  <c r="L161" i="12"/>
  <c r="M161" i="12"/>
  <c r="N161" i="12"/>
  <c r="O161" i="12"/>
  <c r="C117" i="12"/>
  <c r="D117" i="12"/>
  <c r="E117" i="12"/>
  <c r="F117" i="12"/>
  <c r="G117" i="12"/>
  <c r="H117" i="12"/>
  <c r="I117" i="12"/>
  <c r="J117" i="12"/>
  <c r="K117" i="12"/>
  <c r="L117" i="12"/>
  <c r="M117" i="12"/>
  <c r="N117" i="12"/>
  <c r="O117" i="12"/>
  <c r="C114" i="12"/>
  <c r="D114" i="12"/>
  <c r="E114" i="12"/>
  <c r="F114" i="12"/>
  <c r="G114" i="12"/>
  <c r="H114" i="12"/>
  <c r="I114" i="12"/>
  <c r="J114" i="12"/>
  <c r="K114" i="12"/>
  <c r="L114" i="12"/>
  <c r="M114" i="12"/>
  <c r="N114" i="12"/>
  <c r="O114" i="12"/>
  <c r="C110" i="12"/>
  <c r="D110" i="12"/>
  <c r="E110" i="12"/>
  <c r="F110" i="12"/>
  <c r="G110" i="12"/>
  <c r="H110" i="12"/>
  <c r="I110" i="12"/>
  <c r="J110" i="12"/>
  <c r="K110" i="12"/>
  <c r="L110" i="12"/>
  <c r="M110" i="12"/>
  <c r="N110" i="12"/>
  <c r="O110" i="12"/>
  <c r="C112" i="12"/>
  <c r="D112" i="12"/>
  <c r="E112" i="12"/>
  <c r="F112" i="12"/>
  <c r="G112" i="12"/>
  <c r="H112" i="12"/>
  <c r="I112" i="12"/>
  <c r="J112" i="12"/>
  <c r="K112" i="12"/>
  <c r="L112" i="12"/>
  <c r="M112" i="12"/>
  <c r="N112" i="12"/>
  <c r="O112" i="12"/>
  <c r="C138" i="12"/>
  <c r="D138" i="12"/>
  <c r="E138" i="12"/>
  <c r="F138" i="12"/>
  <c r="G138" i="12"/>
  <c r="H138" i="12"/>
  <c r="I138" i="12"/>
  <c r="J138" i="12"/>
  <c r="K138" i="12"/>
  <c r="L138" i="12"/>
  <c r="M138" i="12"/>
  <c r="N138" i="12"/>
  <c r="O138" i="12"/>
  <c r="C137" i="12"/>
  <c r="D137" i="12"/>
  <c r="E137" i="12"/>
  <c r="F137" i="12"/>
  <c r="G137" i="12"/>
  <c r="H137" i="12"/>
  <c r="I137" i="12"/>
  <c r="J137" i="12"/>
  <c r="K137" i="12"/>
  <c r="L137" i="12"/>
  <c r="M137" i="12"/>
  <c r="N137" i="12"/>
  <c r="O137" i="12"/>
  <c r="C139" i="12"/>
  <c r="D139" i="12"/>
  <c r="E139" i="12"/>
  <c r="F139" i="12"/>
  <c r="G139" i="12"/>
  <c r="H139" i="12"/>
  <c r="I139" i="12"/>
  <c r="J139" i="12"/>
  <c r="K139" i="12"/>
  <c r="L139" i="12"/>
  <c r="M139" i="12"/>
  <c r="N139" i="12"/>
  <c r="O139" i="12"/>
  <c r="C131" i="12"/>
  <c r="D131" i="12"/>
  <c r="E131" i="12"/>
  <c r="F131" i="12"/>
  <c r="G131" i="12"/>
  <c r="H131" i="12"/>
  <c r="I131" i="12"/>
  <c r="J131" i="12"/>
  <c r="K131" i="12"/>
  <c r="L131" i="12"/>
  <c r="M131" i="12"/>
  <c r="N131" i="12"/>
  <c r="O131" i="12"/>
  <c r="C155" i="12"/>
  <c r="D155" i="12"/>
  <c r="E155" i="12"/>
  <c r="F155" i="12"/>
  <c r="G155" i="12"/>
  <c r="H155" i="12"/>
  <c r="I155" i="12"/>
  <c r="J155" i="12"/>
  <c r="K155" i="12"/>
  <c r="L155" i="12"/>
  <c r="M155" i="12"/>
  <c r="N155" i="12"/>
  <c r="O155" i="12"/>
  <c r="C147" i="12"/>
  <c r="D147" i="12"/>
  <c r="E147" i="12"/>
  <c r="F147" i="12"/>
  <c r="G147" i="12"/>
  <c r="H147" i="12"/>
  <c r="I147" i="12"/>
  <c r="J147" i="12"/>
  <c r="K147" i="12"/>
  <c r="L147" i="12"/>
  <c r="M147" i="12"/>
  <c r="N147" i="12"/>
  <c r="O147" i="12"/>
  <c r="C148" i="12"/>
  <c r="D148" i="12"/>
  <c r="E148" i="12"/>
  <c r="F148" i="12"/>
  <c r="G148" i="12"/>
  <c r="H148" i="12"/>
  <c r="I148" i="12"/>
  <c r="J148" i="12"/>
  <c r="K148" i="12"/>
  <c r="L148" i="12"/>
  <c r="M148" i="12"/>
  <c r="N148" i="12"/>
  <c r="O148" i="12"/>
  <c r="C149" i="12"/>
  <c r="D149" i="12"/>
  <c r="E149" i="12"/>
  <c r="F149" i="12"/>
  <c r="G149" i="12"/>
  <c r="H149" i="12"/>
  <c r="I149" i="12"/>
  <c r="J149" i="12"/>
  <c r="K149" i="12"/>
  <c r="L149" i="12"/>
  <c r="M149" i="12"/>
  <c r="N149" i="12"/>
  <c r="O149" i="12"/>
  <c r="C134" i="12"/>
  <c r="D134" i="12"/>
  <c r="E134" i="12"/>
  <c r="F134" i="12"/>
  <c r="G134" i="12"/>
  <c r="H134" i="12"/>
  <c r="I134" i="12"/>
  <c r="J134" i="12"/>
  <c r="K134" i="12"/>
  <c r="L134" i="12"/>
  <c r="M134" i="12"/>
  <c r="N134" i="12"/>
  <c r="O134" i="12"/>
  <c r="C75" i="12"/>
  <c r="D75" i="12"/>
  <c r="E75" i="12"/>
  <c r="F75" i="12"/>
  <c r="G75" i="12"/>
  <c r="H75" i="12"/>
  <c r="I75" i="12"/>
  <c r="J75" i="12"/>
  <c r="K75" i="12"/>
  <c r="L75" i="12"/>
  <c r="M75" i="12"/>
  <c r="N75" i="12"/>
  <c r="O75" i="12"/>
  <c r="C55" i="12"/>
  <c r="D55" i="12"/>
  <c r="E55" i="12"/>
  <c r="F55" i="12"/>
  <c r="G55" i="12"/>
  <c r="H55" i="12"/>
  <c r="I55" i="12"/>
  <c r="J55" i="12"/>
  <c r="K55" i="12"/>
  <c r="L55" i="12"/>
  <c r="M55" i="12"/>
  <c r="N55" i="12"/>
  <c r="O55" i="12"/>
  <c r="C37" i="12"/>
  <c r="D37" i="12"/>
  <c r="E37" i="12"/>
  <c r="F37" i="12"/>
  <c r="G37" i="12"/>
  <c r="H37" i="12"/>
  <c r="I37" i="12"/>
  <c r="J37" i="12"/>
  <c r="K37" i="12"/>
  <c r="L37" i="12"/>
  <c r="M37" i="12"/>
  <c r="N37" i="12"/>
  <c r="O37" i="12"/>
  <c r="C9" i="12"/>
  <c r="D9" i="12"/>
  <c r="E9" i="12"/>
  <c r="F9" i="12"/>
  <c r="G9" i="12"/>
  <c r="H9" i="12"/>
  <c r="I9" i="12"/>
  <c r="J9" i="12"/>
  <c r="K9" i="12"/>
  <c r="L9" i="12"/>
  <c r="M9" i="12"/>
  <c r="N9" i="12"/>
  <c r="O9" i="12"/>
  <c r="C71" i="12"/>
  <c r="D71" i="12"/>
  <c r="E71" i="12"/>
  <c r="F71" i="12"/>
  <c r="G71" i="12"/>
  <c r="H71" i="12"/>
  <c r="I71" i="12"/>
  <c r="J71" i="12"/>
  <c r="K71" i="12"/>
  <c r="L71" i="12"/>
  <c r="M71" i="12"/>
  <c r="N71" i="12"/>
  <c r="O71" i="12"/>
  <c r="C52" i="12"/>
  <c r="D52" i="12"/>
  <c r="E52" i="12"/>
  <c r="F52" i="12"/>
  <c r="G52" i="12"/>
  <c r="H52" i="12"/>
  <c r="I52" i="12"/>
  <c r="J52" i="12"/>
  <c r="K52" i="12"/>
  <c r="L52" i="12"/>
  <c r="M52" i="12"/>
  <c r="N52" i="12"/>
  <c r="O52" i="12"/>
  <c r="C5" i="12"/>
  <c r="D5" i="12"/>
  <c r="E5" i="12"/>
  <c r="F5" i="12"/>
  <c r="G5" i="12"/>
  <c r="H5" i="12"/>
  <c r="I5" i="12"/>
  <c r="J5" i="12"/>
  <c r="K5" i="12"/>
  <c r="L5" i="12"/>
  <c r="M5" i="12"/>
  <c r="N5" i="12"/>
  <c r="O5" i="12"/>
  <c r="C27" i="12"/>
  <c r="D27" i="12"/>
  <c r="E27" i="12"/>
  <c r="F27" i="12"/>
  <c r="G27" i="12"/>
  <c r="H27" i="12"/>
  <c r="I27" i="12"/>
  <c r="J27" i="12"/>
  <c r="K27" i="12"/>
  <c r="L27" i="12"/>
  <c r="M27" i="12"/>
  <c r="N27" i="12"/>
  <c r="O27" i="12"/>
  <c r="C83" i="12"/>
  <c r="D83" i="12"/>
  <c r="E83" i="12"/>
  <c r="F83" i="12"/>
  <c r="G83" i="12"/>
  <c r="H83" i="12"/>
  <c r="I83" i="12"/>
  <c r="J83" i="12"/>
  <c r="K83" i="12"/>
  <c r="L83" i="12"/>
  <c r="M83" i="12"/>
  <c r="N83" i="12"/>
  <c r="O83" i="12"/>
  <c r="C63" i="12"/>
  <c r="D63" i="12"/>
  <c r="E63" i="12"/>
  <c r="F63" i="12"/>
  <c r="G63" i="12"/>
  <c r="H63" i="12"/>
  <c r="I63" i="12"/>
  <c r="J63" i="12"/>
  <c r="K63" i="12"/>
  <c r="L63" i="12"/>
  <c r="M63" i="12"/>
  <c r="N63" i="12"/>
  <c r="O63" i="12"/>
  <c r="C44" i="12"/>
  <c r="D44" i="12"/>
  <c r="E44" i="12"/>
  <c r="F44" i="12"/>
  <c r="G44" i="12"/>
  <c r="H44" i="12"/>
  <c r="I44" i="12"/>
  <c r="J44" i="12"/>
  <c r="K44" i="12"/>
  <c r="L44" i="12"/>
  <c r="M44" i="12"/>
  <c r="N44" i="12"/>
  <c r="O44" i="12"/>
  <c r="C26" i="12"/>
  <c r="D26" i="12"/>
  <c r="E26" i="12"/>
  <c r="F26" i="12"/>
  <c r="G26" i="12"/>
  <c r="H26" i="12"/>
  <c r="I26" i="12"/>
  <c r="J26" i="12"/>
  <c r="K26" i="12"/>
  <c r="L26" i="12"/>
  <c r="M26" i="12"/>
  <c r="N26" i="12"/>
  <c r="O26" i="12"/>
  <c r="C99" i="12"/>
  <c r="D99" i="12"/>
  <c r="E99" i="12"/>
  <c r="F99" i="12"/>
  <c r="G99" i="12"/>
  <c r="H99" i="12"/>
  <c r="I99" i="12"/>
  <c r="J99" i="12"/>
  <c r="K99" i="12"/>
  <c r="L99" i="12"/>
  <c r="M99" i="12"/>
  <c r="N99" i="12"/>
  <c r="O99" i="12"/>
  <c r="C36" i="12"/>
  <c r="D36" i="12"/>
  <c r="E36" i="12"/>
  <c r="F36" i="12"/>
  <c r="G36" i="12"/>
  <c r="H36" i="12"/>
  <c r="I36" i="12"/>
  <c r="J36" i="12"/>
  <c r="K36" i="12"/>
  <c r="L36" i="12"/>
  <c r="M36" i="12"/>
  <c r="N36" i="12"/>
  <c r="O36" i="12"/>
  <c r="C8" i="12"/>
  <c r="D8" i="12"/>
  <c r="E8" i="12"/>
  <c r="F8" i="12"/>
  <c r="G8" i="12"/>
  <c r="H8" i="12"/>
  <c r="I8" i="12"/>
  <c r="J8" i="12"/>
  <c r="K8" i="12"/>
  <c r="L8" i="12"/>
  <c r="M8" i="12"/>
  <c r="N8" i="12"/>
  <c r="O8" i="12"/>
  <c r="C70" i="12"/>
  <c r="D70" i="12"/>
  <c r="E70" i="12"/>
  <c r="F70" i="12"/>
  <c r="G70" i="12"/>
  <c r="H70" i="12"/>
  <c r="I70" i="12"/>
  <c r="J70" i="12"/>
  <c r="K70" i="12"/>
  <c r="L70" i="12"/>
  <c r="M70" i="12"/>
  <c r="N70" i="12"/>
  <c r="O70" i="12"/>
  <c r="C51" i="12"/>
  <c r="D51" i="12"/>
  <c r="E51" i="12"/>
  <c r="F51" i="12"/>
  <c r="G51" i="12"/>
  <c r="H51" i="12"/>
  <c r="I51" i="12"/>
  <c r="J51" i="12"/>
  <c r="K51" i="12"/>
  <c r="L51" i="12"/>
  <c r="M51" i="12"/>
  <c r="N51" i="12"/>
  <c r="O51" i="12"/>
  <c r="C46" i="12"/>
  <c r="D46" i="12"/>
  <c r="E46" i="12"/>
  <c r="F46" i="12"/>
  <c r="G46" i="12"/>
  <c r="H46" i="12"/>
  <c r="I46" i="12"/>
  <c r="J46" i="12"/>
  <c r="K46" i="12"/>
  <c r="L46" i="12"/>
  <c r="M46" i="12"/>
  <c r="N46" i="12"/>
  <c r="O46" i="12"/>
  <c r="C4" i="12"/>
  <c r="D4" i="12"/>
  <c r="E4" i="12"/>
  <c r="F4" i="12"/>
  <c r="G4" i="12"/>
  <c r="H4" i="12"/>
  <c r="I4" i="12"/>
  <c r="J4" i="12"/>
  <c r="K4" i="12"/>
  <c r="L4" i="12"/>
  <c r="M4" i="12"/>
  <c r="N4" i="12"/>
  <c r="O4" i="12"/>
  <c r="C126" i="12"/>
  <c r="D126" i="12"/>
  <c r="E126" i="12"/>
  <c r="F126" i="12"/>
  <c r="G126" i="12"/>
  <c r="H126" i="12"/>
  <c r="I126" i="12"/>
  <c r="J126" i="12"/>
  <c r="K126" i="12"/>
  <c r="L126" i="12"/>
  <c r="M126" i="12"/>
  <c r="N126" i="12"/>
  <c r="O126" i="12"/>
  <c r="C156" i="12"/>
  <c r="D156" i="12"/>
  <c r="E156" i="12"/>
  <c r="F156" i="12"/>
  <c r="G156" i="12"/>
  <c r="H156" i="12"/>
  <c r="I156" i="12"/>
  <c r="J156" i="12"/>
  <c r="K156" i="12"/>
  <c r="L156" i="12"/>
  <c r="M156" i="12"/>
  <c r="N156" i="12"/>
  <c r="O156" i="12"/>
  <c r="C169" i="12"/>
  <c r="D169" i="12"/>
  <c r="E169" i="12"/>
  <c r="F169" i="12"/>
  <c r="G169" i="12"/>
  <c r="H169" i="12"/>
  <c r="I169" i="12"/>
  <c r="J169" i="12"/>
  <c r="K169" i="12"/>
  <c r="L169" i="12"/>
  <c r="M169" i="12"/>
  <c r="N169" i="12"/>
  <c r="O169" i="12"/>
  <c r="C162" i="12"/>
  <c r="D162" i="12"/>
  <c r="E162" i="12"/>
  <c r="F162" i="12"/>
  <c r="G162" i="12"/>
  <c r="H162" i="12"/>
  <c r="I162" i="12"/>
  <c r="J162" i="12"/>
  <c r="K162" i="12"/>
  <c r="L162" i="12"/>
  <c r="M162" i="12"/>
  <c r="N162" i="12"/>
  <c r="O162" i="12"/>
  <c r="C151" i="12"/>
  <c r="D151" i="12"/>
  <c r="E151" i="12"/>
  <c r="F151" i="12"/>
  <c r="G151" i="12"/>
  <c r="H151" i="12"/>
  <c r="I151" i="12"/>
  <c r="J151" i="12"/>
  <c r="K151" i="12"/>
  <c r="L151" i="12"/>
  <c r="M151" i="12"/>
  <c r="N151" i="12"/>
  <c r="O151" i="12"/>
  <c r="C150" i="12"/>
  <c r="D150" i="12"/>
  <c r="E150" i="12"/>
  <c r="F150" i="12"/>
  <c r="G150" i="12"/>
  <c r="H150" i="12"/>
  <c r="I150" i="12"/>
  <c r="J150" i="12"/>
  <c r="K150" i="12"/>
  <c r="L150" i="12"/>
  <c r="M150" i="12"/>
  <c r="N150" i="12"/>
  <c r="O150" i="12"/>
  <c r="Q149" i="12"/>
  <c r="Q31" i="12"/>
  <c r="Q96" i="12"/>
  <c r="R152" i="12"/>
  <c r="R159" i="12"/>
  <c r="R158" i="12"/>
  <c r="R175" i="12"/>
  <c r="R154" i="12"/>
  <c r="R150" i="12"/>
  <c r="R149" i="12"/>
  <c r="N39" i="12"/>
  <c r="O39" i="12"/>
  <c r="V121" i="12"/>
  <c r="U121" i="12"/>
  <c r="V36" i="12"/>
  <c r="V72" i="12"/>
  <c r="V108" i="12"/>
  <c r="V145" i="12"/>
  <c r="V181" i="12"/>
  <c r="V25" i="12"/>
  <c r="V61" i="12"/>
  <c r="V97" i="12"/>
  <c r="V134" i="12"/>
  <c r="V170" i="12"/>
  <c r="V14" i="12"/>
  <c r="V50" i="12"/>
  <c r="V86" i="12"/>
  <c r="V123" i="12"/>
  <c r="V159" i="12"/>
  <c r="V9" i="12"/>
  <c r="V45" i="12"/>
  <c r="V81" i="12"/>
  <c r="V117" i="12"/>
  <c r="V154" i="12"/>
  <c r="V41" i="12"/>
  <c r="V119" i="12"/>
  <c r="V16" i="12"/>
  <c r="V52" i="12"/>
  <c r="V88" i="12"/>
  <c r="V125" i="12"/>
  <c r="V161" i="12"/>
  <c r="V59" i="12"/>
  <c r="V126" i="12"/>
  <c r="V5" i="12"/>
  <c r="U154" i="12"/>
  <c r="U108" i="12"/>
  <c r="U52" i="12"/>
  <c r="U5" i="12"/>
  <c r="U153" i="12"/>
  <c r="U107" i="12"/>
  <c r="U51" i="12"/>
  <c r="U4" i="12"/>
  <c r="U151" i="12"/>
  <c r="U106" i="12"/>
  <c r="U50" i="12"/>
  <c r="U3" i="12"/>
  <c r="U149" i="12"/>
  <c r="U105" i="12"/>
  <c r="U49" i="12"/>
  <c r="U169" i="12"/>
  <c r="U47" i="12"/>
  <c r="U156" i="12"/>
  <c r="U112" i="12"/>
  <c r="U58" i="12"/>
  <c r="U11" i="12"/>
  <c r="U74" i="12"/>
  <c r="V12" i="12"/>
  <c r="V48" i="12"/>
  <c r="V84" i="12"/>
  <c r="V120" i="12"/>
  <c r="V157" i="12"/>
  <c r="V174" i="12"/>
  <c r="V37" i="12"/>
  <c r="V73" i="12"/>
  <c r="V109" i="12"/>
  <c r="V182" i="12"/>
  <c r="V26" i="12"/>
  <c r="V62" i="12"/>
  <c r="V98" i="12"/>
  <c r="V135" i="12"/>
  <c r="V171" i="12"/>
  <c r="V21" i="12"/>
  <c r="V93" i="12"/>
  <c r="V130" i="12"/>
  <c r="V166" i="12"/>
  <c r="V144" i="12"/>
  <c r="V28" i="12"/>
  <c r="V100" i="12"/>
  <c r="V137" i="12"/>
  <c r="V77" i="12"/>
  <c r="U183" i="12"/>
  <c r="U138" i="12"/>
  <c r="U40" i="12"/>
  <c r="U182" i="12"/>
  <c r="U91" i="12"/>
  <c r="U181" i="12"/>
  <c r="U136" i="12"/>
  <c r="U38" i="12"/>
  <c r="U133" i="12"/>
  <c r="U87" i="12"/>
  <c r="U117" i="12"/>
  <c r="U140" i="12"/>
  <c r="U95" i="12"/>
  <c r="U139" i="12"/>
  <c r="U41" i="12"/>
  <c r="V102" i="12"/>
  <c r="V19" i="12"/>
  <c r="V164" i="12"/>
  <c r="V116" i="12"/>
  <c r="V75" i="12"/>
  <c r="V107" i="12"/>
  <c r="V47" i="12"/>
  <c r="U160" i="12"/>
  <c r="U115" i="12"/>
  <c r="U60" i="12"/>
  <c r="U59" i="12"/>
  <c r="U17" i="12"/>
  <c r="V6" i="12"/>
  <c r="V42" i="12"/>
  <c r="V78" i="12"/>
  <c r="V114" i="12"/>
  <c r="V151" i="12"/>
  <c r="V29" i="12"/>
  <c r="V31" i="12"/>
  <c r="V67" i="12"/>
  <c r="V103" i="12"/>
  <c r="V140" i="12"/>
  <c r="V176" i="12"/>
  <c r="V20" i="12"/>
  <c r="V56" i="12"/>
  <c r="V92" i="12"/>
  <c r="V129" i="12"/>
  <c r="V165" i="12"/>
  <c r="V15" i="12"/>
  <c r="V51" i="12"/>
  <c r="V87" i="12"/>
  <c r="V124" i="12"/>
  <c r="V160" i="12"/>
  <c r="V53" i="12"/>
  <c r="V132" i="12"/>
  <c r="V22" i="12"/>
  <c r="V58" i="12"/>
  <c r="V94" i="12"/>
  <c r="V131" i="12"/>
  <c r="V167" i="12"/>
  <c r="V65" i="12"/>
  <c r="V138" i="12"/>
  <c r="V2" i="12"/>
  <c r="U144" i="12"/>
  <c r="U99" i="12"/>
  <c r="U46" i="12"/>
  <c r="U161" i="12"/>
  <c r="U143" i="12"/>
  <c r="U98" i="12"/>
  <c r="U45" i="12"/>
  <c r="U155" i="12"/>
  <c r="U142" i="12"/>
  <c r="U97" i="12"/>
  <c r="U44" i="12"/>
  <c r="U147" i="12"/>
  <c r="U141" i="12"/>
  <c r="U96" i="12"/>
  <c r="U43" i="12"/>
  <c r="U131" i="12"/>
  <c r="U34" i="12"/>
  <c r="U148" i="12"/>
  <c r="U104" i="12"/>
  <c r="U48" i="12"/>
  <c r="U178" i="12"/>
  <c r="U56" i="12"/>
  <c r="V30" i="12"/>
  <c r="V139" i="12"/>
  <c r="V91" i="12"/>
  <c r="V44" i="12"/>
  <c r="V39" i="12"/>
  <c r="V17" i="12"/>
  <c r="V155" i="12"/>
  <c r="U15" i="12"/>
  <c r="U14" i="12"/>
  <c r="U13" i="12"/>
  <c r="U163" i="12"/>
  <c r="U94" i="12"/>
  <c r="V146" i="12"/>
  <c r="V57" i="12"/>
  <c r="V71" i="12"/>
  <c r="V64" i="12"/>
  <c r="V173" i="12"/>
  <c r="V150" i="12"/>
  <c r="U93" i="12"/>
  <c r="U137" i="12"/>
  <c r="U39" i="12"/>
  <c r="U88" i="12"/>
  <c r="U180" i="12"/>
  <c r="U37" i="12"/>
  <c r="U16" i="12"/>
  <c r="U42" i="12"/>
  <c r="V55" i="12"/>
  <c r="V8" i="12"/>
  <c r="V153" i="12"/>
  <c r="V148" i="12"/>
  <c r="V46" i="12"/>
  <c r="V118" i="12"/>
  <c r="V4" i="12"/>
  <c r="U62" i="12"/>
  <c r="U61" i="12"/>
  <c r="U114" i="12"/>
  <c r="U113" i="12"/>
  <c r="U12" i="12"/>
  <c r="U118" i="12"/>
  <c r="V18" i="12"/>
  <c r="V54" i="12"/>
  <c r="V90" i="12"/>
  <c r="V127" i="12"/>
  <c r="V163" i="12"/>
  <c r="V7" i="12"/>
  <c r="V43" i="12"/>
  <c r="V79" i="12"/>
  <c r="V115" i="12"/>
  <c r="V152" i="12"/>
  <c r="V23" i="12"/>
  <c r="V32" i="12"/>
  <c r="V68" i="12"/>
  <c r="V104" i="12"/>
  <c r="V141" i="12"/>
  <c r="V177" i="12"/>
  <c r="V27" i="12"/>
  <c r="V63" i="12"/>
  <c r="V99" i="12"/>
  <c r="V136" i="12"/>
  <c r="V172" i="12"/>
  <c r="V83" i="12"/>
  <c r="V156" i="12"/>
  <c r="V34" i="12"/>
  <c r="V70" i="12"/>
  <c r="V106" i="12"/>
  <c r="V143" i="12"/>
  <c r="V179" i="12"/>
  <c r="V89" i="12"/>
  <c r="V162" i="12"/>
  <c r="U176" i="12"/>
  <c r="U130" i="12"/>
  <c r="U80" i="12"/>
  <c r="U32" i="12"/>
  <c r="U173" i="12"/>
  <c r="U129" i="12"/>
  <c r="U79" i="12"/>
  <c r="U31" i="12"/>
  <c r="U172" i="12"/>
  <c r="U128" i="12"/>
  <c r="U78" i="12"/>
  <c r="U30" i="12"/>
  <c r="U171" i="12"/>
  <c r="U127" i="12"/>
  <c r="U76" i="12"/>
  <c r="U29" i="12"/>
  <c r="U100" i="12"/>
  <c r="U179" i="12"/>
  <c r="U132" i="12"/>
  <c r="U85" i="12"/>
  <c r="U36" i="12"/>
  <c r="U125" i="12"/>
  <c r="U25" i="12"/>
  <c r="V24" i="12"/>
  <c r="V60" i="12"/>
  <c r="V96" i="12"/>
  <c r="V133" i="12"/>
  <c r="V169" i="12"/>
  <c r="V13" i="12"/>
  <c r="V49" i="12"/>
  <c r="V85" i="12"/>
  <c r="V122" i="12"/>
  <c r="V158" i="12"/>
  <c r="V180" i="12"/>
  <c r="V38" i="12"/>
  <c r="V74" i="12"/>
  <c r="V110" i="12"/>
  <c r="V147" i="12"/>
  <c r="V183" i="12"/>
  <c r="V33" i="12"/>
  <c r="V69" i="12"/>
  <c r="V105" i="12"/>
  <c r="V142" i="12"/>
  <c r="V178" i="12"/>
  <c r="V95" i="12"/>
  <c r="V168" i="12"/>
  <c r="V40" i="12"/>
  <c r="V76" i="12"/>
  <c r="V112" i="12"/>
  <c r="V149" i="12"/>
  <c r="V11" i="12"/>
  <c r="V101" i="12"/>
  <c r="V3" i="12"/>
  <c r="U167" i="12"/>
  <c r="U124" i="12"/>
  <c r="U73" i="12"/>
  <c r="U24" i="12"/>
  <c r="U166" i="12"/>
  <c r="U123" i="12"/>
  <c r="U72" i="12"/>
  <c r="U23" i="12"/>
  <c r="U165" i="12"/>
  <c r="U122" i="12"/>
  <c r="U69" i="12"/>
  <c r="U22" i="12"/>
  <c r="U164" i="12"/>
  <c r="U120" i="12"/>
  <c r="U68" i="12"/>
  <c r="U21" i="12"/>
  <c r="U84" i="12"/>
  <c r="U170" i="12"/>
  <c r="U126" i="12"/>
  <c r="U75" i="12"/>
  <c r="U28" i="12"/>
  <c r="U110" i="12"/>
  <c r="U8" i="12"/>
  <c r="V66" i="12"/>
  <c r="V175" i="12"/>
  <c r="V128" i="12"/>
  <c r="V80" i="12"/>
  <c r="V35" i="12"/>
  <c r="V111" i="12"/>
  <c r="V10" i="12"/>
  <c r="V82" i="12"/>
  <c r="V113" i="12"/>
  <c r="U116" i="12"/>
  <c r="U159" i="12"/>
  <c r="U158" i="12"/>
  <c r="U157" i="12"/>
  <c r="U66" i="12"/>
  <c r="U67" i="12"/>
  <c r="U177" i="12" l="1"/>
  <c r="U135" i="12"/>
  <c r="U92" i="12"/>
  <c r="U86" i="12"/>
  <c r="U26" i="12"/>
  <c r="U20" i="12"/>
  <c r="U2" i="12"/>
  <c r="R29" i="12"/>
  <c r="R66" i="12"/>
  <c r="R65" i="12"/>
  <c r="R64" i="12"/>
  <c r="R183" i="12" l="1"/>
  <c r="B11" i="21"/>
  <c r="B10" i="21"/>
  <c r="B9" i="21"/>
  <c r="B8" i="21"/>
  <c r="R182" i="12"/>
  <c r="J39" i="12" l="1"/>
  <c r="K39" i="12"/>
  <c r="L39" i="12"/>
  <c r="M39" i="12" l="1"/>
  <c r="I39" i="12"/>
  <c r="C39" i="12"/>
  <c r="D39" i="12"/>
  <c r="E39" i="12"/>
  <c r="F39" i="12"/>
  <c r="G39" i="12"/>
  <c r="H39" i="12"/>
  <c r="R147" i="12" l="1"/>
  <c r="R148" i="12"/>
  <c r="R153" i="12"/>
  <c r="R151" i="12"/>
  <c r="R155" i="12"/>
  <c r="R156" i="12"/>
  <c r="R157" i="12"/>
  <c r="R160" i="12"/>
  <c r="R161" i="12"/>
  <c r="R162" i="12"/>
  <c r="R163" i="12"/>
  <c r="R164" i="12"/>
  <c r="R165" i="12"/>
  <c r="R166" i="12"/>
  <c r="R168" i="12"/>
  <c r="R167" i="12"/>
  <c r="R169" i="12"/>
  <c r="R170" i="12"/>
  <c r="R171" i="12"/>
  <c r="R172" i="12"/>
  <c r="R173" i="12"/>
  <c r="R174" i="12"/>
  <c r="R176" i="12"/>
  <c r="R177" i="12"/>
  <c r="R178" i="12"/>
  <c r="R181" i="12"/>
  <c r="R2" i="12"/>
  <c r="R28" i="12"/>
  <c r="R30" i="12"/>
  <c r="R49" i="12"/>
  <c r="R67" i="12"/>
  <c r="R87" i="12"/>
  <c r="R88" i="12"/>
  <c r="R89" i="12"/>
  <c r="R90" i="12"/>
  <c r="R93" i="12"/>
  <c r="R94" i="12"/>
  <c r="R91" i="12"/>
  <c r="R3" i="12"/>
  <c r="R33" i="12"/>
  <c r="R31" i="12"/>
  <c r="R32" i="12"/>
  <c r="R50" i="12"/>
  <c r="R68" i="12"/>
  <c r="R69" i="12"/>
  <c r="R95" i="12"/>
  <c r="R92" i="12"/>
  <c r="R4" i="12"/>
  <c r="R34" i="12"/>
  <c r="R46" i="12"/>
  <c r="R96" i="12"/>
  <c r="R97" i="12"/>
  <c r="R98" i="12"/>
  <c r="R51" i="12"/>
  <c r="R70" i="12"/>
  <c r="R22" i="12"/>
  <c r="R6" i="12"/>
  <c r="R7" i="12"/>
  <c r="R5" i="12"/>
  <c r="R8" i="12"/>
  <c r="R35" i="12"/>
  <c r="R36" i="12"/>
  <c r="R52" i="12"/>
  <c r="R99" i="12"/>
  <c r="R72" i="12"/>
  <c r="R71" i="12"/>
  <c r="R9" i="12"/>
  <c r="R37" i="12"/>
  <c r="R54" i="12"/>
  <c r="R53" i="12"/>
  <c r="R55" i="12"/>
  <c r="R73" i="12"/>
  <c r="R74" i="12"/>
  <c r="R75" i="12"/>
  <c r="R10" i="12"/>
  <c r="R39" i="12"/>
  <c r="R38" i="12"/>
  <c r="R56" i="12"/>
  <c r="R100" i="12"/>
  <c r="R84" i="12"/>
  <c r="R76" i="12"/>
  <c r="R11" i="12"/>
  <c r="R40" i="12"/>
  <c r="R57" i="12"/>
  <c r="R179" i="12"/>
  <c r="R101" i="12"/>
  <c r="R102" i="12"/>
  <c r="R77" i="12"/>
  <c r="R23" i="12"/>
  <c r="R24" i="12"/>
  <c r="R12" i="12"/>
  <c r="R13" i="12"/>
  <c r="R25" i="12"/>
  <c r="R41" i="12"/>
  <c r="R42" i="12"/>
  <c r="R47" i="12"/>
  <c r="R58" i="12"/>
  <c r="R85" i="12"/>
  <c r="R103" i="12"/>
  <c r="R78" i="12"/>
  <c r="R79" i="12"/>
  <c r="R15" i="12"/>
  <c r="R16" i="12"/>
  <c r="R14" i="12"/>
  <c r="R17" i="12"/>
  <c r="R43" i="12"/>
  <c r="R104" i="12"/>
  <c r="R48" i="12"/>
  <c r="R60" i="12"/>
  <c r="R61" i="12"/>
  <c r="R59" i="12"/>
  <c r="R62" i="12"/>
  <c r="R81" i="12"/>
  <c r="R82" i="12"/>
  <c r="R80" i="12"/>
  <c r="R86" i="12"/>
  <c r="R19" i="12"/>
  <c r="R20" i="12"/>
  <c r="R18" i="12"/>
  <c r="R21" i="12"/>
  <c r="R26" i="12"/>
  <c r="R45" i="12"/>
  <c r="R44" i="12"/>
  <c r="R63" i="12"/>
  <c r="R83" i="12"/>
  <c r="R27" i="12"/>
  <c r="R105" i="12"/>
  <c r="R106" i="12"/>
  <c r="R107" i="12"/>
  <c r="R108" i="12"/>
  <c r="R109" i="12"/>
  <c r="R112" i="12"/>
  <c r="R110" i="12"/>
  <c r="R113" i="12"/>
  <c r="R114" i="12"/>
  <c r="R115" i="12"/>
  <c r="R116" i="12"/>
  <c r="R117" i="12"/>
  <c r="R118" i="12"/>
  <c r="R111" i="12"/>
  <c r="R119" i="12"/>
  <c r="R180" i="12"/>
  <c r="R122" i="12"/>
  <c r="R120" i="12"/>
  <c r="R123" i="12"/>
  <c r="R124" i="12"/>
  <c r="R125" i="12"/>
  <c r="R126" i="12"/>
  <c r="R127" i="12"/>
  <c r="R128" i="12"/>
  <c r="R129" i="12"/>
  <c r="R130" i="12"/>
  <c r="R131" i="12"/>
  <c r="R132" i="12"/>
  <c r="R133" i="12"/>
  <c r="R134" i="12"/>
  <c r="R135" i="12"/>
  <c r="R136" i="12"/>
  <c r="R138" i="12"/>
  <c r="R137" i="12"/>
  <c r="R139" i="12"/>
  <c r="R140" i="12"/>
  <c r="R141" i="12"/>
  <c r="R142" i="12"/>
  <c r="R143" i="12"/>
  <c r="R145" i="12"/>
  <c r="R144" i="12"/>
  <c r="R146" i="1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I72_Ing_1" type="6" refreshedVersion="3" background="1" saveData="1">
    <textPr codePage="437" sourceFile="J:\DAT\Icrp72\I72_Ing_1.TXT" delimited="0">
      <textFields count="10">
        <textField/>
        <textField position="9"/>
        <textField position="20"/>
        <textField position="26"/>
        <textField position="33"/>
        <textField position="41"/>
        <textField position="48"/>
        <textField position="56"/>
        <textField position="64"/>
        <textField position="72"/>
      </textFields>
    </textPr>
  </connection>
  <connection id="2" xr16:uid="{00000000-0015-0000-FFFF-FFFF01000000}" name="I72_Inh_2" type="6" refreshedVersion="3" background="1" saveData="1">
    <textPr codePage="437" sourceFile="J:\DAT\Icrp72\I72_Inh_2.TXT" delimited="0">
      <textFields count="11">
        <textField/>
        <textField position="9"/>
        <textField position="20"/>
        <textField position="23"/>
        <textField position="30"/>
        <textField position="38"/>
        <textField position="48"/>
        <textField position="55"/>
        <textField position="63"/>
        <textField position="71"/>
        <textField position="79"/>
      </textFields>
    </textPr>
  </connection>
  <connection id="3" xr16:uid="{00000000-0015-0000-FFFF-FFFF02000000}" name="Table_A111" type="6" refreshedVersion="3" background="1" saveData="1">
    <textPr codePage="437" sourceFile="J:\DAT\Icrp68\Table\Table_A11.TXT" delimited="0">
      <textFields count="10">
        <textField/>
        <textField position="9"/>
        <textField position="20"/>
        <textField position="21"/>
        <textField position="31"/>
        <textField position="41"/>
        <textField position="48"/>
        <textField position="51"/>
        <textField position="58"/>
        <textField position="65"/>
      </textFields>
    </textPr>
  </connection>
  <connection id="4" xr16:uid="{00000000-0015-0000-FFFF-FFFF03000000}" name="Table_A1111" type="6" refreshedVersion="3" background="1" saveData="1">
    <textPr codePage="437" sourceFile="J:\DAT\Icrp68\Table\Table_A11.TXT" delimited="0">
      <textFields count="10">
        <textField/>
        <textField position="9"/>
        <textField position="20"/>
        <textField position="21"/>
        <textField position="31"/>
        <textField position="41"/>
        <textField position="48"/>
        <textField position="51"/>
        <textField position="58"/>
        <textField position="65"/>
      </textFields>
    </textPr>
  </connection>
</connections>
</file>

<file path=xl/sharedStrings.xml><?xml version="1.0" encoding="utf-8"?>
<sst xmlns="http://schemas.openxmlformats.org/spreadsheetml/2006/main" count="10898" uniqueCount="4695">
  <si>
    <t>Isotope</t>
  </si>
  <si>
    <t>H-3</t>
  </si>
  <si>
    <t>C-14</t>
  </si>
  <si>
    <t>NA-22</t>
  </si>
  <si>
    <t>P-32</t>
  </si>
  <si>
    <t>P-33</t>
  </si>
  <si>
    <t>S-35</t>
  </si>
  <si>
    <t>CL-36</t>
  </si>
  <si>
    <t>CA-45</t>
  </si>
  <si>
    <t>CR-51</t>
  </si>
  <si>
    <t>MN-54</t>
  </si>
  <si>
    <t>FE-55</t>
  </si>
  <si>
    <t>CO-57</t>
  </si>
  <si>
    <t>FE-59</t>
  </si>
  <si>
    <t>CO-60</t>
  </si>
  <si>
    <t>NI-63</t>
  </si>
  <si>
    <t>CU-64</t>
  </si>
  <si>
    <t>ZN-65</t>
  </si>
  <si>
    <t>KR-85</t>
  </si>
  <si>
    <t>RB-86</t>
  </si>
  <si>
    <t>Y-90</t>
  </si>
  <si>
    <t>SR-90</t>
  </si>
  <si>
    <t>TC-99</t>
  </si>
  <si>
    <t>TC-99M</t>
  </si>
  <si>
    <t>RH-99</t>
  </si>
  <si>
    <t>I-123</t>
  </si>
  <si>
    <t>I-124</t>
  </si>
  <si>
    <t>I-125</t>
  </si>
  <si>
    <t>I-129</t>
  </si>
  <si>
    <t>XE-131M</t>
  </si>
  <si>
    <t>I-131</t>
  </si>
  <si>
    <t>CS-137</t>
  </si>
  <si>
    <t>BA-137M</t>
  </si>
  <si>
    <t>ND-144</t>
  </si>
  <si>
    <t>SM-148</t>
  </si>
  <si>
    <t>GD-152</t>
  </si>
  <si>
    <t>EU-152</t>
  </si>
  <si>
    <t>TL-206</t>
  </si>
  <si>
    <t>TL-207</t>
  </si>
  <si>
    <t>TL-208</t>
  </si>
  <si>
    <t>PB-209</t>
  </si>
  <si>
    <t>TL-209</t>
  </si>
  <si>
    <t>PO-210</t>
  </si>
  <si>
    <t>BI-210</t>
  </si>
  <si>
    <t>PB-210</t>
  </si>
  <si>
    <t>TL-210</t>
  </si>
  <si>
    <t>PO-211</t>
  </si>
  <si>
    <t>BI-211</t>
  </si>
  <si>
    <t>PB-211</t>
  </si>
  <si>
    <t>PO-212</t>
  </si>
  <si>
    <t>BI-212</t>
  </si>
  <si>
    <t>PB-212</t>
  </si>
  <si>
    <t>PO-213</t>
  </si>
  <si>
    <t>BI-213</t>
  </si>
  <si>
    <t>PO-214</t>
  </si>
  <si>
    <t>BI-214</t>
  </si>
  <si>
    <t>PB-214</t>
  </si>
  <si>
    <t>AT-215</t>
  </si>
  <si>
    <t>PO-215</t>
  </si>
  <si>
    <t>BI-215</t>
  </si>
  <si>
    <t>PO-216</t>
  </si>
  <si>
    <t>RN-217</t>
  </si>
  <si>
    <t>AT-217</t>
  </si>
  <si>
    <t>RN-218</t>
  </si>
  <si>
    <t>AT-218</t>
  </si>
  <si>
    <t>PO-218</t>
  </si>
  <si>
    <t>RN-219</t>
  </si>
  <si>
    <t>AT-219</t>
  </si>
  <si>
    <t>RN-220</t>
  </si>
  <si>
    <t>FR-221</t>
  </si>
  <si>
    <t>RN-222</t>
  </si>
  <si>
    <t>RA-223</t>
  </si>
  <si>
    <t>FR-223</t>
  </si>
  <si>
    <t>RA-224</t>
  </si>
  <si>
    <t>AC-225</t>
  </si>
  <si>
    <t>RA-225</t>
  </si>
  <si>
    <t>RA-226</t>
  </si>
  <si>
    <t>TH-227</t>
  </si>
  <si>
    <t>AC-227</t>
  </si>
  <si>
    <t>TH-228</t>
  </si>
  <si>
    <t>AC-228</t>
  </si>
  <si>
    <t>RA-228</t>
  </si>
  <si>
    <t>TH-229</t>
  </si>
  <si>
    <t>TH-230</t>
  </si>
  <si>
    <t>PA-231</t>
  </si>
  <si>
    <t>TH-231</t>
  </si>
  <si>
    <t>TH-232</t>
  </si>
  <si>
    <t>U-233</t>
  </si>
  <si>
    <t>PA-233</t>
  </si>
  <si>
    <t>U-234</t>
  </si>
  <si>
    <t>PA-234</t>
  </si>
  <si>
    <t>PA-234M</t>
  </si>
  <si>
    <t>TH-234</t>
  </si>
  <si>
    <t>U-235</t>
  </si>
  <si>
    <t>U-236</t>
  </si>
  <si>
    <t>NP-237</t>
  </si>
  <si>
    <t>U-237</t>
  </si>
  <si>
    <t>PU-238</t>
  </si>
  <si>
    <t>U-238</t>
  </si>
  <si>
    <t>PU-239</t>
  </si>
  <si>
    <t>NP-239</t>
  </si>
  <si>
    <t>PU-240</t>
  </si>
  <si>
    <t>AM-241</t>
  </si>
  <si>
    <t>PU-241</t>
  </si>
  <si>
    <t>AM-243</t>
  </si>
  <si>
    <t>CM-243</t>
  </si>
  <si>
    <t>CM-244</t>
  </si>
  <si>
    <t>U-232</t>
  </si>
  <si>
    <t>NI-59</t>
  </si>
  <si>
    <t>SE-79</t>
  </si>
  <si>
    <t>ZR-93</t>
  </si>
  <si>
    <t>NB-93M</t>
  </si>
  <si>
    <t>RU-106</t>
  </si>
  <si>
    <t>RH-106</t>
  </si>
  <si>
    <t>PD-107</t>
  </si>
  <si>
    <t>CD-113M</t>
  </si>
  <si>
    <t>SN-121M</t>
  </si>
  <si>
    <t>SB-125</t>
  </si>
  <si>
    <t>TE-125M</t>
  </si>
  <si>
    <t>SN-126</t>
  </si>
  <si>
    <t>SB-126M</t>
  </si>
  <si>
    <t>SB-126</t>
  </si>
  <si>
    <t>CS-134</t>
  </si>
  <si>
    <t>CS-135</t>
  </si>
  <si>
    <t>CE-144</t>
  </si>
  <si>
    <t>PR-144</t>
  </si>
  <si>
    <t>PM-146</t>
  </si>
  <si>
    <t>PM-147</t>
  </si>
  <si>
    <t>SM-151</t>
  </si>
  <si>
    <t>EU-154</t>
  </si>
  <si>
    <t>EU-155</t>
  </si>
  <si>
    <t>NP-236</t>
  </si>
  <si>
    <t>PU-236</t>
  </si>
  <si>
    <t>PU-242</t>
  </si>
  <si>
    <t>AM-242</t>
  </si>
  <si>
    <t>AM-242M</t>
  </si>
  <si>
    <t>CM-242</t>
  </si>
  <si>
    <t>CM-245</t>
  </si>
  <si>
    <t>CM-246</t>
  </si>
  <si>
    <t>Lambda (/s)</t>
  </si>
  <si>
    <t>Daughter</t>
  </si>
  <si>
    <t>BR</t>
  </si>
  <si>
    <t>END</t>
  </si>
  <si>
    <t>ZN-59</t>
  </si>
  <si>
    <t>CU-59</t>
  </si>
  <si>
    <t>CD-113</t>
  </si>
  <si>
    <t>SN-121</t>
  </si>
  <si>
    <t>SM-146</t>
  </si>
  <si>
    <t>SM-147</t>
  </si>
  <si>
    <t>NP-238</t>
  </si>
  <si>
    <t>Order</t>
  </si>
  <si>
    <t xml:space="preserve"> </t>
  </si>
  <si>
    <t>MASS</t>
  </si>
  <si>
    <t>Nuclide</t>
  </si>
  <si>
    <t>Y-95</t>
  </si>
  <si>
    <t>Y-94</t>
  </si>
  <si>
    <t>Y-93</t>
  </si>
  <si>
    <t>Y-92</t>
  </si>
  <si>
    <t>Y-91</t>
  </si>
  <si>
    <t>Y-88</t>
  </si>
  <si>
    <t>Y-87</t>
  </si>
  <si>
    <t>Y-86</t>
  </si>
  <si>
    <t>W-188</t>
  </si>
  <si>
    <t>W-187</t>
  </si>
  <si>
    <t>W-185</t>
  </si>
  <si>
    <t>W-181</t>
  </si>
  <si>
    <t>W-179</t>
  </si>
  <si>
    <t>W-178</t>
  </si>
  <si>
    <t>W-177</t>
  </si>
  <si>
    <t>W-176</t>
  </si>
  <si>
    <t>V-49</t>
  </si>
  <si>
    <t>V-48</t>
  </si>
  <si>
    <t>V-47</t>
  </si>
  <si>
    <t>U-240</t>
  </si>
  <si>
    <t>U-239</t>
  </si>
  <si>
    <t>U-231</t>
  </si>
  <si>
    <t>U-230</t>
  </si>
  <si>
    <t>K-45</t>
  </si>
  <si>
    <t>K-44</t>
  </si>
  <si>
    <t>K-43</t>
  </si>
  <si>
    <t>K-42</t>
  </si>
  <si>
    <t>K-40</t>
  </si>
  <si>
    <t>I-135</t>
  </si>
  <si>
    <t>I-134</t>
  </si>
  <si>
    <t>I-133</t>
  </si>
  <si>
    <t>I-132</t>
  </si>
  <si>
    <t>I-130</t>
  </si>
  <si>
    <t>I-128</t>
  </si>
  <si>
    <t>I-126</t>
  </si>
  <si>
    <t>I-121</t>
  </si>
  <si>
    <t>I-120</t>
  </si>
  <si>
    <t>F-18</t>
  </si>
  <si>
    <t>S5</t>
  </si>
  <si>
    <t>S1</t>
  </si>
  <si>
    <t>M5</t>
  </si>
  <si>
    <t>M1</t>
  </si>
  <si>
    <t>F5</t>
  </si>
  <si>
    <t>F1</t>
  </si>
  <si>
    <t>C-11</t>
  </si>
  <si>
    <t>Sv/Bq</t>
  </si>
  <si>
    <t>Adult</t>
  </si>
  <si>
    <t>AC-224</t>
  </si>
  <si>
    <t>AC-226</t>
  </si>
  <si>
    <t>AG-102</t>
  </si>
  <si>
    <t>AG-103</t>
  </si>
  <si>
    <t>AG-104</t>
  </si>
  <si>
    <t>AG-104M</t>
  </si>
  <si>
    <t>AG-105</t>
  </si>
  <si>
    <t>AG-106</t>
  </si>
  <si>
    <t>AG-106M</t>
  </si>
  <si>
    <t>AG-108M</t>
  </si>
  <si>
    <t>AG-110M</t>
  </si>
  <si>
    <t>AG-111</t>
  </si>
  <si>
    <t>AG-112</t>
  </si>
  <si>
    <t>AG-115</t>
  </si>
  <si>
    <t>AL-26</t>
  </si>
  <si>
    <t>AM-237</t>
  </si>
  <si>
    <t>AM-238</t>
  </si>
  <si>
    <t>AM-239</t>
  </si>
  <si>
    <t>AM-240</t>
  </si>
  <si>
    <t>AM-244</t>
  </si>
  <si>
    <t>AM-244M</t>
  </si>
  <si>
    <t>AM-245</t>
  </si>
  <si>
    <t>AM-246</t>
  </si>
  <si>
    <t>AM-246M</t>
  </si>
  <si>
    <t>AS-69</t>
  </si>
  <si>
    <t>AS-70</t>
  </si>
  <si>
    <t>AS-71</t>
  </si>
  <si>
    <t>AS-72</t>
  </si>
  <si>
    <t>AS-73</t>
  </si>
  <si>
    <t>AS-74</t>
  </si>
  <si>
    <t>AS-76</t>
  </si>
  <si>
    <t>AS-77</t>
  </si>
  <si>
    <t>AS-78</t>
  </si>
  <si>
    <t>AT-207</t>
  </si>
  <si>
    <t>AT-211</t>
  </si>
  <si>
    <t>AU-193</t>
  </si>
  <si>
    <t>AU-194</t>
  </si>
  <si>
    <t>AU-195</t>
  </si>
  <si>
    <t>AU-198</t>
  </si>
  <si>
    <t>AU-198M</t>
  </si>
  <si>
    <t>AU-199</t>
  </si>
  <si>
    <t>AU-200</t>
  </si>
  <si>
    <t>AU-200M</t>
  </si>
  <si>
    <t>AU-201</t>
  </si>
  <si>
    <t>BA-126</t>
  </si>
  <si>
    <t>BA-128</t>
  </si>
  <si>
    <t>BA-131</t>
  </si>
  <si>
    <t>BA-131M</t>
  </si>
  <si>
    <t>BA-133</t>
  </si>
  <si>
    <t>BA-133M</t>
  </si>
  <si>
    <t>BA-135M</t>
  </si>
  <si>
    <t>BA-139</t>
  </si>
  <si>
    <t>BA-140</t>
  </si>
  <si>
    <t>BA-141</t>
  </si>
  <si>
    <t>BA-142</t>
  </si>
  <si>
    <t>BE-10</t>
  </si>
  <si>
    <t>BE-7</t>
  </si>
  <si>
    <t>BI-200</t>
  </si>
  <si>
    <t>BI-201</t>
  </si>
  <si>
    <t>BI-202</t>
  </si>
  <si>
    <t>BI-203</t>
  </si>
  <si>
    <t>BI-205</t>
  </si>
  <si>
    <t>BI-206</t>
  </si>
  <si>
    <t>BI-207</t>
  </si>
  <si>
    <t>BI-210M</t>
  </si>
  <si>
    <t>BK-245</t>
  </si>
  <si>
    <t>BK-246</t>
  </si>
  <si>
    <t>BK-247</t>
  </si>
  <si>
    <t>BK-249</t>
  </si>
  <si>
    <t>BK-250</t>
  </si>
  <si>
    <t>BR-74</t>
  </si>
  <si>
    <t>BR-74M</t>
  </si>
  <si>
    <t>BR-75</t>
  </si>
  <si>
    <t>BR-76</t>
  </si>
  <si>
    <t>BR-77</t>
  </si>
  <si>
    <t>BR-80</t>
  </si>
  <si>
    <t>BR-80M</t>
  </si>
  <si>
    <t>BR-82</t>
  </si>
  <si>
    <t>BR-83</t>
  </si>
  <si>
    <t>BR-84</t>
  </si>
  <si>
    <t>CA-41</t>
  </si>
  <si>
    <t>CA-47</t>
  </si>
  <si>
    <t>CD-104</t>
  </si>
  <si>
    <t>CD-107</t>
  </si>
  <si>
    <t>CD-109</t>
  </si>
  <si>
    <t>CD-115</t>
  </si>
  <si>
    <t>CD-115M</t>
  </si>
  <si>
    <t>CD-117</t>
  </si>
  <si>
    <t>CD-117M</t>
  </si>
  <si>
    <t>CE-134</t>
  </si>
  <si>
    <t>CE-135</t>
  </si>
  <si>
    <t>CE-137</t>
  </si>
  <si>
    <t>CE-137M</t>
  </si>
  <si>
    <t>CE-139</t>
  </si>
  <si>
    <t>CE-141</t>
  </si>
  <si>
    <t>CE-143</t>
  </si>
  <si>
    <t>CF-244</t>
  </si>
  <si>
    <t>CF-246</t>
  </si>
  <si>
    <t>CF-248</t>
  </si>
  <si>
    <t>CF-249</t>
  </si>
  <si>
    <t>CF-250</t>
  </si>
  <si>
    <t>CF-251</t>
  </si>
  <si>
    <t>CF-252</t>
  </si>
  <si>
    <t>CF-253</t>
  </si>
  <si>
    <t>CF-254</t>
  </si>
  <si>
    <t>CL-38</t>
  </si>
  <si>
    <t>CL-39</t>
  </si>
  <si>
    <t>CM-238</t>
  </si>
  <si>
    <t>CM-240</t>
  </si>
  <si>
    <t>CM-241</t>
  </si>
  <si>
    <t>CM-247</t>
  </si>
  <si>
    <t>CM-248</t>
  </si>
  <si>
    <t>CM-249</t>
  </si>
  <si>
    <t>CM-250</t>
  </si>
  <si>
    <t>CO-55</t>
  </si>
  <si>
    <t>CO-56</t>
  </si>
  <si>
    <t>CO-58</t>
  </si>
  <si>
    <t>CO-58M</t>
  </si>
  <si>
    <t>CO-60M</t>
  </si>
  <si>
    <t>CO-61</t>
  </si>
  <si>
    <t>CO-62M</t>
  </si>
  <si>
    <t>CR-48</t>
  </si>
  <si>
    <t>CR-49</t>
  </si>
  <si>
    <t>CS-125</t>
  </si>
  <si>
    <t>CS-127</t>
  </si>
  <si>
    <t>CS-129</t>
  </si>
  <si>
    <t>CS-130</t>
  </si>
  <si>
    <t>CS-131</t>
  </si>
  <si>
    <t>CS-132</t>
  </si>
  <si>
    <t>CS-134M</t>
  </si>
  <si>
    <t>CS-135M</t>
  </si>
  <si>
    <t>CS-136</t>
  </si>
  <si>
    <t>CS-138</t>
  </si>
  <si>
    <t>CU-60</t>
  </si>
  <si>
    <t>CU-61</t>
  </si>
  <si>
    <t>CU-67</t>
  </si>
  <si>
    <t>DY-155</t>
  </si>
  <si>
    <t>DY-157</t>
  </si>
  <si>
    <t>DY-159</t>
  </si>
  <si>
    <t>DY-165</t>
  </si>
  <si>
    <t>DY-166</t>
  </si>
  <si>
    <t>ER-161</t>
  </si>
  <si>
    <t>ER-165</t>
  </si>
  <si>
    <t>ER-169</t>
  </si>
  <si>
    <t>ER-171</t>
  </si>
  <si>
    <t>ER-172</t>
  </si>
  <si>
    <t>ES-250M</t>
  </si>
  <si>
    <t>ES-251</t>
  </si>
  <si>
    <t>ES-253</t>
  </si>
  <si>
    <t>ES-254</t>
  </si>
  <si>
    <t>ES-254M</t>
  </si>
  <si>
    <t>EU-145</t>
  </si>
  <si>
    <t>EU-146</t>
  </si>
  <si>
    <t>EU-147</t>
  </si>
  <si>
    <t>EU-148</t>
  </si>
  <si>
    <t>EU-149</t>
  </si>
  <si>
    <t>EU-150</t>
  </si>
  <si>
    <t>EU-150M</t>
  </si>
  <si>
    <t>EU-152M</t>
  </si>
  <si>
    <t>EU-156</t>
  </si>
  <si>
    <t>EU-157</t>
  </si>
  <si>
    <t>EU-158</t>
  </si>
  <si>
    <t>FE-52</t>
  </si>
  <si>
    <t>FE-60</t>
  </si>
  <si>
    <t>FM-252</t>
  </si>
  <si>
    <t>FM-253</t>
  </si>
  <si>
    <t>FM-254</t>
  </si>
  <si>
    <t>FM-255</t>
  </si>
  <si>
    <t>FM-257</t>
  </si>
  <si>
    <t>FR-222</t>
  </si>
  <si>
    <t>GA-65</t>
  </si>
  <si>
    <t>GA-66</t>
  </si>
  <si>
    <t>GA-67</t>
  </si>
  <si>
    <t>GA-68</t>
  </si>
  <si>
    <t>GA-70</t>
  </si>
  <si>
    <t>GA-72</t>
  </si>
  <si>
    <t>GA-73</t>
  </si>
  <si>
    <t>GD-145</t>
  </si>
  <si>
    <t>GD-146</t>
  </si>
  <si>
    <t>GD-147</t>
  </si>
  <si>
    <t>GD-148</t>
  </si>
  <si>
    <t>GD-149</t>
  </si>
  <si>
    <t>GD-151</t>
  </si>
  <si>
    <t>GD-153</t>
  </si>
  <si>
    <t>GD-159</t>
  </si>
  <si>
    <t>GE-66</t>
  </si>
  <si>
    <t>GE-67</t>
  </si>
  <si>
    <t>GE-68</t>
  </si>
  <si>
    <t>GE-69</t>
  </si>
  <si>
    <t>GE-71</t>
  </si>
  <si>
    <t>GE-75</t>
  </si>
  <si>
    <t>GE-77</t>
  </si>
  <si>
    <t>GE-78</t>
  </si>
  <si>
    <t>HF-170</t>
  </si>
  <si>
    <t>HF-172</t>
  </si>
  <si>
    <t>HF-173</t>
  </si>
  <si>
    <t>HF-175</t>
  </si>
  <si>
    <t>HF-177M</t>
  </si>
  <si>
    <t>HF-178M</t>
  </si>
  <si>
    <t>HF-179M</t>
  </si>
  <si>
    <t>HF-180M</t>
  </si>
  <si>
    <t>HF-181</t>
  </si>
  <si>
    <t>HF-182</t>
  </si>
  <si>
    <t>HF-182M</t>
  </si>
  <si>
    <t>HF-183</t>
  </si>
  <si>
    <t>HF-184</t>
  </si>
  <si>
    <t>HG-193</t>
  </si>
  <si>
    <t>HG-193M</t>
  </si>
  <si>
    <t>HG-194</t>
  </si>
  <si>
    <t>HG-195</t>
  </si>
  <si>
    <t>HG-195M</t>
  </si>
  <si>
    <t>HG-197</t>
  </si>
  <si>
    <t>HG-197M</t>
  </si>
  <si>
    <t>HG-199M</t>
  </si>
  <si>
    <t>HG-203</t>
  </si>
  <si>
    <t>HO-155</t>
  </si>
  <si>
    <t>HO-157</t>
  </si>
  <si>
    <t>HO-159</t>
  </si>
  <si>
    <t>HO-161</t>
  </si>
  <si>
    <t>HO-162</t>
  </si>
  <si>
    <t>HO-162M</t>
  </si>
  <si>
    <t>HO-164</t>
  </si>
  <si>
    <t>HO-164M</t>
  </si>
  <si>
    <t>HO-166</t>
  </si>
  <si>
    <t>HO-166M</t>
  </si>
  <si>
    <t>HO-167</t>
  </si>
  <si>
    <t>I-120M</t>
  </si>
  <si>
    <t>I-132M</t>
  </si>
  <si>
    <t>IN-109</t>
  </si>
  <si>
    <t>IN-110</t>
  </si>
  <si>
    <t>IN-110M</t>
  </si>
  <si>
    <t>IN-111</t>
  </si>
  <si>
    <t>IN-112</t>
  </si>
  <si>
    <t>IN-113M</t>
  </si>
  <si>
    <t>IN-114M</t>
  </si>
  <si>
    <t>IN-115</t>
  </si>
  <si>
    <t>IN-115M</t>
  </si>
  <si>
    <t>IN-116M</t>
  </si>
  <si>
    <t>IN-117</t>
  </si>
  <si>
    <t>IN-117M</t>
  </si>
  <si>
    <t>IN-119M</t>
  </si>
  <si>
    <t>IR-182</t>
  </si>
  <si>
    <t>IR-184</t>
  </si>
  <si>
    <t>IR-185</t>
  </si>
  <si>
    <t>IR-186</t>
  </si>
  <si>
    <t>IR-186M</t>
  </si>
  <si>
    <t>IR-187</t>
  </si>
  <si>
    <t>IR-188</t>
  </si>
  <si>
    <t>IR-189</t>
  </si>
  <si>
    <t>IR-190</t>
  </si>
  <si>
    <t>IR-190M</t>
  </si>
  <si>
    <t>IR-190N</t>
  </si>
  <si>
    <t>IR-192</t>
  </si>
  <si>
    <t>IR-192N</t>
  </si>
  <si>
    <t>IR-193M</t>
  </si>
  <si>
    <t>IR-194</t>
  </si>
  <si>
    <t>IR-194M</t>
  </si>
  <si>
    <t>IR-195</t>
  </si>
  <si>
    <t>IR-195M</t>
  </si>
  <si>
    <t>LA-131</t>
  </si>
  <si>
    <t>LA-132</t>
  </si>
  <si>
    <t>LA-135</t>
  </si>
  <si>
    <t>LA-137</t>
  </si>
  <si>
    <t>LA-138</t>
  </si>
  <si>
    <t>LA-140</t>
  </si>
  <si>
    <t>LA-141</t>
  </si>
  <si>
    <t>LA-142</t>
  </si>
  <si>
    <t>LA-143</t>
  </si>
  <si>
    <t>LU-169</t>
  </si>
  <si>
    <t>LU-170</t>
  </si>
  <si>
    <t>LU-171</t>
  </si>
  <si>
    <t>LU-172</t>
  </si>
  <si>
    <t>LU-173</t>
  </si>
  <si>
    <t>LU-174</t>
  </si>
  <si>
    <t>LU-174M</t>
  </si>
  <si>
    <t>LU-176</t>
  </si>
  <si>
    <t>LU-176M</t>
  </si>
  <si>
    <t>LU-177</t>
  </si>
  <si>
    <t>LU-177M</t>
  </si>
  <si>
    <t>LU-178</t>
  </si>
  <si>
    <t>LU-178M</t>
  </si>
  <si>
    <t>LU-179</t>
  </si>
  <si>
    <t>MD-257</t>
  </si>
  <si>
    <t>MD-258</t>
  </si>
  <si>
    <t>MG-28</t>
  </si>
  <si>
    <t>MN-51</t>
  </si>
  <si>
    <t>MN-52</t>
  </si>
  <si>
    <t>MN-52M</t>
  </si>
  <si>
    <t>MN-53</t>
  </si>
  <si>
    <t>MN-56</t>
  </si>
  <si>
    <t>MO-101</t>
  </si>
  <si>
    <t>MO-90</t>
  </si>
  <si>
    <t>MO-93</t>
  </si>
  <si>
    <t>MO-93M</t>
  </si>
  <si>
    <t>MO-99</t>
  </si>
  <si>
    <t>NA-24</t>
  </si>
  <si>
    <t>NB-88</t>
  </si>
  <si>
    <t>NB-89</t>
  </si>
  <si>
    <t>NB-89M</t>
  </si>
  <si>
    <t>NB-90</t>
  </si>
  <si>
    <t>NB-94</t>
  </si>
  <si>
    <t>NB-95</t>
  </si>
  <si>
    <t>NB-95M</t>
  </si>
  <si>
    <t>NB-96</t>
  </si>
  <si>
    <t>NB-97</t>
  </si>
  <si>
    <t>NB-98M</t>
  </si>
  <si>
    <t>ND-136</t>
  </si>
  <si>
    <t>ND-138</t>
  </si>
  <si>
    <t>ND-139</t>
  </si>
  <si>
    <t>ND-139M</t>
  </si>
  <si>
    <t>ND-141</t>
  </si>
  <si>
    <t>ND-147</t>
  </si>
  <si>
    <t>ND-149</t>
  </si>
  <si>
    <t>ND-151</t>
  </si>
  <si>
    <t>NI-56</t>
  </si>
  <si>
    <t>NI-57</t>
  </si>
  <si>
    <t>NI-65</t>
  </si>
  <si>
    <t>NI-66</t>
  </si>
  <si>
    <t>NP-232</t>
  </si>
  <si>
    <t>NP-233</t>
  </si>
  <si>
    <t>NP-234</t>
  </si>
  <si>
    <t>NP-235</t>
  </si>
  <si>
    <t>NP-236M</t>
  </si>
  <si>
    <t>NP-240</t>
  </si>
  <si>
    <t>OS-180</t>
  </si>
  <si>
    <t>OS-181</t>
  </si>
  <si>
    <t>OS-182</t>
  </si>
  <si>
    <t>OS-185</t>
  </si>
  <si>
    <t>OS-189M</t>
  </si>
  <si>
    <t>OS-191</t>
  </si>
  <si>
    <t>OS-191M</t>
  </si>
  <si>
    <t>OS-193</t>
  </si>
  <si>
    <t>OS-194</t>
  </si>
  <si>
    <t>PA-227</t>
  </si>
  <si>
    <t>PA-228</t>
  </si>
  <si>
    <t>PA-230</t>
  </si>
  <si>
    <t>PA-232</t>
  </si>
  <si>
    <t>PB-195M</t>
  </si>
  <si>
    <t>PB-198</t>
  </si>
  <si>
    <t>PB-199</t>
  </si>
  <si>
    <t>PB-200</t>
  </si>
  <si>
    <t>PB-201</t>
  </si>
  <si>
    <t>PB-202</t>
  </si>
  <si>
    <t>PB-202M</t>
  </si>
  <si>
    <t>PB-203</t>
  </si>
  <si>
    <t>PB-205</t>
  </si>
  <si>
    <t>PD-100</t>
  </si>
  <si>
    <t>PD-101</t>
  </si>
  <si>
    <t>PD-103</t>
  </si>
  <si>
    <t>PD-109</t>
  </si>
  <si>
    <t>PM-141</t>
  </si>
  <si>
    <t>PM-143</t>
  </si>
  <si>
    <t>PM-144</t>
  </si>
  <si>
    <t>PM-145</t>
  </si>
  <si>
    <t>PM-148</t>
  </si>
  <si>
    <t>PM-148M</t>
  </si>
  <si>
    <t>PM-149</t>
  </si>
  <si>
    <t>PM-150</t>
  </si>
  <si>
    <t>PM-151</t>
  </si>
  <si>
    <t>PO-203</t>
  </si>
  <si>
    <t>PO-205</t>
  </si>
  <si>
    <t>PO-207</t>
  </si>
  <si>
    <t>PR-136</t>
  </si>
  <si>
    <t>PR-137</t>
  </si>
  <si>
    <t>PR-138M</t>
  </si>
  <si>
    <t>PR-139</t>
  </si>
  <si>
    <t>PR-142</t>
  </si>
  <si>
    <t>PR-142M</t>
  </si>
  <si>
    <t>PR-143</t>
  </si>
  <si>
    <t>PR-145</t>
  </si>
  <si>
    <t>PR-147</t>
  </si>
  <si>
    <t>PT-186</t>
  </si>
  <si>
    <t>PT-188</t>
  </si>
  <si>
    <t>PT-189</t>
  </si>
  <si>
    <t>PT-191</t>
  </si>
  <si>
    <t>PT-193</t>
  </si>
  <si>
    <t>PT-193M</t>
  </si>
  <si>
    <t>PT-195M</t>
  </si>
  <si>
    <t>PT-197</t>
  </si>
  <si>
    <t>PT-197M</t>
  </si>
  <si>
    <t>PT-199</t>
  </si>
  <si>
    <t>PT-200</t>
  </si>
  <si>
    <t>PU-234</t>
  </si>
  <si>
    <t>PU-235</t>
  </si>
  <si>
    <t>PU-237</t>
  </si>
  <si>
    <t>PU-243</t>
  </si>
  <si>
    <t>PU-244</t>
  </si>
  <si>
    <t>PU-245</t>
  </si>
  <si>
    <t>PU-246</t>
  </si>
  <si>
    <t>RA-227</t>
  </si>
  <si>
    <t>RB-79</t>
  </si>
  <si>
    <t>RB-81</t>
  </si>
  <si>
    <t>RB-81M</t>
  </si>
  <si>
    <t>RB-82M</t>
  </si>
  <si>
    <t>RB-83</t>
  </si>
  <si>
    <t>RB-84</t>
  </si>
  <si>
    <t>RB-87</t>
  </si>
  <si>
    <t>RB-88</t>
  </si>
  <si>
    <t>RB-89</t>
  </si>
  <si>
    <t>RE-177</t>
  </si>
  <si>
    <t>RE-178</t>
  </si>
  <si>
    <t>RE-181</t>
  </si>
  <si>
    <t>RE-182</t>
  </si>
  <si>
    <t>RE-182M</t>
  </si>
  <si>
    <t>RE-184</t>
  </si>
  <si>
    <t>RE-184M</t>
  </si>
  <si>
    <t>RE-186</t>
  </si>
  <si>
    <t>RE-186M</t>
  </si>
  <si>
    <t>RE-187</t>
  </si>
  <si>
    <t>RE-188</t>
  </si>
  <si>
    <t>RE-188M</t>
  </si>
  <si>
    <t>RE-189</t>
  </si>
  <si>
    <t>RH-100</t>
  </si>
  <si>
    <t>RH-101</t>
  </si>
  <si>
    <t>RH-101M</t>
  </si>
  <si>
    <t>RH-102</t>
  </si>
  <si>
    <t>RH-102M</t>
  </si>
  <si>
    <t>RH-103M</t>
  </si>
  <si>
    <t>RH-105</t>
  </si>
  <si>
    <t>RH-106M</t>
  </si>
  <si>
    <t>RH-107</t>
  </si>
  <si>
    <t>RH-99M</t>
  </si>
  <si>
    <t>RU-103</t>
  </si>
  <si>
    <t>RU-105</t>
  </si>
  <si>
    <t>RU-94</t>
  </si>
  <si>
    <t>RU-97</t>
  </si>
  <si>
    <t>SB-115</t>
  </si>
  <si>
    <t>SB-116</t>
  </si>
  <si>
    <t>SB-116M</t>
  </si>
  <si>
    <t>SB-117</t>
  </si>
  <si>
    <t>SB-118M</t>
  </si>
  <si>
    <t>SB-119</t>
  </si>
  <si>
    <t>SB-120</t>
  </si>
  <si>
    <t>SB-120M</t>
  </si>
  <si>
    <t>SB-122</t>
  </si>
  <si>
    <t>SB-124</t>
  </si>
  <si>
    <t>SB-124N</t>
  </si>
  <si>
    <t>SB-127</t>
  </si>
  <si>
    <t>SB-128</t>
  </si>
  <si>
    <t>SB-128M</t>
  </si>
  <si>
    <t>SB-129</t>
  </si>
  <si>
    <t>SB-130</t>
  </si>
  <si>
    <t>SB-131</t>
  </si>
  <si>
    <t>SC-43</t>
  </si>
  <si>
    <t>SC-44</t>
  </si>
  <si>
    <t>SC-44M</t>
  </si>
  <si>
    <t>SC-46</t>
  </si>
  <si>
    <t>SC-47</t>
  </si>
  <si>
    <t>SC-48</t>
  </si>
  <si>
    <t>SC-49</t>
  </si>
  <si>
    <t>SE-70</t>
  </si>
  <si>
    <t>SE-73</t>
  </si>
  <si>
    <t>SE-73M</t>
  </si>
  <si>
    <t>SE-75</t>
  </si>
  <si>
    <t>SE-81</t>
  </si>
  <si>
    <t>SE-81M</t>
  </si>
  <si>
    <t>SE-83</t>
  </si>
  <si>
    <t>SI-31</t>
  </si>
  <si>
    <t>SI-32</t>
  </si>
  <si>
    <t>SM-141</t>
  </si>
  <si>
    <t>SM-141M</t>
  </si>
  <si>
    <t>SM-142</t>
  </si>
  <si>
    <t>SM-145</t>
  </si>
  <si>
    <t>SM-153</t>
  </si>
  <si>
    <t>SM-155</t>
  </si>
  <si>
    <t>SM-156</t>
  </si>
  <si>
    <t>SN-110</t>
  </si>
  <si>
    <t>SN-111</t>
  </si>
  <si>
    <t>SN-113</t>
  </si>
  <si>
    <t>SN-117M</t>
  </si>
  <si>
    <t>SN-119M</t>
  </si>
  <si>
    <t>SN-123</t>
  </si>
  <si>
    <t>SN-123M</t>
  </si>
  <si>
    <t>SN-125</t>
  </si>
  <si>
    <t>SN-127</t>
  </si>
  <si>
    <t>SN-128</t>
  </si>
  <si>
    <t>SR-80</t>
  </si>
  <si>
    <t>SR-81</t>
  </si>
  <si>
    <t>SR-82</t>
  </si>
  <si>
    <t>SR-83</t>
  </si>
  <si>
    <t>SR-85</t>
  </si>
  <si>
    <t>SR-85M</t>
  </si>
  <si>
    <t>SR-87M</t>
  </si>
  <si>
    <t>SR-89</t>
  </si>
  <si>
    <t>SR-91</t>
  </si>
  <si>
    <t>SR-92</t>
  </si>
  <si>
    <t>TA-172</t>
  </si>
  <si>
    <t>TA-173</t>
  </si>
  <si>
    <t>TA-174</t>
  </si>
  <si>
    <t>TA-175</t>
  </si>
  <si>
    <t>TA-176</t>
  </si>
  <si>
    <t>TA-177</t>
  </si>
  <si>
    <t>TA-178M</t>
  </si>
  <si>
    <t>TA-179</t>
  </si>
  <si>
    <t>TA-180</t>
  </si>
  <si>
    <t>TA-182</t>
  </si>
  <si>
    <t>TA-183</t>
  </si>
  <si>
    <t>TA-184</t>
  </si>
  <si>
    <t>TA-185</t>
  </si>
  <si>
    <t>TA-186</t>
  </si>
  <si>
    <t>TB-147</t>
  </si>
  <si>
    <t>TB-149</t>
  </si>
  <si>
    <t>TB-150</t>
  </si>
  <si>
    <t>TB-151</t>
  </si>
  <si>
    <t>TB-153</t>
  </si>
  <si>
    <t>TB-154</t>
  </si>
  <si>
    <t>TB-155</t>
  </si>
  <si>
    <t>TB-156</t>
  </si>
  <si>
    <t>TB-156M</t>
  </si>
  <si>
    <t>TB-156N</t>
  </si>
  <si>
    <t>TB-157</t>
  </si>
  <si>
    <t>TB-158</t>
  </si>
  <si>
    <t>TB-160</t>
  </si>
  <si>
    <t>TB-161</t>
  </si>
  <si>
    <t>TC-101</t>
  </si>
  <si>
    <t>TC-104</t>
  </si>
  <si>
    <t>TC-93</t>
  </si>
  <si>
    <t>TC-93M</t>
  </si>
  <si>
    <t>TC-94</t>
  </si>
  <si>
    <t>TC-94M</t>
  </si>
  <si>
    <t>TC-95</t>
  </si>
  <si>
    <t>TC-95M</t>
  </si>
  <si>
    <t>TC-96</t>
  </si>
  <si>
    <t>TC-96M</t>
  </si>
  <si>
    <t>TC-97</t>
  </si>
  <si>
    <t>TC-97M</t>
  </si>
  <si>
    <t>TC-98</t>
  </si>
  <si>
    <t>TE-116</t>
  </si>
  <si>
    <t>TE-121</t>
  </si>
  <si>
    <t>TE-121M</t>
  </si>
  <si>
    <t>TE-123</t>
  </si>
  <si>
    <t>TE-123M</t>
  </si>
  <si>
    <t>TE-127</t>
  </si>
  <si>
    <t>TE-127M</t>
  </si>
  <si>
    <t>TE-129</t>
  </si>
  <si>
    <t>TE-129M</t>
  </si>
  <si>
    <t>TE-131</t>
  </si>
  <si>
    <t>TE-131M</t>
  </si>
  <si>
    <t>TE-132</t>
  </si>
  <si>
    <t>TE-133</t>
  </si>
  <si>
    <t>TE-133M</t>
  </si>
  <si>
    <t>TE-134</t>
  </si>
  <si>
    <t>TH-226</t>
  </si>
  <si>
    <t>TI-44</t>
  </si>
  <si>
    <t>TI-45</t>
  </si>
  <si>
    <t>TL-194</t>
  </si>
  <si>
    <t>TL-194M</t>
  </si>
  <si>
    <t>TL-195</t>
  </si>
  <si>
    <t>TL-197</t>
  </si>
  <si>
    <t>TL-198</t>
  </si>
  <si>
    <t>TL-198M</t>
  </si>
  <si>
    <t>TL-199</t>
  </si>
  <si>
    <t>TL-200</t>
  </si>
  <si>
    <t>TL-201</t>
  </si>
  <si>
    <t>TL-202</t>
  </si>
  <si>
    <t>TL-204</t>
  </si>
  <si>
    <t>TM-162</t>
  </si>
  <si>
    <t>TM-166</t>
  </si>
  <si>
    <t>TM-167</t>
  </si>
  <si>
    <t>TM-170</t>
  </si>
  <si>
    <t>TM-171</t>
  </si>
  <si>
    <t>TM-172</t>
  </si>
  <si>
    <t>TM-173</t>
  </si>
  <si>
    <t>TM-175</t>
  </si>
  <si>
    <t>Y-86M</t>
  </si>
  <si>
    <t>Y-90M</t>
  </si>
  <si>
    <t>Y-91M</t>
  </si>
  <si>
    <t>YB-162</t>
  </si>
  <si>
    <t>YB-166</t>
  </si>
  <si>
    <t>YB-167</t>
  </si>
  <si>
    <t>YB-169</t>
  </si>
  <si>
    <t>YB-175</t>
  </si>
  <si>
    <t>YB-177</t>
  </si>
  <si>
    <t>YB-178</t>
  </si>
  <si>
    <t>ZN-62</t>
  </si>
  <si>
    <t>ZN-63</t>
  </si>
  <si>
    <t>ZN-69</t>
  </si>
  <si>
    <t>ZN-69M</t>
  </si>
  <si>
    <t>ZN-71M</t>
  </si>
  <si>
    <t>ZN-72</t>
  </si>
  <si>
    <t>ZR-86</t>
  </si>
  <si>
    <t>ZR-88</t>
  </si>
  <si>
    <t>ZR-89</t>
  </si>
  <si>
    <t>ZR-95</t>
  </si>
  <si>
    <t>ZR-97</t>
  </si>
  <si>
    <t>TA-182M</t>
  </si>
  <si>
    <t>68inhF1 (Sv/Bq)</t>
  </si>
  <si>
    <t>68inhF5 (Sv/Bq)</t>
  </si>
  <si>
    <t>68inhM1 (Sv/Bq)</t>
  </si>
  <si>
    <t>68inhM5 (Sv/Bq)</t>
  </si>
  <si>
    <t>68inhS1 (Sv/Bq)</t>
  </si>
  <si>
    <t>68inhS5 (Sv/Bq)</t>
  </si>
  <si>
    <t>68ing (Sv/Bq)</t>
  </si>
  <si>
    <t>72inhF1 (Sv/Bq)</t>
  </si>
  <si>
    <t>72inhM1 (Sv/Bq)</t>
  </si>
  <si>
    <t>72inhS1 (Sv/Bq)</t>
  </si>
  <si>
    <t>72ing (Sv/Bq)</t>
  </si>
  <si>
    <t>days/year</t>
  </si>
  <si>
    <t>hours/day</t>
  </si>
  <si>
    <t>minutes/hour</t>
  </si>
  <si>
    <t>seconds/minute</t>
  </si>
  <si>
    <t>Years to Seconds</t>
  </si>
  <si>
    <t>Days to Seconds</t>
  </si>
  <si>
    <t>Hours to Seconds</t>
  </si>
  <si>
    <t>Multiply by</t>
  </si>
  <si>
    <t>Minutes to Seconds</t>
  </si>
  <si>
    <t>A1 (TBq)</t>
  </si>
  <si>
    <t>A2 (TBq)</t>
  </si>
  <si>
    <t>Radionuclide</t>
  </si>
  <si>
    <t>}</t>
  </si>
  <si>
    <t>dci.Add(dsi)</t>
  </si>
  <si>
    <t xml:space="preserve">  .BranchingRatio = 1</t>
  </si>
  <si>
    <t xml:space="preserve">  .BranchingRatio = 0.9984</t>
  </si>
  <si>
    <t xml:space="preserve">  .BranchingRatio = 0.0016</t>
  </si>
  <si>
    <t xml:space="preserve">  .BranchingRatio = 0.9998</t>
  </si>
  <si>
    <t xml:space="preserve">  .BranchingRatio = 0.0002</t>
  </si>
  <si>
    <t xml:space="preserve">  .BranchingRatio = 0.9979</t>
  </si>
  <si>
    <t xml:space="preserve">  .BranchingRatio = 2.09999999999999E-03</t>
  </si>
  <si>
    <t xml:space="preserve">  .BranchingRatio = 0.0263</t>
  </si>
  <si>
    <t xml:space="preserve">  .BranchingRatio = 0.99993</t>
  </si>
  <si>
    <t xml:space="preserve">  .BranchingRatio = 0.00007</t>
  </si>
  <si>
    <t xml:space="preserve">  .BranchingRatio = 0.6406</t>
  </si>
  <si>
    <t xml:space="preserve">  .BranchingRatio = 0.3594</t>
  </si>
  <si>
    <t xml:space="preserve">  .BranchingRatio = 0.9862</t>
  </si>
  <si>
    <t xml:space="preserve">  .BranchingRatio = 0.0138</t>
  </si>
  <si>
    <t xml:space="preserve">  .BranchingRatio = 0.9999977</t>
  </si>
  <si>
    <t xml:space="preserve">  .BranchingRatio = 2.30000000001063E-06</t>
  </si>
  <si>
    <t xml:space="preserve">  .BranchingRatio = 0.99724</t>
  </si>
  <si>
    <t xml:space="preserve">  .BranchingRatio = 2.75999999999998E-03</t>
  </si>
  <si>
    <t xml:space="preserve">  .BranchingRatio = 5.9999999999949E-05</t>
  </si>
  <si>
    <t xml:space="preserve">  .BranchingRatio = 0.9971</t>
  </si>
  <si>
    <t xml:space="preserve">  .BranchingRatio = 2.90000000000001E-03</t>
  </si>
  <si>
    <t xml:space="preserve">  .BranchingRatio = 0.99994</t>
  </si>
  <si>
    <t xml:space="preserve">  .BranchingRatio = 0.7208</t>
  </si>
  <si>
    <t xml:space="preserve">  .BranchingRatio = 0.2792</t>
  </si>
  <si>
    <t>dsi = New DecaySeriesItem With {</t>
  </si>
  <si>
    <t xml:space="preserve">  .Isotope = "CM-246",</t>
  </si>
  <si>
    <t xml:space="preserve">  .DCF68inhF1 = 0,</t>
  </si>
  <si>
    <t xml:space="preserve">  .DCF68inhF5 = 0,</t>
  </si>
  <si>
    <t xml:space="preserve">  .DCF68inhM1 = 148,</t>
  </si>
  <si>
    <t xml:space="preserve">  .DCF68inhM5 = 99.9,</t>
  </si>
  <si>
    <t xml:space="preserve">  .DCF68inhS1 = 0,</t>
  </si>
  <si>
    <t xml:space="preserve">  .DCF68inhS5 = 0,</t>
  </si>
  <si>
    <t xml:space="preserve">  .DCF68ing = 0.777,</t>
  </si>
  <si>
    <t xml:space="preserve">  .DCF72inhF1 = 362.6,</t>
  </si>
  <si>
    <t xml:space="preserve">  .DCF72inhM1 = 155.4,</t>
  </si>
  <si>
    <t xml:space="preserve">  .DCF72inhS1 = 59.2,</t>
  </si>
  <si>
    <t xml:space="preserve">  .DCF72ing = 0.777,</t>
  </si>
  <si>
    <t xml:space="preserve">  .A1 = 9,</t>
  </si>
  <si>
    <t xml:space="preserve">  .A2 = 0.0009,</t>
  </si>
  <si>
    <t xml:space="preserve">  .Daughter = "PU-242",</t>
  </si>
  <si>
    <t xml:space="preserve">  .Isotope = "PU-242",</t>
  </si>
  <si>
    <t xml:space="preserve">  .DCF68inhM1 = 162.8,</t>
  </si>
  <si>
    <t xml:space="preserve">  .DCF68inhM5 = 114.7,</t>
  </si>
  <si>
    <t xml:space="preserve">  .DCF68inhS1 = 51.8,</t>
  </si>
  <si>
    <t xml:space="preserve">  .DCF68inhS5 = 28.49,</t>
  </si>
  <si>
    <t xml:space="preserve">  .DCF68ing = 0.888,</t>
  </si>
  <si>
    <t xml:space="preserve">  .DCF72inhF1 = 407,</t>
  </si>
  <si>
    <t xml:space="preserve">  .DCF72inhM1 = 177.6,</t>
  </si>
  <si>
    <t xml:space="preserve">  .DCF72inhS1 = 55.5,</t>
  </si>
  <si>
    <t xml:space="preserve">  .DCF72ing = 0.888,</t>
  </si>
  <si>
    <t xml:space="preserve">  .A1 = 10,</t>
  </si>
  <si>
    <t xml:space="preserve">  .A2 = 0.001,</t>
  </si>
  <si>
    <t xml:space="preserve">  .Daughter = "U-238",</t>
  </si>
  <si>
    <t xml:space="preserve">  .Isotope = "U-238",</t>
  </si>
  <si>
    <t xml:space="preserve">  .DCF68inhF1 = 1.813,</t>
  </si>
  <si>
    <t xml:space="preserve">  .DCF68inhF5 = 2.146,</t>
  </si>
  <si>
    <t xml:space="preserve">  .DCF68inhM1 = 9.62,</t>
  </si>
  <si>
    <t xml:space="preserve">  .DCF68inhM5 = 5.92,</t>
  </si>
  <si>
    <t xml:space="preserve">  .DCF68inhS1 = 27.01,</t>
  </si>
  <si>
    <t xml:space="preserve">  .DCF68inhS5 = 21.09,</t>
  </si>
  <si>
    <t xml:space="preserve">  .DCF68ing = 0.1628,</t>
  </si>
  <si>
    <t xml:space="preserve">  .DCF72inhF1 = 1.85,</t>
  </si>
  <si>
    <t xml:space="preserve">  .DCF72inhM1 = 10.73,</t>
  </si>
  <si>
    <t xml:space="preserve">  .DCF72inhS1 = 29.6,</t>
  </si>
  <si>
    <t xml:space="preserve">  .DCF72ing = 0.1665,</t>
  </si>
  <si>
    <t xml:space="preserve">  .A1 = -1,</t>
  </si>
  <si>
    <t xml:space="preserve">  .A2 = -1,</t>
  </si>
  <si>
    <t xml:space="preserve">  .Daughter = "TH-234",</t>
  </si>
  <si>
    <t xml:space="preserve">  .Isotope = "TH-234",</t>
  </si>
  <si>
    <t xml:space="preserve">  .DCF68inhM1 = 0.02331,</t>
  </si>
  <si>
    <t xml:space="preserve">  .DCF68inhM5 = 0.01961,</t>
  </si>
  <si>
    <t xml:space="preserve">  .DCF68inhS1 = 0.02701,</t>
  </si>
  <si>
    <t xml:space="preserve">  .DCF68inhS5 = 0.02146,</t>
  </si>
  <si>
    <t xml:space="preserve">  .DCF68ing = 0.01258,</t>
  </si>
  <si>
    <t xml:space="preserve">  .DCF72inhF1 = 0.00925,</t>
  </si>
  <si>
    <t xml:space="preserve">  .DCF72inhM1 = 0.02442,</t>
  </si>
  <si>
    <t xml:space="preserve">  .DCF72inhS1 = 0.02849,</t>
  </si>
  <si>
    <t xml:space="preserve">  .DCF72ing = 0.01258,</t>
  </si>
  <si>
    <t xml:space="preserve">  .A1 = 0.3,</t>
  </si>
  <si>
    <t xml:space="preserve">  .A2 = 0.3,</t>
  </si>
  <si>
    <t xml:space="preserve">  .Daughter = "PA-234M",</t>
  </si>
  <si>
    <t xml:space="preserve">  .Isotope = "PA-234M",</t>
  </si>
  <si>
    <t xml:space="preserve">  .DCF68inhM1 = 0,</t>
  </si>
  <si>
    <t xml:space="preserve">  .DCF68inhM5 = 0,</t>
  </si>
  <si>
    <t xml:space="preserve">  .DCF68ing = 0,</t>
  </si>
  <si>
    <t xml:space="preserve">  .DCF72inhF1 = 0,</t>
  </si>
  <si>
    <t xml:space="preserve">  .DCF72inhM1 = 0,</t>
  </si>
  <si>
    <t xml:space="preserve">  .DCF72inhS1 = 0,</t>
  </si>
  <si>
    <t xml:space="preserve">  .DCF72ing = 0,</t>
  </si>
  <si>
    <t xml:space="preserve">  .A1 = 0,</t>
  </si>
  <si>
    <t xml:space="preserve">  .A2 = 0,</t>
  </si>
  <si>
    <t xml:space="preserve">  .Daughter = "U-234",</t>
  </si>
  <si>
    <t xml:space="preserve">  .Lambda = 9.96760397699087E-03,</t>
  </si>
  <si>
    <t xml:space="preserve">  .Daughter = "PA-234",</t>
  </si>
  <si>
    <t xml:space="preserve">  .Isotope = "U-234",</t>
  </si>
  <si>
    <t xml:space="preserve">  .DCF68inhF1 = 2.035,</t>
  </si>
  <si>
    <t xml:space="preserve">  .DCF68inhF5 = 2.368,</t>
  </si>
  <si>
    <t xml:space="preserve">  .DCF68inhM1 = 11.47,</t>
  </si>
  <si>
    <t xml:space="preserve">  .DCF68inhM5 = 7.77,</t>
  </si>
  <si>
    <t xml:space="preserve">  .DCF68inhS1 = 31.45,</t>
  </si>
  <si>
    <t xml:space="preserve">  .DCF68inhS5 = 25.16,</t>
  </si>
  <si>
    <t xml:space="preserve">  .DCF68ing = 0.1813,</t>
  </si>
  <si>
    <t xml:space="preserve">  .DCF72inhF1 = 2.072,</t>
  </si>
  <si>
    <t xml:space="preserve">  .DCF72inhM1 = 12.95,</t>
  </si>
  <si>
    <t xml:space="preserve">  .DCF72inhS1 = 34.78,</t>
  </si>
  <si>
    <t xml:space="preserve">  .DCF72ing = 0.1813,</t>
  </si>
  <si>
    <t xml:space="preserve">  .A1 = 40,</t>
  </si>
  <si>
    <t xml:space="preserve">  .A2 = 0.006,</t>
  </si>
  <si>
    <t xml:space="preserve">  .Daughter = "TH-230",</t>
  </si>
  <si>
    <t xml:space="preserve">  .Isotope = "TH-230",</t>
  </si>
  <si>
    <t xml:space="preserve">  .DCF68inhM5 = 103.6,</t>
  </si>
  <si>
    <t xml:space="preserve">  .DCF68inhS1 = 48.1,</t>
  </si>
  <si>
    <t xml:space="preserve">  .DCF68inhS5 = 26.64,</t>
  </si>
  <si>
    <t xml:space="preserve">  .DCF72inhF1 = 370,</t>
  </si>
  <si>
    <t xml:space="preserve">  .DCF72inhM1 = 159.1,</t>
  </si>
  <si>
    <t xml:space="preserve">  .DCF72inhS1 = 51.8,</t>
  </si>
  <si>
    <t xml:space="preserve">  .Daughter = "RA-226",</t>
  </si>
  <si>
    <t xml:space="preserve">  .Lambda = 2.91306481772283E-13,</t>
  </si>
  <si>
    <t xml:space="preserve">  .Isotope = "RA-226",</t>
  </si>
  <si>
    <t xml:space="preserve">  .DCF68inhM1 = 11.84,</t>
  </si>
  <si>
    <t xml:space="preserve">  .DCF68inhM5 = 8.14,</t>
  </si>
  <si>
    <t xml:space="preserve">  .DCF68ing = 1.036,</t>
  </si>
  <si>
    <t xml:space="preserve">  .DCF72inhF1 = 1.332,</t>
  </si>
  <si>
    <t xml:space="preserve">  .DCF72inhS1 = 35.15,</t>
  </si>
  <si>
    <t xml:space="preserve">  .DCF72ing = 1.036,</t>
  </si>
  <si>
    <t xml:space="preserve">  .A1 = 0.2,</t>
  </si>
  <si>
    <t xml:space="preserve">  .A2 = 0.003,</t>
  </si>
  <si>
    <t xml:space="preserve">  .Daughter = "RN-222",</t>
  </si>
  <si>
    <t xml:space="preserve">  .Lambda = 1.37278179535188E-11,</t>
  </si>
  <si>
    <t xml:space="preserve">  .Isotope = "RN-222",</t>
  </si>
  <si>
    <t xml:space="preserve">  .A2 = 0.004,</t>
  </si>
  <si>
    <t xml:space="preserve">  .Daughter = "PO-218",</t>
  </si>
  <si>
    <t xml:space="preserve">  .Isotope = "PO-218",</t>
  </si>
  <si>
    <t xml:space="preserve">  .Daughter = "PB-214",</t>
  </si>
  <si>
    <t xml:space="preserve">  .Daughter = "AT-218",</t>
  </si>
  <si>
    <t xml:space="preserve">  .Isotope = "PB-214",</t>
  </si>
  <si>
    <t xml:space="preserve">  .DCF68inhF1 = 0.01073,</t>
  </si>
  <si>
    <t xml:space="preserve">  .DCF68inhF5 = 0.01776,</t>
  </si>
  <si>
    <t xml:space="preserve">  .DCF68ing = 0.000518,</t>
  </si>
  <si>
    <t xml:space="preserve">  .DCF72inhF1 = 0.01036,</t>
  </si>
  <si>
    <t xml:space="preserve">  .DCF72inhM1 = 0.0518,</t>
  </si>
  <si>
    <t xml:space="preserve">  .DCF72inhS1 = 0.0555,</t>
  </si>
  <si>
    <t xml:space="preserve">  .DCF72ing = 0.000518,</t>
  </si>
  <si>
    <t xml:space="preserve">  .Daughter = "BI-214",</t>
  </si>
  <si>
    <t xml:space="preserve">  .Isotope = "BI-214",</t>
  </si>
  <si>
    <t xml:space="preserve">  .DCF68inhF1 = 0.02664,</t>
  </si>
  <si>
    <t xml:space="preserve">  .DCF68inhF5 = 0.0444,</t>
  </si>
  <si>
    <t xml:space="preserve">  .DCF68inhM1 = 0.0518,</t>
  </si>
  <si>
    <t xml:space="preserve">  .DCF68inhM5 = 0.0777,</t>
  </si>
  <si>
    <t xml:space="preserve">  .DCF68ing = 0.000407,</t>
  </si>
  <si>
    <t xml:space="preserve">  .DCF72inhF1 = 0.02627,</t>
  </si>
  <si>
    <t xml:space="preserve">  .DCF72ing = 0.000407,</t>
  </si>
  <si>
    <t xml:space="preserve">  .Daughter = "PO-214",</t>
  </si>
  <si>
    <t xml:space="preserve">  .Daughter = "TL-210",</t>
  </si>
  <si>
    <t xml:space="preserve">  .Isotope = "PO-214",</t>
  </si>
  <si>
    <t xml:space="preserve">  .Daughter = "PB-210",</t>
  </si>
  <si>
    <t xml:space="preserve">  .Isotope = "PB-210",</t>
  </si>
  <si>
    <t xml:space="preserve">  .DCF68inhF1 = 3.293,</t>
  </si>
  <si>
    <t xml:space="preserve">  .DCF68inhF5 = 4.07,</t>
  </si>
  <si>
    <t xml:space="preserve">  .DCF68ing = 2.516,</t>
  </si>
  <si>
    <t xml:space="preserve">  .DCF72inhF1 = 3.33,</t>
  </si>
  <si>
    <t xml:space="preserve">  .DCF72inhM1 = 4.07,</t>
  </si>
  <si>
    <t xml:space="preserve">  .DCF72inhS1 = 20.72,</t>
  </si>
  <si>
    <t xml:space="preserve">  .DCF72ing = 2.553,</t>
  </si>
  <si>
    <t xml:space="preserve">  .A1 = 1,</t>
  </si>
  <si>
    <t xml:space="preserve">  .A2 = 0.05,</t>
  </si>
  <si>
    <t xml:space="preserve">  .Daughter = "BI-210",</t>
  </si>
  <si>
    <t xml:space="preserve">  .Lambda = 9.89392284938294E-10,</t>
  </si>
  <si>
    <t xml:space="preserve">  .Isotope = "BI-210",</t>
  </si>
  <si>
    <t xml:space="preserve">  .DCF68inhF1 = 0.00407,</t>
  </si>
  <si>
    <t xml:space="preserve">  .DCF68inhF5 = 0.00518,</t>
  </si>
  <si>
    <t xml:space="preserve">  .DCF68inhM1 = 0.3108,</t>
  </si>
  <si>
    <t xml:space="preserve">  .DCF68inhM5 = 0.222,</t>
  </si>
  <si>
    <t xml:space="preserve">  .DCF68ing = 0.00481,</t>
  </si>
  <si>
    <t xml:space="preserve">  .DCF72inhF1 = 0.00407,</t>
  </si>
  <si>
    <t xml:space="preserve">  .DCF72inhM1 = 0.3441,</t>
  </si>
  <si>
    <t xml:space="preserve">  .DCF72ing = 0.00481,</t>
  </si>
  <si>
    <t xml:space="preserve">  .A2 = 0.6,</t>
  </si>
  <si>
    <t xml:space="preserve">  .Daughter = "PO-210",</t>
  </si>
  <si>
    <t xml:space="preserve">  .Lambda = 1.60066576457231E-06,</t>
  </si>
  <si>
    <t xml:space="preserve">  .Daughter = "TL-206",</t>
  </si>
  <si>
    <t xml:space="preserve">  .Isotope = "PO-210",</t>
  </si>
  <si>
    <t xml:space="preserve">  .DCF68inhF1 = 2.22,</t>
  </si>
  <si>
    <t xml:space="preserve">  .DCF68inhF5 = 2.627,</t>
  </si>
  <si>
    <t xml:space="preserve">  .DCF68inhM1 = 11.1,</t>
  </si>
  <si>
    <t xml:space="preserve">  .DCF72inhF1 = 2.257,</t>
  </si>
  <si>
    <t xml:space="preserve">  .DCF72inhM1 = 12.21,</t>
  </si>
  <si>
    <t xml:space="preserve">  .DCF72inhS1 = 15.91,</t>
  </si>
  <si>
    <t xml:space="preserve">  .DCF72ing = 4.44,</t>
  </si>
  <si>
    <t xml:space="preserve">  .A2 = 0.02,</t>
  </si>
  <si>
    <t xml:space="preserve">  .Daughter = "END",</t>
  </si>
  <si>
    <t xml:space="preserve">  .Isotope = "PA-234",</t>
  </si>
  <si>
    <t xml:space="preserve">  .DCF68inhM1 = 0.001406,</t>
  </si>
  <si>
    <t xml:space="preserve">  .DCF68inhM5 = 0.002035,</t>
  </si>
  <si>
    <t xml:space="preserve">  .DCF68inhS1 = 0.00148,</t>
  </si>
  <si>
    <t xml:space="preserve">  .DCF68inhS5 = 0.002146,</t>
  </si>
  <si>
    <t xml:space="preserve">  .DCF68ing = 0.001887,</t>
  </si>
  <si>
    <t xml:space="preserve">  .DCF72inhM1 = 0.001406,</t>
  </si>
  <si>
    <t xml:space="preserve">  .DCF72inhS1 = 0.00148,</t>
  </si>
  <si>
    <t xml:space="preserve">  .DCF72ing = 0.001887,</t>
  </si>
  <si>
    <t xml:space="preserve">  .Isotope = "AT-218",</t>
  </si>
  <si>
    <t xml:space="preserve">  .Daughter = "RN-218",</t>
  </si>
  <si>
    <t xml:space="preserve">  .Isotope = "RN-218",</t>
  </si>
  <si>
    <t xml:space="preserve">  .Isotope = "TL-210",</t>
  </si>
  <si>
    <t xml:space="preserve">  .Lambda = 8.88650231487109E-03,</t>
  </si>
  <si>
    <t xml:space="preserve">  .Isotope = "TL-206",</t>
  </si>
  <si>
    <t xml:space="preserve">  .Lambda = 2.74927487133089E-03,</t>
  </si>
  <si>
    <t xml:space="preserve">  .Isotope = "CF-249",</t>
  </si>
  <si>
    <t xml:space="preserve">  .DCF68inhM1 = 244.2,</t>
  </si>
  <si>
    <t xml:space="preserve">  .DCF68inhM5 = 166.5,</t>
  </si>
  <si>
    <t xml:space="preserve">  .DCF68ing = 1.295,</t>
  </si>
  <si>
    <t xml:space="preserve">  .DCF72inhM1 = 259,</t>
  </si>
  <si>
    <t xml:space="preserve">  .DCF72ing = 1.295,</t>
  </si>
  <si>
    <t xml:space="preserve">  .A1 = 3,</t>
  </si>
  <si>
    <t xml:space="preserve">  .A2 = 0.0008,</t>
  </si>
  <si>
    <t xml:space="preserve">  .Daughter = "CM-245",</t>
  </si>
  <si>
    <t xml:space="preserve">  .Isotope = "CM-245",</t>
  </si>
  <si>
    <t xml:space="preserve">  .DCF72inhF1 = 366.3,</t>
  </si>
  <si>
    <t xml:space="preserve">  .Daughter = "PU-241",</t>
  </si>
  <si>
    <t xml:space="preserve">  .Isotope = "PU-241",</t>
  </si>
  <si>
    <t xml:space="preserve">  .DCF68inhM1 = 3.145,</t>
  </si>
  <si>
    <t xml:space="preserve">  .DCF68inhM5 = 2.146,</t>
  </si>
  <si>
    <t xml:space="preserve">  .DCF68inhS1 = 0.592,</t>
  </si>
  <si>
    <t xml:space="preserve">  .DCF68inhS5 = 0.3108,</t>
  </si>
  <si>
    <t xml:space="preserve">  .DCF68ing = 0.01739,</t>
  </si>
  <si>
    <t xml:space="preserve">  .DCF72inhF1 = 8.51,</t>
  </si>
  <si>
    <t xml:space="preserve">  .DCF72inhM1 = 3.33,</t>
  </si>
  <si>
    <t xml:space="preserve">  .DCF72inhS1 = 0.629,</t>
  </si>
  <si>
    <t xml:space="preserve">  .DCF72ing = 0.01776,</t>
  </si>
  <si>
    <t xml:space="preserve">  .A2 = 0.06,</t>
  </si>
  <si>
    <t xml:space="preserve">  .Daughter = "AM-241",</t>
  </si>
  <si>
    <t xml:space="preserve">  .Daughter = "U-237",</t>
  </si>
  <si>
    <t xml:space="preserve">  .Isotope = "AM-241",</t>
  </si>
  <si>
    <t xml:space="preserve">  .DCF68inhM1 = 144.3,</t>
  </si>
  <si>
    <t xml:space="preserve">  .DCF68ing = 0.74,</t>
  </si>
  <si>
    <t xml:space="preserve">  .DCF72inhF1 = 355.2,</t>
  </si>
  <si>
    <t xml:space="preserve">  .DCF72ing = 0.74,</t>
  </si>
  <si>
    <t xml:space="preserve">  .Daughter = "NP-237",</t>
  </si>
  <si>
    <t xml:space="preserve">  .Lambda = 5.07732517929499E-11,</t>
  </si>
  <si>
    <t xml:space="preserve">  .Isotope = "NP-237",</t>
  </si>
  <si>
    <t xml:space="preserve">  .DCF68inhM1 = 77.7,</t>
  </si>
  <si>
    <t xml:space="preserve">  .DCF68inhM5 = 55.5,</t>
  </si>
  <si>
    <t xml:space="preserve">  .DCF68ing = 0.407,</t>
  </si>
  <si>
    <t xml:space="preserve">  .DCF72inhF1 = 185,</t>
  </si>
  <si>
    <t xml:space="preserve">  .DCF72inhM1 = 85.1,</t>
  </si>
  <si>
    <t xml:space="preserve">  .DCF72inhS1 = 44.4,</t>
  </si>
  <si>
    <t xml:space="preserve">  .DCF72ing = 0.407,</t>
  </si>
  <si>
    <t xml:space="preserve">  .A1 = 20,</t>
  </si>
  <si>
    <t xml:space="preserve">  .A2 = 0.002,</t>
  </si>
  <si>
    <t xml:space="preserve">  .Daughter = "PA-233",</t>
  </si>
  <si>
    <t xml:space="preserve">  .Isotope = "PA-233",</t>
  </si>
  <si>
    <t xml:space="preserve">  .DCF68inhM1 = 0.01147,</t>
  </si>
  <si>
    <t xml:space="preserve">  .DCF68inhM5 = 0.01036,</t>
  </si>
  <si>
    <t xml:space="preserve">  .DCF68inhS1 = 0.01369,</t>
  </si>
  <si>
    <t xml:space="preserve">  .DCF68inhS5 = 0.01184,</t>
  </si>
  <si>
    <t xml:space="preserve">  .DCF68ing = 0.003219,</t>
  </si>
  <si>
    <t xml:space="preserve">  .DCF72inhM1 = 0.01221,</t>
  </si>
  <si>
    <t xml:space="preserve">  .DCF72inhS1 = 0.01443,</t>
  </si>
  <si>
    <t xml:space="preserve">  .DCF72ing = 0.003219,</t>
  </si>
  <si>
    <t xml:space="preserve">  .A1 = 5,</t>
  </si>
  <si>
    <t xml:space="preserve">  .A2 = 0.7,</t>
  </si>
  <si>
    <t xml:space="preserve">  .Daughter = "U-233",</t>
  </si>
  <si>
    <t xml:space="preserve">  .Lambda = 2.97406369306262E-07,</t>
  </si>
  <si>
    <t xml:space="preserve">  .Isotope = "U-233",</t>
  </si>
  <si>
    <t xml:space="preserve">  .DCF68inhF1 = 2.109,</t>
  </si>
  <si>
    <t xml:space="preserve">  .DCF68inhF5 = 2.442,</t>
  </si>
  <si>
    <t xml:space="preserve">  .DCF68inhS1 = 32.19,</t>
  </si>
  <si>
    <t xml:space="preserve">  .DCF68inhS5 = 25.53,</t>
  </si>
  <si>
    <t xml:space="preserve">  .DCF68ing = 0.185,</t>
  </si>
  <si>
    <t xml:space="preserve">  .DCF72inhF1 = 2.146,</t>
  </si>
  <si>
    <t xml:space="preserve">  .DCF72inhM1 = 13.32,</t>
  </si>
  <si>
    <t xml:space="preserve">  .DCF72inhS1 = 35.52,</t>
  </si>
  <si>
    <t xml:space="preserve">  .DCF72ing = 0.1887,</t>
  </si>
  <si>
    <t xml:space="preserve">  .Daughter = "TH-229",</t>
  </si>
  <si>
    <t xml:space="preserve">  .Isotope = "TH-229",</t>
  </si>
  <si>
    <t xml:space="preserve">  .DCF68inhM1 = 366.3,</t>
  </si>
  <si>
    <t xml:space="preserve">  .DCF68inhM5 = 255.3,</t>
  </si>
  <si>
    <t xml:space="preserve">  .DCF68inhS1 = 240.5,</t>
  </si>
  <si>
    <t xml:space="preserve">  .DCF68inhS5 = 177.6,</t>
  </si>
  <si>
    <t xml:space="preserve">  .DCF68ing = 1.776,</t>
  </si>
  <si>
    <t xml:space="preserve">  .DCF72inhF1 = 888,</t>
  </si>
  <si>
    <t xml:space="preserve">  .DCF72inhM1 = 407,</t>
  </si>
  <si>
    <t xml:space="preserve">  .DCF72inhS1 = 262.7,</t>
  </si>
  <si>
    <t xml:space="preserve">  .DCF72ing = 1.813,</t>
  </si>
  <si>
    <t xml:space="preserve">  .A2 = 0.0005,</t>
  </si>
  <si>
    <t xml:space="preserve">  .Daughter = "RA-225",</t>
  </si>
  <si>
    <t xml:space="preserve">  .Isotope = "RA-225",</t>
  </si>
  <si>
    <t xml:space="preserve">  .DCF68inhM1 = 21.46,</t>
  </si>
  <si>
    <t xml:space="preserve">  .DCF68inhM5 = 17.76,</t>
  </si>
  <si>
    <t xml:space="preserve">  .DCF68ing = 0.3515,</t>
  </si>
  <si>
    <t xml:space="preserve">  .DCF72inhF1 = 0.481,</t>
  </si>
  <si>
    <t xml:space="preserve">  .DCF72inhM1 = 23.31,</t>
  </si>
  <si>
    <t xml:space="preserve">  .DCF72inhS1 = 28.49,</t>
  </si>
  <si>
    <t xml:space="preserve">  .DCF72ing = 0.3663,</t>
  </si>
  <si>
    <t xml:space="preserve">  .Daughter = "AC-225",</t>
  </si>
  <si>
    <t xml:space="preserve">  .Isotope = "AC-225",</t>
  </si>
  <si>
    <t xml:space="preserve">  .DCF68inhF1 = 3.219,</t>
  </si>
  <si>
    <t xml:space="preserve">  .DCF68inhF5 = 3.7,</t>
  </si>
  <si>
    <t xml:space="preserve">  .DCF68inhM1 = 25.53,</t>
  </si>
  <si>
    <t xml:space="preserve">  .DCF68inhM5 = 21.09,</t>
  </si>
  <si>
    <t xml:space="preserve">  .DCF68inhS1 = 29.23,</t>
  </si>
  <si>
    <t xml:space="preserve">  .DCF68inhS5 = 24.05,</t>
  </si>
  <si>
    <t xml:space="preserve">  .DCF68ing = 0.0888,</t>
  </si>
  <si>
    <t xml:space="preserve">  .DCF72inhF1 = 3.256,</t>
  </si>
  <si>
    <t xml:space="preserve">  .DCF72inhM1 = 27.38,</t>
  </si>
  <si>
    <t xml:space="preserve">  .DCF72inhS1 = 31.45,</t>
  </si>
  <si>
    <t xml:space="preserve">  .DCF72ing = 0.0888,</t>
  </si>
  <si>
    <t xml:space="preserve">  .A1 = 0.8,</t>
  </si>
  <si>
    <t xml:space="preserve">  .Daughter = "FR-221",</t>
  </si>
  <si>
    <t xml:space="preserve">  .Isotope = "FR-221",</t>
  </si>
  <si>
    <t xml:space="preserve">  .Daughter = "AT-217",</t>
  </si>
  <si>
    <t xml:space="preserve">  .Isotope = "AT-217",</t>
  </si>
  <si>
    <t xml:space="preserve">  .Daughter = "BI-213",</t>
  </si>
  <si>
    <t xml:space="preserve">  .Daughter = "RN-217",</t>
  </si>
  <si>
    <t xml:space="preserve">  .Isotope = "BI-213",</t>
  </si>
  <si>
    <t xml:space="preserve">  .DCF68inhF1 = 0.0407,</t>
  </si>
  <si>
    <t xml:space="preserve">  .DCF68inhF5 = 0.0666,</t>
  </si>
  <si>
    <t xml:space="preserve">  .DCF68inhM1 = 0.1073,</t>
  </si>
  <si>
    <t xml:space="preserve">  .DCF68inhM5 = 0.1517,</t>
  </si>
  <si>
    <t xml:space="preserve">  .DCF68ing = 0.00074,</t>
  </si>
  <si>
    <t xml:space="preserve">  .DCF72inhF1 = 0.037,</t>
  </si>
  <si>
    <t xml:space="preserve">  .DCF72inhM1 = 0.111,</t>
  </si>
  <si>
    <t xml:space="preserve">  .DCF72ing = 0.00074,</t>
  </si>
  <si>
    <t xml:space="preserve">  .Daughter = "PO-213",</t>
  </si>
  <si>
    <t xml:space="preserve">  .Isotope = "TL-209",</t>
  </si>
  <si>
    <t xml:space="preserve">  .Daughter = "PB-209",</t>
  </si>
  <si>
    <t xml:space="preserve">  .Isotope = "PB-209",</t>
  </si>
  <si>
    <t xml:space="preserve">  .DCF68inhF1 = 0.0000666,</t>
  </si>
  <si>
    <t xml:space="preserve">  .DCF68inhF5 = 0.0001184,</t>
  </si>
  <si>
    <t xml:space="preserve">  .DCF68ing = 0.0002109,</t>
  </si>
  <si>
    <t xml:space="preserve">  .DCF72inhF1 = 0.0000629,</t>
  </si>
  <si>
    <t xml:space="preserve">  .DCF72inhM1 = 0.0002072,</t>
  </si>
  <si>
    <t xml:space="preserve">  .DCF72inhS1 = 0.0002257,</t>
  </si>
  <si>
    <t xml:space="preserve">  .DCF72ing = 0.0002109,</t>
  </si>
  <si>
    <t xml:space="preserve">  .Isotope = "U-237",</t>
  </si>
  <si>
    <t xml:space="preserve">  .DCF68inhF1 = 0.000703,</t>
  </si>
  <si>
    <t xml:space="preserve">  .DCF68inhF5 = 0.001221,</t>
  </si>
  <si>
    <t xml:space="preserve">  .DCF68inhM1 = 0.00592,</t>
  </si>
  <si>
    <t xml:space="preserve">  .DCF68inhM5 = 0.00555,</t>
  </si>
  <si>
    <t xml:space="preserve">  .DCF68inhS1 = 0.00666,</t>
  </si>
  <si>
    <t xml:space="preserve">  .DCF68inhS5 = 0.00629,</t>
  </si>
  <si>
    <t xml:space="preserve">  .DCF68ing = 0.002849,</t>
  </si>
  <si>
    <t xml:space="preserve">  .DCF72inhF1 = 0.000666,</t>
  </si>
  <si>
    <t xml:space="preserve">  .DCF72inhM1 = 0.00629,</t>
  </si>
  <si>
    <t xml:space="preserve">  .DCF72inhS1 = 0.00703,</t>
  </si>
  <si>
    <t xml:space="preserve">  .DCF72ing = 0.002812,</t>
  </si>
  <si>
    <t xml:space="preserve">  .Isotope = "RN-217",</t>
  </si>
  <si>
    <t xml:space="preserve">  .Isotope = "PO-213",</t>
  </si>
  <si>
    <t xml:space="preserve">  .Isotope = "CM-244",</t>
  </si>
  <si>
    <t xml:space="preserve">  .DCF68inhM1 = 92.5,</t>
  </si>
  <si>
    <t xml:space="preserve">  .DCF68inhM5 = 62.9,</t>
  </si>
  <si>
    <t xml:space="preserve">  .DCF68ing = 0.444,</t>
  </si>
  <si>
    <t xml:space="preserve">  .DCF72inhF1 = 210.9,</t>
  </si>
  <si>
    <t xml:space="preserve">  .DCF72inhM1 = 99.9,</t>
  </si>
  <si>
    <t xml:space="preserve">  .DCF72inhS1 = 48.1,</t>
  </si>
  <si>
    <t xml:space="preserve">  .DCF72ing = 0.444,</t>
  </si>
  <si>
    <t xml:space="preserve">  .Daughter = "PU-240",</t>
  </si>
  <si>
    <t xml:space="preserve">  .Isotope = "PU-240",</t>
  </si>
  <si>
    <t xml:space="preserve">  .DCF68inhM1 = 173.9,</t>
  </si>
  <si>
    <t xml:space="preserve">  .DCF68inhM5 = 118.4,</t>
  </si>
  <si>
    <t xml:space="preserve">  .DCF68inhS1 = 55.5,</t>
  </si>
  <si>
    <t xml:space="preserve">  .DCF68inhS5 = 30.71,</t>
  </si>
  <si>
    <t xml:space="preserve">  .DCF68ing = 0.925,</t>
  </si>
  <si>
    <t xml:space="preserve">  .DCF72inhF1 = 444,</t>
  </si>
  <si>
    <t xml:space="preserve">  .DCF72inhM1 = 185,</t>
  </si>
  <si>
    <t xml:space="preserve">  .DCF72ing = 0.925,</t>
  </si>
  <si>
    <t xml:space="preserve">  .Daughter = "U-236",</t>
  </si>
  <si>
    <t xml:space="preserve">  .Isotope = "U-236",</t>
  </si>
  <si>
    <t xml:space="preserve">  .DCF68inhF1 = 1.924,</t>
  </si>
  <si>
    <t xml:space="preserve">  .DCF68inhF5 = 2.257,</t>
  </si>
  <si>
    <t xml:space="preserve">  .DCF68inhM1 = 10.73,</t>
  </si>
  <si>
    <t xml:space="preserve">  .DCF68inhM5 = 7.03,</t>
  </si>
  <si>
    <t xml:space="preserve">  .DCF68inhS5 = 23.31,</t>
  </si>
  <si>
    <t xml:space="preserve">  .DCF68ing = 0.1702,</t>
  </si>
  <si>
    <t xml:space="preserve">  .DCF72inhF1 = 1.961,</t>
  </si>
  <si>
    <t xml:space="preserve">  .DCF72inhM1 = 11.84,</t>
  </si>
  <si>
    <t xml:space="preserve">  .DCF72inhS1 = 32.19,</t>
  </si>
  <si>
    <t xml:space="preserve">  .DCF72ing = 0.1739,</t>
  </si>
  <si>
    <t xml:space="preserve">  .Daughter = "TH-232",</t>
  </si>
  <si>
    <t xml:space="preserve">  .Isotope = "TH-232",</t>
  </si>
  <si>
    <t xml:space="preserve">  .DCF68inhM1 = 155.4,</t>
  </si>
  <si>
    <t xml:space="preserve">  .DCF68inhM5 = 107.3,</t>
  </si>
  <si>
    <t xml:space="preserve">  .DCF68inhS1 = 85.1,</t>
  </si>
  <si>
    <t xml:space="preserve">  .DCF68inhS5 = 44.4,</t>
  </si>
  <si>
    <t xml:space="preserve">  .DCF68ing = 0.814,</t>
  </si>
  <si>
    <t xml:space="preserve">  .DCF72inhM1 = 166.5,</t>
  </si>
  <si>
    <t xml:space="preserve">  .DCF72inhS1 = 92.5,</t>
  </si>
  <si>
    <t xml:space="preserve">  .DCF72ing = 0.851,</t>
  </si>
  <si>
    <t xml:space="preserve">  .Daughter = "RA-228",</t>
  </si>
  <si>
    <t xml:space="preserve">  .Isotope = "RA-228",</t>
  </si>
  <si>
    <t xml:space="preserve">  .DCF68inhM5 = 6.29,</t>
  </si>
  <si>
    <t xml:space="preserve">  .DCF68ing = 2.479,</t>
  </si>
  <si>
    <t xml:space="preserve">  .DCF72inhM1 = 9.62,</t>
  </si>
  <si>
    <t xml:space="preserve">  .A1 = 0.6,</t>
  </si>
  <si>
    <t xml:space="preserve">  .Daughter = "AC-228",</t>
  </si>
  <si>
    <t xml:space="preserve">  .Lambda = 3.81991456097915E-09,</t>
  </si>
  <si>
    <t xml:space="preserve">  .Isotope = "AC-228",</t>
  </si>
  <si>
    <t xml:space="preserve">  .DCF68inhF1 = 0.0925,</t>
  </si>
  <si>
    <t xml:space="preserve">  .DCF68inhF5 = 0.1073,</t>
  </si>
  <si>
    <t xml:space="preserve">  .DCF68inhM1 = 0.0592,</t>
  </si>
  <si>
    <t xml:space="preserve">  .DCF68inhM5 = 0.0444,</t>
  </si>
  <si>
    <t xml:space="preserve">  .DCF68inhS1 = 0.0518,</t>
  </si>
  <si>
    <t xml:space="preserve">  .DCF68inhS5 = 0.0444,</t>
  </si>
  <si>
    <t xml:space="preserve">  .DCF68ing = 0.001591,</t>
  </si>
  <si>
    <t xml:space="preserve">  .DCF72inhF1 = 0.0925,</t>
  </si>
  <si>
    <t xml:space="preserve">  .DCF72inhM1 = 0.0629,</t>
  </si>
  <si>
    <t xml:space="preserve">  .DCF72inhS1 = 0.0592,</t>
  </si>
  <si>
    <t xml:space="preserve">  .DCF72ing = 0.001591,</t>
  </si>
  <si>
    <t xml:space="preserve">  .A2 = 0.5,</t>
  </si>
  <si>
    <t xml:space="preserve">  .Daughter = "TH-228",</t>
  </si>
  <si>
    <t xml:space="preserve">  .Lambda = 3.13074607298982E-05,</t>
  </si>
  <si>
    <t xml:space="preserve">  .Isotope = "TH-228",</t>
  </si>
  <si>
    <t xml:space="preserve">  .DCF68inhM1 = 111,</t>
  </si>
  <si>
    <t xml:space="preserve">  .DCF68inhM5 = 81.4,</t>
  </si>
  <si>
    <t xml:space="preserve">  .DCF68inhS1 = 136.9,</t>
  </si>
  <si>
    <t xml:space="preserve">  .DCF68inhS5 = 92.5,</t>
  </si>
  <si>
    <t xml:space="preserve">  .DCF68ing = 0.2664,</t>
  </si>
  <si>
    <t xml:space="preserve">  .DCF72inhF1 = 111,</t>
  </si>
  <si>
    <t xml:space="preserve">  .DCF72inhM1 = 118.4,</t>
  </si>
  <si>
    <t xml:space="preserve">  .DCF72inhS1 = 148,</t>
  </si>
  <si>
    <t xml:space="preserve">  .DCF72ing = 0.2664,</t>
  </si>
  <si>
    <t xml:space="preserve">  .A1 = 0.5,</t>
  </si>
  <si>
    <t xml:space="preserve">  .Daughter = "RA-224",</t>
  </si>
  <si>
    <t xml:space="preserve">  .Lambda = 1.14901175589193E-08,</t>
  </si>
  <si>
    <t xml:space="preserve">  .Isotope = "RA-224",</t>
  </si>
  <si>
    <t xml:space="preserve">  .DCF68inhM5 = 8.88,</t>
  </si>
  <si>
    <t xml:space="preserve">  .DCF68ing = 0.2405,</t>
  </si>
  <si>
    <t xml:space="preserve">  .DCF72inhF1 = 0.2775,</t>
  </si>
  <si>
    <t xml:space="preserve">  .DCF72inhM1 = 11.1,</t>
  </si>
  <si>
    <t xml:space="preserve">  .DCF72inhS1 = 12.58,</t>
  </si>
  <si>
    <t xml:space="preserve">  .DCF72ing = 0.2405,</t>
  </si>
  <si>
    <t xml:space="preserve">  .A1 = 0.4,</t>
  </si>
  <si>
    <t xml:space="preserve">  .Daughter = "RN-220",</t>
  </si>
  <si>
    <t xml:space="preserve">  .Isotope = "RN-220",</t>
  </si>
  <si>
    <t xml:space="preserve">  .Daughter = "PO-216",</t>
  </si>
  <si>
    <t xml:space="preserve">  .Lambda = 1.24666759093515E-02,</t>
  </si>
  <si>
    <t xml:space="preserve">  .Isotope = "PO-216",</t>
  </si>
  <si>
    <t xml:space="preserve">  .Daughter = "PB-212",</t>
  </si>
  <si>
    <t xml:space="preserve">  .Isotope = "PB-212",</t>
  </si>
  <si>
    <t xml:space="preserve">  .DCF68inhF1 = 0.0703,</t>
  </si>
  <si>
    <t xml:space="preserve">  .DCF68inhF5 = 0.1221,</t>
  </si>
  <si>
    <t xml:space="preserve">  .DCF68ing = 0.02183,</t>
  </si>
  <si>
    <t xml:space="preserve">  .DCF72inhF1 = 0.0666,</t>
  </si>
  <si>
    <t xml:space="preserve">  .DCF72inhM1 = 0.629,</t>
  </si>
  <si>
    <t xml:space="preserve">  .DCF72inhS1 = 0.703,</t>
  </si>
  <si>
    <t xml:space="preserve">  .DCF72ing = 0.0222,</t>
  </si>
  <si>
    <t xml:space="preserve">  .A1 = 0.7,</t>
  </si>
  <si>
    <t xml:space="preserve">  .A2 = 0.2,</t>
  </si>
  <si>
    <t xml:space="preserve">  .Daughter = "BI-212",</t>
  </si>
  <si>
    <t xml:space="preserve">  .Isotope = "BI-212",</t>
  </si>
  <si>
    <t xml:space="preserve">  .DCF68inhF1 = 0.03441,</t>
  </si>
  <si>
    <t xml:space="preserve">  .DCF68inhF5 = 0.0555,</t>
  </si>
  <si>
    <t xml:space="preserve">  .DCF68inhM1 = 0.111,</t>
  </si>
  <si>
    <t xml:space="preserve">  .DCF68inhM5 = 0.1443,</t>
  </si>
  <si>
    <t xml:space="preserve">  .DCF68ing = 0.000962,</t>
  </si>
  <si>
    <t xml:space="preserve">  .DCF72inhF1 = 0.03367,</t>
  </si>
  <si>
    <t xml:space="preserve">  .DCF72inhM1 = 0.1147,</t>
  </si>
  <si>
    <t xml:space="preserve">  .DCF72ing = 0.000962,</t>
  </si>
  <si>
    <t xml:space="preserve">  .Daughter = "PO-212",</t>
  </si>
  <si>
    <t xml:space="preserve">  .Daughter = "TL-208",</t>
  </si>
  <si>
    <t xml:space="preserve">  .Isotope = "PO-212",</t>
  </si>
  <si>
    <t xml:space="preserve">  .Isotope = "TL-208",</t>
  </si>
  <si>
    <t xml:space="preserve">  .Lambda = 3.78396757593594E-03,</t>
  </si>
  <si>
    <t xml:space="preserve">  .Isotope = "CF-251",</t>
  </si>
  <si>
    <t xml:space="preserve">  .DCF68inhM1 = 247.9,</t>
  </si>
  <si>
    <t xml:space="preserve">  .DCF68inhM5 = 170.2,</t>
  </si>
  <si>
    <t xml:space="preserve">  .DCF68ing = 1.332,</t>
  </si>
  <si>
    <t xml:space="preserve">  .DCF72inhM1 = 262.7,</t>
  </si>
  <si>
    <t xml:space="preserve">  .DCF72ing = 1.332,</t>
  </si>
  <si>
    <t xml:space="preserve">  .A1 = 7,</t>
  </si>
  <si>
    <t xml:space="preserve">  .A2 = 0.0007,</t>
  </si>
  <si>
    <t xml:space="preserve">  .Daughter = "CM-247",</t>
  </si>
  <si>
    <t xml:space="preserve">  .Lambda = 2.44593638370046E-11,</t>
  </si>
  <si>
    <t xml:space="preserve">  .Isotope = "CM-247",</t>
  </si>
  <si>
    <t xml:space="preserve">  .DCF68inhM1 = 133.2,</t>
  </si>
  <si>
    <t xml:space="preserve">  .DCF68inhM5 = 92.5,</t>
  </si>
  <si>
    <t xml:space="preserve">  .DCF68ing = 0.703,</t>
  </si>
  <si>
    <t xml:space="preserve">  .DCF72inhF1 = 333,</t>
  </si>
  <si>
    <t xml:space="preserve">  .DCF72inhM1 = 144.3,</t>
  </si>
  <si>
    <t xml:space="preserve">  .DCF72ing = 0.703,</t>
  </si>
  <si>
    <t xml:space="preserve">  .Daughter = "PU-243",</t>
  </si>
  <si>
    <t xml:space="preserve">  .Lambda = 1.40798132856603E-15,</t>
  </si>
  <si>
    <t xml:space="preserve">  .Isotope = "PU-243",</t>
  </si>
  <si>
    <t xml:space="preserve">  .DCF68inhM1 = 0.0003034,</t>
  </si>
  <si>
    <t xml:space="preserve">  .DCF68inhM5 = 0.000407,</t>
  </si>
  <si>
    <t xml:space="preserve">  .DCF68inhS1 = 0.0003145,</t>
  </si>
  <si>
    <t xml:space="preserve">  .DCF68inhS5 = 0.000407,</t>
  </si>
  <si>
    <t xml:space="preserve">  .DCF68ing = 0.0003145,</t>
  </si>
  <si>
    <t xml:space="preserve">  .DCF72inhF1 = 0.0001184,</t>
  </si>
  <si>
    <t xml:space="preserve">  .DCF72inhM1 = 0.0003071,</t>
  </si>
  <si>
    <t xml:space="preserve">  .DCF72inhS1 = 0.0003182,</t>
  </si>
  <si>
    <t xml:space="preserve">  .DCF72ing = 0.0003145,</t>
  </si>
  <si>
    <t xml:space="preserve">  .Daughter = "AM-243",</t>
  </si>
  <si>
    <t xml:space="preserve">  .Isotope = "AM-243",</t>
  </si>
  <si>
    <t xml:space="preserve">  .DCF72inhM1 = 151.7,</t>
  </si>
  <si>
    <t xml:space="preserve">  .Daughter = "NP-239",</t>
  </si>
  <si>
    <t xml:space="preserve">  .Isotope = "NP-239",</t>
  </si>
  <si>
    <t xml:space="preserve">  .DCF68inhM1 = 0.00333,</t>
  </si>
  <si>
    <t xml:space="preserve">  .DCF68inhM5 = 0.00407,</t>
  </si>
  <si>
    <t xml:space="preserve">  .DCF68ing = 0.00296,</t>
  </si>
  <si>
    <t xml:space="preserve">  .DCF72inhF1 = 0.000629,</t>
  </si>
  <si>
    <t xml:space="preserve">  .DCF72inhM1 = 0.003441,</t>
  </si>
  <si>
    <t xml:space="preserve">  .DCF72inhS1 = 0.0037,</t>
  </si>
  <si>
    <t xml:space="preserve">  .DCF72ing = 0.00296,</t>
  </si>
  <si>
    <t xml:space="preserve">  .A2 = 0.4,</t>
  </si>
  <si>
    <t xml:space="preserve">  .Daughter = "PU-239",</t>
  </si>
  <si>
    <t xml:space="preserve">  .Isotope = "PU-239",</t>
  </si>
  <si>
    <t xml:space="preserve">  .Daughter = "U-235",</t>
  </si>
  <si>
    <t xml:space="preserve">  .Isotope = "U-235",</t>
  </si>
  <si>
    <t xml:space="preserve">  .DCF68inhF1 = 1.887,</t>
  </si>
  <si>
    <t xml:space="preserve">  .DCF68inhF5 = 2.22,</t>
  </si>
  <si>
    <t xml:space="preserve">  .DCF68inhM1 = 10.36,</t>
  </si>
  <si>
    <t xml:space="preserve">  .DCF68inhM5 = 6.66,</t>
  </si>
  <si>
    <t xml:space="preserve">  .DCF68inhS1 = 28.49,</t>
  </si>
  <si>
    <t xml:space="preserve">  .DCF68inhS5 = 22.57,</t>
  </si>
  <si>
    <t xml:space="preserve">  .DCF72inhF1 = 1.924,</t>
  </si>
  <si>
    <t xml:space="preserve">  .DCF72inhM1 = 11.47,</t>
  </si>
  <si>
    <t xml:space="preserve">  .Daughter = "TH-231",</t>
  </si>
  <si>
    <t xml:space="preserve">  .Lambda = 3.11995862579973E-17,</t>
  </si>
  <si>
    <t xml:space="preserve">  .Isotope = "TH-231",</t>
  </si>
  <si>
    <t xml:space="preserve">  .DCF68inhM1 = 0.001073,</t>
  </si>
  <si>
    <t xml:space="preserve">  .DCF68inhM5 = 0.001369,</t>
  </si>
  <si>
    <t xml:space="preserve">  .DCF68inhS1 = 0.001184,</t>
  </si>
  <si>
    <t xml:space="preserve">  .DCF68inhS5 = 0.00148,</t>
  </si>
  <si>
    <t xml:space="preserve">  .DCF68ing = 0.001258,</t>
  </si>
  <si>
    <t xml:space="preserve">  .DCF72inhF1 = 0.0002886,</t>
  </si>
  <si>
    <t xml:space="preserve">  .DCF72inhM1 = 0.001147,</t>
  </si>
  <si>
    <t xml:space="preserve">  .DCF72inhS1 = 0.001221,</t>
  </si>
  <si>
    <t xml:space="preserve">  .DCF72ing = 0.001258,</t>
  </si>
  <si>
    <t xml:space="preserve">  .Daughter = "PA-231",</t>
  </si>
  <si>
    <t xml:space="preserve">  .Lambda = 7.54470546586496E-06,</t>
  </si>
  <si>
    <t xml:space="preserve">  .Isotope = "PA-231",</t>
  </si>
  <si>
    <t xml:space="preserve">  .DCF68inhM1 = 481,</t>
  </si>
  <si>
    <t xml:space="preserve">  .DCF68inhM5 = 329.3,</t>
  </si>
  <si>
    <t xml:space="preserve">  .DCF68inhS1 = 118.4,</t>
  </si>
  <si>
    <t xml:space="preserve">  .DCF68inhS5 = 62.9,</t>
  </si>
  <si>
    <t xml:space="preserve">  .DCF68ing = 2.627,</t>
  </si>
  <si>
    <t xml:space="preserve">  .DCF72inhM1 = 518,</t>
  </si>
  <si>
    <t xml:space="preserve">  .DCF72inhS1 = 125.8,</t>
  </si>
  <si>
    <t xml:space="preserve">  .DCF72ing = 2.627,</t>
  </si>
  <si>
    <t xml:space="preserve">  .A1 = 4,</t>
  </si>
  <si>
    <t xml:space="preserve">  .A2 = 0.0004,</t>
  </si>
  <si>
    <t xml:space="preserve">  .Daughter = "AC-227",</t>
  </si>
  <si>
    <t xml:space="preserve">  .Isotope = "AC-227",</t>
  </si>
  <si>
    <t xml:space="preserve">  .DCF68inhF1 = 1998,</t>
  </si>
  <si>
    <t xml:space="preserve">  .DCF68inhF5 = 2331,</t>
  </si>
  <si>
    <t xml:space="preserve">  .DCF68inhM1 = 777,</t>
  </si>
  <si>
    <t xml:space="preserve">  .DCF68inhM5 = 555,</t>
  </si>
  <si>
    <t xml:space="preserve">  .DCF68inhS1 = 244.2,</t>
  </si>
  <si>
    <t xml:space="preserve">  .DCF68inhS5 = 173.9,</t>
  </si>
  <si>
    <t xml:space="preserve">  .DCF68ing = 4.07,</t>
  </si>
  <si>
    <t xml:space="preserve">  .DCF72inhF1 = 2035,</t>
  </si>
  <si>
    <t xml:space="preserve">  .DCF72inhM1 = 814,</t>
  </si>
  <si>
    <t xml:space="preserve">  .DCF72inhS1 = 266.4,</t>
  </si>
  <si>
    <t xml:space="preserve">  .DCF72ing = 4.07,</t>
  </si>
  <si>
    <t xml:space="preserve">  .A1 = 0.9,</t>
  </si>
  <si>
    <t xml:space="preserve">  .A2 = 0.00009,</t>
  </si>
  <si>
    <t xml:space="preserve">  .Daughter = "TH-227",</t>
  </si>
  <si>
    <t xml:space="preserve">  .Daughter = "FR-223",</t>
  </si>
  <si>
    <t xml:space="preserve">  .Isotope = "TH-227",</t>
  </si>
  <si>
    <t xml:space="preserve">  .DCF68inhM1 = 28.86,</t>
  </si>
  <si>
    <t xml:space="preserve">  .DCF68inhM5 = 22.94,</t>
  </si>
  <si>
    <t xml:space="preserve">  .DCF68inhS1 = 35.52,</t>
  </si>
  <si>
    <t xml:space="preserve">  .DCF68inhS5 = 28.12,</t>
  </si>
  <si>
    <t xml:space="preserve">  .DCF68ing = 0.03293,</t>
  </si>
  <si>
    <t xml:space="preserve">  .DCF72inhF1 = 2.479,</t>
  </si>
  <si>
    <t xml:space="preserve">  .DCF72inhM1 = 31.45,</t>
  </si>
  <si>
    <t xml:space="preserve">  .DCF72inhS1 = 37,</t>
  </si>
  <si>
    <t xml:space="preserve">  .DCF72ing = 0.03256,</t>
  </si>
  <si>
    <t xml:space="preserve">  .A2 = 0.005,</t>
  </si>
  <si>
    <t xml:space="preserve">  .Daughter = "RA-223",</t>
  </si>
  <si>
    <t xml:space="preserve">  .Isotope = "RA-223",</t>
  </si>
  <si>
    <t xml:space="preserve">  .DCF68ing = 0.37,</t>
  </si>
  <si>
    <t xml:space="preserve">  .DCF72inhF1 = 0.444,</t>
  </si>
  <si>
    <t xml:space="preserve">  .DCF72ing = 0.37,</t>
  </si>
  <si>
    <t xml:space="preserve">  .A2 = 0.007,</t>
  </si>
  <si>
    <t xml:space="preserve">  .Daughter = "RN-219",</t>
  </si>
  <si>
    <t xml:space="preserve">  .Isotope = "RN-219",</t>
  </si>
  <si>
    <t xml:space="preserve">  .Daughter = "PO-215",</t>
  </si>
  <si>
    <t xml:space="preserve">  .Lambda = 0.175037166808067,</t>
  </si>
  <si>
    <t xml:space="preserve">  .Isotope = "PO-215",</t>
  </si>
  <si>
    <t xml:space="preserve">  .Daughter = "PB-211",</t>
  </si>
  <si>
    <t xml:space="preserve">  .Lambda = 389.189882403114,</t>
  </si>
  <si>
    <t xml:space="preserve">  .Daughter = "AT-215",</t>
  </si>
  <si>
    <t xml:space="preserve">  .Isotope = "PB-211",</t>
  </si>
  <si>
    <t xml:space="preserve">  .DCF68inhF1 = 0.01443,</t>
  </si>
  <si>
    <t xml:space="preserve">  .DCF68inhF5 = 0.02072,</t>
  </si>
  <si>
    <t xml:space="preserve">  .DCF68ing = 0.000666,</t>
  </si>
  <si>
    <t xml:space="preserve">  .DCF72inhF1 = 0.01443,</t>
  </si>
  <si>
    <t xml:space="preserve">  .DCF72inhM1 = 0.0407,</t>
  </si>
  <si>
    <t xml:space="preserve">  .DCF72inhS1 = 0.0444,</t>
  </si>
  <si>
    <t xml:space="preserve">  .DCF72ing = 0.000666,</t>
  </si>
  <si>
    <t xml:space="preserve">  .Daughter = "BI-211",</t>
  </si>
  <si>
    <t xml:space="preserve">  .Isotope = "BI-211",</t>
  </si>
  <si>
    <t xml:space="preserve">  .Daughter = "TL-207",</t>
  </si>
  <si>
    <t xml:space="preserve">  .Lambda = 5.39834252772543E-03,</t>
  </si>
  <si>
    <t xml:space="preserve">  .Daughter = "PO-211",</t>
  </si>
  <si>
    <t xml:space="preserve">  .Isotope = "TL-207",</t>
  </si>
  <si>
    <t xml:space="preserve">  .Lambda = 2.42189790552042E-03,</t>
  </si>
  <si>
    <t xml:space="preserve">  .Isotope = "FR-223",</t>
  </si>
  <si>
    <t xml:space="preserve">  .DCF68inhF1 = 0.003367,</t>
  </si>
  <si>
    <t xml:space="preserve">  .DCF68inhF5 = 0.00481,</t>
  </si>
  <si>
    <t xml:space="preserve">  .DCF68ing = 0.00851,</t>
  </si>
  <si>
    <t xml:space="preserve">  .DCF72inhF1 = 0.003293,</t>
  </si>
  <si>
    <t xml:space="preserve">  .DCF72ing = 0.00888,</t>
  </si>
  <si>
    <t xml:space="preserve">  .Daughter = "AT-219",</t>
  </si>
  <si>
    <t xml:space="preserve">  .Isotope = "AT-215",</t>
  </si>
  <si>
    <t xml:space="preserve">  .Isotope = "PO-211",</t>
  </si>
  <si>
    <t xml:space="preserve">  .Lambda = 1.34330848945726,</t>
  </si>
  <si>
    <t xml:space="preserve">  .Isotope = "CM-243",</t>
  </si>
  <si>
    <t xml:space="preserve">  .DCF68inhM1 = 107.3,</t>
  </si>
  <si>
    <t xml:space="preserve">  .DCF68inhM5 = 74,</t>
  </si>
  <si>
    <t xml:space="preserve">  .DCF68ing = 0.555,</t>
  </si>
  <si>
    <t xml:space="preserve">  .DCF72inhF1 = 255.3,</t>
  </si>
  <si>
    <t xml:space="preserve">  .DCF72inhM1 = 114.7,</t>
  </si>
  <si>
    <t xml:space="preserve">  .DCF72ing = 0.555,</t>
  </si>
  <si>
    <t xml:space="preserve">  .Isotope = "AM-242",</t>
  </si>
  <si>
    <t xml:space="preserve">  .DCF68ing = 0.00111,</t>
  </si>
  <si>
    <t xml:space="preserve">  .DCF72inhF1 = 0.0407,</t>
  </si>
  <si>
    <t xml:space="preserve">  .DCF72inhS1 = 0.074,</t>
  </si>
  <si>
    <t xml:space="preserve">  .DCF72ing = 0.00111,</t>
  </si>
  <si>
    <t xml:space="preserve">  .Daughter = "CM-242",</t>
  </si>
  <si>
    <t xml:space="preserve">  .Lambda = 1.20187817408785E-05,</t>
  </si>
  <si>
    <t xml:space="preserve">  .Isotope = "CM-242",</t>
  </si>
  <si>
    <t xml:space="preserve">  .DCF68inhM1 = 17.76,</t>
  </si>
  <si>
    <t xml:space="preserve">  .DCF68inhM5 = 13.69,</t>
  </si>
  <si>
    <t xml:space="preserve">  .DCF68ing = 0.0444,</t>
  </si>
  <si>
    <t xml:space="preserve">  .DCF72inhF1 = 12.21,</t>
  </si>
  <si>
    <t xml:space="preserve">  .DCF72inhM1 = 19.24,</t>
  </si>
  <si>
    <t xml:space="preserve">  .DCF72inhS1 = 21.83,</t>
  </si>
  <si>
    <t xml:space="preserve">  .DCF72ing = 0.0444,</t>
  </si>
  <si>
    <t xml:space="preserve">  .A2 = 0.01,</t>
  </si>
  <si>
    <t xml:space="preserve">  .Daughter = "PU-238",</t>
  </si>
  <si>
    <t xml:space="preserve">  .Isotope = "PU-238",</t>
  </si>
  <si>
    <t xml:space="preserve">  .DCF68inhM1 = 159.1,</t>
  </si>
  <si>
    <t xml:space="preserve">  .DCF68inhM5 = 111,</t>
  </si>
  <si>
    <t xml:space="preserve">  .DCF68inhS5 = 40.7,</t>
  </si>
  <si>
    <t xml:space="preserve">  .DCF68ing = 0.851,</t>
  </si>
  <si>
    <t xml:space="preserve">  .DCF72inhM1 = 170.2,</t>
  </si>
  <si>
    <t xml:space="preserve">  .Lambda = 2.50450498581871E-10,</t>
  </si>
  <si>
    <t xml:space="preserve">  .Isotope = "AM-242M",</t>
  </si>
  <si>
    <t xml:space="preserve">  .DCF68inhM1 = 129.5,</t>
  </si>
  <si>
    <t xml:space="preserve">  .DCF68inhM5 = 88.8,</t>
  </si>
  <si>
    <t xml:space="preserve">  .DCF72inhF1 = 340.4,</t>
  </si>
  <si>
    <t xml:space="preserve">  .DCF72inhM1 = 136.9,</t>
  </si>
  <si>
    <t xml:space="preserve">  .DCF72inhS1 = 40.7,</t>
  </si>
  <si>
    <t xml:space="preserve">  .Daughter = "AM-242",</t>
  </si>
  <si>
    <t xml:space="preserve">  .Daughter = "NP-238",</t>
  </si>
  <si>
    <t xml:space="preserve">  .Isotope = "NP-238",</t>
  </si>
  <si>
    <t xml:space="preserve">  .DCF68inhM1 = 0.0074,</t>
  </si>
  <si>
    <t xml:space="preserve">  .DCF68inhM5 = 0.00629,</t>
  </si>
  <si>
    <t xml:space="preserve">  .DCF68ing = 0.003367,</t>
  </si>
  <si>
    <t xml:space="preserve">  .DCF72inhF1 = 0.01295,</t>
  </si>
  <si>
    <t xml:space="preserve">  .DCF72inhM1 = 0.00777,</t>
  </si>
  <si>
    <t xml:space="preserve">  .DCF72inhS1 = 0.00555,</t>
  </si>
  <si>
    <t xml:space="preserve">  .DCF72ing = 0.003367,</t>
  </si>
  <si>
    <t xml:space="preserve">  .Isotope = "NP-236",</t>
  </si>
  <si>
    <t xml:space="preserve">  .DCF68inhM5 = 7.4,</t>
  </si>
  <si>
    <t xml:space="preserve">  .DCF68ing = 0.0629,</t>
  </si>
  <si>
    <t xml:space="preserve">  .DCF72inhF1 = 29.6,</t>
  </si>
  <si>
    <t xml:space="preserve">  .DCF72inhS1 = 3.7,</t>
  </si>
  <si>
    <t xml:space="preserve">  .DCF72ing = 0.0629,</t>
  </si>
  <si>
    <t xml:space="preserve">  .Daughter = "PU-236",</t>
  </si>
  <si>
    <t xml:space="preserve">  .Isotope = "PU-236",</t>
  </si>
  <si>
    <t xml:space="preserve">  .DCF68inhM1 = 66.6,</t>
  </si>
  <si>
    <t xml:space="preserve">  .DCF68inhM5 = 48.1,</t>
  </si>
  <si>
    <t xml:space="preserve">  .DCF68inhS5 = 27.38,</t>
  </si>
  <si>
    <t xml:space="preserve">  .DCF68ing = 0.3182,</t>
  </si>
  <si>
    <t xml:space="preserve">  .DCF72inhF1 = 148,</t>
  </si>
  <si>
    <t xml:space="preserve">  .DCF72inhM1 = 74,</t>
  </si>
  <si>
    <t xml:space="preserve">  .DCF72ing = 0.3219,</t>
  </si>
  <si>
    <t xml:space="preserve">  .A1 = 30,</t>
  </si>
  <si>
    <t xml:space="preserve">  .Daughter = "U-232",</t>
  </si>
  <si>
    <t xml:space="preserve">  .Isotope = "U-232",</t>
  </si>
  <si>
    <t xml:space="preserve">  .DCF68inhF1 = 14.8,</t>
  </si>
  <si>
    <t xml:space="preserve">  .DCF68inhF5 = 17.39,</t>
  </si>
  <si>
    <t xml:space="preserve">  .DCF68inhM1 = 26.64,</t>
  </si>
  <si>
    <t xml:space="preserve">  .DCF68inhS1 = 129.5,</t>
  </si>
  <si>
    <t xml:space="preserve">  .DCF68inhS5 = 96.2,</t>
  </si>
  <si>
    <t xml:space="preserve">  .DCF68ing = 0.1369,</t>
  </si>
  <si>
    <t xml:space="preserve">  .DCF72inhF1 = 14.8,</t>
  </si>
  <si>
    <t xml:space="preserve">  .DCF72inhM1 = 28.86,</t>
  </si>
  <si>
    <t xml:space="preserve">  .DCF72inhS1 = 136.9,</t>
  </si>
  <si>
    <t xml:space="preserve">  .DCF72ing = 1.221,</t>
  </si>
  <si>
    <t xml:space="preserve">  .Isotope = "AT-219",</t>
  </si>
  <si>
    <t xml:space="preserve">  .Daughter = "BI-215",</t>
  </si>
  <si>
    <t xml:space="preserve">  .Lambda = 1.23776282242847E-02,</t>
  </si>
  <si>
    <t xml:space="preserve">  .Isotope = "BI-215",</t>
  </si>
  <si>
    <t xml:space="preserve">  .Lambda = 1.52005960649111E-03,</t>
  </si>
  <si>
    <t xml:space="preserve">  .Daughter = "TL-209",</t>
  </si>
  <si>
    <t xml:space="preserve">  .Isotope = "EU-155",</t>
  </si>
  <si>
    <t xml:space="preserve">  .DCF68inhM1 = 0.02405,</t>
  </si>
  <si>
    <t xml:space="preserve">  .DCF68inhM5 = 0.01739,</t>
  </si>
  <si>
    <t xml:space="preserve">  .DCF68ing = 0.001184,</t>
  </si>
  <si>
    <t xml:space="preserve">  .DCF72inhM1 = 0.02553,</t>
  </si>
  <si>
    <t xml:space="preserve">  .DCF72ing = 0.001184,</t>
  </si>
  <si>
    <t xml:space="preserve">  .A2 = 3,</t>
  </si>
  <si>
    <t xml:space="preserve">  .Isotope = "EU-154",</t>
  </si>
  <si>
    <t xml:space="preserve">  .DCF68inhM1 = 0.185,</t>
  </si>
  <si>
    <t xml:space="preserve">  .DCF68inhM5 = 0.1295,</t>
  </si>
  <si>
    <t xml:space="preserve">  .DCF68ing = 0.0074,</t>
  </si>
  <si>
    <t xml:space="preserve">  .DCF72inhM1 = 0.1961,</t>
  </si>
  <si>
    <t xml:space="preserve">  .DCF72ing = 0.0074,</t>
  </si>
  <si>
    <t xml:space="preserve">  .Isotope = "EU-152",</t>
  </si>
  <si>
    <t xml:space="preserve">  .DCF68inhM1 = 0.1443,</t>
  </si>
  <si>
    <t xml:space="preserve">  .DCF68inhM5 = 0.0999,</t>
  </si>
  <si>
    <t xml:space="preserve">  .DCF68ing = 0.00518,</t>
  </si>
  <si>
    <t xml:space="preserve">  .DCF72inhM1 = 0.1554,</t>
  </si>
  <si>
    <t xml:space="preserve">  .DCF72ing = 0.00518,</t>
  </si>
  <si>
    <t xml:space="preserve">  .A2 = 1,</t>
  </si>
  <si>
    <t xml:space="preserve">  .Daughter = "GD-152",</t>
  </si>
  <si>
    <t xml:space="preserve">  .Isotope = "GD-152",</t>
  </si>
  <si>
    <t xml:space="preserve">  .DCF68inhF1 = 70.3,</t>
  </si>
  <si>
    <t xml:space="preserve">  .DCF68inhF5 = 81.4,</t>
  </si>
  <si>
    <t xml:space="preserve">  .DCF68inhM1 = 27.38,</t>
  </si>
  <si>
    <t xml:space="preserve">  .DCF68inhM5 = 18.5,</t>
  </si>
  <si>
    <t xml:space="preserve">  .DCF68ing = 0.1517,</t>
  </si>
  <si>
    <t xml:space="preserve">  .DCF72inhF1 = 70.3,</t>
  </si>
  <si>
    <t xml:space="preserve">  .DCF72inhM1 = 29.6,</t>
  </si>
  <si>
    <t xml:space="preserve">  .DCF72ing = 0.1517,</t>
  </si>
  <si>
    <t xml:space="preserve">  .Daughter = "SM-148",</t>
  </si>
  <si>
    <t xml:space="preserve">  .Lambda = 2.03375080792872E-22,</t>
  </si>
  <si>
    <t xml:space="preserve">  .Isotope = "SM-148",</t>
  </si>
  <si>
    <t xml:space="preserve">  .Daughter = "ND-144",</t>
  </si>
  <si>
    <t xml:space="preserve">  .Isotope = "ND-144",</t>
  </si>
  <si>
    <t xml:space="preserve">  .Lambda = 9.59148852647604E-24,</t>
  </si>
  <si>
    <t xml:space="preserve">  .Isotope = "SM-151",</t>
  </si>
  <si>
    <t xml:space="preserve">  .DCF68inhM1 = 0.01369,</t>
  </si>
  <si>
    <t xml:space="preserve">  .DCF68inhM5 = 0.00962,</t>
  </si>
  <si>
    <t xml:space="preserve">  .DCF68ing = 0.0003626,</t>
  </si>
  <si>
    <t xml:space="preserve">  .DCF72inhM1 = 0.0148,</t>
  </si>
  <si>
    <t xml:space="preserve">  .DCF72ing = 0.0003626,</t>
  </si>
  <si>
    <t xml:space="preserve">  .A2 = 10,</t>
  </si>
  <si>
    <t xml:space="preserve">  .Isotope = "PM-147",</t>
  </si>
  <si>
    <t xml:space="preserve">  .DCF68inhM1 = 0.01739,</t>
  </si>
  <si>
    <t xml:space="preserve">  .DCF68inhM5 = 0.01295,</t>
  </si>
  <si>
    <t xml:space="preserve">  .DCF68inhS1 = 0.01702,</t>
  </si>
  <si>
    <t xml:space="preserve">  .DCF72inhM1 = 0.0185,</t>
  </si>
  <si>
    <t xml:space="preserve">  .DCF72inhS1 = 0.01813,</t>
  </si>
  <si>
    <t xml:space="preserve">  .A2 = 2,</t>
  </si>
  <si>
    <t xml:space="preserve">  .Daughter = "SM-147",</t>
  </si>
  <si>
    <t xml:space="preserve">  .Isotope = "SM-147",</t>
  </si>
  <si>
    <t xml:space="preserve">  .DCF68inhM1 = 32.93,</t>
  </si>
  <si>
    <t xml:space="preserve">  .DCF68inhM5 = 22.57,</t>
  </si>
  <si>
    <t xml:space="preserve">  .DCF72inhM1 = 35.52,</t>
  </si>
  <si>
    <t xml:space="preserve">  .Isotope = "PM-146",</t>
  </si>
  <si>
    <t xml:space="preserve">  .DCF68inhM1 = 0.0703,</t>
  </si>
  <si>
    <t xml:space="preserve">  .DCF68inhM5 = 0.0481,</t>
  </si>
  <si>
    <t xml:space="preserve">  .DCF68inhS1 = 0.0592,</t>
  </si>
  <si>
    <t xml:space="preserve">  .DCF68inhS5 = 0.0333,</t>
  </si>
  <si>
    <t xml:space="preserve">  .DCF68ing = 0.00333,</t>
  </si>
  <si>
    <t xml:space="preserve">  .DCF72inhM1 = 0.0777,</t>
  </si>
  <si>
    <t xml:space="preserve">  .DCF72inhS1 = 0.0629,</t>
  </si>
  <si>
    <t xml:space="preserve">  .DCF72ing = 0.00333,</t>
  </si>
  <si>
    <t xml:space="preserve">  .Daughter = "SM-146",</t>
  </si>
  <si>
    <t xml:space="preserve">  .Isotope = "SM-146",</t>
  </si>
  <si>
    <t xml:space="preserve">  .DCF68inhM1 = 36.63,</t>
  </si>
  <si>
    <t xml:space="preserve">  .DCF68inhM5 = 24.79,</t>
  </si>
  <si>
    <t xml:space="preserve">  .DCF68ing = 0.1998,</t>
  </si>
  <si>
    <t xml:space="preserve">  .DCF72inhM1 = 40.7,</t>
  </si>
  <si>
    <t xml:space="preserve">  .DCF72ing = 0.1998,</t>
  </si>
  <si>
    <t xml:space="preserve">  .Isotope = "CE-144",</t>
  </si>
  <si>
    <t xml:space="preserve">  .DCF68inhM1 = 0.1258,</t>
  </si>
  <si>
    <t xml:space="preserve">  .DCF68inhM5 = 0.0851,</t>
  </si>
  <si>
    <t xml:space="preserve">  .DCF68inhS1 = 0.1813,</t>
  </si>
  <si>
    <t xml:space="preserve">  .DCF68inhS5 = 0.1073,</t>
  </si>
  <si>
    <t xml:space="preserve">  .DCF68ing = 0.01924,</t>
  </si>
  <si>
    <t xml:space="preserve">  .DCF72inhF1 = 0.148,</t>
  </si>
  <si>
    <t xml:space="preserve">  .DCF72inhM1 = 0.1332,</t>
  </si>
  <si>
    <t xml:space="preserve">  .DCF72inhS1 = 0.1961,</t>
  </si>
  <si>
    <t xml:space="preserve">  .DCF72ing = 0.01924,</t>
  </si>
  <si>
    <t xml:space="preserve">  .Daughter = "PR-144",</t>
  </si>
  <si>
    <t xml:space="preserve">  .Isotope = "PR-144",</t>
  </si>
  <si>
    <t xml:space="preserve">  .DCF68inhM1 = 0.0000666,</t>
  </si>
  <si>
    <t xml:space="preserve">  .DCF68inhM5 = 0.0001073,</t>
  </si>
  <si>
    <t xml:space="preserve">  .DCF68inhS1 = 0.0000703,</t>
  </si>
  <si>
    <t xml:space="preserve">  .DCF68inhS5 = 0.000111,</t>
  </si>
  <si>
    <t xml:space="preserve">  .DCF68ing = 0.000185,</t>
  </si>
  <si>
    <t xml:space="preserve">  .DCF72inhM1 = 0.0000666,</t>
  </si>
  <si>
    <t xml:space="preserve">  .DCF72inhS1 = 0.0000666,</t>
  </si>
  <si>
    <t xml:space="preserve">  .DCF72ing = 0.000185,</t>
  </si>
  <si>
    <t xml:space="preserve">  .Lambda = 6.68544734336367E-04,</t>
  </si>
  <si>
    <t xml:space="preserve">  .Isotope = "CS-137",</t>
  </si>
  <si>
    <t xml:space="preserve">  .DCF68inhF1 = 0.01776,</t>
  </si>
  <si>
    <t xml:space="preserve">  .DCF68inhF5 = 0.02479,</t>
  </si>
  <si>
    <t xml:space="preserve">  .DCF68ing = 0.0481,</t>
  </si>
  <si>
    <t xml:space="preserve">  .DCF72inhF1 = 0.01702,</t>
  </si>
  <si>
    <t xml:space="preserve">  .DCF72inhM1 = 0.03589,</t>
  </si>
  <si>
    <t xml:space="preserve">  .DCF72inhS1 = 0.1443,</t>
  </si>
  <si>
    <t xml:space="preserve">  .DCF72ing = 0.0481,</t>
  </si>
  <si>
    <t xml:space="preserve">  .A1 = 2,</t>
  </si>
  <si>
    <t xml:space="preserve">  .Daughter = "BA-137M",</t>
  </si>
  <si>
    <t xml:space="preserve">  .Isotope = "BA-137M",</t>
  </si>
  <si>
    <t xml:space="preserve">  .Isotope = "CS-135",</t>
  </si>
  <si>
    <t xml:space="preserve">  .DCF68inhF1 = 0.002627,</t>
  </si>
  <si>
    <t xml:space="preserve">  .DCF68inhF5 = 0.003663,</t>
  </si>
  <si>
    <t xml:space="preserve">  .DCF72inhF1 = 0.002553,</t>
  </si>
  <si>
    <t xml:space="preserve">  .DCF72inhM1 = 0.01147,</t>
  </si>
  <si>
    <t xml:space="preserve">  .DCF72inhS1 = 0.03182,</t>
  </si>
  <si>
    <t xml:space="preserve">  .Isotope = "CS-134",</t>
  </si>
  <si>
    <t xml:space="preserve">  .DCF68inhF1 = 0.02516,</t>
  </si>
  <si>
    <t xml:space="preserve">  .DCF68inhF5 = 0.03552,</t>
  </si>
  <si>
    <t xml:space="preserve">  .DCF68ing = 0.0703,</t>
  </si>
  <si>
    <t xml:space="preserve">  .DCF72inhF1 = 0.02442,</t>
  </si>
  <si>
    <t xml:space="preserve">  .DCF72inhM1 = 0.03367,</t>
  </si>
  <si>
    <t xml:space="preserve">  .DCF72ing = 0.0703,</t>
  </si>
  <si>
    <t xml:space="preserve">  .Isotope = "I-131",</t>
  </si>
  <si>
    <t xml:space="preserve">  .DCF68inhF1 = 0.02812,</t>
  </si>
  <si>
    <t xml:space="preserve">  .DCF68inhF5 = 0.0407,</t>
  </si>
  <si>
    <t xml:space="preserve">  .DCF68ing = 0.0814,</t>
  </si>
  <si>
    <t xml:space="preserve">  .DCF72inhF1 = 0.02738,</t>
  </si>
  <si>
    <t xml:space="preserve">  .DCF72inhM1 = 0.00888,</t>
  </si>
  <si>
    <t xml:space="preserve">  .DCF72inhS1 = 0.00592,</t>
  </si>
  <si>
    <t xml:space="preserve">  .DCF72ing = 0.0814,</t>
  </si>
  <si>
    <t xml:space="preserve">  .Daughter = "XE-131M",</t>
  </si>
  <si>
    <t xml:space="preserve">  .Isotope = "XE-131M",</t>
  </si>
  <si>
    <t xml:space="preserve">  .A2 = 40,</t>
  </si>
  <si>
    <t xml:space="preserve">  .Isotope = "I-129",</t>
  </si>
  <si>
    <t xml:space="preserve">  .DCF68inhF1 = 0.1369,</t>
  </si>
  <si>
    <t xml:space="preserve">  .DCF68inhF5 = 0.1887,</t>
  </si>
  <si>
    <t xml:space="preserve">  .DCF72inhF1 = 0.1332,</t>
  </si>
  <si>
    <t xml:space="preserve">  .DCF72inhM1 = 0.0555,</t>
  </si>
  <si>
    <t xml:space="preserve">  .DCF72inhS1 = 0.03626,</t>
  </si>
  <si>
    <t xml:space="preserve">  .Isotope = "SB-126",</t>
  </si>
  <si>
    <t xml:space="preserve">  .DCF68inhF5 = 0.00629,</t>
  </si>
  <si>
    <t xml:space="preserve">  .DCF68inhM1 = 0.00999,</t>
  </si>
  <si>
    <t xml:space="preserve">  .DCF68inhM5 = 0.01184,</t>
  </si>
  <si>
    <t xml:space="preserve">  .DCF68ing = 0.00888,</t>
  </si>
  <si>
    <t xml:space="preserve">  .DCF72inhF1 = 0.0037,</t>
  </si>
  <si>
    <t xml:space="preserve">  .DCF72inhM1 = 0.01036,</t>
  </si>
  <si>
    <t xml:space="preserve">  .DCF72inhS1 = 0.01184,</t>
  </si>
  <si>
    <t xml:space="preserve">  .Isotope = "SB-126M",</t>
  </si>
  <si>
    <t xml:space="preserve">  .DCF68inhF1 = 0.0000481,</t>
  </si>
  <si>
    <t xml:space="preserve">  .DCF68inhF5 = 0.0000851,</t>
  </si>
  <si>
    <t xml:space="preserve">  .DCF68inhM1 = 0.000074,</t>
  </si>
  <si>
    <t xml:space="preserve">  .DCF68inhM5 = 0.0001221,</t>
  </si>
  <si>
    <t xml:space="preserve">  .DCF68ing = 0.0001332,</t>
  </si>
  <si>
    <t xml:space="preserve">  .DCF72inhF1 = 0.0000444,</t>
  </si>
  <si>
    <t xml:space="preserve">  .DCF72inhM1 = 0.0000703,</t>
  </si>
  <si>
    <t xml:space="preserve">  .DCF72inhS1 = 0.000074,</t>
  </si>
  <si>
    <t xml:space="preserve">  .DCF72ing = 0.0001332,</t>
  </si>
  <si>
    <t xml:space="preserve">  .Daughter = "SB-126",</t>
  </si>
  <si>
    <t xml:space="preserve">  .Isotope = "SN-126",</t>
  </si>
  <si>
    <t xml:space="preserve">  .DCF68inhF5 = 0.0518,</t>
  </si>
  <si>
    <t xml:space="preserve">  .DCF68inhM1 = 0.0999,</t>
  </si>
  <si>
    <t xml:space="preserve">  .DCF68inhM5 = 0.0666,</t>
  </si>
  <si>
    <t xml:space="preserve">  .DCF72inhM1 = 0.1036,</t>
  </si>
  <si>
    <t xml:space="preserve">  .DCF72ing = 0.01739,</t>
  </si>
  <si>
    <t xml:space="preserve">  .Daughter = "SB-126M",</t>
  </si>
  <si>
    <t xml:space="preserve">  .Isotope = "I-125",</t>
  </si>
  <si>
    <t xml:space="preserve">  .DCF68inhF1 = 0.01961,</t>
  </si>
  <si>
    <t xml:space="preserve">  .DCF68inhF5 = 0.02701,</t>
  </si>
  <si>
    <t xml:space="preserve">  .DCF68ing = 0.0555,</t>
  </si>
  <si>
    <t xml:space="preserve">  .DCF72inhF1 = 0.01887,</t>
  </si>
  <si>
    <t xml:space="preserve">  .DCF72inhM1 = 0.00518,</t>
  </si>
  <si>
    <t xml:space="preserve">  .DCF72inhS1 = 0.001406,</t>
  </si>
  <si>
    <t xml:space="preserve">  .DCF72ing = 0.0555,</t>
  </si>
  <si>
    <t xml:space="preserve">  .Isotope = "SB-125",</t>
  </si>
  <si>
    <t xml:space="preserve">  .DCF68inhF1 = 0.00518,</t>
  </si>
  <si>
    <t xml:space="preserve">  .DCF68inhM1 = 0.01665,</t>
  </si>
  <si>
    <t xml:space="preserve">  .DCF68inhM5 = 0.01221,</t>
  </si>
  <si>
    <t xml:space="preserve">  .DCF68ing = 0.00407,</t>
  </si>
  <si>
    <t xml:space="preserve">  .DCF72inhF1 = 0.00518,</t>
  </si>
  <si>
    <t xml:space="preserve">  .DCF72inhM1 = 0.01776,</t>
  </si>
  <si>
    <t xml:space="preserve">  .DCF72ing = 0.00407,</t>
  </si>
  <si>
    <t xml:space="preserve">  .Daughter = "TE-125M",</t>
  </si>
  <si>
    <t xml:space="preserve">  .Isotope = "TE-125M",</t>
  </si>
  <si>
    <t xml:space="preserve">  .DCF68inhF1 = 0.001887,</t>
  </si>
  <si>
    <t xml:space="preserve">  .DCF68inhF5 = 0.002479,</t>
  </si>
  <si>
    <t xml:space="preserve">  .DCF68inhM1 = 0.01221,</t>
  </si>
  <si>
    <t xml:space="preserve">  .DCF68inhM5 = 0.01073,</t>
  </si>
  <si>
    <t xml:space="preserve">  .DCF72inhF1 = 0.001887,</t>
  </si>
  <si>
    <t xml:space="preserve">  .DCF72inhM1 = 0.01258,</t>
  </si>
  <si>
    <t xml:space="preserve">  .DCF72inhS1 = 0.01554,</t>
  </si>
  <si>
    <t xml:space="preserve">  .A2 = 0.9,</t>
  </si>
  <si>
    <t xml:space="preserve">  .Lambda = 1.39765449687045E-07,</t>
  </si>
  <si>
    <t xml:space="preserve">  .Isotope = "I-124",</t>
  </si>
  <si>
    <t xml:space="preserve">  .DCF68inhF1 = 0.01665,</t>
  </si>
  <si>
    <t xml:space="preserve">  .DCF68inhF5 = 0.02331,</t>
  </si>
  <si>
    <t xml:space="preserve">  .DCF72inhF1 = 0.01628,</t>
  </si>
  <si>
    <t xml:space="preserve">  .DCF72inhM1 = 0.00444,</t>
  </si>
  <si>
    <t xml:space="preserve">  .DCF72inhS1 = 0.002849,</t>
  </si>
  <si>
    <t xml:space="preserve">  .Lambda = 1.92110555843784E-06,</t>
  </si>
  <si>
    <t xml:space="preserve">  .Isotope = "I-123",</t>
  </si>
  <si>
    <t xml:space="preserve">  .DCF68inhF1 = 0.0002812,</t>
  </si>
  <si>
    <t xml:space="preserve">  .DCF68inhF5 = 0.000407,</t>
  </si>
  <si>
    <t xml:space="preserve">  .DCF68ing = 0.000777,</t>
  </si>
  <si>
    <t xml:space="preserve">  .DCF72inhF1 = 0.0002738,</t>
  </si>
  <si>
    <t xml:space="preserve">  .DCF72inhM1 = 0.0002368,</t>
  </si>
  <si>
    <t xml:space="preserve">  .DCF72inhS1 = 0.000222,</t>
  </si>
  <si>
    <t xml:space="preserve">  .DCF72ing = 0.000777,</t>
  </si>
  <si>
    <t xml:space="preserve">  .A1 = 6,</t>
  </si>
  <si>
    <t xml:space="preserve">  .Isotope = "SN-121",</t>
  </si>
  <si>
    <t xml:space="preserve">  .DCF68inhF1 = 0.0002368,</t>
  </si>
  <si>
    <t xml:space="preserve">  .DCF68inhF5 = 0.00037,</t>
  </si>
  <si>
    <t xml:space="preserve">  .DCF68inhM1 = 0.000814,</t>
  </si>
  <si>
    <t xml:space="preserve">  .DCF68inhM5 = 0.001036,</t>
  </si>
  <si>
    <t xml:space="preserve">  .DCF68ing = 0.000851,</t>
  </si>
  <si>
    <t xml:space="preserve">  .DCF72inhF1 = 0.000222,</t>
  </si>
  <si>
    <t xml:space="preserve">  .DCF72inhM1 = 0.000851,</t>
  </si>
  <si>
    <t xml:space="preserve">  .DCF72ing = 0.000851,</t>
  </si>
  <si>
    <t xml:space="preserve">  .Isotope = "SN-121M",</t>
  </si>
  <si>
    <t xml:space="preserve">  .DCF68inhF1 = 0.00296,</t>
  </si>
  <si>
    <t xml:space="preserve">  .DCF68inhF5 = 0.003589,</t>
  </si>
  <si>
    <t xml:space="preserve">  .DCF68inhM1 = 0.01554,</t>
  </si>
  <si>
    <t xml:space="preserve">  .DCF68ing = 0.001406,</t>
  </si>
  <si>
    <t xml:space="preserve">  .DCF72inhF1 = 0.00296,</t>
  </si>
  <si>
    <t xml:space="preserve">  .DCF72inhM1 = 0.01665,</t>
  </si>
  <si>
    <t xml:space="preserve">  .DCF72ing = 0.001406,</t>
  </si>
  <si>
    <t xml:space="preserve">  .Daughter = "SN-121",</t>
  </si>
  <si>
    <t xml:space="preserve">  .Isotope = "CD-113",</t>
  </si>
  <si>
    <t xml:space="preserve">  .DCF68inhF1 = 0.444,</t>
  </si>
  <si>
    <t xml:space="preserve">  .DCF68inhF5 = 0.518,</t>
  </si>
  <si>
    <t xml:space="preserve">  .DCF68inhM1 = 0.1961,</t>
  </si>
  <si>
    <t xml:space="preserve">  .DCF68inhM5 = 0.1591,</t>
  </si>
  <si>
    <t xml:space="preserve">  .DCF68inhS1 = 0.0925,</t>
  </si>
  <si>
    <t xml:space="preserve">  .DCF68inhS5 = 0.0777,</t>
  </si>
  <si>
    <t xml:space="preserve">  .DCF68ing = 0.0925,</t>
  </si>
  <si>
    <t xml:space="preserve">  .DCF72inhM1 = 0.2035,</t>
  </si>
  <si>
    <t xml:space="preserve">  .DCF72inhS1 = 0.0962,</t>
  </si>
  <si>
    <t xml:space="preserve">  .DCF72ing = 0.0925,</t>
  </si>
  <si>
    <t xml:space="preserve">  .Isotope = "CD-113M",</t>
  </si>
  <si>
    <t xml:space="preserve">  .DCF68inhF1 = 0.407,</t>
  </si>
  <si>
    <t xml:space="preserve">  .DCF68inhF5 = 0.481,</t>
  </si>
  <si>
    <t xml:space="preserve">  .DCF68inhM5 = 0.148,</t>
  </si>
  <si>
    <t xml:space="preserve">  .DCF68inhS1 = 0.111,</t>
  </si>
  <si>
    <t xml:space="preserve">  .DCF68inhS5 = 0.0888,</t>
  </si>
  <si>
    <t xml:space="preserve">  .DCF68ing = 0.0851,</t>
  </si>
  <si>
    <t xml:space="preserve">  .DCF72inhF1 = 0.407,</t>
  </si>
  <si>
    <t xml:space="preserve">  .DCF72inhM1 = 0.1924,</t>
  </si>
  <si>
    <t xml:space="preserve">  .DCF72inhS1 = 0.1147,</t>
  </si>
  <si>
    <t xml:space="preserve">  .DCF72ing = 0.0851,</t>
  </si>
  <si>
    <t xml:space="preserve">  .Daughter = "CD-113",</t>
  </si>
  <si>
    <t xml:space="preserve">  .Isotope = "PD-107",</t>
  </si>
  <si>
    <t xml:space="preserve">  .DCF68inhF1 = 0.0000962,</t>
  </si>
  <si>
    <t xml:space="preserve">  .DCF68inhF5 = 0.0001221,</t>
  </si>
  <si>
    <t xml:space="preserve">  .DCF68inhM1 = 0.000296,</t>
  </si>
  <si>
    <t xml:space="preserve">  .DCF68inhM5 = 0.0001924,</t>
  </si>
  <si>
    <t xml:space="preserve">  .DCF68inhS1 = 0.002035,</t>
  </si>
  <si>
    <t xml:space="preserve">  .DCF68inhS5 = 0.001073,</t>
  </si>
  <si>
    <t xml:space="preserve">  .DCF68ing = 0.0001369,</t>
  </si>
  <si>
    <t xml:space="preserve">  .DCF72inhF1 = 0.0000925,</t>
  </si>
  <si>
    <t xml:space="preserve">  .DCF72inhM1 = 0.0003145,</t>
  </si>
  <si>
    <t xml:space="preserve">  .DCF72inhS1 = 0.002183,</t>
  </si>
  <si>
    <t xml:space="preserve">  .DCF72ing = 0.0001369,</t>
  </si>
  <si>
    <t xml:space="preserve">  .Isotope = "RU-106",</t>
  </si>
  <si>
    <t xml:space="preserve">  .DCF68inhF1 = 0.0296,</t>
  </si>
  <si>
    <t xml:space="preserve">  .DCF68inhF5 = 0.03626,</t>
  </si>
  <si>
    <t xml:space="preserve">  .DCF68inhM1 = 0.0962,</t>
  </si>
  <si>
    <t xml:space="preserve">  .DCF68inhM5 = 0.0629,</t>
  </si>
  <si>
    <t xml:space="preserve">  .DCF68inhS1 = 0.2294,</t>
  </si>
  <si>
    <t xml:space="preserve">  .DCF68inhS5 = 0.1295,</t>
  </si>
  <si>
    <t xml:space="preserve">  .DCF68ing = 0.0259,</t>
  </si>
  <si>
    <t xml:space="preserve">  .DCF72inhF1 = 0.02923,</t>
  </si>
  <si>
    <t xml:space="preserve">  .DCF72inhS1 = 0.2442,</t>
  </si>
  <si>
    <t xml:space="preserve">  .DCF72ing = 0.0259,</t>
  </si>
  <si>
    <t xml:space="preserve">  .Daughter = "RH-106",</t>
  </si>
  <si>
    <t xml:space="preserve">  .Isotope = "RH-106",</t>
  </si>
  <si>
    <t xml:space="preserve">  .Lambda = 2.30511200718306E-02,</t>
  </si>
  <si>
    <t xml:space="preserve">  .Isotope = "RH-99",</t>
  </si>
  <si>
    <t xml:space="preserve">  .DCF68inhF1 = 0.001221,</t>
  </si>
  <si>
    <t xml:space="preserve">  .DCF68inhF5 = 0.001813,</t>
  </si>
  <si>
    <t xml:space="preserve">  .DCF68inhM1 = 0.002701,</t>
  </si>
  <si>
    <t xml:space="preserve">  .DCF68inhM5 = 0.003034,</t>
  </si>
  <si>
    <t xml:space="preserve">  .DCF68inhS1 = 0.003071,</t>
  </si>
  <si>
    <t xml:space="preserve">  .DCF68inhS5 = 0.003293,</t>
  </si>
  <si>
    <t xml:space="preserve">  .DCF72inhF1 = 0.001184,</t>
  </si>
  <si>
    <t xml:space="preserve">  .DCF72inhM1 = 0.002849,</t>
  </si>
  <si>
    <t xml:space="preserve">  .DCF72inhS1 = 0.003219,</t>
  </si>
  <si>
    <t xml:space="preserve">  .Lambda = 4.98294211927727E-07,</t>
  </si>
  <si>
    <t xml:space="preserve">  .Isotope = "TC-99",</t>
  </si>
  <si>
    <t xml:space="preserve">  .DCF68inhF1 = 0.001073,</t>
  </si>
  <si>
    <t xml:space="preserve">  .DCF68inhF5 = 0.00148,</t>
  </si>
  <si>
    <t xml:space="preserve">  .DCF68inhM1 = 0.01443,</t>
  </si>
  <si>
    <t xml:space="preserve">  .DCF68ing = 0.002886,</t>
  </si>
  <si>
    <t xml:space="preserve">  .DCF72inhF1 = 0.001073,</t>
  </si>
  <si>
    <t xml:space="preserve">  .DCF72inhS1 = 0.0481,</t>
  </si>
  <si>
    <t xml:space="preserve">  .DCF72ing = 0.002368,</t>
  </si>
  <si>
    <t xml:space="preserve">  .Isotope = "TC-99M",</t>
  </si>
  <si>
    <t xml:space="preserve">  .DCF68inhF1 = 0.0000444,</t>
  </si>
  <si>
    <t xml:space="preserve">  .DCF68inhF5 = 0.000074,</t>
  </si>
  <si>
    <t xml:space="preserve">  .DCF68inhM1 = 0.0000703,</t>
  </si>
  <si>
    <t xml:space="preserve">  .DCF68ing = 0.0000814,</t>
  </si>
  <si>
    <t xml:space="preserve">  .DCF72ing = 0.0000814,</t>
  </si>
  <si>
    <t xml:space="preserve">  .A2 = 4,</t>
  </si>
  <si>
    <t xml:space="preserve">  .Isotope = "ZR-93",</t>
  </si>
  <si>
    <t xml:space="preserve">  .DCF68inhM1 = 0.03552,</t>
  </si>
  <si>
    <t xml:space="preserve">  .DCF68inhM5 = 0.02442,</t>
  </si>
  <si>
    <t xml:space="preserve">  .DCF68inhS1 = 0.01147,</t>
  </si>
  <si>
    <t xml:space="preserve">  .DCF68ing = 0.001036,</t>
  </si>
  <si>
    <t xml:space="preserve">  .DCF72inhM1 = 0.037,</t>
  </si>
  <si>
    <t xml:space="preserve">  .DCF72inhS1 = 0.01221,</t>
  </si>
  <si>
    <t xml:space="preserve">  .Daughter = "NB-93M",</t>
  </si>
  <si>
    <t xml:space="preserve">  .Isotope = "NB-93M",</t>
  </si>
  <si>
    <t xml:space="preserve">  .DCF68inhM1 = 0.001702,</t>
  </si>
  <si>
    <t xml:space="preserve">  .DCF68inhM5 = 0.001073,</t>
  </si>
  <si>
    <t xml:space="preserve">  .DCF68inhS1 = 0.00592,</t>
  </si>
  <si>
    <t xml:space="preserve">  .DCF68inhS5 = 0.003182,</t>
  </si>
  <si>
    <t xml:space="preserve">  .DCF68ing = 0.000444,</t>
  </si>
  <si>
    <t xml:space="preserve">  .DCF72inhF1 = 0.000814,</t>
  </si>
  <si>
    <t xml:space="preserve">  .DCF72inhM1 = 0.001887,</t>
  </si>
  <si>
    <t xml:space="preserve">  .DCF72inhS1 = 0.00666,</t>
  </si>
  <si>
    <t xml:space="preserve">  .DCF72ing = 0.000444,</t>
  </si>
  <si>
    <t xml:space="preserve">  .A2 = 30,</t>
  </si>
  <si>
    <t xml:space="preserve">  .Isotope = "SR-90",</t>
  </si>
  <si>
    <t xml:space="preserve">  .DCF68inhF1 = 0.0888,</t>
  </si>
  <si>
    <t xml:space="preserve">  .DCF68inhF5 = 0.111,</t>
  </si>
  <si>
    <t xml:space="preserve">  .DCF68inhS1 = 0.555,</t>
  </si>
  <si>
    <t xml:space="preserve">  .DCF68inhS5 = 0.2849,</t>
  </si>
  <si>
    <t xml:space="preserve">  .DCF68ing = 0.1036,</t>
  </si>
  <si>
    <t xml:space="preserve">  .DCF72inhF1 = 0.0888,</t>
  </si>
  <si>
    <t xml:space="preserve">  .DCF72inhS1 = 0.592,</t>
  </si>
  <si>
    <t xml:space="preserve">  .DCF72ing = 0.1036,</t>
  </si>
  <si>
    <t xml:space="preserve">  .Daughter = "Y-90",</t>
  </si>
  <si>
    <t xml:space="preserve">  .Isotope = "Y-90",</t>
  </si>
  <si>
    <t xml:space="preserve">  .DCF68inhM1 = 0.00518,</t>
  </si>
  <si>
    <t xml:space="preserve">  .DCF68inhM5 = 0.00592,</t>
  </si>
  <si>
    <t xml:space="preserve">  .DCF68inhS1 = 0.00555,</t>
  </si>
  <si>
    <t xml:space="preserve">  .DCF68ing = 0.00999,</t>
  </si>
  <si>
    <t xml:space="preserve">  .DCF72ing = 0.00999,</t>
  </si>
  <si>
    <t xml:space="preserve">  .Isotope = "RB-86",</t>
  </si>
  <si>
    <t xml:space="preserve">  .DCF68inhF1 = 0.003552,</t>
  </si>
  <si>
    <t xml:space="preserve">  .DCF68ing = 0.01036,</t>
  </si>
  <si>
    <t xml:space="preserve">  .DCF72inhF1 = 0.003441,</t>
  </si>
  <si>
    <t xml:space="preserve">  .DCF72ing = 0.01036,</t>
  </si>
  <si>
    <t xml:space="preserve">  .Isotope = "KR-85",</t>
  </si>
  <si>
    <t xml:space="preserve">  .Isotope = "SE-79",</t>
  </si>
  <si>
    <t xml:space="preserve">  .DCF68inhF1 = 0.00444,</t>
  </si>
  <si>
    <t xml:space="preserve">  .DCF68inhF5 = 0.00592,</t>
  </si>
  <si>
    <t xml:space="preserve">  .DCF68inhM1 = 0.01073,</t>
  </si>
  <si>
    <t xml:space="preserve">  .DCF68inhM5 = 0.01147,</t>
  </si>
  <si>
    <t xml:space="preserve">  .DCF68ing = 0.01073,</t>
  </si>
  <si>
    <t xml:space="preserve">  .DCF72inhM1 = 0.00962,</t>
  </si>
  <si>
    <t xml:space="preserve">  .DCF72inhS1 = 0.02516,</t>
  </si>
  <si>
    <t xml:space="preserve">  .DCF72ing = 0.01073,</t>
  </si>
  <si>
    <t xml:space="preserve">  .Isotope = "ZN-65",</t>
  </si>
  <si>
    <t xml:space="preserve">  .DCF68inhS1 = 0.01073,</t>
  </si>
  <si>
    <t xml:space="preserve">  .DCF68inhS5 = 0.01036,</t>
  </si>
  <si>
    <t xml:space="preserve">  .DCF68ing = 0.01443,</t>
  </si>
  <si>
    <t xml:space="preserve">  .DCF72inhF1 = 0.00814,</t>
  </si>
  <si>
    <t xml:space="preserve">  .DCF72inhM1 = 0.00592,</t>
  </si>
  <si>
    <t xml:space="preserve">  .DCF72inhS1 = 0.0074,</t>
  </si>
  <si>
    <t xml:space="preserve">  .DCF72ing = 0.01443,</t>
  </si>
  <si>
    <t xml:space="preserve">  .Lambda = 3.28886845079999E-08,</t>
  </si>
  <si>
    <t xml:space="preserve">  .Isotope = "CU-64",</t>
  </si>
  <si>
    <t xml:space="preserve">  .DCF68inhF1 = 0.0001406,</t>
  </si>
  <si>
    <t xml:space="preserve">  .DCF68inhF5 = 0.0002516,</t>
  </si>
  <si>
    <t xml:space="preserve">  .DCF68inhM1 = 0.000407,</t>
  </si>
  <si>
    <t xml:space="preserve">  .DCF68inhM5 = 0.000555,</t>
  </si>
  <si>
    <t xml:space="preserve">  .DCF68inhS1 = 0.000444,</t>
  </si>
  <si>
    <t xml:space="preserve">  .DCF68inhS5 = 0.000555,</t>
  </si>
  <si>
    <t xml:space="preserve">  .DCF72inhF1 = 0.0001295,</t>
  </si>
  <si>
    <t xml:space="preserve">  .DCF72inhM1 = 0.000407,</t>
  </si>
  <si>
    <t xml:space="preserve">  .DCF72inhS1 = 0.000444,</t>
  </si>
  <si>
    <t xml:space="preserve">  .Isotope = "NI-63",</t>
  </si>
  <si>
    <t xml:space="preserve">  .DCF68inhF1 = 0.001628,</t>
  </si>
  <si>
    <t xml:space="preserve">  .DCF68inhF5 = 0.001924,</t>
  </si>
  <si>
    <t xml:space="preserve">  .DCF68inhM1 = 0.001628,</t>
  </si>
  <si>
    <t xml:space="preserve">  .DCF68inhM5 = 0.001147,</t>
  </si>
  <si>
    <t xml:space="preserve">  .DCF68ing = 0.000555,</t>
  </si>
  <si>
    <t xml:space="preserve">  .DCF72inhF1 = 0.001628,</t>
  </si>
  <si>
    <t xml:space="preserve">  .DCF72inhM1 = 0.001776,</t>
  </si>
  <si>
    <t xml:space="preserve">  .DCF72inhS1 = 0.00481,</t>
  </si>
  <si>
    <t xml:space="preserve">  .DCF72ing = 0.000555,</t>
  </si>
  <si>
    <t xml:space="preserve">  .Isotope = "CO-60",</t>
  </si>
  <si>
    <t xml:space="preserve">  .DCF68inhM5 = 0.02627,</t>
  </si>
  <si>
    <t xml:space="preserve">  .DCF68inhS1 = 0.1073,</t>
  </si>
  <si>
    <t xml:space="preserve">  .DCF68inhS5 = 0.0629,</t>
  </si>
  <si>
    <t xml:space="preserve">  .DCF72inhF1 = 0.01924,</t>
  </si>
  <si>
    <t xml:space="preserve">  .Isotope = "CU-59",</t>
  </si>
  <si>
    <t xml:space="preserve">  .Daughter = "NI-59",</t>
  </si>
  <si>
    <t xml:space="preserve">  .Isotope = "NI-59",</t>
  </si>
  <si>
    <t xml:space="preserve">  .DCF68inhF1 = 0.000666,</t>
  </si>
  <si>
    <t xml:space="preserve">  .DCF68inhF5 = 0.000814,</t>
  </si>
  <si>
    <t xml:space="preserve">  .DCF68inhM1 = 0.000481,</t>
  </si>
  <si>
    <t xml:space="preserve">  .DCF68inhM5 = 0.0003478,</t>
  </si>
  <si>
    <t xml:space="preserve">  .DCF68ing = 0.0002331,</t>
  </si>
  <si>
    <t xml:space="preserve">  .DCF72inhM1 = 0.000481,</t>
  </si>
  <si>
    <t xml:space="preserve">  .DCF72inhS1 = 0.001628,</t>
  </si>
  <si>
    <t xml:space="preserve">  .DCF72ing = 0.0002331,</t>
  </si>
  <si>
    <t xml:space="preserve">  .Isotope = "FE-59",</t>
  </si>
  <si>
    <t xml:space="preserve">  .DCF68inhF1 = 0.00814,</t>
  </si>
  <si>
    <t xml:space="preserve">  .DCF68inhF5 = 0.0111,</t>
  </si>
  <si>
    <t xml:space="preserve">  .DCF68inhM1 = 0.01295,</t>
  </si>
  <si>
    <t xml:space="preserve">  .DCF68ing = 0.00666,</t>
  </si>
  <si>
    <t xml:space="preserve">  .DCF72inhM1 = 0.01369,</t>
  </si>
  <si>
    <t xml:space="preserve">  .DCF72inhS1 = 0.0148,</t>
  </si>
  <si>
    <t xml:space="preserve">  .DCF72ing = 0.00666,</t>
  </si>
  <si>
    <t xml:space="preserve">  .Lambda = 1.80301984763151E-07,</t>
  </si>
  <si>
    <t xml:space="preserve">  .Isotope = "ZN-59",</t>
  </si>
  <si>
    <t xml:space="preserve">  .Daughter = "CU-59",</t>
  </si>
  <si>
    <t xml:space="preserve">  .Isotope = "CO-57",</t>
  </si>
  <si>
    <t xml:space="preserve">  .DCF68inhM1 = 0.001924,</t>
  </si>
  <si>
    <t xml:space="preserve">  .DCF68inhM5 = 0.001443,</t>
  </si>
  <si>
    <t xml:space="preserve">  .DCF68inhS1 = 0.003478,</t>
  </si>
  <si>
    <t xml:space="preserve">  .DCF68inhS5 = 0.00222,</t>
  </si>
  <si>
    <t xml:space="preserve">  .DCF72inhF1 = 0.000703,</t>
  </si>
  <si>
    <t xml:space="preserve">  .DCF72inhM1 = 0.002035,</t>
  </si>
  <si>
    <t xml:space="preserve">  .Isotope = "FE-55",</t>
  </si>
  <si>
    <t xml:space="preserve">  .DCF68inhF1 = 0.002849,</t>
  </si>
  <si>
    <t xml:space="preserve">  .DCF68inhF5 = 0.003404,</t>
  </si>
  <si>
    <t xml:space="preserve">  .DCF68inhM1 = 0.001369,</t>
  </si>
  <si>
    <t xml:space="preserve">  .DCF68inhM5 = 0.001221,</t>
  </si>
  <si>
    <t xml:space="preserve">  .DCF68ing = 0.001221,</t>
  </si>
  <si>
    <t xml:space="preserve">  .DCF72inhF1 = 0.002849,</t>
  </si>
  <si>
    <t xml:space="preserve">  .DCF72inhS1 = 0.000666,</t>
  </si>
  <si>
    <t xml:space="preserve">  .DCF72ing = 0.001221,</t>
  </si>
  <si>
    <t xml:space="preserve">  .Isotope = "MN-54",</t>
  </si>
  <si>
    <t xml:space="preserve">  .DCF68inhF1 = 0.003219,</t>
  </si>
  <si>
    <t xml:space="preserve">  .DCF68inhF5 = 0.00407,</t>
  </si>
  <si>
    <t xml:space="preserve">  .DCF68inhM1 = 0.00555,</t>
  </si>
  <si>
    <t xml:space="preserve">  .DCF68inhM5 = 0.00444,</t>
  </si>
  <si>
    <t xml:space="preserve">  .DCF68ing = 0.002627,</t>
  </si>
  <si>
    <t xml:space="preserve">  .DCF72inhF1 = 0.003145,</t>
  </si>
  <si>
    <t xml:space="preserve">  .DCF72inhM1 = 0.00555,</t>
  </si>
  <si>
    <t xml:space="preserve">  .DCF72ing = 0.002627,</t>
  </si>
  <si>
    <t xml:space="preserve">  .Isotope = "CR-51",</t>
  </si>
  <si>
    <t xml:space="preserve">  .DCF68inhF1 = 0.0000777,</t>
  </si>
  <si>
    <t xml:space="preserve">  .DCF68inhF5 = 0.000111,</t>
  </si>
  <si>
    <t xml:space="preserve">  .DCF68inhM1 = 0.0001147,</t>
  </si>
  <si>
    <t xml:space="preserve">  .DCF68inhM5 = 0.0001258,</t>
  </si>
  <si>
    <t xml:space="preserve">  .DCF68inhS1 = 0.0001332,</t>
  </si>
  <si>
    <t xml:space="preserve">  .DCF68inhS5 = 0.0001332,</t>
  </si>
  <si>
    <t xml:space="preserve">  .DCF68ing = 0.0001406,</t>
  </si>
  <si>
    <t xml:space="preserve">  .DCF72inhF1 = 0.000074,</t>
  </si>
  <si>
    <t xml:space="preserve">  .DCF72inhM1 = 0.0001184,</t>
  </si>
  <si>
    <t xml:space="preserve">  .DCF72inhS1 = 0.0001369,</t>
  </si>
  <si>
    <t xml:space="preserve">  .DCF72ing = 0.0001406,</t>
  </si>
  <si>
    <t xml:space="preserve">  .Isotope = "CA-45",</t>
  </si>
  <si>
    <t xml:space="preserve">  .DCF68inhM5 = 0.00851,</t>
  </si>
  <si>
    <t xml:space="preserve">  .DCF68ing = 0.002812,</t>
  </si>
  <si>
    <t xml:space="preserve">  .DCF72inhF1 = 0.001702,</t>
  </si>
  <si>
    <t xml:space="preserve">  .DCF72inhM1 = 0.00999,</t>
  </si>
  <si>
    <t xml:space="preserve">  .DCF72inhS1 = 0.01369,</t>
  </si>
  <si>
    <t xml:space="preserve">  .Lambda = 4.93360605869036E-08,</t>
  </si>
  <si>
    <t xml:space="preserve">  .Isotope = "CL-36",</t>
  </si>
  <si>
    <t xml:space="preserve">  .DCF68inhF1 = 0.001258,</t>
  </si>
  <si>
    <t xml:space="preserve">  .DCF68inhM1 = 0.02553,</t>
  </si>
  <si>
    <t xml:space="preserve">  .DCF68inhM5 = 0.01887,</t>
  </si>
  <si>
    <t xml:space="preserve">  .DCF68ing = 0.003441,</t>
  </si>
  <si>
    <t xml:space="preserve">  .DCF72inhF1 = 0.001221,</t>
  </si>
  <si>
    <t xml:space="preserve">  .DCF72inhM1 = 0.02701,</t>
  </si>
  <si>
    <t xml:space="preserve">  .DCF72ing = 0.003441,</t>
  </si>
  <si>
    <t xml:space="preserve">  .Lambda = 7.29717897861466E-14,</t>
  </si>
  <si>
    <t xml:space="preserve">  .Isotope = "S-35",</t>
  </si>
  <si>
    <t xml:space="preserve">  .DCF68inhF1 = 0.0001961,</t>
  </si>
  <si>
    <t xml:space="preserve">  .DCF68inhF5 = 0.000296,</t>
  </si>
  <si>
    <t xml:space="preserve">  .DCF68inhM1 = 0.00481,</t>
  </si>
  <si>
    <t xml:space="preserve">  .DCF72inhF1 = 0.0001887,</t>
  </si>
  <si>
    <t xml:space="preserve">  .DCF72ing = 0.002849,</t>
  </si>
  <si>
    <t xml:space="preserve">  .Isotope = "P-33",</t>
  </si>
  <si>
    <t xml:space="preserve">  .DCF68inhF1 = 0.0003552,</t>
  </si>
  <si>
    <t xml:space="preserve">  .DCF68inhF5 = 0.000518,</t>
  </si>
  <si>
    <t xml:space="preserve">  .DCF68inhM5 = 0.00481,</t>
  </si>
  <si>
    <t xml:space="preserve">  .DCF68ing = 0.000888,</t>
  </si>
  <si>
    <t xml:space="preserve">  .DCF72inhF1 = 0.0003404,</t>
  </si>
  <si>
    <t xml:space="preserve">  .DCF72ing = 0.000888,</t>
  </si>
  <si>
    <t xml:space="preserve">  .Lambda = 3.16470880159227E-07,</t>
  </si>
  <si>
    <t xml:space="preserve">  .Isotope = "P-32",</t>
  </si>
  <si>
    <t xml:space="preserve">  .DCF68inhM1 = 0.01184,</t>
  </si>
  <si>
    <t xml:space="preserve">  .Isotope = "NA-22",</t>
  </si>
  <si>
    <t xml:space="preserve">  .DCF68inhF1 = 0.00481,</t>
  </si>
  <si>
    <t xml:space="preserve">  .DCF68inhF5 = 0.0074,</t>
  </si>
  <si>
    <t xml:space="preserve">  .DCF68ing = 0.01184,</t>
  </si>
  <si>
    <t xml:space="preserve">  .DCF72inhF1 = 0.00481,</t>
  </si>
  <si>
    <t xml:space="preserve">  .DCF72ing = 0.01184,</t>
  </si>
  <si>
    <t xml:space="preserve">  .Isotope = "C-14",</t>
  </si>
  <si>
    <t xml:space="preserve">  .DCF68ing = 0.002146,</t>
  </si>
  <si>
    <t xml:space="preserve">  .DCF72inhF1 = 0.00074,</t>
  </si>
  <si>
    <t xml:space="preserve">  .DCF72inhM1 = 0.0074,</t>
  </si>
  <si>
    <t xml:space="preserve">  .DCF72inhS1 = 0.02146,</t>
  </si>
  <si>
    <t xml:space="preserve">  .DCF72ing = 0.002146,</t>
  </si>
  <si>
    <t xml:space="preserve">  .Isotope = "H-3",</t>
  </si>
  <si>
    <t xml:space="preserve">  .DCF68ing = 0.0001554,</t>
  </si>
  <si>
    <t xml:space="preserve">  .DCF72inhF1 = 0.00002294,</t>
  </si>
  <si>
    <t xml:space="preserve">  .DCF72inhM1 = 0.0001665,</t>
  </si>
  <si>
    <t xml:space="preserve">  .DCF72inhS1 = 0.000962,</t>
  </si>
  <si>
    <t xml:space="preserve">  .DCF72ing = 0.0001554,</t>
  </si>
  <si>
    <t xml:space="preserve">  .Isotope = "CD-109",</t>
  </si>
  <si>
    <t xml:space="preserve">  .DCF68inhF1 = 0.02997,</t>
  </si>
  <si>
    <t xml:space="preserve">  .DCF68inhM1 = 0.02294,</t>
  </si>
  <si>
    <t xml:space="preserve">  .DCF68inhS1 = 0.02146,</t>
  </si>
  <si>
    <t xml:space="preserve">  .DCF68inhS5 = 0.01628,</t>
  </si>
  <si>
    <t xml:space="preserve">  .DCF72inhF1 = 0.02997,</t>
  </si>
  <si>
    <t xml:space="preserve">  .DCF72inhS1 = 0.02294,</t>
  </si>
  <si>
    <t xml:space="preserve">  .Isotope = "F-18",</t>
  </si>
  <si>
    <t xml:space="preserve">  .DCF68inhF1 = 0.000111,</t>
  </si>
  <si>
    <t xml:space="preserve">  .DCF68inhF5 = 0.0001998,</t>
  </si>
  <si>
    <t xml:space="preserve">  .DCF68inhM1 = 0.0002109,</t>
  </si>
  <si>
    <t xml:space="preserve">  .DCF68inhM5 = 0.0003293,</t>
  </si>
  <si>
    <t xml:space="preserve">  .DCF68inhS1 = 0.000222,</t>
  </si>
  <si>
    <t xml:space="preserve">  .DCF68inhS5 = 0.0003441,</t>
  </si>
  <si>
    <t xml:space="preserve">  .DCF68ing = 0.0001813,</t>
  </si>
  <si>
    <t xml:space="preserve">  .DCF72inhF1 = 0.0001036,</t>
  </si>
  <si>
    <t xml:space="preserve">  .DCF72inhS1 = 0.0002183,</t>
  </si>
  <si>
    <t xml:space="preserve">  .DCF72ing = 0.0001813,</t>
  </si>
  <si>
    <t xml:space="preserve">  .Isotope = "ZR-95",</t>
  </si>
  <si>
    <t xml:space="preserve">  .DCF68inhF1 = 0.00925,</t>
  </si>
  <si>
    <t xml:space="preserve">  .DCF68inhM5 = 0.01332,</t>
  </si>
  <si>
    <t xml:space="preserve">  .DCF68inhS1 = 0.02035,</t>
  </si>
  <si>
    <t xml:space="preserve">  .DCF68inhS5 = 0.01554,</t>
  </si>
  <si>
    <t xml:space="preserve">  .DCF68ing = 0.003256,</t>
  </si>
  <si>
    <t xml:space="preserve">  .DCF72inhS1 = 0.02183,</t>
  </si>
  <si>
    <t xml:space="preserve">  .DCF72ing = 0.003515,</t>
  </si>
  <si>
    <t xml:space="preserve">  .A2 = 0.8,</t>
  </si>
  <si>
    <t xml:space="preserve">  .Daughter = "NB-95",</t>
  </si>
  <si>
    <t xml:space="preserve">  .Lambda = 1.25289492941598E-07,</t>
  </si>
  <si>
    <t xml:space="preserve">  .Isotope = "NB-95",</t>
  </si>
  <si>
    <t xml:space="preserve">  .DCF68inhS5 = 0.00481,</t>
  </si>
  <si>
    <t xml:space="preserve">  .DCF72inhF1 = 0.002109,</t>
  </si>
  <si>
    <t xml:space="preserve">  .A2 = 1000000,</t>
  </si>
  <si>
    <t xml:space="preserve">  .Lambda = 2.29274293733714E-07,</t>
  </si>
  <si>
    <t xml:space="preserve">  .Isotope = "NB-94",</t>
  </si>
  <si>
    <t xml:space="preserve">  .DCF68inhM1 = 0.037,</t>
  </si>
  <si>
    <t xml:space="preserve">  .DCF68inhM5 = 0.02664,</t>
  </si>
  <si>
    <t xml:space="preserve">  .DCF68inhS1 = 0.1665,</t>
  </si>
  <si>
    <t xml:space="preserve">  .DCF68inhS5 = 0.0925,</t>
  </si>
  <si>
    <t xml:space="preserve">  .DCF68ing = 0.00629,</t>
  </si>
  <si>
    <t xml:space="preserve">  .DCF72inhF1 = 0.02146,</t>
  </si>
  <si>
    <t xml:space="preserve">  .DCF72inhS1 = 0.1813,</t>
  </si>
  <si>
    <t xml:space="preserve">  .DCF72ing = 0.00629,</t>
  </si>
  <si>
    <t>KR-85M</t>
  </si>
  <si>
    <t>A1 TBq</t>
  </si>
  <si>
    <t>A2 TBq</t>
  </si>
  <si>
    <t>AC-205</t>
  </si>
  <si>
    <t>AC-206</t>
  </si>
  <si>
    <t>AC-207</t>
  </si>
  <si>
    <t>AC-208</t>
  </si>
  <si>
    <t>AC-209</t>
  </si>
  <si>
    <t>AC-210</t>
  </si>
  <si>
    <t>AC-211</t>
  </si>
  <si>
    <t>AC-212</t>
  </si>
  <si>
    <t>AC-213</t>
  </si>
  <si>
    <t>AC-214</t>
  </si>
  <si>
    <t>AC-215</t>
  </si>
  <si>
    <t>AC-216</t>
  </si>
  <si>
    <t>AC-217</t>
  </si>
  <si>
    <t>AC-218</t>
  </si>
  <si>
    <t>AC-219</t>
  </si>
  <si>
    <t>AC-220</t>
  </si>
  <si>
    <t>AC-221</t>
  </si>
  <si>
    <t>AC-222</t>
  </si>
  <si>
    <t>AC-222M</t>
  </si>
  <si>
    <t>AC-223</t>
  </si>
  <si>
    <t>AC-229</t>
  </si>
  <si>
    <t>AC-230</t>
  </si>
  <si>
    <t>AC-231</t>
  </si>
  <si>
    <t>AC-232</t>
  </si>
  <si>
    <t>AC-233</t>
  </si>
  <si>
    <t>AC-234</t>
  </si>
  <si>
    <t>AC-235</t>
  </si>
  <si>
    <t>AC-236</t>
  </si>
  <si>
    <t>AG-100</t>
  </si>
  <si>
    <t>AG-100M</t>
  </si>
  <si>
    <t>AG-101</t>
  </si>
  <si>
    <t>AG-101M</t>
  </si>
  <si>
    <t>AG-102M</t>
  </si>
  <si>
    <t>AG-103M</t>
  </si>
  <si>
    <t>AG-105M</t>
  </si>
  <si>
    <t>AG-107M</t>
  </si>
  <si>
    <t>AG-108</t>
  </si>
  <si>
    <t>AG-109M</t>
  </si>
  <si>
    <t>AG-110</t>
  </si>
  <si>
    <t>AG-111M</t>
  </si>
  <si>
    <t>AG-113</t>
  </si>
  <si>
    <t>AG-113M</t>
  </si>
  <si>
    <t>AG-114</t>
  </si>
  <si>
    <t>AG-115M</t>
  </si>
  <si>
    <t>AG-116</t>
  </si>
  <si>
    <t>AG-116M</t>
  </si>
  <si>
    <t>AG-117</t>
  </si>
  <si>
    <t>AG-117M</t>
  </si>
  <si>
    <t>AG-118</t>
  </si>
  <si>
    <t>AG-118M</t>
  </si>
  <si>
    <t>AG-119</t>
  </si>
  <si>
    <t>AG-120</t>
  </si>
  <si>
    <t>AG-120M</t>
  </si>
  <si>
    <t>AG-121</t>
  </si>
  <si>
    <t>AG-122</t>
  </si>
  <si>
    <t>AG-123</t>
  </si>
  <si>
    <t>AG-124</t>
  </si>
  <si>
    <t>AG-125</t>
  </si>
  <si>
    <t>AG-126</t>
  </si>
  <si>
    <t>AG-127</t>
  </si>
  <si>
    <t>AG-127M</t>
  </si>
  <si>
    <t>AG-128</t>
  </si>
  <si>
    <t>AG-129</t>
  </si>
  <si>
    <t>AG-130</t>
  </si>
  <si>
    <t>AG-131</t>
  </si>
  <si>
    <t>AG-132</t>
  </si>
  <si>
    <t>AG-93</t>
  </si>
  <si>
    <t>AG-94</t>
  </si>
  <si>
    <t>AG-95</t>
  </si>
  <si>
    <t>AG-96</t>
  </si>
  <si>
    <t>AG-97</t>
  </si>
  <si>
    <t>AG-98</t>
  </si>
  <si>
    <t>AG-99</t>
  </si>
  <si>
    <t>AG-99M</t>
  </si>
  <si>
    <t>AL-22</t>
  </si>
  <si>
    <t>AL-23</t>
  </si>
  <si>
    <t>AL-24</t>
  </si>
  <si>
    <t>AL-24M</t>
  </si>
  <si>
    <t>AL-25</t>
  </si>
  <si>
    <t>AL-28</t>
  </si>
  <si>
    <t>AL-29</t>
  </si>
  <si>
    <t>AL-30</t>
  </si>
  <si>
    <t>AL-31</t>
  </si>
  <si>
    <t>AL-32</t>
  </si>
  <si>
    <t>AL-33</t>
  </si>
  <si>
    <t>AL-34</t>
  </si>
  <si>
    <t>AL-35</t>
  </si>
  <si>
    <t>AL-36</t>
  </si>
  <si>
    <t>AL-37</t>
  </si>
  <si>
    <t>AL-38</t>
  </si>
  <si>
    <t>AL-39</t>
  </si>
  <si>
    <t>AL-40</t>
  </si>
  <si>
    <t>AL-41</t>
  </si>
  <si>
    <t>AM-223</t>
  </si>
  <si>
    <t>AM-229</t>
  </si>
  <si>
    <t>AM-230</t>
  </si>
  <si>
    <t>AM-232</t>
  </si>
  <si>
    <t>AM-233</t>
  </si>
  <si>
    <t>AM-234</t>
  </si>
  <si>
    <t>AM-235</t>
  </si>
  <si>
    <t>AM-236</t>
  </si>
  <si>
    <t>AM-247</t>
  </si>
  <si>
    <t>AR-31</t>
  </si>
  <si>
    <t>AR-32</t>
  </si>
  <si>
    <t>AR-33</t>
  </si>
  <si>
    <t>AR-34</t>
  </si>
  <si>
    <t>AR-35</t>
  </si>
  <si>
    <t>AR-37</t>
  </si>
  <si>
    <t>AR-39</t>
  </si>
  <si>
    <t>AR-41</t>
  </si>
  <si>
    <t>AR-42</t>
  </si>
  <si>
    <t>AR-43</t>
  </si>
  <si>
    <t>AR-44</t>
  </si>
  <si>
    <t>AR-45</t>
  </si>
  <si>
    <t>AR-46</t>
  </si>
  <si>
    <t>AR-47</t>
  </si>
  <si>
    <t>AR-48</t>
  </si>
  <si>
    <t>AR-49</t>
  </si>
  <si>
    <t>AR-50</t>
  </si>
  <si>
    <t>AS-64</t>
  </si>
  <si>
    <t>AS-65</t>
  </si>
  <si>
    <t>AS-66</t>
  </si>
  <si>
    <t>AS-67</t>
  </si>
  <si>
    <t>AS-68</t>
  </si>
  <si>
    <t>AS-79</t>
  </si>
  <si>
    <t>AS-80</t>
  </si>
  <si>
    <t>AS-81</t>
  </si>
  <si>
    <t>AS-82</t>
  </si>
  <si>
    <t>AS-83</t>
  </si>
  <si>
    <t>AS-84</t>
  </si>
  <si>
    <t>AS-85</t>
  </si>
  <si>
    <t>AS-86</t>
  </si>
  <si>
    <t>AS-87</t>
  </si>
  <si>
    <t>AS-88</t>
  </si>
  <si>
    <t>AT-191</t>
  </si>
  <si>
    <t>AT-192</t>
  </si>
  <si>
    <t>AT-193</t>
  </si>
  <si>
    <t>AT-194</t>
  </si>
  <si>
    <t>AT-194M</t>
  </si>
  <si>
    <t>AT-195</t>
  </si>
  <si>
    <t>AT-195M</t>
  </si>
  <si>
    <t>AT-196</t>
  </si>
  <si>
    <t>AT-197</t>
  </si>
  <si>
    <t>AT-197M</t>
  </si>
  <si>
    <t>AT-198</t>
  </si>
  <si>
    <t>AT-199</t>
  </si>
  <si>
    <t>AT-199M</t>
  </si>
  <si>
    <t>AT-200</t>
  </si>
  <si>
    <t>AT-200M</t>
  </si>
  <si>
    <t>AT-201</t>
  </si>
  <si>
    <t>AT-202</t>
  </si>
  <si>
    <t>AT-202M</t>
  </si>
  <si>
    <t>AT-203</t>
  </si>
  <si>
    <t>AT-204</t>
  </si>
  <si>
    <t>AT-204M</t>
  </si>
  <si>
    <t>AT-205</t>
  </si>
  <si>
    <t>AT-206</t>
  </si>
  <si>
    <t>AT-208</t>
  </si>
  <si>
    <t>AT-209</t>
  </si>
  <si>
    <t>AT-210</t>
  </si>
  <si>
    <t>AT-212</t>
  </si>
  <si>
    <t>AT-212M</t>
  </si>
  <si>
    <t>AT-213</t>
  </si>
  <si>
    <t>AT-214</t>
  </si>
  <si>
    <t>AT-216</t>
  </si>
  <si>
    <t>AT-220</t>
  </si>
  <si>
    <t>AT-221</t>
  </si>
  <si>
    <t>AT-222</t>
  </si>
  <si>
    <t>AT-223</t>
  </si>
  <si>
    <t>AT-224</t>
  </si>
  <si>
    <t>AU-170</t>
  </si>
  <si>
    <t>AU-171</t>
  </si>
  <si>
    <t>AU-172</t>
  </si>
  <si>
    <t>AU-173</t>
  </si>
  <si>
    <t>AU-174</t>
  </si>
  <si>
    <t>AU-175</t>
  </si>
  <si>
    <t>AU-176</t>
  </si>
  <si>
    <t>AU-177</t>
  </si>
  <si>
    <t>AU-178</t>
  </si>
  <si>
    <t>AU-179</t>
  </si>
  <si>
    <t>AU-180</t>
  </si>
  <si>
    <t>AU-181</t>
  </si>
  <si>
    <t>AU-182</t>
  </si>
  <si>
    <t>AU-183</t>
  </si>
  <si>
    <t>AU-184</t>
  </si>
  <si>
    <t>AU-184M</t>
  </si>
  <si>
    <t>AU-185</t>
  </si>
  <si>
    <t>AU-185M</t>
  </si>
  <si>
    <t>AU-186</t>
  </si>
  <si>
    <t>AU-187</t>
  </si>
  <si>
    <t>AU-187M</t>
  </si>
  <si>
    <t>AU-188</t>
  </si>
  <si>
    <t>AU-189</t>
  </si>
  <si>
    <t>AU-189M</t>
  </si>
  <si>
    <t>AU-190</t>
  </si>
  <si>
    <t>AU-190M</t>
  </si>
  <si>
    <t>AU-191</t>
  </si>
  <si>
    <t>AU-191M</t>
  </si>
  <si>
    <t>AU-192</t>
  </si>
  <si>
    <t>AU-192M</t>
  </si>
  <si>
    <t>AU-193M</t>
  </si>
  <si>
    <t>AU-194M</t>
  </si>
  <si>
    <t>AU-195M</t>
  </si>
  <si>
    <t>AU-196</t>
  </si>
  <si>
    <t>AU-196M</t>
  </si>
  <si>
    <t>AU-197M</t>
  </si>
  <si>
    <t>AU-202</t>
  </si>
  <si>
    <t>AU-203</t>
  </si>
  <si>
    <t>AU-204</t>
  </si>
  <si>
    <t>AU-205</t>
  </si>
  <si>
    <t>AU-205M</t>
  </si>
  <si>
    <t>AU-206</t>
  </si>
  <si>
    <t>B-12</t>
  </si>
  <si>
    <t>B-13</t>
  </si>
  <si>
    <t>B-14</t>
  </si>
  <si>
    <t>B-15</t>
  </si>
  <si>
    <t>B-17</t>
  </si>
  <si>
    <t>B-19</t>
  </si>
  <si>
    <t>B-8</t>
  </si>
  <si>
    <t>BA-114</t>
  </si>
  <si>
    <t>BA-115</t>
  </si>
  <si>
    <t>BA-116</t>
  </si>
  <si>
    <t>BA-117</t>
  </si>
  <si>
    <t>BA-118</t>
  </si>
  <si>
    <t>BA-119</t>
  </si>
  <si>
    <t>BA-120</t>
  </si>
  <si>
    <t>BA-121</t>
  </si>
  <si>
    <t>BA-122</t>
  </si>
  <si>
    <t>BA-123</t>
  </si>
  <si>
    <t>BA-124</t>
  </si>
  <si>
    <t>BA-125</t>
  </si>
  <si>
    <t>BA-127</t>
  </si>
  <si>
    <t>BA-127M</t>
  </si>
  <si>
    <t>BA-129</t>
  </si>
  <si>
    <t>BA-129M</t>
  </si>
  <si>
    <t>BA-136M</t>
  </si>
  <si>
    <t>BA-143</t>
  </si>
  <si>
    <t>BA-144</t>
  </si>
  <si>
    <t>BA-145</t>
  </si>
  <si>
    <t>BA-146</t>
  </si>
  <si>
    <t>BA-147</t>
  </si>
  <si>
    <t>BA-148</t>
  </si>
  <si>
    <t>BA-149</t>
  </si>
  <si>
    <t>BA-150</t>
  </si>
  <si>
    <t>BA-151</t>
  </si>
  <si>
    <t>BA-152</t>
  </si>
  <si>
    <t>BA-153</t>
  </si>
  <si>
    <t>BA-154</t>
  </si>
  <si>
    <t>BE-11</t>
  </si>
  <si>
    <t>BE-12</t>
  </si>
  <si>
    <t>BE-14</t>
  </si>
  <si>
    <t>BH-260</t>
  </si>
  <si>
    <t>BH-261</t>
  </si>
  <si>
    <t>BH-262</t>
  </si>
  <si>
    <t>BH-264</t>
  </si>
  <si>
    <t>BH-265</t>
  </si>
  <si>
    <t>BH-266</t>
  </si>
  <si>
    <t>BH-267</t>
  </si>
  <si>
    <t>BH-270</t>
  </si>
  <si>
    <t>BH-271</t>
  </si>
  <si>
    <t>BH-272</t>
  </si>
  <si>
    <t>BH-274</t>
  </si>
  <si>
    <t>BH-278</t>
  </si>
  <si>
    <t>BI-184</t>
  </si>
  <si>
    <t>BI-185</t>
  </si>
  <si>
    <t>BI-186</t>
  </si>
  <si>
    <t>BI-187</t>
  </si>
  <si>
    <t>BI-188</t>
  </si>
  <si>
    <t>BI-189</t>
  </si>
  <si>
    <t>BI-190</t>
  </si>
  <si>
    <t>BI-191</t>
  </si>
  <si>
    <t>BI-191M</t>
  </si>
  <si>
    <t>BI-192</t>
  </si>
  <si>
    <t>BI-193</t>
  </si>
  <si>
    <t>BI-194</t>
  </si>
  <si>
    <t>BI-195</t>
  </si>
  <si>
    <t>BI-196</t>
  </si>
  <si>
    <t>BI-196M</t>
  </si>
  <si>
    <t>BI-197</t>
  </si>
  <si>
    <t>BI-197M</t>
  </si>
  <si>
    <t>BI-198</t>
  </si>
  <si>
    <t>BI-198M</t>
  </si>
  <si>
    <t>BI-199</t>
  </si>
  <si>
    <t>BI-199M</t>
  </si>
  <si>
    <t>BI-200M</t>
  </si>
  <si>
    <t>BI-201M</t>
  </si>
  <si>
    <t>BI-203M</t>
  </si>
  <si>
    <t>BI-204</t>
  </si>
  <si>
    <t>BI-208</t>
  </si>
  <si>
    <t>BI-209</t>
  </si>
  <si>
    <t>BI-212M</t>
  </si>
  <si>
    <t>BI-214M</t>
  </si>
  <si>
    <t>BI-215M</t>
  </si>
  <si>
    <t>BI-216</t>
  </si>
  <si>
    <t>BI-217</t>
  </si>
  <si>
    <t>BI-218</t>
  </si>
  <si>
    <t>BI-219</t>
  </si>
  <si>
    <t>BI-220</t>
  </si>
  <si>
    <t>BK-233</t>
  </si>
  <si>
    <t>BK-234</t>
  </si>
  <si>
    <t>BK-236</t>
  </si>
  <si>
    <t>BK-238</t>
  </si>
  <si>
    <t>BK-240</t>
  </si>
  <si>
    <t>BK-241</t>
  </si>
  <si>
    <t>BK-242</t>
  </si>
  <si>
    <t>BK-243</t>
  </si>
  <si>
    <t>BK-244</t>
  </si>
  <si>
    <t>BK-248</t>
  </si>
  <si>
    <t>BK-251</t>
  </si>
  <si>
    <t>BK-252</t>
  </si>
  <si>
    <t>BR-68</t>
  </si>
  <si>
    <t>BR-70</t>
  </si>
  <si>
    <t>BR-71</t>
  </si>
  <si>
    <t>BR-72</t>
  </si>
  <si>
    <t>BR-72M</t>
  </si>
  <si>
    <t>BR-73</t>
  </si>
  <si>
    <t>BR-76M</t>
  </si>
  <si>
    <t>BR-77M</t>
  </si>
  <si>
    <t>BR-78</t>
  </si>
  <si>
    <t>BR-79M</t>
  </si>
  <si>
    <t>BR-82M</t>
  </si>
  <si>
    <t>BR-85</t>
  </si>
  <si>
    <t>BR-86</t>
  </si>
  <si>
    <t>BR-87</t>
  </si>
  <si>
    <t>BR-88</t>
  </si>
  <si>
    <t>BR-89</t>
  </si>
  <si>
    <t>BR-90</t>
  </si>
  <si>
    <t>BR-91</t>
  </si>
  <si>
    <t>BR-92</t>
  </si>
  <si>
    <t>BR-93</t>
  </si>
  <si>
    <t>BR-94</t>
  </si>
  <si>
    <t>C-10</t>
  </si>
  <si>
    <t>C-15</t>
  </si>
  <si>
    <t>C-16</t>
  </si>
  <si>
    <t>C-17</t>
  </si>
  <si>
    <t>C-18</t>
  </si>
  <si>
    <t>C-19</t>
  </si>
  <si>
    <t>C-20</t>
  </si>
  <si>
    <t>C-22</t>
  </si>
  <si>
    <t>C-9</t>
  </si>
  <si>
    <t>CA-35</t>
  </si>
  <si>
    <t>CA-36</t>
  </si>
  <si>
    <t>CA-37</t>
  </si>
  <si>
    <t>CA-38</t>
  </si>
  <si>
    <t>CA-39</t>
  </si>
  <si>
    <t>CA-48</t>
  </si>
  <si>
    <t>CA-49</t>
  </si>
  <si>
    <t>CA-50</t>
  </si>
  <si>
    <t>CA-51</t>
  </si>
  <si>
    <t>CA-52</t>
  </si>
  <si>
    <t>CA-53</t>
  </si>
  <si>
    <t>CA-54</t>
  </si>
  <si>
    <t>CA-55</t>
  </si>
  <si>
    <t>CA-56</t>
  </si>
  <si>
    <t>CD-100</t>
  </si>
  <si>
    <t>CD-101</t>
  </si>
  <si>
    <t>CD-102</t>
  </si>
  <si>
    <t>CD-103</t>
  </si>
  <si>
    <t>CD-105</t>
  </si>
  <si>
    <t>CD-111M</t>
  </si>
  <si>
    <t>CD-116</t>
  </si>
  <si>
    <t>CD-118</t>
  </si>
  <si>
    <t>CD-119</t>
  </si>
  <si>
    <t>CD-120</t>
  </si>
  <si>
    <t>CD-121</t>
  </si>
  <si>
    <t>CD-122</t>
  </si>
  <si>
    <t>CD-123</t>
  </si>
  <si>
    <t>CD-124</t>
  </si>
  <si>
    <t>CD-125</t>
  </si>
  <si>
    <t>CD-126</t>
  </si>
  <si>
    <t>CD-127</t>
  </si>
  <si>
    <t>CD-128</t>
  </si>
  <si>
    <t>CD-129</t>
  </si>
  <si>
    <t>CD-130</t>
  </si>
  <si>
    <t>CD-131</t>
  </si>
  <si>
    <t>CD-132</t>
  </si>
  <si>
    <t>CD-133</t>
  </si>
  <si>
    <t>CD-134</t>
  </si>
  <si>
    <t>CD-95</t>
  </si>
  <si>
    <t>CD-96</t>
  </si>
  <si>
    <t>CD-97</t>
  </si>
  <si>
    <t>CD-97M</t>
  </si>
  <si>
    <t>CD-98</t>
  </si>
  <si>
    <t>CD-99</t>
  </si>
  <si>
    <t>CE-121</t>
  </si>
  <si>
    <t>CE-123</t>
  </si>
  <si>
    <t>CE-124</t>
  </si>
  <si>
    <t>CE-125</t>
  </si>
  <si>
    <t>CE-126</t>
  </si>
  <si>
    <t>CE-127</t>
  </si>
  <si>
    <t>CE-128</t>
  </si>
  <si>
    <t>CE-129</t>
  </si>
  <si>
    <t>CE-130</t>
  </si>
  <si>
    <t>CE-131</t>
  </si>
  <si>
    <t>CE-132</t>
  </si>
  <si>
    <t>CE-133</t>
  </si>
  <si>
    <t>CE-133M</t>
  </si>
  <si>
    <t>CE-135M</t>
  </si>
  <si>
    <t>CE-138M</t>
  </si>
  <si>
    <t>CE-139M</t>
  </si>
  <si>
    <t>CE-145</t>
  </si>
  <si>
    <t>CE-146</t>
  </si>
  <si>
    <t>CE-147</t>
  </si>
  <si>
    <t>CE-148</t>
  </si>
  <si>
    <t>CE-149</t>
  </si>
  <si>
    <t>CE-150</t>
  </si>
  <si>
    <t>CE-151</t>
  </si>
  <si>
    <t>CE-152</t>
  </si>
  <si>
    <t>CE-153</t>
  </si>
  <si>
    <t>CE-154</t>
  </si>
  <si>
    <t>CE-155</t>
  </si>
  <si>
    <t>CE-156</t>
  </si>
  <si>
    <t>CE-157</t>
  </si>
  <si>
    <t>CE-158</t>
  </si>
  <si>
    <t>CF-237</t>
  </si>
  <si>
    <t>CF-238</t>
  </si>
  <si>
    <t>CF-239</t>
  </si>
  <si>
    <t>CF-240</t>
  </si>
  <si>
    <t>CF-241</t>
  </si>
  <si>
    <t>CF-242</t>
  </si>
  <si>
    <t>CF-243</t>
  </si>
  <si>
    <t>CF-245</t>
  </si>
  <si>
    <t>CF-247</t>
  </si>
  <si>
    <t>CF-255</t>
  </si>
  <si>
    <t>CF-256</t>
  </si>
  <si>
    <t>CL-31</t>
  </si>
  <si>
    <t>CL-32</t>
  </si>
  <si>
    <t>CL-33</t>
  </si>
  <si>
    <t>CL-34</t>
  </si>
  <si>
    <t>CL-34M</t>
  </si>
  <si>
    <t>CL-38M</t>
  </si>
  <si>
    <t>CL-40</t>
  </si>
  <si>
    <t>CL-41</t>
  </si>
  <si>
    <t>CL-42</t>
  </si>
  <si>
    <t>CL-43</t>
  </si>
  <si>
    <t>CL-44</t>
  </si>
  <si>
    <t>CL-45</t>
  </si>
  <si>
    <t>CL-46</t>
  </si>
  <si>
    <t>CL-47</t>
  </si>
  <si>
    <t>CM-233</t>
  </si>
  <si>
    <t>CM-234</t>
  </si>
  <si>
    <t>CM-235</t>
  </si>
  <si>
    <t>CM-236</t>
  </si>
  <si>
    <t>CM-239</t>
  </si>
  <si>
    <t>CM-246M</t>
  </si>
  <si>
    <t>CM-251</t>
  </si>
  <si>
    <t>CN-277</t>
  </si>
  <si>
    <t>CN-281</t>
  </si>
  <si>
    <t>CN-282</t>
  </si>
  <si>
    <t>CN-283</t>
  </si>
  <si>
    <t>CN-284</t>
  </si>
  <si>
    <t>CN-285</t>
  </si>
  <si>
    <t>CN-286</t>
  </si>
  <si>
    <t>CO-50</t>
  </si>
  <si>
    <t>CO-51</t>
  </si>
  <si>
    <t>CO-52</t>
  </si>
  <si>
    <t>CO-53</t>
  </si>
  <si>
    <t>CO-54</t>
  </si>
  <si>
    <t>CO-62</t>
  </si>
  <si>
    <t>CO-63</t>
  </si>
  <si>
    <t>CO-64</t>
  </si>
  <si>
    <t>CO-65</t>
  </si>
  <si>
    <t>CO-66</t>
  </si>
  <si>
    <t>CO-67</t>
  </si>
  <si>
    <t>CO-67M</t>
  </si>
  <si>
    <t>CO-68</t>
  </si>
  <si>
    <t>CO-69</t>
  </si>
  <si>
    <t>CO-70</t>
  </si>
  <si>
    <t>CO-71</t>
  </si>
  <si>
    <t>CO-72</t>
  </si>
  <si>
    <t>CO-73</t>
  </si>
  <si>
    <t>CO-74</t>
  </si>
  <si>
    <t>CO-75</t>
  </si>
  <si>
    <t>CO-76</t>
  </si>
  <si>
    <t>CO-77</t>
  </si>
  <si>
    <t>CR-42</t>
  </si>
  <si>
    <t>CR-43</t>
  </si>
  <si>
    <t>CR-44</t>
  </si>
  <si>
    <t>CR-45</t>
  </si>
  <si>
    <t>CR-46</t>
  </si>
  <si>
    <t>CR-47</t>
  </si>
  <si>
    <t>CR-55</t>
  </si>
  <si>
    <t>CR-56</t>
  </si>
  <si>
    <t>CR-57</t>
  </si>
  <si>
    <t>CR-58</t>
  </si>
  <si>
    <t>CR-59</t>
  </si>
  <si>
    <t>CR-60</t>
  </si>
  <si>
    <t>CR-61</t>
  </si>
  <si>
    <t>CR-62</t>
  </si>
  <si>
    <t>CR-63</t>
  </si>
  <si>
    <t>CR-64</t>
  </si>
  <si>
    <t>CR-65</t>
  </si>
  <si>
    <t>CR-66</t>
  </si>
  <si>
    <t>CS-112</t>
  </si>
  <si>
    <t>CS-113</t>
  </si>
  <si>
    <t>CS-114</t>
  </si>
  <si>
    <t>CS-115</t>
  </si>
  <si>
    <t>CS-116</t>
  </si>
  <si>
    <t>CS-117</t>
  </si>
  <si>
    <t>CS-118</t>
  </si>
  <si>
    <t>CS-119</t>
  </si>
  <si>
    <t>CS-120</t>
  </si>
  <si>
    <t>CS-121</t>
  </si>
  <si>
    <t>CS-121M</t>
  </si>
  <si>
    <t>CS-122</t>
  </si>
  <si>
    <t>CS-122M</t>
  </si>
  <si>
    <t>CS-123</t>
  </si>
  <si>
    <t>CS-123M</t>
  </si>
  <si>
    <t>CS-124</t>
  </si>
  <si>
    <t>CS-124M</t>
  </si>
  <si>
    <t>CS-126</t>
  </si>
  <si>
    <t>CS-128</t>
  </si>
  <si>
    <t>CS-130M</t>
  </si>
  <si>
    <t>CS-136M</t>
  </si>
  <si>
    <t>CS-138M</t>
  </si>
  <si>
    <t>CS-139</t>
  </si>
  <si>
    <t>CS-140</t>
  </si>
  <si>
    <t>CS-141</t>
  </si>
  <si>
    <t>CS-142</t>
  </si>
  <si>
    <t>CS-143</t>
  </si>
  <si>
    <t>CS-144</t>
  </si>
  <si>
    <t>CS-145</t>
  </si>
  <si>
    <t>CS-146</t>
  </si>
  <si>
    <t>CS-147</t>
  </si>
  <si>
    <t>CS-148</t>
  </si>
  <si>
    <t>CS-149</t>
  </si>
  <si>
    <t>CS-150</t>
  </si>
  <si>
    <t>CS-151</t>
  </si>
  <si>
    <t>CU-55</t>
  </si>
  <si>
    <t>CU-56</t>
  </si>
  <si>
    <t>CU-57</t>
  </si>
  <si>
    <t>CU-58</t>
  </si>
  <si>
    <t>CU-62</t>
  </si>
  <si>
    <t>CU-66</t>
  </si>
  <si>
    <t>CU-68</t>
  </si>
  <si>
    <t>CU-68M</t>
  </si>
  <si>
    <t>CU-69</t>
  </si>
  <si>
    <t>CU-70</t>
  </si>
  <si>
    <t>CU-70M</t>
  </si>
  <si>
    <t>CU-71</t>
  </si>
  <si>
    <t>CU-72</t>
  </si>
  <si>
    <t>CU-73</t>
  </si>
  <si>
    <t>CU-74</t>
  </si>
  <si>
    <t>CU-75</t>
  </si>
  <si>
    <t>CU-76</t>
  </si>
  <si>
    <t>CU-77</t>
  </si>
  <si>
    <t>CU-78</t>
  </si>
  <si>
    <t>CU-79</t>
  </si>
  <si>
    <t>CU-80</t>
  </si>
  <si>
    <t>CU-81</t>
  </si>
  <si>
    <t>CU-82</t>
  </si>
  <si>
    <t>DB-255</t>
  </si>
  <si>
    <t>DB-256</t>
  </si>
  <si>
    <t>DB-257</t>
  </si>
  <si>
    <t>DB-258</t>
  </si>
  <si>
    <t>DB-259</t>
  </si>
  <si>
    <t>DB-260</t>
  </si>
  <si>
    <t>DB-261</t>
  </si>
  <si>
    <t>DB-262</t>
  </si>
  <si>
    <t>DB-263</t>
  </si>
  <si>
    <t>DB-266</t>
  </si>
  <si>
    <t>DB-267</t>
  </si>
  <si>
    <t>DB-268</t>
  </si>
  <si>
    <t>DB-270</t>
  </si>
  <si>
    <t>DS-267</t>
  </si>
  <si>
    <t>DS-269</t>
  </si>
  <si>
    <t>DS-270</t>
  </si>
  <si>
    <t>DS-271</t>
  </si>
  <si>
    <t>DS-273</t>
  </si>
  <si>
    <t>DS-277</t>
  </si>
  <si>
    <t>DS-279</t>
  </si>
  <si>
    <t>DS-280</t>
  </si>
  <si>
    <t>DS-281</t>
  </si>
  <si>
    <t>DS-282</t>
  </si>
  <si>
    <t>DY-139</t>
  </si>
  <si>
    <t>DY-141</t>
  </si>
  <si>
    <t>DY-142</t>
  </si>
  <si>
    <t>DY-143</t>
  </si>
  <si>
    <t>DY-144</t>
  </si>
  <si>
    <t>DY-145</t>
  </si>
  <si>
    <t>DY-146</t>
  </si>
  <si>
    <t>DY-146M</t>
  </si>
  <si>
    <t>DY-147</t>
  </si>
  <si>
    <t>DY-147M</t>
  </si>
  <si>
    <t>DY-148</t>
  </si>
  <si>
    <t>DY-149</t>
  </si>
  <si>
    <t>DY-149M</t>
  </si>
  <si>
    <t>DY-150</t>
  </si>
  <si>
    <t>DY-151</t>
  </si>
  <si>
    <t>DY-152</t>
  </si>
  <si>
    <t>DY-153</t>
  </si>
  <si>
    <t>DY-154</t>
  </si>
  <si>
    <t>DY-165M</t>
  </si>
  <si>
    <t>DY-167</t>
  </si>
  <si>
    <t>DY-168</t>
  </si>
  <si>
    <t>DY-169</t>
  </si>
  <si>
    <t>DY-170</t>
  </si>
  <si>
    <t>DY-171</t>
  </si>
  <si>
    <t>DY-172</t>
  </si>
  <si>
    <t>DY-172M</t>
  </si>
  <si>
    <t>DY-173</t>
  </si>
  <si>
    <t>ER-145</t>
  </si>
  <si>
    <t>ER-146</t>
  </si>
  <si>
    <t>ER-147</t>
  </si>
  <si>
    <t>ER-148</t>
  </si>
  <si>
    <t>ER-149</t>
  </si>
  <si>
    <t>ER-149M</t>
  </si>
  <si>
    <t>ER-150</t>
  </si>
  <si>
    <t>ER-151</t>
  </si>
  <si>
    <t>ER-151M</t>
  </si>
  <si>
    <t>ER-152</t>
  </si>
  <si>
    <t>ER-153</t>
  </si>
  <si>
    <t>ER-154</t>
  </si>
  <si>
    <t>ER-155</t>
  </si>
  <si>
    <t>ER-156</t>
  </si>
  <si>
    <t>ER-157</t>
  </si>
  <si>
    <t>ER-158</t>
  </si>
  <si>
    <t>ER-159</t>
  </si>
  <si>
    <t>ER-160</t>
  </si>
  <si>
    <t>ER-163</t>
  </si>
  <si>
    <t>ER-167M</t>
  </si>
  <si>
    <t>ER-173</t>
  </si>
  <si>
    <t>ER-174</t>
  </si>
  <si>
    <t>ER-174M</t>
  </si>
  <si>
    <t>ER-175</t>
  </si>
  <si>
    <t>ES-240</t>
  </si>
  <si>
    <t>ES-241</t>
  </si>
  <si>
    <t>ES-242</t>
  </si>
  <si>
    <t>ES-243</t>
  </si>
  <si>
    <t>ES-244</t>
  </si>
  <si>
    <t>ES-245</t>
  </si>
  <si>
    <t>ES-246</t>
  </si>
  <si>
    <t>ES-247</t>
  </si>
  <si>
    <t>ES-248</t>
  </si>
  <si>
    <t>ES-249</t>
  </si>
  <si>
    <t>ES-250</t>
  </si>
  <si>
    <t>ES-252</t>
  </si>
  <si>
    <t>ES-255</t>
  </si>
  <si>
    <t>ES-256</t>
  </si>
  <si>
    <t>ES-257</t>
  </si>
  <si>
    <t>EU-130</t>
  </si>
  <si>
    <t>EU-131</t>
  </si>
  <si>
    <t>EU-134</t>
  </si>
  <si>
    <t>EU-135</t>
  </si>
  <si>
    <t>EU-136</t>
  </si>
  <si>
    <t>EU-137</t>
  </si>
  <si>
    <t>EU-138</t>
  </si>
  <si>
    <t>EU-139</t>
  </si>
  <si>
    <t>EU-140</t>
  </si>
  <si>
    <t>EU-140M</t>
  </si>
  <si>
    <t>EU-141</t>
  </si>
  <si>
    <t>EU-141M</t>
  </si>
  <si>
    <t>EU-142</t>
  </si>
  <si>
    <t>EU-143</t>
  </si>
  <si>
    <t>EU-144</t>
  </si>
  <si>
    <t>EU-151</t>
  </si>
  <si>
    <t>EU-154M</t>
  </si>
  <si>
    <t>EU-159</t>
  </si>
  <si>
    <t>EU-160</t>
  </si>
  <si>
    <t>EU-161</t>
  </si>
  <si>
    <t>EU-162</t>
  </si>
  <si>
    <t>EU-163</t>
  </si>
  <si>
    <t>EU-164</t>
  </si>
  <si>
    <t>EU-165</t>
  </si>
  <si>
    <t>EU-166</t>
  </si>
  <si>
    <t>EU-167</t>
  </si>
  <si>
    <t>EU-168</t>
  </si>
  <si>
    <t>EU-169</t>
  </si>
  <si>
    <t>EU-170</t>
  </si>
  <si>
    <t>F-17</t>
  </si>
  <si>
    <t>F-20</t>
  </si>
  <si>
    <t>F-21</t>
  </si>
  <si>
    <t>F-22</t>
  </si>
  <si>
    <t>F-23</t>
  </si>
  <si>
    <t>F-24</t>
  </si>
  <si>
    <t>F-25</t>
  </si>
  <si>
    <t>F-26</t>
  </si>
  <si>
    <t>F-26M</t>
  </si>
  <si>
    <t>F-27</t>
  </si>
  <si>
    <t>F-29</t>
  </si>
  <si>
    <t>FE-45</t>
  </si>
  <si>
    <t>FE-46</t>
  </si>
  <si>
    <t>FE-47</t>
  </si>
  <si>
    <t>FE-48</t>
  </si>
  <si>
    <t>FE-49</t>
  </si>
  <si>
    <t>FE-50</t>
  </si>
  <si>
    <t>FE-51</t>
  </si>
  <si>
    <t>FE-52M</t>
  </si>
  <si>
    <t>FE-53</t>
  </si>
  <si>
    <t>FE-53M</t>
  </si>
  <si>
    <t>FE-61</t>
  </si>
  <si>
    <t>FE-62</t>
  </si>
  <si>
    <t>FE-63</t>
  </si>
  <si>
    <t>FE-64</t>
  </si>
  <si>
    <t>FE-65</t>
  </si>
  <si>
    <t>FE-66</t>
  </si>
  <si>
    <t>FE-67</t>
  </si>
  <si>
    <t>FE-68</t>
  </si>
  <si>
    <t>FE-69</t>
  </si>
  <si>
    <t>FE-70</t>
  </si>
  <si>
    <t>FE-71</t>
  </si>
  <si>
    <t>FE-72</t>
  </si>
  <si>
    <t>FE-73</t>
  </si>
  <si>
    <t>FE-74</t>
  </si>
  <si>
    <t>FL-284</t>
  </si>
  <si>
    <t>FL-285</t>
  </si>
  <si>
    <t>FL-286</t>
  </si>
  <si>
    <t>FL-287</t>
  </si>
  <si>
    <t>FL-288</t>
  </si>
  <si>
    <t>FL-289</t>
  </si>
  <si>
    <t>FL-290</t>
  </si>
  <si>
    <t>FM-241</t>
  </si>
  <si>
    <t>FM-242</t>
  </si>
  <si>
    <t>FM-243</t>
  </si>
  <si>
    <t>FM-244</t>
  </si>
  <si>
    <t>FM-245</t>
  </si>
  <si>
    <t>FM-246</t>
  </si>
  <si>
    <t>FM-247</t>
  </si>
  <si>
    <t>FM-247M</t>
  </si>
  <si>
    <t>FM-248</t>
  </si>
  <si>
    <t>FM-249</t>
  </si>
  <si>
    <t>FM-250</t>
  </si>
  <si>
    <t>FM-250M</t>
  </si>
  <si>
    <t>FM-251</t>
  </si>
  <si>
    <t>FM-256</t>
  </si>
  <si>
    <t>FM-258</t>
  </si>
  <si>
    <t>FM-259</t>
  </si>
  <si>
    <t>FR-197</t>
  </si>
  <si>
    <t>FR-198</t>
  </si>
  <si>
    <t>FR-199</t>
  </si>
  <si>
    <t>FR-200</t>
  </si>
  <si>
    <t>FR-201</t>
  </si>
  <si>
    <t>FR-202</t>
  </si>
  <si>
    <t>FR-203</t>
  </si>
  <si>
    <t>FR-203M</t>
  </si>
  <si>
    <t>FR-204</t>
  </si>
  <si>
    <t>FR-205</t>
  </si>
  <si>
    <t>FR-206M</t>
  </si>
  <si>
    <t>FR-207</t>
  </si>
  <si>
    <t>FR-208</t>
  </si>
  <si>
    <t>FR-209</t>
  </si>
  <si>
    <t>FR-210</t>
  </si>
  <si>
    <t>FR-211</t>
  </si>
  <si>
    <t>FR-212</t>
  </si>
  <si>
    <t>FR-213</t>
  </si>
  <si>
    <t>FR-214</t>
  </si>
  <si>
    <t>FR-215</t>
  </si>
  <si>
    <t>FR-216</t>
  </si>
  <si>
    <t>FR-217</t>
  </si>
  <si>
    <t>FR-218</t>
  </si>
  <si>
    <t>FR-219</t>
  </si>
  <si>
    <t>FR-220</t>
  </si>
  <si>
    <t>FR-224</t>
  </si>
  <si>
    <t>FR-225</t>
  </si>
  <si>
    <t>FR-226</t>
  </si>
  <si>
    <t>FR-227</t>
  </si>
  <si>
    <t>FR-228</t>
  </si>
  <si>
    <t>FR-229</t>
  </si>
  <si>
    <t>FR-230</t>
  </si>
  <si>
    <t>FR-231</t>
  </si>
  <si>
    <t>FR-232</t>
  </si>
  <si>
    <t>FR-233</t>
  </si>
  <si>
    <t>GA-60</t>
  </si>
  <si>
    <t>GA-61</t>
  </si>
  <si>
    <t>GA-62</t>
  </si>
  <si>
    <t>GA-63</t>
  </si>
  <si>
    <t>GA-64</t>
  </si>
  <si>
    <t>GA-74</t>
  </si>
  <si>
    <t>GA-74M</t>
  </si>
  <si>
    <t>GA-75</t>
  </si>
  <si>
    <t>GA-76</t>
  </si>
  <si>
    <t>GA-77</t>
  </si>
  <si>
    <t>GA-78</t>
  </si>
  <si>
    <t>GA-79</t>
  </si>
  <si>
    <t>GA-80</t>
  </si>
  <si>
    <t>GA-81</t>
  </si>
  <si>
    <t>GA-82</t>
  </si>
  <si>
    <t>GA-83</t>
  </si>
  <si>
    <t>GA-84</t>
  </si>
  <si>
    <t>GA-85</t>
  </si>
  <si>
    <t>GA-86</t>
  </si>
  <si>
    <t>GA-87</t>
  </si>
  <si>
    <t>GD-135</t>
  </si>
  <si>
    <t>GD-137</t>
  </si>
  <si>
    <t>GD-138</t>
  </si>
  <si>
    <t>GD-139</t>
  </si>
  <si>
    <t>GD-140</t>
  </si>
  <si>
    <t>GD-141</t>
  </si>
  <si>
    <t>GD-141M</t>
  </si>
  <si>
    <t>GD-142</t>
  </si>
  <si>
    <t>GD-143</t>
  </si>
  <si>
    <t>GD-144</t>
  </si>
  <si>
    <t>GD-145M</t>
  </si>
  <si>
    <t>GD-150</t>
  </si>
  <si>
    <t>GD-161</t>
  </si>
  <si>
    <t>GD-162</t>
  </si>
  <si>
    <t>GD-163</t>
  </si>
  <si>
    <t>GD-163M</t>
  </si>
  <si>
    <t>GD-164</t>
  </si>
  <si>
    <t>GD-165</t>
  </si>
  <si>
    <t>GD-166</t>
  </si>
  <si>
    <t>GD-167</t>
  </si>
  <si>
    <t>GD-168</t>
  </si>
  <si>
    <t>GD-169</t>
  </si>
  <si>
    <t>GD-170</t>
  </si>
  <si>
    <t>GD-171</t>
  </si>
  <si>
    <t>GD-172</t>
  </si>
  <si>
    <t>GE-59</t>
  </si>
  <si>
    <t>GE-60</t>
  </si>
  <si>
    <t>GE-61</t>
  </si>
  <si>
    <t>GE-62</t>
  </si>
  <si>
    <t>GE-63</t>
  </si>
  <si>
    <t>GE-64</t>
  </si>
  <si>
    <t>GE-65</t>
  </si>
  <si>
    <t>GE-73M</t>
  </si>
  <si>
    <t>GE-75M</t>
  </si>
  <si>
    <t>GE-76</t>
  </si>
  <si>
    <t>GE-77M</t>
  </si>
  <si>
    <t>GE-79</t>
  </si>
  <si>
    <t>GE-79M</t>
  </si>
  <si>
    <t>GE-80</t>
  </si>
  <si>
    <t>GE-81</t>
  </si>
  <si>
    <t>GE-82</t>
  </si>
  <si>
    <t>GE-83</t>
  </si>
  <si>
    <t>GE-84</t>
  </si>
  <si>
    <t>GE-85</t>
  </si>
  <si>
    <t>GE-86</t>
  </si>
  <si>
    <t>GE-87</t>
  </si>
  <si>
    <t>GE-88</t>
  </si>
  <si>
    <t>HE-6</t>
  </si>
  <si>
    <t>HE-8</t>
  </si>
  <si>
    <t>HF-154</t>
  </si>
  <si>
    <t>HF-155</t>
  </si>
  <si>
    <t>HF-156</t>
  </si>
  <si>
    <t>HF-157</t>
  </si>
  <si>
    <t>HF-158</t>
  </si>
  <si>
    <t>HF-159</t>
  </si>
  <si>
    <t>HF-160</t>
  </si>
  <si>
    <t>HF-161</t>
  </si>
  <si>
    <t>HF-162</t>
  </si>
  <si>
    <t>HF-163</t>
  </si>
  <si>
    <t>HF-164</t>
  </si>
  <si>
    <t>HF-165</t>
  </si>
  <si>
    <t>HF-166</t>
  </si>
  <si>
    <t>HF-167</t>
  </si>
  <si>
    <t>HF-168</t>
  </si>
  <si>
    <t>HF-169</t>
  </si>
  <si>
    <t>HF-171</t>
  </si>
  <si>
    <t>HF-171M</t>
  </si>
  <si>
    <t>HF-174</t>
  </si>
  <si>
    <t>HF-184M</t>
  </si>
  <si>
    <t>HF-185</t>
  </si>
  <si>
    <t>HF-186</t>
  </si>
  <si>
    <t>HG-170</t>
  </si>
  <si>
    <t>HG-171</t>
  </si>
  <si>
    <t>HG-172</t>
  </si>
  <si>
    <t>HG-173</t>
  </si>
  <si>
    <t>HG-174</t>
  </si>
  <si>
    <t>HG-175</t>
  </si>
  <si>
    <t>HG-176</t>
  </si>
  <si>
    <t>HG-177</t>
  </si>
  <si>
    <t>HG-178</t>
  </si>
  <si>
    <t>HG-179</t>
  </si>
  <si>
    <t>HG-180</t>
  </si>
  <si>
    <t>HG-181</t>
  </si>
  <si>
    <t>HG-182</t>
  </si>
  <si>
    <t>HG-183</t>
  </si>
  <si>
    <t>HG-184</t>
  </si>
  <si>
    <t>HG-185</t>
  </si>
  <si>
    <t>HG-185M</t>
  </si>
  <si>
    <t>HG-186</t>
  </si>
  <si>
    <t>HG-187</t>
  </si>
  <si>
    <t>HG-188</t>
  </si>
  <si>
    <t>HG-189</t>
  </si>
  <si>
    <t>HG-190</t>
  </si>
  <si>
    <t>HG-191</t>
  </si>
  <si>
    <t>HG-192</t>
  </si>
  <si>
    <t>HG-205</t>
  </si>
  <si>
    <t>HG-206</t>
  </si>
  <si>
    <t>HG-207</t>
  </si>
  <si>
    <t>HG-208</t>
  </si>
  <si>
    <t>HG-209</t>
  </si>
  <si>
    <t>HG-210</t>
  </si>
  <si>
    <t>HG-211</t>
  </si>
  <si>
    <t>HO-140</t>
  </si>
  <si>
    <t>HO-141</t>
  </si>
  <si>
    <t>HO-142</t>
  </si>
  <si>
    <t>HO-144</t>
  </si>
  <si>
    <t>HO-145</t>
  </si>
  <si>
    <t>HO-146</t>
  </si>
  <si>
    <t>HO-147</t>
  </si>
  <si>
    <t>HO-148</t>
  </si>
  <si>
    <t>HO-149</t>
  </si>
  <si>
    <t>HO-150</t>
  </si>
  <si>
    <t>HO-151</t>
  </si>
  <si>
    <t>HO-152</t>
  </si>
  <si>
    <t>HO-153</t>
  </si>
  <si>
    <t>HO-154</t>
  </si>
  <si>
    <t>HO-154M</t>
  </si>
  <si>
    <t>HO-156</t>
  </si>
  <si>
    <t>HO-156M</t>
  </si>
  <si>
    <t>HO-158</t>
  </si>
  <si>
    <t>HO-158M</t>
  </si>
  <si>
    <t>HO-159M</t>
  </si>
  <si>
    <t>HO-160</t>
  </si>
  <si>
    <t>HO-160M</t>
  </si>
  <si>
    <t>HO-161M</t>
  </si>
  <si>
    <t>HO-163</t>
  </si>
  <si>
    <t>HO-163M</t>
  </si>
  <si>
    <t>HO-168</t>
  </si>
  <si>
    <t>HO-168M</t>
  </si>
  <si>
    <t>HO-169</t>
  </si>
  <si>
    <t>HO-170</t>
  </si>
  <si>
    <t>HO-171</t>
  </si>
  <si>
    <t>HO-172</t>
  </si>
  <si>
    <t>HO-173</t>
  </si>
  <si>
    <t>HO-174</t>
  </si>
  <si>
    <t>HO-175</t>
  </si>
  <si>
    <t>HS-263</t>
  </si>
  <si>
    <t>HS-264</t>
  </si>
  <si>
    <t>HS-265</t>
  </si>
  <si>
    <t>HS-266</t>
  </si>
  <si>
    <t>HS-267</t>
  </si>
  <si>
    <t>HS-268</t>
  </si>
  <si>
    <t>HS-269</t>
  </si>
  <si>
    <t>HS-270</t>
  </si>
  <si>
    <t>HS-273</t>
  </si>
  <si>
    <t>HS-275</t>
  </si>
  <si>
    <t>HS-277</t>
  </si>
  <si>
    <t>I-108</t>
  </si>
  <si>
    <t>I-109</t>
  </si>
  <si>
    <t>I-110</t>
  </si>
  <si>
    <t>I-111</t>
  </si>
  <si>
    <t>I-112</t>
  </si>
  <si>
    <t>I-113</t>
  </si>
  <si>
    <t>I-114</t>
  </si>
  <si>
    <t>I-114M</t>
  </si>
  <si>
    <t>I-115</t>
  </si>
  <si>
    <t>I-116</t>
  </si>
  <si>
    <t>I-117</t>
  </si>
  <si>
    <t>I-118</t>
  </si>
  <si>
    <t>I-118M</t>
  </si>
  <si>
    <t>I-119</t>
  </si>
  <si>
    <t>I-122</t>
  </si>
  <si>
    <t>I-130M</t>
  </si>
  <si>
    <t>I-133M</t>
  </si>
  <si>
    <t>I-134M</t>
  </si>
  <si>
    <t>I-136</t>
  </si>
  <si>
    <t>I-137</t>
  </si>
  <si>
    <t>I-138</t>
  </si>
  <si>
    <t>I-139</t>
  </si>
  <si>
    <t>I-140</t>
  </si>
  <si>
    <t>I-141</t>
  </si>
  <si>
    <t>I-142</t>
  </si>
  <si>
    <t>I-143</t>
  </si>
  <si>
    <t>I-144</t>
  </si>
  <si>
    <t>I-145</t>
  </si>
  <si>
    <t>I-146</t>
  </si>
  <si>
    <t>IN-100</t>
  </si>
  <si>
    <t>IN-101</t>
  </si>
  <si>
    <t>IN-102</t>
  </si>
  <si>
    <t>IN-103</t>
  </si>
  <si>
    <t>IN-103M</t>
  </si>
  <si>
    <t>IN-104</t>
  </si>
  <si>
    <t>IN-104M</t>
  </si>
  <si>
    <t>IN-105</t>
  </si>
  <si>
    <t>IN-105M</t>
  </si>
  <si>
    <t>IN-106</t>
  </si>
  <si>
    <t>IN-107</t>
  </si>
  <si>
    <t>IN-107M</t>
  </si>
  <si>
    <t>IN-108</t>
  </si>
  <si>
    <t>IN-109M</t>
  </si>
  <si>
    <t>IN-111M</t>
  </si>
  <si>
    <t>IN-112M</t>
  </si>
  <si>
    <t>IN-114</t>
  </si>
  <si>
    <t>IN-116</t>
  </si>
  <si>
    <t>IN-118</t>
  </si>
  <si>
    <t>IN-118M</t>
  </si>
  <si>
    <t>IN-119</t>
  </si>
  <si>
    <t>IN-120</t>
  </si>
  <si>
    <t>IN-121</t>
  </si>
  <si>
    <t>IN-121M</t>
  </si>
  <si>
    <t>IN-122</t>
  </si>
  <si>
    <t>IN-123</t>
  </si>
  <si>
    <t>IN-124</t>
  </si>
  <si>
    <t>IN-125</t>
  </si>
  <si>
    <t>IN-126</t>
  </si>
  <si>
    <t>IN-127</t>
  </si>
  <si>
    <t>IN-128</t>
  </si>
  <si>
    <t>IN-129</t>
  </si>
  <si>
    <t>IN-129M</t>
  </si>
  <si>
    <t>IN-130</t>
  </si>
  <si>
    <t>IN-131</t>
  </si>
  <si>
    <t>IN-132</t>
  </si>
  <si>
    <t>IN-133</t>
  </si>
  <si>
    <t>IN-134</t>
  </si>
  <si>
    <t>IN-135</t>
  </si>
  <si>
    <t>IN-136</t>
  </si>
  <si>
    <t>IN-137</t>
  </si>
  <si>
    <t>IN-97</t>
  </si>
  <si>
    <t>IN-98</t>
  </si>
  <si>
    <t>IN-99</t>
  </si>
  <si>
    <t>IR-165</t>
  </si>
  <si>
    <t>IR-166</t>
  </si>
  <si>
    <t>IR-167</t>
  </si>
  <si>
    <t>IR-168</t>
  </si>
  <si>
    <t>IR-169</t>
  </si>
  <si>
    <t>IR-170</t>
  </si>
  <si>
    <t>IR-170M</t>
  </si>
  <si>
    <t>IR-171</t>
  </si>
  <si>
    <t>IR-172</t>
  </si>
  <si>
    <t>IR-173</t>
  </si>
  <si>
    <t>IR-174</t>
  </si>
  <si>
    <t>IR-175</t>
  </si>
  <si>
    <t>IR-175M</t>
  </si>
  <si>
    <t>IR-176</t>
  </si>
  <si>
    <t>IR-177</t>
  </si>
  <si>
    <t>IR-178</t>
  </si>
  <si>
    <t>IR-179</t>
  </si>
  <si>
    <t>IR-180</t>
  </si>
  <si>
    <t>IR-181</t>
  </si>
  <si>
    <t>IR-183</t>
  </si>
  <si>
    <t>IR-187M</t>
  </si>
  <si>
    <t>IR-191M</t>
  </si>
  <si>
    <t>IR-192M</t>
  </si>
  <si>
    <t>IR-196</t>
  </si>
  <si>
    <t>IR-196M</t>
  </si>
  <si>
    <t>IR-197</t>
  </si>
  <si>
    <t>IR-197M</t>
  </si>
  <si>
    <t>IR-198</t>
  </si>
  <si>
    <t>IR-199</t>
  </si>
  <si>
    <t>IR-200</t>
  </si>
  <si>
    <t>IR-201</t>
  </si>
  <si>
    <t>IR-202</t>
  </si>
  <si>
    <t>K-35</t>
  </si>
  <si>
    <t>K-36</t>
  </si>
  <si>
    <t>K-37</t>
  </si>
  <si>
    <t>K-38</t>
  </si>
  <si>
    <t>K-38M</t>
  </si>
  <si>
    <t>K-46</t>
  </si>
  <si>
    <t>K-47</t>
  </si>
  <si>
    <t>K-48</t>
  </si>
  <si>
    <t>K-49</t>
  </si>
  <si>
    <t>K-50</t>
  </si>
  <si>
    <t>K-51</t>
  </si>
  <si>
    <t>K-52</t>
  </si>
  <si>
    <t>K-53</t>
  </si>
  <si>
    <t>K-54</t>
  </si>
  <si>
    <t>KR-100</t>
  </si>
  <si>
    <t>KR-67</t>
  </si>
  <si>
    <t>KR-68</t>
  </si>
  <si>
    <t>KR-69</t>
  </si>
  <si>
    <t>KR-70</t>
  </si>
  <si>
    <t>KR-71</t>
  </si>
  <si>
    <t>KR-72</t>
  </si>
  <si>
    <t>KR-73</t>
  </si>
  <si>
    <t>KR-74</t>
  </si>
  <si>
    <t>KR-75</t>
  </si>
  <si>
    <t>KR-76</t>
  </si>
  <si>
    <t>KR-77</t>
  </si>
  <si>
    <t>KR-79</t>
  </si>
  <si>
    <t>KR-79M</t>
  </si>
  <si>
    <t>KR-81</t>
  </si>
  <si>
    <t>KR-81M</t>
  </si>
  <si>
    <t>KR-83M</t>
  </si>
  <si>
    <t>KR-87</t>
  </si>
  <si>
    <t>KR-88</t>
  </si>
  <si>
    <t>KR-89</t>
  </si>
  <si>
    <t>KR-90</t>
  </si>
  <si>
    <t>KR-91</t>
  </si>
  <si>
    <t>KR-92</t>
  </si>
  <si>
    <t>KR-93</t>
  </si>
  <si>
    <t>KR-94</t>
  </si>
  <si>
    <t>KR-95</t>
  </si>
  <si>
    <t>KR-96</t>
  </si>
  <si>
    <t>KR-97</t>
  </si>
  <si>
    <t>KR-98</t>
  </si>
  <si>
    <t>KR-99</t>
  </si>
  <si>
    <t>LA-117</t>
  </si>
  <si>
    <t>LA-120</t>
  </si>
  <si>
    <t>LA-121</t>
  </si>
  <si>
    <t>LA-122</t>
  </si>
  <si>
    <t>LA-123</t>
  </si>
  <si>
    <t>LA-124</t>
  </si>
  <si>
    <t>LA-125</t>
  </si>
  <si>
    <t>LA-125M</t>
  </si>
  <si>
    <t>LA-126</t>
  </si>
  <si>
    <t>LA-127</t>
  </si>
  <si>
    <t>LA-128</t>
  </si>
  <si>
    <t>LA-129</t>
  </si>
  <si>
    <t>LA-129M</t>
  </si>
  <si>
    <t>LA-130</t>
  </si>
  <si>
    <t>LA-132M</t>
  </si>
  <si>
    <t>LA-133</t>
  </si>
  <si>
    <t>LA-134</t>
  </si>
  <si>
    <t>LA-136</t>
  </si>
  <si>
    <t>LA-136M</t>
  </si>
  <si>
    <t>LA-144</t>
  </si>
  <si>
    <t>LA-145</t>
  </si>
  <si>
    <t>LA-146</t>
  </si>
  <si>
    <t>LA-146M</t>
  </si>
  <si>
    <t>LA-147</t>
  </si>
  <si>
    <t>LA-148</t>
  </si>
  <si>
    <t>LA-149</t>
  </si>
  <si>
    <t>LA-150</t>
  </si>
  <si>
    <t>LA-151</t>
  </si>
  <si>
    <t>LA-152</t>
  </si>
  <si>
    <t>LA-153</t>
  </si>
  <si>
    <t>LA-154</t>
  </si>
  <si>
    <t>LA-155</t>
  </si>
  <si>
    <t>LA-156</t>
  </si>
  <si>
    <t>LI-11</t>
  </si>
  <si>
    <t>LI-8</t>
  </si>
  <si>
    <t>LI-9</t>
  </si>
  <si>
    <t>LR-251</t>
  </si>
  <si>
    <t>LR-252</t>
  </si>
  <si>
    <t>LR-253</t>
  </si>
  <si>
    <t>LR-254</t>
  </si>
  <si>
    <t>LR-254M</t>
  </si>
  <si>
    <t>LR-255</t>
  </si>
  <si>
    <t>LR-255M</t>
  </si>
  <si>
    <t>LR-256</t>
  </si>
  <si>
    <t>LR-257</t>
  </si>
  <si>
    <t>LR-257M</t>
  </si>
  <si>
    <t>LR-258</t>
  </si>
  <si>
    <t>LR-259</t>
  </si>
  <si>
    <t>LR-260</t>
  </si>
  <si>
    <t>LR-261</t>
  </si>
  <si>
    <t>LR-264</t>
  </si>
  <si>
    <t>LR-266</t>
  </si>
  <si>
    <t>LU-150</t>
  </si>
  <si>
    <t>LU-151</t>
  </si>
  <si>
    <t>LU-152</t>
  </si>
  <si>
    <t>LU-153</t>
  </si>
  <si>
    <t>LU-154</t>
  </si>
  <si>
    <t>LU-155</t>
  </si>
  <si>
    <t>LU-156</t>
  </si>
  <si>
    <t>LU-157</t>
  </si>
  <si>
    <t>LU-158</t>
  </si>
  <si>
    <t>LU-159</t>
  </si>
  <si>
    <t>LU-160</t>
  </si>
  <si>
    <t>LU-161</t>
  </si>
  <si>
    <t>LU-162</t>
  </si>
  <si>
    <t>LU-162M</t>
  </si>
  <si>
    <t>LU-163</t>
  </si>
  <si>
    <t>LU-164</t>
  </si>
  <si>
    <t>LU-165</t>
  </si>
  <si>
    <t>LU-166</t>
  </si>
  <si>
    <t>LU-166M</t>
  </si>
  <si>
    <t>LU-167</t>
  </si>
  <si>
    <t>LU-167M</t>
  </si>
  <si>
    <t>LU-168</t>
  </si>
  <si>
    <t>LU-168M</t>
  </si>
  <si>
    <t>LU-169M</t>
  </si>
  <si>
    <t>LU-170M</t>
  </si>
  <si>
    <t>LU-171M</t>
  </si>
  <si>
    <t>LU-172M</t>
  </si>
  <si>
    <t>LU-180</t>
  </si>
  <si>
    <t>LU-181</t>
  </si>
  <si>
    <t>LU-182</t>
  </si>
  <si>
    <t>LU-183</t>
  </si>
  <si>
    <t>LU-184</t>
  </si>
  <si>
    <t>LV-290</t>
  </si>
  <si>
    <t>LV-291</t>
  </si>
  <si>
    <t>LV-292</t>
  </si>
  <si>
    <t>LV-293</t>
  </si>
  <si>
    <t>MC-287</t>
  </si>
  <si>
    <t>MC-288</t>
  </si>
  <si>
    <t>MC-289</t>
  </si>
  <si>
    <t>MC-290</t>
  </si>
  <si>
    <t>MD-244</t>
  </si>
  <si>
    <t>MD-245</t>
  </si>
  <si>
    <t>MD-246</t>
  </si>
  <si>
    <t>MD-247</t>
  </si>
  <si>
    <t>MD-247M</t>
  </si>
  <si>
    <t>MD-248</t>
  </si>
  <si>
    <t>MD-249</t>
  </si>
  <si>
    <t>MD-249M</t>
  </si>
  <si>
    <t>MD-250</t>
  </si>
  <si>
    <t>MD-250M</t>
  </si>
  <si>
    <t>MD-251</t>
  </si>
  <si>
    <t>MD-251M</t>
  </si>
  <si>
    <t>MD-252</t>
  </si>
  <si>
    <t>MD-253</t>
  </si>
  <si>
    <t>MD-254</t>
  </si>
  <si>
    <t>MD-255</t>
  </si>
  <si>
    <t>MD-256</t>
  </si>
  <si>
    <t>MD-259</t>
  </si>
  <si>
    <t>MD-260</t>
  </si>
  <si>
    <t>MG-19</t>
  </si>
  <si>
    <t>MG-20</t>
  </si>
  <si>
    <t>MG-21</t>
  </si>
  <si>
    <t>MG-22</t>
  </si>
  <si>
    <t>MG-23</t>
  </si>
  <si>
    <t>MG-27</t>
  </si>
  <si>
    <t>MG-29</t>
  </si>
  <si>
    <t>MG-30</t>
  </si>
  <si>
    <t>MG-31</t>
  </si>
  <si>
    <t>MG-32</t>
  </si>
  <si>
    <t>MG-33</t>
  </si>
  <si>
    <t>MG-34</t>
  </si>
  <si>
    <t>MG-35</t>
  </si>
  <si>
    <t>MG-36</t>
  </si>
  <si>
    <t>MG-37</t>
  </si>
  <si>
    <t>MG-38</t>
  </si>
  <si>
    <t>MN-46</t>
  </si>
  <si>
    <t>MN-47</t>
  </si>
  <si>
    <t>MN-48</t>
  </si>
  <si>
    <t>MN-49</t>
  </si>
  <si>
    <t>MN-50</t>
  </si>
  <si>
    <t>MN-57</t>
  </si>
  <si>
    <t>MN-58</t>
  </si>
  <si>
    <t>MN-58M</t>
  </si>
  <si>
    <t>MN-59</t>
  </si>
  <si>
    <t>MN-60</t>
  </si>
  <si>
    <t>MN-60M</t>
  </si>
  <si>
    <t>MN-61</t>
  </si>
  <si>
    <t>MN-62</t>
  </si>
  <si>
    <t>MN-62M</t>
  </si>
  <si>
    <t>MN-63</t>
  </si>
  <si>
    <t>MN-64</t>
  </si>
  <si>
    <t>MN-65</t>
  </si>
  <si>
    <t>MN-66</t>
  </si>
  <si>
    <t>MN-67</t>
  </si>
  <si>
    <t>MN-68</t>
  </si>
  <si>
    <t>MN-69</t>
  </si>
  <si>
    <t>MN-70</t>
  </si>
  <si>
    <t>MO-100</t>
  </si>
  <si>
    <t>MO-102</t>
  </si>
  <si>
    <t>MO-103</t>
  </si>
  <si>
    <t>MO-104</t>
  </si>
  <si>
    <t>MO-105</t>
  </si>
  <si>
    <t>MO-106</t>
  </si>
  <si>
    <t>MO-107</t>
  </si>
  <si>
    <t>MO-108</t>
  </si>
  <si>
    <t>MO-109</t>
  </si>
  <si>
    <t>MO-110</t>
  </si>
  <si>
    <t>MO-111</t>
  </si>
  <si>
    <t>MO-112</t>
  </si>
  <si>
    <t>MO-113</t>
  </si>
  <si>
    <t>MO-114</t>
  </si>
  <si>
    <t>MO-115</t>
  </si>
  <si>
    <t>MO-116</t>
  </si>
  <si>
    <t>MO-117</t>
  </si>
  <si>
    <t>MO-118</t>
  </si>
  <si>
    <t>MO-83</t>
  </si>
  <si>
    <t>MO-84</t>
  </si>
  <si>
    <t>MO-85</t>
  </si>
  <si>
    <t>MO-86</t>
  </si>
  <si>
    <t>MO-87</t>
  </si>
  <si>
    <t>MO-88</t>
  </si>
  <si>
    <t>MO-89</t>
  </si>
  <si>
    <t>MO-89M</t>
  </si>
  <si>
    <t>MO-91</t>
  </si>
  <si>
    <t>MO-91M</t>
  </si>
  <si>
    <t>MT-266</t>
  </si>
  <si>
    <t>MT-268</t>
  </si>
  <si>
    <t>MT-270</t>
  </si>
  <si>
    <t>MT-274</t>
  </si>
  <si>
    <t>MT-275</t>
  </si>
  <si>
    <t>MT-276</t>
  </si>
  <si>
    <t>MT-277</t>
  </si>
  <si>
    <t>MT-278</t>
  </si>
  <si>
    <t>N-1</t>
  </si>
  <si>
    <t>N-12</t>
  </si>
  <si>
    <t>N-13</t>
  </si>
  <si>
    <t>N-16</t>
  </si>
  <si>
    <t>N-17</t>
  </si>
  <si>
    <t>N-18</t>
  </si>
  <si>
    <t>N-19</t>
  </si>
  <si>
    <t>N-20</t>
  </si>
  <si>
    <t>N-21</t>
  </si>
  <si>
    <t>N-22</t>
  </si>
  <si>
    <t>N-23</t>
  </si>
  <si>
    <t>NA-20</t>
  </si>
  <si>
    <t>NA-21</t>
  </si>
  <si>
    <t>NA-25</t>
  </si>
  <si>
    <t>NA-26</t>
  </si>
  <si>
    <t>NA-27</t>
  </si>
  <si>
    <t>NA-28</t>
  </si>
  <si>
    <t>NA-29</t>
  </si>
  <si>
    <t>NA-30</t>
  </si>
  <si>
    <t>NA-31</t>
  </si>
  <si>
    <t>NA-32</t>
  </si>
  <si>
    <t>NA-33</t>
  </si>
  <si>
    <t>NA-34</t>
  </si>
  <si>
    <t>NA-35</t>
  </si>
  <si>
    <t>NB-100</t>
  </si>
  <si>
    <t>NB-101</t>
  </si>
  <si>
    <t>NB-102</t>
  </si>
  <si>
    <t>NB-103</t>
  </si>
  <si>
    <t>NB-104</t>
  </si>
  <si>
    <t>NB-105</t>
  </si>
  <si>
    <t>NB-106</t>
  </si>
  <si>
    <t>NB-107</t>
  </si>
  <si>
    <t>NB-108</t>
  </si>
  <si>
    <t>NB-109</t>
  </si>
  <si>
    <t>NB-110</t>
  </si>
  <si>
    <t>NB-111</t>
  </si>
  <si>
    <t>NB-112</t>
  </si>
  <si>
    <t>NB-113</t>
  </si>
  <si>
    <t>NB-114</t>
  </si>
  <si>
    <t>NB-115</t>
  </si>
  <si>
    <t>NB-82</t>
  </si>
  <si>
    <t>NB-83</t>
  </si>
  <si>
    <t>NB-84</t>
  </si>
  <si>
    <t>NB-85</t>
  </si>
  <si>
    <t>NB-85M</t>
  </si>
  <si>
    <t>NB-86</t>
  </si>
  <si>
    <t>NB-87</t>
  </si>
  <si>
    <t>NB-90M</t>
  </si>
  <si>
    <t>NB-91</t>
  </si>
  <si>
    <t>NB-91M</t>
  </si>
  <si>
    <t>NB-92</t>
  </si>
  <si>
    <t>NB-94M</t>
  </si>
  <si>
    <t>NB-97M</t>
  </si>
  <si>
    <t>NB-98</t>
  </si>
  <si>
    <t>NB-99</t>
  </si>
  <si>
    <t>NB-99M</t>
  </si>
  <si>
    <t>ND-125</t>
  </si>
  <si>
    <t>ND-127</t>
  </si>
  <si>
    <t>ND-129</t>
  </si>
  <si>
    <t>ND-129M</t>
  </si>
  <si>
    <t>ND-130</t>
  </si>
  <si>
    <t>ND-131</t>
  </si>
  <si>
    <t>ND-132</t>
  </si>
  <si>
    <t>ND-133</t>
  </si>
  <si>
    <t>ND-134</t>
  </si>
  <si>
    <t>ND-135</t>
  </si>
  <si>
    <t>ND-135M</t>
  </si>
  <si>
    <t>ND-137</t>
  </si>
  <si>
    <t>ND-137M</t>
  </si>
  <si>
    <t>ND-140</t>
  </si>
  <si>
    <t>ND-141M</t>
  </si>
  <si>
    <t>ND-150</t>
  </si>
  <si>
    <t>ND-152</t>
  </si>
  <si>
    <t>ND-153</t>
  </si>
  <si>
    <t>ND-154</t>
  </si>
  <si>
    <t>ND-155</t>
  </si>
  <si>
    <t>ND-156</t>
  </si>
  <si>
    <t>ND-157</t>
  </si>
  <si>
    <t>ND-158</t>
  </si>
  <si>
    <t>ND-159</t>
  </si>
  <si>
    <t>ND-160</t>
  </si>
  <si>
    <t>ND-161</t>
  </si>
  <si>
    <t>ND-162</t>
  </si>
  <si>
    <t>NE-17</t>
  </si>
  <si>
    <t>NE-18</t>
  </si>
  <si>
    <t>NE-19</t>
  </si>
  <si>
    <t>NE-23</t>
  </si>
  <si>
    <t>NE-24</t>
  </si>
  <si>
    <t>NE-25</t>
  </si>
  <si>
    <t>NE-26</t>
  </si>
  <si>
    <t>NE-27</t>
  </si>
  <si>
    <t>NE-28</t>
  </si>
  <si>
    <t>NE-29</t>
  </si>
  <si>
    <t>NE-30</t>
  </si>
  <si>
    <t>NE-31</t>
  </si>
  <si>
    <t>NE-32</t>
  </si>
  <si>
    <t>NH-278</t>
  </si>
  <si>
    <t>NH-282</t>
  </si>
  <si>
    <t>NH-283</t>
  </si>
  <si>
    <t>NH-284</t>
  </si>
  <si>
    <t>NH-285</t>
  </si>
  <si>
    <t>NH-286</t>
  </si>
  <si>
    <t>NH-290</t>
  </si>
  <si>
    <t>NI-48</t>
  </si>
  <si>
    <t>NI-49</t>
  </si>
  <si>
    <t>NI-50</t>
  </si>
  <si>
    <t>NI-51</t>
  </si>
  <si>
    <t>NI-52</t>
  </si>
  <si>
    <t>NI-53</t>
  </si>
  <si>
    <t>NI-54</t>
  </si>
  <si>
    <t>NI-55</t>
  </si>
  <si>
    <t>NI-67</t>
  </si>
  <si>
    <t>NI-68</t>
  </si>
  <si>
    <t>NI-69</t>
  </si>
  <si>
    <t>NI-69M</t>
  </si>
  <si>
    <t>NI-70</t>
  </si>
  <si>
    <t>NI-71</t>
  </si>
  <si>
    <t>NI-72</t>
  </si>
  <si>
    <t>NI-73</t>
  </si>
  <si>
    <t>NI-74</t>
  </si>
  <si>
    <t>NI-75</t>
  </si>
  <si>
    <t>NI-76</t>
  </si>
  <si>
    <t>NI-77</t>
  </si>
  <si>
    <t>NI-78</t>
  </si>
  <si>
    <t>NI-79</t>
  </si>
  <si>
    <t>NI-80</t>
  </si>
  <si>
    <t>NO-249</t>
  </si>
  <si>
    <t>NO-250</t>
  </si>
  <si>
    <t>NO-251</t>
  </si>
  <si>
    <t>NO-252</t>
  </si>
  <si>
    <t>NO-252M</t>
  </si>
  <si>
    <t>NO-253</t>
  </si>
  <si>
    <t>NO-254</t>
  </si>
  <si>
    <t>NO-254M</t>
  </si>
  <si>
    <t>NO-255</t>
  </si>
  <si>
    <t>NO-256</t>
  </si>
  <si>
    <t>NO-257</t>
  </si>
  <si>
    <t>NO-258</t>
  </si>
  <si>
    <t>NO-259</t>
  </si>
  <si>
    <t>NO-260</t>
  </si>
  <si>
    <t>NP-219</t>
  </si>
  <si>
    <t>NP-220</t>
  </si>
  <si>
    <t>NP-222</t>
  </si>
  <si>
    <t>NP-223</t>
  </si>
  <si>
    <t>NP-224</t>
  </si>
  <si>
    <t>NP-225</t>
  </si>
  <si>
    <t>NP-226</t>
  </si>
  <si>
    <t>NP-227</t>
  </si>
  <si>
    <t>NP-228</t>
  </si>
  <si>
    <t>NP-229</t>
  </si>
  <si>
    <t>NP-230</t>
  </si>
  <si>
    <t>NP-231</t>
  </si>
  <si>
    <t>NP-240M</t>
  </si>
  <si>
    <t>NP-241</t>
  </si>
  <si>
    <t>NP-242</t>
  </si>
  <si>
    <t>NP-243</t>
  </si>
  <si>
    <t>NP-244</t>
  </si>
  <si>
    <t>O-13</t>
  </si>
  <si>
    <t>O-14</t>
  </si>
  <si>
    <t>O-15</t>
  </si>
  <si>
    <t>O-19</t>
  </si>
  <si>
    <t>O-20</t>
  </si>
  <si>
    <t>O-21</t>
  </si>
  <si>
    <t>O-22</t>
  </si>
  <si>
    <t>O-23</t>
  </si>
  <si>
    <t>O-24</t>
  </si>
  <si>
    <t>O-26</t>
  </si>
  <si>
    <t>OG-294</t>
  </si>
  <si>
    <t>OS-161</t>
  </si>
  <si>
    <t>OS-162</t>
  </si>
  <si>
    <t>OS-163</t>
  </si>
  <si>
    <t>OS-164</t>
  </si>
  <si>
    <t>OS-165</t>
  </si>
  <si>
    <t>OS-166</t>
  </si>
  <si>
    <t>OS-167</t>
  </si>
  <si>
    <t>OS-168</t>
  </si>
  <si>
    <t>OS-169</t>
  </si>
  <si>
    <t>OS-170</t>
  </si>
  <si>
    <t>OS-171</t>
  </si>
  <si>
    <t>OS-172</t>
  </si>
  <si>
    <t>OS-173</t>
  </si>
  <si>
    <t>OS-174</t>
  </si>
  <si>
    <t>OS-175</t>
  </si>
  <si>
    <t>OS-176</t>
  </si>
  <si>
    <t>OS-177</t>
  </si>
  <si>
    <t>OS-178</t>
  </si>
  <si>
    <t>OS-179</t>
  </si>
  <si>
    <t>OS-181M</t>
  </si>
  <si>
    <t>OS-183</t>
  </si>
  <si>
    <t>OS-183M</t>
  </si>
  <si>
    <t>OS-184</t>
  </si>
  <si>
    <t>OS-186</t>
  </si>
  <si>
    <t>OS-190M</t>
  </si>
  <si>
    <t>OS-192M</t>
  </si>
  <si>
    <t>OS-195</t>
  </si>
  <si>
    <t>OS-195M</t>
  </si>
  <si>
    <t>OS-196</t>
  </si>
  <si>
    <t>OS-197</t>
  </si>
  <si>
    <t>OS-198</t>
  </si>
  <si>
    <t>OS-199</t>
  </si>
  <si>
    <t>OS-200</t>
  </si>
  <si>
    <t>P-26</t>
  </si>
  <si>
    <t>P-27</t>
  </si>
  <si>
    <t>P-28</t>
  </si>
  <si>
    <t>P-29</t>
  </si>
  <si>
    <t>P-30</t>
  </si>
  <si>
    <t>P-34</t>
  </si>
  <si>
    <t>P-35</t>
  </si>
  <si>
    <t>P-36</t>
  </si>
  <si>
    <t>P-37</t>
  </si>
  <si>
    <t>P-38</t>
  </si>
  <si>
    <t>P-39</t>
  </si>
  <si>
    <t>P-40</t>
  </si>
  <si>
    <t>P-41</t>
  </si>
  <si>
    <t>P-42</t>
  </si>
  <si>
    <t>P-43</t>
  </si>
  <si>
    <t>P-44</t>
  </si>
  <si>
    <t>P-45</t>
  </si>
  <si>
    <t>PA-211</t>
  </si>
  <si>
    <t>PA-212</t>
  </si>
  <si>
    <t>PA-213</t>
  </si>
  <si>
    <t>PA-214</t>
  </si>
  <si>
    <t>PA-215</t>
  </si>
  <si>
    <t>PA-216</t>
  </si>
  <si>
    <t>PA-217</t>
  </si>
  <si>
    <t>PA-218</t>
  </si>
  <si>
    <t>PA-219</t>
  </si>
  <si>
    <t>PA-220</t>
  </si>
  <si>
    <t>PA-221</t>
  </si>
  <si>
    <t>PA-222</t>
  </si>
  <si>
    <t>PA-223</t>
  </si>
  <si>
    <t>PA-224</t>
  </si>
  <si>
    <t>PA-225</t>
  </si>
  <si>
    <t>PA-226</t>
  </si>
  <si>
    <t>PA-229</t>
  </si>
  <si>
    <t>PA-235</t>
  </si>
  <si>
    <t>PA-236</t>
  </si>
  <si>
    <t>PA-237</t>
  </si>
  <si>
    <t>PA-238</t>
  </si>
  <si>
    <t>PA-239</t>
  </si>
  <si>
    <t>PB-178</t>
  </si>
  <si>
    <t>PB-179</t>
  </si>
  <si>
    <t>PB-180</t>
  </si>
  <si>
    <t>PB-181</t>
  </si>
  <si>
    <t>PB-182</t>
  </si>
  <si>
    <t>PB-183</t>
  </si>
  <si>
    <t>PB-183M</t>
  </si>
  <si>
    <t>PB-184</t>
  </si>
  <si>
    <t>PB-185</t>
  </si>
  <si>
    <t>PB-186</t>
  </si>
  <si>
    <t>PB-187</t>
  </si>
  <si>
    <t>PB-188</t>
  </si>
  <si>
    <t>PB-189</t>
  </si>
  <si>
    <t>PB-190</t>
  </si>
  <si>
    <t>PB-191</t>
  </si>
  <si>
    <t>PB-192</t>
  </si>
  <si>
    <t>PB-193</t>
  </si>
  <si>
    <t>PB-194</t>
  </si>
  <si>
    <t>PB-195</t>
  </si>
  <si>
    <t>PB-196</t>
  </si>
  <si>
    <t>PB-197</t>
  </si>
  <si>
    <t>PB-197M</t>
  </si>
  <si>
    <t>PB-199M</t>
  </si>
  <si>
    <t>PB-201M</t>
  </si>
  <si>
    <t>PB-203M</t>
  </si>
  <si>
    <t>PB-204M</t>
  </si>
  <si>
    <t>PB-207M</t>
  </si>
  <si>
    <t>PB-213</t>
  </si>
  <si>
    <t>PB-215</t>
  </si>
  <si>
    <t>PB-216</t>
  </si>
  <si>
    <t>PB-217</t>
  </si>
  <si>
    <t>PB-218</t>
  </si>
  <si>
    <t>PD-107M</t>
  </si>
  <si>
    <t>PD-109M</t>
  </si>
  <si>
    <t>PD-111</t>
  </si>
  <si>
    <t>PD-111M</t>
  </si>
  <si>
    <t>PD-112</t>
  </si>
  <si>
    <t>PD-113</t>
  </si>
  <si>
    <t>PD-113M</t>
  </si>
  <si>
    <t>PD-114</t>
  </si>
  <si>
    <t>PD-115</t>
  </si>
  <si>
    <t>PD-115M</t>
  </si>
  <si>
    <t>PD-116</t>
  </si>
  <si>
    <t>PD-117</t>
  </si>
  <si>
    <t>PD-118</t>
  </si>
  <si>
    <t>PD-119</t>
  </si>
  <si>
    <t>PD-119M</t>
  </si>
  <si>
    <t>PD-120</t>
  </si>
  <si>
    <t>PD-121</t>
  </si>
  <si>
    <t>PD-122</t>
  </si>
  <si>
    <t>PD-123</t>
  </si>
  <si>
    <t>PD-124</t>
  </si>
  <si>
    <t>PD-125</t>
  </si>
  <si>
    <t>PD-126</t>
  </si>
  <si>
    <t>PD-126M</t>
  </si>
  <si>
    <t>PD-127</t>
  </si>
  <si>
    <t>PD-128</t>
  </si>
  <si>
    <t>PD-129</t>
  </si>
  <si>
    <t>PD-91</t>
  </si>
  <si>
    <t>PD-92</t>
  </si>
  <si>
    <t>PD-93</t>
  </si>
  <si>
    <t>PD-94</t>
  </si>
  <si>
    <t>PD-95</t>
  </si>
  <si>
    <t>PD-95M</t>
  </si>
  <si>
    <t>PD-96</t>
  </si>
  <si>
    <t>PD-97</t>
  </si>
  <si>
    <t>PD-98</t>
  </si>
  <si>
    <t>PD-99</t>
  </si>
  <si>
    <t>PM-128</t>
  </si>
  <si>
    <t>PM-129</t>
  </si>
  <si>
    <t>PM-130</t>
  </si>
  <si>
    <t>PM-131</t>
  </si>
  <si>
    <t>PM-132</t>
  </si>
  <si>
    <t>PM-133</t>
  </si>
  <si>
    <t>PM-134</t>
  </si>
  <si>
    <t>PM-135</t>
  </si>
  <si>
    <t>PM-136</t>
  </si>
  <si>
    <t>PM-137</t>
  </si>
  <si>
    <t>PM-138</t>
  </si>
  <si>
    <t>PM-139</t>
  </si>
  <si>
    <t>PM-139M</t>
  </si>
  <si>
    <t>PM-140</t>
  </si>
  <si>
    <t>PM-142</t>
  </si>
  <si>
    <t>PM-152</t>
  </si>
  <si>
    <t>PM-152M</t>
  </si>
  <si>
    <t>PM-153</t>
  </si>
  <si>
    <t>PM-154</t>
  </si>
  <si>
    <t>PM-155</t>
  </si>
  <si>
    <t>PM-156</t>
  </si>
  <si>
    <t>PM-157</t>
  </si>
  <si>
    <t>PM-158</t>
  </si>
  <si>
    <t>PM-159</t>
  </si>
  <si>
    <t>PM-160</t>
  </si>
  <si>
    <t>PM-161</t>
  </si>
  <si>
    <t>PM-162</t>
  </si>
  <si>
    <t>PM-163</t>
  </si>
  <si>
    <t>PM-164</t>
  </si>
  <si>
    <t>PM-165</t>
  </si>
  <si>
    <t>PO-186</t>
  </si>
  <si>
    <t>PO-187</t>
  </si>
  <si>
    <t>PO-188</t>
  </si>
  <si>
    <t>PO-189</t>
  </si>
  <si>
    <t>PO-190</t>
  </si>
  <si>
    <t>PO-191</t>
  </si>
  <si>
    <t>PO-192</t>
  </si>
  <si>
    <t>PO-193</t>
  </si>
  <si>
    <t>PO-194</t>
  </si>
  <si>
    <t>PO-195</t>
  </si>
  <si>
    <t>PO-196</t>
  </si>
  <si>
    <t>PO-197</t>
  </si>
  <si>
    <t>PO-197M</t>
  </si>
  <si>
    <t>PO-198</t>
  </si>
  <si>
    <t>PO-199</t>
  </si>
  <si>
    <t>PO-199M</t>
  </si>
  <si>
    <t>PO-200</t>
  </si>
  <si>
    <t>PO-201</t>
  </si>
  <si>
    <t>PO-201M</t>
  </si>
  <si>
    <t>PO-202</t>
  </si>
  <si>
    <t>PO-203M</t>
  </si>
  <si>
    <t>PO-204</t>
  </si>
  <si>
    <t>PO-206</t>
  </si>
  <si>
    <t>PO-207M</t>
  </si>
  <si>
    <t>PO-208</t>
  </si>
  <si>
    <t>PO-209</t>
  </si>
  <si>
    <t>PO-211M</t>
  </si>
  <si>
    <t>PO-212M</t>
  </si>
  <si>
    <t>PO-217</t>
  </si>
  <si>
    <t>PO-219</t>
  </si>
  <si>
    <t>PO-221</t>
  </si>
  <si>
    <t>PO-222</t>
  </si>
  <si>
    <t>PR-121</t>
  </si>
  <si>
    <t>PR-124</t>
  </si>
  <si>
    <t>PR-125</t>
  </si>
  <si>
    <t>PR-126</t>
  </si>
  <si>
    <t>PR-127</t>
  </si>
  <si>
    <t>PR-128</t>
  </si>
  <si>
    <t>PR-129</t>
  </si>
  <si>
    <t>PR-130</t>
  </si>
  <si>
    <t>PR-131</t>
  </si>
  <si>
    <t>PR-131M</t>
  </si>
  <si>
    <t>PR-132</t>
  </si>
  <si>
    <t>PR-133</t>
  </si>
  <si>
    <t>PR-133M</t>
  </si>
  <si>
    <t>PR-134</t>
  </si>
  <si>
    <t>PR-135</t>
  </si>
  <si>
    <t>PR-138</t>
  </si>
  <si>
    <t>PR-140</t>
  </si>
  <si>
    <t>PR-144M</t>
  </si>
  <si>
    <t>PR-146</t>
  </si>
  <si>
    <t>PR-148</t>
  </si>
  <si>
    <t>PR-148M</t>
  </si>
  <si>
    <t>PR-149</t>
  </si>
  <si>
    <t>PR-150</t>
  </si>
  <si>
    <t>PR-151</t>
  </si>
  <si>
    <t>PR-152</t>
  </si>
  <si>
    <t>PR-153</t>
  </si>
  <si>
    <t>PR-154</t>
  </si>
  <si>
    <t>PR-155</t>
  </si>
  <si>
    <t>PR-156</t>
  </si>
  <si>
    <t>PR-157</t>
  </si>
  <si>
    <t>PR-158</t>
  </si>
  <si>
    <t>PR-159</t>
  </si>
  <si>
    <t>PR-160</t>
  </si>
  <si>
    <t>PT-165</t>
  </si>
  <si>
    <t>PT-166</t>
  </si>
  <si>
    <t>PT-167</t>
  </si>
  <si>
    <t>PT-168</t>
  </si>
  <si>
    <t>PT-169</t>
  </si>
  <si>
    <t>PT-170</t>
  </si>
  <si>
    <t>PT-171</t>
  </si>
  <si>
    <t>PT-172</t>
  </si>
  <si>
    <t>PT-173</t>
  </si>
  <si>
    <t>PT-174</t>
  </si>
  <si>
    <t>PT-175</t>
  </si>
  <si>
    <t>PT-176</t>
  </si>
  <si>
    <t>PT-177</t>
  </si>
  <si>
    <t>PT-178</t>
  </si>
  <si>
    <t>PT-179</t>
  </si>
  <si>
    <t>PT-180</t>
  </si>
  <si>
    <t>PT-181</t>
  </si>
  <si>
    <t>PT-182</t>
  </si>
  <si>
    <t>PT-183</t>
  </si>
  <si>
    <t>PT-183M</t>
  </si>
  <si>
    <t>PT-184</t>
  </si>
  <si>
    <t>PT-185</t>
  </si>
  <si>
    <t>PT-185M</t>
  </si>
  <si>
    <t>PT-187</t>
  </si>
  <si>
    <t>PT-190</t>
  </si>
  <si>
    <t>PT-199M</t>
  </si>
  <si>
    <t>PT-201</t>
  </si>
  <si>
    <t>PT-202</t>
  </si>
  <si>
    <t>PT-203</t>
  </si>
  <si>
    <t>PT-203M</t>
  </si>
  <si>
    <t>PT-204</t>
  </si>
  <si>
    <t>PU-228</t>
  </si>
  <si>
    <t>PU-229</t>
  </si>
  <si>
    <t>PU-230</t>
  </si>
  <si>
    <t>PU-231</t>
  </si>
  <si>
    <t>PU-232</t>
  </si>
  <si>
    <t>PU-233</t>
  </si>
  <si>
    <t>PU-237M</t>
  </si>
  <si>
    <t>PU-244M</t>
  </si>
  <si>
    <t>PU-247</t>
  </si>
  <si>
    <t>RA-201</t>
  </si>
  <si>
    <t>RA-202</t>
  </si>
  <si>
    <t>RA-203</t>
  </si>
  <si>
    <t>RA-204</t>
  </si>
  <si>
    <t>RA-205</t>
  </si>
  <si>
    <t>RA-206</t>
  </si>
  <si>
    <t>RA-207</t>
  </si>
  <si>
    <t>RA-208</t>
  </si>
  <si>
    <t>RA-209</t>
  </si>
  <si>
    <t>RA-210</t>
  </si>
  <si>
    <t>RA-211</t>
  </si>
  <si>
    <t>RA-212</t>
  </si>
  <si>
    <t>RA-213</t>
  </si>
  <si>
    <t>RA-214</t>
  </si>
  <si>
    <t>RA-215</t>
  </si>
  <si>
    <t>RA-216</t>
  </si>
  <si>
    <t>RA-217</t>
  </si>
  <si>
    <t>RA-218</t>
  </si>
  <si>
    <t>RA-219</t>
  </si>
  <si>
    <t>RA-220</t>
  </si>
  <si>
    <t>RA-221</t>
  </si>
  <si>
    <t>RA-222</t>
  </si>
  <si>
    <t>RA-229</t>
  </si>
  <si>
    <t>RA-230</t>
  </si>
  <si>
    <t>RA-231</t>
  </si>
  <si>
    <t>RA-232</t>
  </si>
  <si>
    <t>RA-233</t>
  </si>
  <si>
    <t>RA-234</t>
  </si>
  <si>
    <t>RB-100</t>
  </si>
  <si>
    <t>RB-101</t>
  </si>
  <si>
    <t>RB-102</t>
  </si>
  <si>
    <t>RB-103</t>
  </si>
  <si>
    <t>RB-72</t>
  </si>
  <si>
    <t>RB-74</t>
  </si>
  <si>
    <t>RB-75</t>
  </si>
  <si>
    <t>RB-76</t>
  </si>
  <si>
    <t>RB-77</t>
  </si>
  <si>
    <t>RB-78</t>
  </si>
  <si>
    <t>RB-78M</t>
  </si>
  <si>
    <t>RB-80</t>
  </si>
  <si>
    <t>RB-82</t>
  </si>
  <si>
    <t>RB-84M</t>
  </si>
  <si>
    <t>RB-86M</t>
  </si>
  <si>
    <t>RB-90</t>
  </si>
  <si>
    <t>RB-90M</t>
  </si>
  <si>
    <t>RB-91</t>
  </si>
  <si>
    <t>RB-92</t>
  </si>
  <si>
    <t>RB-93</t>
  </si>
  <si>
    <t>RB-94</t>
  </si>
  <si>
    <t>RB-95</t>
  </si>
  <si>
    <t>RB-96</t>
  </si>
  <si>
    <t>RB-97</t>
  </si>
  <si>
    <t>RB-98</t>
  </si>
  <si>
    <t>RB-98M</t>
  </si>
  <si>
    <t>RB-99</t>
  </si>
  <si>
    <t>RE-159</t>
  </si>
  <si>
    <t>RE-160</t>
  </si>
  <si>
    <t>RE-161</t>
  </si>
  <si>
    <t>RE-162</t>
  </si>
  <si>
    <t>RE-163</t>
  </si>
  <si>
    <t>RE-164</t>
  </si>
  <si>
    <t>RE-165</t>
  </si>
  <si>
    <t>RE-166</t>
  </si>
  <si>
    <t>RE-167</t>
  </si>
  <si>
    <t>RE-168</t>
  </si>
  <si>
    <t>RE-169</t>
  </si>
  <si>
    <t>RE-169M</t>
  </si>
  <si>
    <t>RE-170M</t>
  </si>
  <si>
    <t>RE-171</t>
  </si>
  <si>
    <t>RE-172</t>
  </si>
  <si>
    <t>RE-173</t>
  </si>
  <si>
    <t>RE-174</t>
  </si>
  <si>
    <t>RE-175</t>
  </si>
  <si>
    <t>RE-176</t>
  </si>
  <si>
    <t>RE-179</t>
  </si>
  <si>
    <t>RE-180</t>
  </si>
  <si>
    <t>RE-183</t>
  </si>
  <si>
    <t>RE-190</t>
  </si>
  <si>
    <t>RE-190M</t>
  </si>
  <si>
    <t>RE-191</t>
  </si>
  <si>
    <t>RE-192</t>
  </si>
  <si>
    <t>RE-194</t>
  </si>
  <si>
    <t>RE-194M</t>
  </si>
  <si>
    <t>RE-195</t>
  </si>
  <si>
    <t>RE-196</t>
  </si>
  <si>
    <t>RF-253</t>
  </si>
  <si>
    <t>RF-254</t>
  </si>
  <si>
    <t>RF-255</t>
  </si>
  <si>
    <t>RF-256</t>
  </si>
  <si>
    <t>RF-257</t>
  </si>
  <si>
    <t>RF-257M</t>
  </si>
  <si>
    <t>RF-258</t>
  </si>
  <si>
    <t>RF-259</t>
  </si>
  <si>
    <t>RF-260</t>
  </si>
  <si>
    <t>RF-261</t>
  </si>
  <si>
    <t>RF-262</t>
  </si>
  <si>
    <t>RF-263</t>
  </si>
  <si>
    <t>RF-265</t>
  </si>
  <si>
    <t>RF-267</t>
  </si>
  <si>
    <t>RG-272</t>
  </si>
  <si>
    <t>RG-274</t>
  </si>
  <si>
    <t>RG-278</t>
  </si>
  <si>
    <t>RG-279</t>
  </si>
  <si>
    <t>RG-280</t>
  </si>
  <si>
    <t>RG-281</t>
  </si>
  <si>
    <t>RG-282</t>
  </si>
  <si>
    <t>RH-100M</t>
  </si>
  <si>
    <t>RH-104</t>
  </si>
  <si>
    <t>RH-104M</t>
  </si>
  <si>
    <t>RH-105M</t>
  </si>
  <si>
    <t>RH-108</t>
  </si>
  <si>
    <t>RH-108M</t>
  </si>
  <si>
    <t>RH-109</t>
  </si>
  <si>
    <t>RH-110</t>
  </si>
  <si>
    <t>RH-111</t>
  </si>
  <si>
    <t>RH-112</t>
  </si>
  <si>
    <t>RH-113</t>
  </si>
  <si>
    <t>RH-114</t>
  </si>
  <si>
    <t>RH-115</t>
  </si>
  <si>
    <t>RH-116</t>
  </si>
  <si>
    <t>RH-117</t>
  </si>
  <si>
    <t>RH-118</t>
  </si>
  <si>
    <t>RH-119</t>
  </si>
  <si>
    <t>RH-120</t>
  </si>
  <si>
    <t>RH-121</t>
  </si>
  <si>
    <t>RH-122</t>
  </si>
  <si>
    <t>RH-123</t>
  </si>
  <si>
    <t>RH-124</t>
  </si>
  <si>
    <t>RH-125</t>
  </si>
  <si>
    <t>RH-126</t>
  </si>
  <si>
    <t>RH-127</t>
  </si>
  <si>
    <t>RH-90</t>
  </si>
  <si>
    <t>RH-91</t>
  </si>
  <si>
    <t>RH-92</t>
  </si>
  <si>
    <t>RH-93</t>
  </si>
  <si>
    <t>RH-94</t>
  </si>
  <si>
    <t>RH-95</t>
  </si>
  <si>
    <t>RH-95M</t>
  </si>
  <si>
    <t>RH-96</t>
  </si>
  <si>
    <t>RH-96M</t>
  </si>
  <si>
    <t>RH-97</t>
  </si>
  <si>
    <t>RH-97M</t>
  </si>
  <si>
    <t>RH-98</t>
  </si>
  <si>
    <t>RH-98M</t>
  </si>
  <si>
    <t>RN-193</t>
  </si>
  <si>
    <t>RN-194</t>
  </si>
  <si>
    <t>RN-195</t>
  </si>
  <si>
    <t>RN-196</t>
  </si>
  <si>
    <t>RN-197</t>
  </si>
  <si>
    <t>RN-198</t>
  </si>
  <si>
    <t>RN-199</t>
  </si>
  <si>
    <t>RN-200</t>
  </si>
  <si>
    <t>RN-201</t>
  </si>
  <si>
    <t>RN-202</t>
  </si>
  <si>
    <t>RN-203</t>
  </si>
  <si>
    <t>RN-204</t>
  </si>
  <si>
    <t>RN-205</t>
  </si>
  <si>
    <t>RN-206</t>
  </si>
  <si>
    <t>RN-207</t>
  </si>
  <si>
    <t>RN-208</t>
  </si>
  <si>
    <t>RN-209</t>
  </si>
  <si>
    <t>RN-210</t>
  </si>
  <si>
    <t>RN-211</t>
  </si>
  <si>
    <t>RN-212</t>
  </si>
  <si>
    <t>RN-213</t>
  </si>
  <si>
    <t>RN-214</t>
  </si>
  <si>
    <t>RN-215</t>
  </si>
  <si>
    <t>RN-216</t>
  </si>
  <si>
    <t>RN-221</t>
  </si>
  <si>
    <t>RN-223</t>
  </si>
  <si>
    <t>RN-224</t>
  </si>
  <si>
    <t>RN-225</t>
  </si>
  <si>
    <t>RN-226</t>
  </si>
  <si>
    <t>RN-227</t>
  </si>
  <si>
    <t>RN-228</t>
  </si>
  <si>
    <t>RN-229</t>
  </si>
  <si>
    <t>RU-107</t>
  </si>
  <si>
    <t>RU-108</t>
  </si>
  <si>
    <t>RU-109</t>
  </si>
  <si>
    <t>RU-110</t>
  </si>
  <si>
    <t>RU-111</t>
  </si>
  <si>
    <t>RU-112</t>
  </si>
  <si>
    <t>RU-113</t>
  </si>
  <si>
    <t>RU-113M</t>
  </si>
  <si>
    <t>RU-114</t>
  </si>
  <si>
    <t>RU-115</t>
  </si>
  <si>
    <t>RU-116</t>
  </si>
  <si>
    <t>RU-117</t>
  </si>
  <si>
    <t>RU-118</t>
  </si>
  <si>
    <t>RU-119</t>
  </si>
  <si>
    <t>RU-120</t>
  </si>
  <si>
    <t>RU-121</t>
  </si>
  <si>
    <t>RU-122</t>
  </si>
  <si>
    <t>RU-123</t>
  </si>
  <si>
    <t>RU-124</t>
  </si>
  <si>
    <t>RU-88</t>
  </si>
  <si>
    <t>RU-89</t>
  </si>
  <si>
    <t>RU-90</t>
  </si>
  <si>
    <t>RU-91</t>
  </si>
  <si>
    <t>RU-91M</t>
  </si>
  <si>
    <t>RU-92</t>
  </si>
  <si>
    <t>RU-93</t>
  </si>
  <si>
    <t>RU-93M</t>
  </si>
  <si>
    <t>RU-95</t>
  </si>
  <si>
    <t>S-27</t>
  </si>
  <si>
    <t>S-28</t>
  </si>
  <si>
    <t>S-29</t>
  </si>
  <si>
    <t>S-30</t>
  </si>
  <si>
    <t>S-31</t>
  </si>
  <si>
    <t>S-37</t>
  </si>
  <si>
    <t>S-38</t>
  </si>
  <si>
    <t>S-39</t>
  </si>
  <si>
    <t>S-40</t>
  </si>
  <si>
    <t>S-41</t>
  </si>
  <si>
    <t>S-42</t>
  </si>
  <si>
    <t>S-43</t>
  </si>
  <si>
    <t>S-44</t>
  </si>
  <si>
    <t>S-45</t>
  </si>
  <si>
    <t>S-46</t>
  </si>
  <si>
    <t>SB-104</t>
  </si>
  <si>
    <t>SB-105</t>
  </si>
  <si>
    <t>SB-106</t>
  </si>
  <si>
    <t>SB-107</t>
  </si>
  <si>
    <t>SB-108</t>
  </si>
  <si>
    <t>SB-109</t>
  </si>
  <si>
    <t>SB-110</t>
  </si>
  <si>
    <t>SB-111</t>
  </si>
  <si>
    <t>SB-112</t>
  </si>
  <si>
    <t>SB-113</t>
  </si>
  <si>
    <t>SB-114</t>
  </si>
  <si>
    <t>SB-118</t>
  </si>
  <si>
    <t>SB-119M</t>
  </si>
  <si>
    <t>SB-122M</t>
  </si>
  <si>
    <t>SB-124M</t>
  </si>
  <si>
    <t>SB-129M</t>
  </si>
  <si>
    <t>SB-132</t>
  </si>
  <si>
    <t>SB-133</t>
  </si>
  <si>
    <t>SB-134</t>
  </si>
  <si>
    <t>SB-135</t>
  </si>
  <si>
    <t>SB-136</t>
  </si>
  <si>
    <t>SB-137</t>
  </si>
  <si>
    <t>SB-138</t>
  </si>
  <si>
    <t>SB-139</t>
  </si>
  <si>
    <t>SB-140</t>
  </si>
  <si>
    <t>SB-141</t>
  </si>
  <si>
    <t>SB-142</t>
  </si>
  <si>
    <t>SC-40</t>
  </si>
  <si>
    <t>SC-41</t>
  </si>
  <si>
    <t>SC-42</t>
  </si>
  <si>
    <t>SC-45M</t>
  </si>
  <si>
    <t>SC-46M</t>
  </si>
  <si>
    <t>SC-50</t>
  </si>
  <si>
    <t>SC-50M</t>
  </si>
  <si>
    <t>SC-51</t>
  </si>
  <si>
    <t>SC-52</t>
  </si>
  <si>
    <t>SC-53</t>
  </si>
  <si>
    <t>SC-54</t>
  </si>
  <si>
    <t>SC-55</t>
  </si>
  <si>
    <t>SC-56</t>
  </si>
  <si>
    <t>SC-57</t>
  </si>
  <si>
    <t>SC-58</t>
  </si>
  <si>
    <t>SE-63</t>
  </si>
  <si>
    <t>SE-64</t>
  </si>
  <si>
    <t>SE-65</t>
  </si>
  <si>
    <t>SE-66</t>
  </si>
  <si>
    <t>SE-67</t>
  </si>
  <si>
    <t>SE-68</t>
  </si>
  <si>
    <t>SE-69</t>
  </si>
  <si>
    <t>SE-71</t>
  </si>
  <si>
    <t>SE-72</t>
  </si>
  <si>
    <t>SE-77M</t>
  </si>
  <si>
    <t>SE-79M</t>
  </si>
  <si>
    <t>SE-82</t>
  </si>
  <si>
    <t>SE-84</t>
  </si>
  <si>
    <t>SE-85</t>
  </si>
  <si>
    <t>SE-86</t>
  </si>
  <si>
    <t>SE-87</t>
  </si>
  <si>
    <t>SE-88</t>
  </si>
  <si>
    <t>SE-89</t>
  </si>
  <si>
    <t>SE-90</t>
  </si>
  <si>
    <t>SE-91</t>
  </si>
  <si>
    <t>SG-258</t>
  </si>
  <si>
    <t>SG-259</t>
  </si>
  <si>
    <t>SG-260</t>
  </si>
  <si>
    <t>SG-261</t>
  </si>
  <si>
    <t>SG-262</t>
  </si>
  <si>
    <t>SG-263</t>
  </si>
  <si>
    <t>SG-263M</t>
  </si>
  <si>
    <t>SG-264</t>
  </si>
  <si>
    <t>SG-265</t>
  </si>
  <si>
    <t>SG-266</t>
  </si>
  <si>
    <t>SG-267</t>
  </si>
  <si>
    <t>SG-269</t>
  </si>
  <si>
    <t>SG-271</t>
  </si>
  <si>
    <t>SI-22</t>
  </si>
  <si>
    <t>SI-23</t>
  </si>
  <si>
    <t>SI-24</t>
  </si>
  <si>
    <t>SI-25</t>
  </si>
  <si>
    <t>SI-26</t>
  </si>
  <si>
    <t>SI-27</t>
  </si>
  <si>
    <t>SI-33</t>
  </si>
  <si>
    <t>SI-34</t>
  </si>
  <si>
    <t>SI-35</t>
  </si>
  <si>
    <t>SI-36</t>
  </si>
  <si>
    <t>SI-37</t>
  </si>
  <si>
    <t>SI-38</t>
  </si>
  <si>
    <t>SI-39</t>
  </si>
  <si>
    <t>SI-40</t>
  </si>
  <si>
    <t>SI-41</t>
  </si>
  <si>
    <t>SI-42</t>
  </si>
  <si>
    <t>SI-43</t>
  </si>
  <si>
    <t>SM-129</t>
  </si>
  <si>
    <t>SM-131</t>
  </si>
  <si>
    <t>SM-132</t>
  </si>
  <si>
    <t>SM-133</t>
  </si>
  <si>
    <t>SM-133M</t>
  </si>
  <si>
    <t>SM-134</t>
  </si>
  <si>
    <t>SM-135</t>
  </si>
  <si>
    <t>SM-136</t>
  </si>
  <si>
    <t>SM-137</t>
  </si>
  <si>
    <t>SM-138</t>
  </si>
  <si>
    <t>SM-139</t>
  </si>
  <si>
    <t>SM-139M</t>
  </si>
  <si>
    <t>SM-140</t>
  </si>
  <si>
    <t>SM-143</t>
  </si>
  <si>
    <t>SM-143M</t>
  </si>
  <si>
    <t>SM-157</t>
  </si>
  <si>
    <t>SM-158</t>
  </si>
  <si>
    <t>SM-159</t>
  </si>
  <si>
    <t>SM-160</t>
  </si>
  <si>
    <t>SM-161</t>
  </si>
  <si>
    <t>SM-162</t>
  </si>
  <si>
    <t>SM-163</t>
  </si>
  <si>
    <t>SM-164</t>
  </si>
  <si>
    <t>SM-165</t>
  </si>
  <si>
    <t>SM-166</t>
  </si>
  <si>
    <t>SM-167</t>
  </si>
  <si>
    <t>SM-168</t>
  </si>
  <si>
    <t>SN-100</t>
  </si>
  <si>
    <t>SN-101</t>
  </si>
  <si>
    <t>SN-102</t>
  </si>
  <si>
    <t>SN-103</t>
  </si>
  <si>
    <t>SN-104</t>
  </si>
  <si>
    <t>SN-105</t>
  </si>
  <si>
    <t>SN-106</t>
  </si>
  <si>
    <t>SN-107</t>
  </si>
  <si>
    <t>SN-108</t>
  </si>
  <si>
    <t>SN-109</t>
  </si>
  <si>
    <t>SN-113M</t>
  </si>
  <si>
    <t>SN-128M</t>
  </si>
  <si>
    <t>SN-129</t>
  </si>
  <si>
    <t>SN-130</t>
  </si>
  <si>
    <t>SN-131</t>
  </si>
  <si>
    <t>SN-131M</t>
  </si>
  <si>
    <t>SN-132</t>
  </si>
  <si>
    <t>SN-133</t>
  </si>
  <si>
    <t>SN-134</t>
  </si>
  <si>
    <t>SN-135</t>
  </si>
  <si>
    <t>SN-136</t>
  </si>
  <si>
    <t>SN-137</t>
  </si>
  <si>
    <t>SN-138</t>
  </si>
  <si>
    <t>SN-139</t>
  </si>
  <si>
    <t>SN-99</t>
  </si>
  <si>
    <t>SR-100</t>
  </si>
  <si>
    <t>SR-101</t>
  </si>
  <si>
    <t>SR-102</t>
  </si>
  <si>
    <t>SR-103</t>
  </si>
  <si>
    <t>SR-104</t>
  </si>
  <si>
    <t>SR-105</t>
  </si>
  <si>
    <t>SR-106</t>
  </si>
  <si>
    <t>SR-73</t>
  </si>
  <si>
    <t>SR-74</t>
  </si>
  <si>
    <t>SR-75</t>
  </si>
  <si>
    <t>SR-76</t>
  </si>
  <si>
    <t>SR-77</t>
  </si>
  <si>
    <t>SR-78</t>
  </si>
  <si>
    <t>SR-79</t>
  </si>
  <si>
    <t>SR-83M</t>
  </si>
  <si>
    <t>SR-93</t>
  </si>
  <si>
    <t>SR-94</t>
  </si>
  <si>
    <t>SR-95</t>
  </si>
  <si>
    <t>SR-96</t>
  </si>
  <si>
    <t>SR-97</t>
  </si>
  <si>
    <t>SR-98</t>
  </si>
  <si>
    <t>SR-99</t>
  </si>
  <si>
    <t>TA-155</t>
  </si>
  <si>
    <t>TA-156</t>
  </si>
  <si>
    <t>TA-157</t>
  </si>
  <si>
    <t>TA-158</t>
  </si>
  <si>
    <t>TA-159</t>
  </si>
  <si>
    <t>TA-160</t>
  </si>
  <si>
    <t>TA-161</t>
  </si>
  <si>
    <t>TA-162</t>
  </si>
  <si>
    <t>TA-163</t>
  </si>
  <si>
    <t>TA-164</t>
  </si>
  <si>
    <t>TA-165</t>
  </si>
  <si>
    <t>TA-166</t>
  </si>
  <si>
    <t>TA-167</t>
  </si>
  <si>
    <t>TA-168</t>
  </si>
  <si>
    <t>TA-169</t>
  </si>
  <si>
    <t>TA-170</t>
  </si>
  <si>
    <t>TA-171</t>
  </si>
  <si>
    <t>TA-178</t>
  </si>
  <si>
    <t>TA-186M</t>
  </si>
  <si>
    <t>TA-187</t>
  </si>
  <si>
    <t>TA-187M</t>
  </si>
  <si>
    <t>TA-188M</t>
  </si>
  <si>
    <t>TA-190</t>
  </si>
  <si>
    <t>TA-192</t>
  </si>
  <si>
    <t>TB-135</t>
  </si>
  <si>
    <t>TB-139</t>
  </si>
  <si>
    <t>TB-140</t>
  </si>
  <si>
    <t>TB-141</t>
  </si>
  <si>
    <t>TB-142</t>
  </si>
  <si>
    <t>TB-142M</t>
  </si>
  <si>
    <t>TB-143</t>
  </si>
  <si>
    <t>TB-143M</t>
  </si>
  <si>
    <t>TB-144M</t>
  </si>
  <si>
    <t>TB-145</t>
  </si>
  <si>
    <t>TB-146</t>
  </si>
  <si>
    <t>TB-148</t>
  </si>
  <si>
    <t>TB-150M</t>
  </si>
  <si>
    <t>TB-151M</t>
  </si>
  <si>
    <t>TB-152</t>
  </si>
  <si>
    <t>TB-152M</t>
  </si>
  <si>
    <t>TB-154M</t>
  </si>
  <si>
    <t>TB-158M</t>
  </si>
  <si>
    <t>TB-162</t>
  </si>
  <si>
    <t>TB-163</t>
  </si>
  <si>
    <t>TB-164</t>
  </si>
  <si>
    <t>TB-165</t>
  </si>
  <si>
    <t>TB-166</t>
  </si>
  <si>
    <t>TB-167</t>
  </si>
  <si>
    <t>TB-168</t>
  </si>
  <si>
    <t>TB-169</t>
  </si>
  <si>
    <t>TB-170</t>
  </si>
  <si>
    <t>TB-171</t>
  </si>
  <si>
    <t>TB-172</t>
  </si>
  <si>
    <t>TC-100</t>
  </si>
  <si>
    <t>TC-102</t>
  </si>
  <si>
    <t>TC-102M</t>
  </si>
  <si>
    <t>TC-103</t>
  </si>
  <si>
    <t>TC-105</t>
  </si>
  <si>
    <t>TC-106</t>
  </si>
  <si>
    <t>TC-107</t>
  </si>
  <si>
    <t>TC-108</t>
  </si>
  <si>
    <t>TC-109</t>
  </si>
  <si>
    <t>TC-110</t>
  </si>
  <si>
    <t>TC-111</t>
  </si>
  <si>
    <t>TC-112</t>
  </si>
  <si>
    <t>TC-113</t>
  </si>
  <si>
    <t>TC-114</t>
  </si>
  <si>
    <t>TC-115</t>
  </si>
  <si>
    <t>TC-116</t>
  </si>
  <si>
    <t>TC-117</t>
  </si>
  <si>
    <t>TC-118</t>
  </si>
  <si>
    <t>TC-119</t>
  </si>
  <si>
    <t>TC-120</t>
  </si>
  <si>
    <t>TC-121</t>
  </si>
  <si>
    <t>TC-86</t>
  </si>
  <si>
    <t>TC-87</t>
  </si>
  <si>
    <t>TC-88</t>
  </si>
  <si>
    <t>TC-89</t>
  </si>
  <si>
    <t>TC-90</t>
  </si>
  <si>
    <t>TC-91</t>
  </si>
  <si>
    <t>TC-92</t>
  </si>
  <si>
    <t>TE-105</t>
  </si>
  <si>
    <t>TE-106</t>
  </si>
  <si>
    <t>TE-107</t>
  </si>
  <si>
    <t>TE-108</t>
  </si>
  <si>
    <t>TE-109</t>
  </si>
  <si>
    <t>TE-110</t>
  </si>
  <si>
    <t>TE-111</t>
  </si>
  <si>
    <t>TE-112</t>
  </si>
  <si>
    <t>TE-113</t>
  </si>
  <si>
    <t>TE-114</t>
  </si>
  <si>
    <t>TE-115</t>
  </si>
  <si>
    <t>TE-115M</t>
  </si>
  <si>
    <t>TE-117</t>
  </si>
  <si>
    <t>TE-117M</t>
  </si>
  <si>
    <t>TE-118</t>
  </si>
  <si>
    <t>TE-119</t>
  </si>
  <si>
    <t>TE-128</t>
  </si>
  <si>
    <t>TE-130</t>
  </si>
  <si>
    <t>TE-135</t>
  </si>
  <si>
    <t>TE-136</t>
  </si>
  <si>
    <t>TE-137</t>
  </si>
  <si>
    <t>TE-138</t>
  </si>
  <si>
    <t>TE-139</t>
  </si>
  <si>
    <t>TE-140</t>
  </si>
  <si>
    <t>TE-141</t>
  </si>
  <si>
    <t>TE-142</t>
  </si>
  <si>
    <t>TE-143</t>
  </si>
  <si>
    <t>TE-144</t>
  </si>
  <si>
    <t>TH-208</t>
  </si>
  <si>
    <t>TH-209</t>
  </si>
  <si>
    <t>TH-210</t>
  </si>
  <si>
    <t>TH-211</t>
  </si>
  <si>
    <t>TH-212</t>
  </si>
  <si>
    <t>TH-213</t>
  </si>
  <si>
    <t>TH-214</t>
  </si>
  <si>
    <t>TH-215</t>
  </si>
  <si>
    <t>TH-216</t>
  </si>
  <si>
    <t>TH-217</t>
  </si>
  <si>
    <t>TH-218</t>
  </si>
  <si>
    <t>TH-219</t>
  </si>
  <si>
    <t>TH-220</t>
  </si>
  <si>
    <t>TH-221</t>
  </si>
  <si>
    <t>TH-222</t>
  </si>
  <si>
    <t>TH-223</t>
  </si>
  <si>
    <t>TH-224</t>
  </si>
  <si>
    <t>TH-225</t>
  </si>
  <si>
    <t>TH-233</t>
  </si>
  <si>
    <t>TH-235</t>
  </si>
  <si>
    <t>TH-236</t>
  </si>
  <si>
    <t>TH-237</t>
  </si>
  <si>
    <t>TH-238</t>
  </si>
  <si>
    <t>TI-39</t>
  </si>
  <si>
    <t>TI-40</t>
  </si>
  <si>
    <t>TI-41</t>
  </si>
  <si>
    <t>TI-42</t>
  </si>
  <si>
    <t>TI-43</t>
  </si>
  <si>
    <t>TI-51</t>
  </si>
  <si>
    <t>TI-52</t>
  </si>
  <si>
    <t>TI-53</t>
  </si>
  <si>
    <t>TI-54</t>
  </si>
  <si>
    <t>TI-55</t>
  </si>
  <si>
    <t>TI-56</t>
  </si>
  <si>
    <t>TI-57</t>
  </si>
  <si>
    <t>TI-58</t>
  </si>
  <si>
    <t>TI-59</t>
  </si>
  <si>
    <t>TI-60</t>
  </si>
  <si>
    <t>TI-61</t>
  </si>
  <si>
    <t>TL-176</t>
  </si>
  <si>
    <t>TL-177</t>
  </si>
  <si>
    <t>TL-178</t>
  </si>
  <si>
    <t>TL-179</t>
  </si>
  <si>
    <t>TL-180</t>
  </si>
  <si>
    <t>TL-181</t>
  </si>
  <si>
    <t>TL-182</t>
  </si>
  <si>
    <t>TL-183</t>
  </si>
  <si>
    <t>TL-184</t>
  </si>
  <si>
    <t>TL-184M</t>
  </si>
  <si>
    <t>TL-185</t>
  </si>
  <si>
    <t>TL-185M</t>
  </si>
  <si>
    <t>TL-186</t>
  </si>
  <si>
    <t>TL-186M</t>
  </si>
  <si>
    <t>TL-187M</t>
  </si>
  <si>
    <t>TL-188</t>
  </si>
  <si>
    <t>TL-189</t>
  </si>
  <si>
    <t>TL-189M</t>
  </si>
  <si>
    <t>TL-190</t>
  </si>
  <si>
    <t>TL-191</t>
  </si>
  <si>
    <t>TL-192</t>
  </si>
  <si>
    <t>TL-193</t>
  </si>
  <si>
    <t>TL-193M</t>
  </si>
  <si>
    <t>TL-195M</t>
  </si>
  <si>
    <t>TL-196</t>
  </si>
  <si>
    <t>TL-196M</t>
  </si>
  <si>
    <t>TL-197M</t>
  </si>
  <si>
    <t>TL-206M</t>
  </si>
  <si>
    <t>TL-207M</t>
  </si>
  <si>
    <t>TL-211</t>
  </si>
  <si>
    <t>TL-212</t>
  </si>
  <si>
    <t>TL-213</t>
  </si>
  <si>
    <t>TL-214</t>
  </si>
  <si>
    <t>TL-215</t>
  </si>
  <si>
    <t>TL-216</t>
  </si>
  <si>
    <t>TM-144</t>
  </si>
  <si>
    <t>TM-145</t>
  </si>
  <si>
    <t>TM-146</t>
  </si>
  <si>
    <t>TM-147</t>
  </si>
  <si>
    <t>TM-148</t>
  </si>
  <si>
    <t>TM-149</t>
  </si>
  <si>
    <t>TM-150</t>
  </si>
  <si>
    <t>TM-151</t>
  </si>
  <si>
    <t>TM-152</t>
  </si>
  <si>
    <t>TM-153</t>
  </si>
  <si>
    <t>TM-154</t>
  </si>
  <si>
    <t>TM-154M</t>
  </si>
  <si>
    <t>TM-155</t>
  </si>
  <si>
    <t>TM-156</t>
  </si>
  <si>
    <t>TM-157</t>
  </si>
  <si>
    <t>TM-158</t>
  </si>
  <si>
    <t>TM-159</t>
  </si>
  <si>
    <t>TM-160</t>
  </si>
  <si>
    <t>TM-160M</t>
  </si>
  <si>
    <t>TM-161</t>
  </si>
  <si>
    <t>TM-161M</t>
  </si>
  <si>
    <t>TM-162M</t>
  </si>
  <si>
    <t>TM-163</t>
  </si>
  <si>
    <t>TM-164</t>
  </si>
  <si>
    <t>TM-164M</t>
  </si>
  <si>
    <t>TM-165</t>
  </si>
  <si>
    <t>TM-166M</t>
  </si>
  <si>
    <t>TM-168</t>
  </si>
  <si>
    <t>TM-174</t>
  </si>
  <si>
    <t>TM-174M</t>
  </si>
  <si>
    <t>TM-176</t>
  </si>
  <si>
    <t>TM-177</t>
  </si>
  <si>
    <t>TM-177M</t>
  </si>
  <si>
    <t>TS-293</t>
  </si>
  <si>
    <t>TS-294</t>
  </si>
  <si>
    <t>U-215</t>
  </si>
  <si>
    <t>U-216</t>
  </si>
  <si>
    <t>U-217</t>
  </si>
  <si>
    <t>U-218</t>
  </si>
  <si>
    <t>U-219</t>
  </si>
  <si>
    <t>U-221</t>
  </si>
  <si>
    <t>U-222</t>
  </si>
  <si>
    <t>U-223</t>
  </si>
  <si>
    <t>U-224</t>
  </si>
  <si>
    <t>U-225</t>
  </si>
  <si>
    <t>U-226</t>
  </si>
  <si>
    <t>U-227</t>
  </si>
  <si>
    <t>U-228</t>
  </si>
  <si>
    <t>U-229</t>
  </si>
  <si>
    <t>U-235M</t>
  </si>
  <si>
    <t>U-242</t>
  </si>
  <si>
    <t>V-43</t>
  </si>
  <si>
    <t>V-44</t>
  </si>
  <si>
    <t>V-45</t>
  </si>
  <si>
    <t>V-46</t>
  </si>
  <si>
    <t>V-50</t>
  </si>
  <si>
    <t>V-52</t>
  </si>
  <si>
    <t>V-53</t>
  </si>
  <si>
    <t>V-54</t>
  </si>
  <si>
    <t>V-55</t>
  </si>
  <si>
    <t>V-56</t>
  </si>
  <si>
    <t>V-57</t>
  </si>
  <si>
    <t>V-58</t>
  </si>
  <si>
    <t>V-59</t>
  </si>
  <si>
    <t>V-60</t>
  </si>
  <si>
    <t>V-60M</t>
  </si>
  <si>
    <t>V-61</t>
  </si>
  <si>
    <t>V-62</t>
  </si>
  <si>
    <t>V-63</t>
  </si>
  <si>
    <t>V-64</t>
  </si>
  <si>
    <t>W-157</t>
  </si>
  <si>
    <t>W-158</t>
  </si>
  <si>
    <t>W-159</t>
  </si>
  <si>
    <t>W-160</t>
  </si>
  <si>
    <t>W-161</t>
  </si>
  <si>
    <t>W-162</t>
  </si>
  <si>
    <t>W-163</t>
  </si>
  <si>
    <t>W-164</t>
  </si>
  <si>
    <t>W-165</t>
  </si>
  <si>
    <t>W-166</t>
  </si>
  <si>
    <t>W-167</t>
  </si>
  <si>
    <t>W-168</t>
  </si>
  <si>
    <t>W-169</t>
  </si>
  <si>
    <t>W-170</t>
  </si>
  <si>
    <t>W-171</t>
  </si>
  <si>
    <t>W-172</t>
  </si>
  <si>
    <t>W-173</t>
  </si>
  <si>
    <t>W-174</t>
  </si>
  <si>
    <t>W-175</t>
  </si>
  <si>
    <t>W-179M</t>
  </si>
  <si>
    <t>W-180</t>
  </si>
  <si>
    <t>W-183M</t>
  </si>
  <si>
    <t>W-185M</t>
  </si>
  <si>
    <t>W-189</t>
  </si>
  <si>
    <t>W-190</t>
  </si>
  <si>
    <t>XE-108</t>
  </si>
  <si>
    <t>XE-109</t>
  </si>
  <si>
    <t>XE-110</t>
  </si>
  <si>
    <t>XE-111</t>
  </si>
  <si>
    <t>XE-112</t>
  </si>
  <si>
    <t>XE-113</t>
  </si>
  <si>
    <t>XE-114</t>
  </si>
  <si>
    <t>XE-115</t>
  </si>
  <si>
    <t>XE-116</t>
  </si>
  <si>
    <t>XE-117</t>
  </si>
  <si>
    <t>XE-118</t>
  </si>
  <si>
    <t>XE-119</t>
  </si>
  <si>
    <t>XE-120</t>
  </si>
  <si>
    <t>XE-121</t>
  </si>
  <si>
    <t>XE-122</t>
  </si>
  <si>
    <t>XE-123</t>
  </si>
  <si>
    <t>XE-125</t>
  </si>
  <si>
    <t>XE-125M</t>
  </si>
  <si>
    <t>XE-127</t>
  </si>
  <si>
    <t>XE-127M</t>
  </si>
  <si>
    <t>XE-129M</t>
  </si>
  <si>
    <t>XE-133</t>
  </si>
  <si>
    <t>XE-133M</t>
  </si>
  <si>
    <t>XE-134M</t>
  </si>
  <si>
    <t>XE-135</t>
  </si>
  <si>
    <t>XE-135M</t>
  </si>
  <si>
    <t>XE-136</t>
  </si>
  <si>
    <t>XE-137</t>
  </si>
  <si>
    <t>XE-138</t>
  </si>
  <si>
    <t>XE-139</t>
  </si>
  <si>
    <t>XE-140</t>
  </si>
  <si>
    <t>XE-141</t>
  </si>
  <si>
    <t>XE-142</t>
  </si>
  <si>
    <t>XE-143</t>
  </si>
  <si>
    <t>XE-144</t>
  </si>
  <si>
    <t>XE-145</t>
  </si>
  <si>
    <t>XE-146</t>
  </si>
  <si>
    <t>XE-147</t>
  </si>
  <si>
    <t>XE-148</t>
  </si>
  <si>
    <t>Y-100</t>
  </si>
  <si>
    <t>Y-101</t>
  </si>
  <si>
    <t>Y-102</t>
  </si>
  <si>
    <t>Y-103</t>
  </si>
  <si>
    <t>Y-104</t>
  </si>
  <si>
    <t>Y-105</t>
  </si>
  <si>
    <t>Y-106</t>
  </si>
  <si>
    <t>Y-107</t>
  </si>
  <si>
    <t>Y-108</t>
  </si>
  <si>
    <t>Y-109</t>
  </si>
  <si>
    <t>Y-76</t>
  </si>
  <si>
    <t>Y-77</t>
  </si>
  <si>
    <t>Y-78</t>
  </si>
  <si>
    <t>Y-79</t>
  </si>
  <si>
    <t>Y-80</t>
  </si>
  <si>
    <t>Y-80M</t>
  </si>
  <si>
    <t>Y-81</t>
  </si>
  <si>
    <t>Y-82</t>
  </si>
  <si>
    <t>Y-83</t>
  </si>
  <si>
    <t>Y-83M</t>
  </si>
  <si>
    <t>Y-84</t>
  </si>
  <si>
    <t>Y-85</t>
  </si>
  <si>
    <t>Y-87M</t>
  </si>
  <si>
    <t>Y-89M</t>
  </si>
  <si>
    <t>Y-93M</t>
  </si>
  <si>
    <t>Y-96</t>
  </si>
  <si>
    <t>Y-97</t>
  </si>
  <si>
    <t>Y-97M</t>
  </si>
  <si>
    <t>Y-98</t>
  </si>
  <si>
    <t>Y-98M</t>
  </si>
  <si>
    <t>Y-99</t>
  </si>
  <si>
    <t>YB-149</t>
  </si>
  <si>
    <t>YB-151M</t>
  </si>
  <si>
    <t>YB-152</t>
  </si>
  <si>
    <t>YB-153</t>
  </si>
  <si>
    <t>YB-154</t>
  </si>
  <si>
    <t>YB-155</t>
  </si>
  <si>
    <t>YB-156</t>
  </si>
  <si>
    <t>YB-157</t>
  </si>
  <si>
    <t>YB-158</t>
  </si>
  <si>
    <t>YB-159</t>
  </si>
  <si>
    <t>YB-160</t>
  </si>
  <si>
    <t>YB-161</t>
  </si>
  <si>
    <t>YB-163</t>
  </si>
  <si>
    <t>YB-164</t>
  </si>
  <si>
    <t>YB-165</t>
  </si>
  <si>
    <t>YB-169M</t>
  </si>
  <si>
    <t>YB-176M</t>
  </si>
  <si>
    <t>YB-177M</t>
  </si>
  <si>
    <t>YB-179</t>
  </si>
  <si>
    <t>YB-180</t>
  </si>
  <si>
    <t>ZN-54</t>
  </si>
  <si>
    <t>ZN-55</t>
  </si>
  <si>
    <t>ZN-56</t>
  </si>
  <si>
    <t>ZN-57</t>
  </si>
  <si>
    <t>ZN-58</t>
  </si>
  <si>
    <t>ZN-60</t>
  </si>
  <si>
    <t>ZN-61</t>
  </si>
  <si>
    <t>ZN-71</t>
  </si>
  <si>
    <t>ZN-73</t>
  </si>
  <si>
    <t>ZN-74</t>
  </si>
  <si>
    <t>ZN-75</t>
  </si>
  <si>
    <t>ZN-76</t>
  </si>
  <si>
    <t>ZN-77</t>
  </si>
  <si>
    <t>ZN-77M</t>
  </si>
  <si>
    <t>ZN-78</t>
  </si>
  <si>
    <t>ZN-79</t>
  </si>
  <si>
    <t>ZN-80</t>
  </si>
  <si>
    <t>ZN-81</t>
  </si>
  <si>
    <t>ZN-82</t>
  </si>
  <si>
    <t>ZN-83</t>
  </si>
  <si>
    <t>ZN-84</t>
  </si>
  <si>
    <t>ZR-100</t>
  </si>
  <si>
    <t>ZR-101</t>
  </si>
  <si>
    <t>ZR-102</t>
  </si>
  <si>
    <t>ZR-103</t>
  </si>
  <si>
    <t>ZR-104</t>
  </si>
  <si>
    <t>ZR-105</t>
  </si>
  <si>
    <t>ZR-106</t>
  </si>
  <si>
    <t>ZR-107</t>
  </si>
  <si>
    <t>ZR-108</t>
  </si>
  <si>
    <t>ZR-109</t>
  </si>
  <si>
    <t>ZR-110</t>
  </si>
  <si>
    <t>ZR-111</t>
  </si>
  <si>
    <t>ZR-112</t>
  </si>
  <si>
    <t>ZR-79</t>
  </si>
  <si>
    <t>ZR-80</t>
  </si>
  <si>
    <t>ZR-81</t>
  </si>
  <si>
    <t>ZR-82</t>
  </si>
  <si>
    <t>ZR-83</t>
  </si>
  <si>
    <t>ZR-84</t>
  </si>
  <si>
    <t>ZR-85</t>
  </si>
  <si>
    <t>ZR-85M</t>
  </si>
  <si>
    <t>ZR-87</t>
  </si>
  <si>
    <t>ZR-87M</t>
  </si>
  <si>
    <t>ZR-89M</t>
  </si>
  <si>
    <t>ZR-90M</t>
  </si>
  <si>
    <t>ZR-96</t>
  </si>
  <si>
    <t>ZR-98</t>
  </si>
  <si>
    <t>ZR-99</t>
  </si>
  <si>
    <t>Lamda per Second</t>
  </si>
  <si>
    <t>Validate Lambda</t>
  </si>
  <si>
    <t>NuDat Lambda</t>
  </si>
  <si>
    <t>1 Sig Fig</t>
  </si>
  <si>
    <t xml:space="preserve">  .Lambda = 4.61730265411607E-12,</t>
  </si>
  <si>
    <t xml:space="preserve">  .BranchingRatio = 0.9997385</t>
  </si>
  <si>
    <t xml:space="preserve">  .Lambda = 5.8572023268347E-14,</t>
  </si>
  <si>
    <t xml:space="preserve">  .Lambda = 4.92477774117267E-18,</t>
  </si>
  <si>
    <t xml:space="preserve">  .Lambda = 3.32788684284084E-07,</t>
  </si>
  <si>
    <t xml:space="preserve">  .Lambda = 8.92866208358948E-14,</t>
  </si>
  <si>
    <t xml:space="preserve">  .Lambda = 2.0993381618639E-06,</t>
  </si>
  <si>
    <t xml:space="preserve">  .Lambda = 3.73020762329106E-03,</t>
  </si>
  <si>
    <t xml:space="preserve">  .Lambda = 4.26919919044066E-04,</t>
  </si>
  <si>
    <t xml:space="preserve">  .Lambda = 5.86121410925034E-04,</t>
  </si>
  <si>
    <t xml:space="preserve">  .Lambda = 4239.95094543642,</t>
  </si>
  <si>
    <t xml:space="preserve">  .BranchingRatio = 0.999868</t>
  </si>
  <si>
    <t xml:space="preserve">  .BranchingRatio = 0.000132</t>
  </si>
  <si>
    <t xml:space="preserve">  .Lambda = 5.79755222075504E-08,</t>
  </si>
  <si>
    <t xml:space="preserve">  .Lambda = 2.8862371981543E-05,</t>
  </si>
  <si>
    <t xml:space="preserve">  .Lambda = 0.541521234812457,</t>
  </si>
  <si>
    <t xml:space="preserve">  .BranchingRatio = 0.9995</t>
  </si>
  <si>
    <t xml:space="preserve">  .BranchingRatio = 0.0005</t>
  </si>
  <si>
    <t xml:space="preserve">  .Lambda = 20.5376942388132,</t>
  </si>
  <si>
    <t xml:space="preserve">  .Lambda = 6.26304782595669E-11,</t>
  </si>
  <si>
    <t xml:space="preserve">  .Lambda = 2.66397922688055E-12,</t>
  </si>
  <si>
    <t xml:space="preserve">  .Lambda = 1.53287101162887E-09,</t>
  </si>
  <si>
    <t xml:space="preserve">  .BranchingRatio = 0.9999753</t>
  </si>
  <si>
    <t xml:space="preserve">  .BranchingRatio = 0.0000247</t>
  </si>
  <si>
    <t xml:space="preserve">  .Lambda = 1.02637891241262E-14,</t>
  </si>
  <si>
    <t xml:space="preserve">  .Lambda = 1.38141564312139E-13,</t>
  </si>
  <si>
    <t xml:space="preserve">  .Lambda = 2.77768052173634E-12,</t>
  </si>
  <si>
    <t xml:space="preserve">  .Lambda = 5.42063298110568E-07,</t>
  </si>
  <si>
    <t xml:space="preserve">  .Lambda = 8.08805001717552E-07,</t>
  </si>
  <si>
    <t xml:space="preserve">  .Lambda = 2.40625973949853E-03,</t>
  </si>
  <si>
    <t xml:space="preserve">  .Lambda = 21.2621834527591,</t>
  </si>
  <si>
    <t xml:space="preserve">  .Lambda = 2.53304383303713E-04,</t>
  </si>
  <si>
    <t xml:space="preserve">  .BranchingRatio = 0.9786</t>
  </si>
  <si>
    <t xml:space="preserve">  .Lambda = 5.34341027258669E-03,</t>
  </si>
  <si>
    <t xml:space="preserve">  .Lambda = 5.95180474463288E-05,</t>
  </si>
  <si>
    <t xml:space="preserve">  .Lambda = 1.18817192121392E-06,</t>
  </si>
  <si>
    <t xml:space="preserve">  .Lambda = 1174.82572976262,</t>
  </si>
  <si>
    <t xml:space="preserve">  .Lambda = 187033.777808944,</t>
  </si>
  <si>
    <t xml:space="preserve">  .Lambda = 1.21270476621191E-09,</t>
  </si>
  <si>
    <t xml:space="preserve">  .Lambda = 3.34712576965501E-12,</t>
  </si>
  <si>
    <t xml:space="preserve">  .Lambda = 9.38654219044022E-16,</t>
  </si>
  <si>
    <t xml:space="preserve">  .Lambda = 1.55776657628582E-18,</t>
  </si>
  <si>
    <t xml:space="preserve">  .Lambda = 2.2092740374071E-06,</t>
  </si>
  <si>
    <t xml:space="preserve">  .Lambda = 4.81352208722184,</t>
  </si>
  <si>
    <t xml:space="preserve">  .Lambda = 1.81163797035071E-05,</t>
  </si>
  <si>
    <t xml:space="preserve">  .Lambda = 1.90788806284494E-04,</t>
  </si>
  <si>
    <t xml:space="preserve">  .Lambda = 2349651.45952524,</t>
  </si>
  <si>
    <t xml:space="preserve">  .Lambda = 3.88578977777747E-05,</t>
  </si>
  <si>
    <t xml:space="preserve">  .Lambda = 2.99040282173317E-12,</t>
  </si>
  <si>
    <t xml:space="preserve">  .Lambda = 3.40544053486561E-06,</t>
  </si>
  <si>
    <t xml:space="preserve">  .Lambda = 9.11390403553117E-13,</t>
  </si>
  <si>
    <t xml:space="preserve">  .Lambda = 6.71697514545264E-13,</t>
  </si>
  <si>
    <t xml:space="preserve">  .Lambda = 1.0088188644221E-09,</t>
  </si>
  <si>
    <t xml:space="preserve">  .Lambda = 4.29159541877242E-07,</t>
  </si>
  <si>
    <t xml:space="preserve">  .Lambda = 7.01565063316462E-07,</t>
  </si>
  <si>
    <t xml:space="preserve">  .Lambda = 3.19437384469305E-04,</t>
  </si>
  <si>
    <t xml:space="preserve">  .Lambda = 5.25350296013298E-04,</t>
  </si>
  <si>
    <t xml:space="preserve">  .Lambda = 18733.7075827012,</t>
  </si>
  <si>
    <t xml:space="preserve">  .Lambda = 7.52724767842019E-10,</t>
  </si>
  <si>
    <t xml:space="preserve">  .BranchingRatio = 0.83</t>
  </si>
  <si>
    <t xml:space="preserve">  .BranchingRatio = 0.17</t>
  </si>
  <si>
    <t xml:space="preserve">  .Lambda = 4.92542780699681E-08,</t>
  </si>
  <si>
    <t xml:space="preserve">  .Lambda = 1.54788645000917E-10,</t>
  </si>
  <si>
    <t xml:space="preserve">  .BranchingRatio = 0.9955</t>
  </si>
  <si>
    <t xml:space="preserve">  .BranchingRatio = 0.0045</t>
  </si>
  <si>
    <t xml:space="preserve">  .Lambda = 3.82152946793522E-06,</t>
  </si>
  <si>
    <t xml:space="preserve">  .Lambda = 1.41706507907291E-13,</t>
  </si>
  <si>
    <t xml:space="preserve">  .BranchingRatio = 0.88</t>
  </si>
  <si>
    <t xml:space="preserve">  .BranchingRatio = 0.12</t>
  </si>
  <si>
    <t xml:space="preserve">  .Lambda = 7.68527247222888E-09,</t>
  </si>
  <si>
    <t xml:space="preserve">  .Lambda = 3.18788225335706E-10,</t>
  </si>
  <si>
    <t xml:space="preserve">  .BranchingRatio = 0.936</t>
  </si>
  <si>
    <t xml:space="preserve">  .BranchingRatio = 0.064</t>
  </si>
  <si>
    <t xml:space="preserve">  .BranchingRatio = 0.0214</t>
  </si>
  <si>
    <t xml:space="preserve">  .Lambda = 4.63190820869467E-09,</t>
  </si>
  <si>
    <t xml:space="preserve">  .Lambda = 2.55668824649402E-09,</t>
  </si>
  <si>
    <t xml:space="preserve">  .Lambda = 1.6249544074595E-09,</t>
  </si>
  <si>
    <t xml:space="preserve">  .Lambda = 3.21118548620323E-24,</t>
  </si>
  <si>
    <t xml:space="preserve">  .Lambda = 2.32182967501376E-10,</t>
  </si>
  <si>
    <t xml:space="preserve">  .Lambda = 8.37240749764817E-09,</t>
  </si>
  <si>
    <t xml:space="preserve">  .Lambda = 2.05275782482525E-19,</t>
  </si>
  <si>
    <t xml:space="preserve">  .Lambda = 3.97188222886621E-09,</t>
  </si>
  <si>
    <t xml:space="preserve">  .BranchingRatio = 0.657</t>
  </si>
  <si>
    <t xml:space="preserve">  .BranchingRatio = 0.343</t>
  </si>
  <si>
    <t xml:space="preserve">  .Lambda = 3.23007481259267E-16,</t>
  </si>
  <si>
    <t xml:space="preserve">  .Lambda = 2.8160516178529E-08,</t>
  </si>
  <si>
    <t xml:space="preserve">  .Lambda = 7.31979495638688E-10,</t>
  </si>
  <si>
    <t xml:space="preserve">  .BranchingRatio = 0.947</t>
  </si>
  <si>
    <t xml:space="preserve">  .Lambda = 4.52717807403888E-03,</t>
  </si>
  <si>
    <t xml:space="preserve">  .Lambda = 1.65146682147595E-14,</t>
  </si>
  <si>
    <t xml:space="preserve">  .Lambda = 1.06334763388992E-08,</t>
  </si>
  <si>
    <t xml:space="preserve">  .Lambda = 9.99730433790223E-07,</t>
  </si>
  <si>
    <t xml:space="preserve">  .Lambda = 6.72411098150734E-07,</t>
  </si>
  <si>
    <t xml:space="preserve">  .Lambda = 1.3642552003497E-15,</t>
  </si>
  <si>
    <t xml:space="preserve">  .Lambda = 6.52238765206212E-07,</t>
  </si>
  <si>
    <t xml:space="preserve">  .Lambda = 6.04840471692797E-04,</t>
  </si>
  <si>
    <t xml:space="preserve">  .BranchingRatio = 0.814</t>
  </si>
  <si>
    <t xml:space="preserve">  .BranchingRatio = 0.186</t>
  </si>
  <si>
    <t xml:space="preserve">  .Lambda = 1.10931862250657E-13,</t>
  </si>
  <si>
    <t xml:space="preserve">  .Lambda = 1.3506408990263E-07,</t>
  </si>
  <si>
    <t xml:space="preserve">  .Lambda = 7.96479266259206E-09,</t>
  </si>
  <si>
    <t xml:space="preserve">  .Lambda = 1.45611691451099E-05,</t>
  </si>
  <si>
    <t xml:space="preserve">  .Lambda = 5.00330494889069E-10,</t>
  </si>
  <si>
    <t xml:space="preserve">  .Lambda = 7.11796242103045E-06,</t>
  </si>
  <si>
    <t xml:space="preserve">  .Lambda = 2.73190407035201E-24,</t>
  </si>
  <si>
    <t xml:space="preserve">  .Lambda = 1.58131812279555E-09,</t>
  </si>
  <si>
    <t xml:space="preserve">  .BranchingRatio = 0.99036</t>
  </si>
  <si>
    <t xml:space="preserve">  .BranchingRatio = 0.0964</t>
  </si>
  <si>
    <t xml:space="preserve">  .Lambda = 3.37915518855848E-15,</t>
  </si>
  <si>
    <t xml:space="preserve">  .Lambda = 2.15775600108564E-08,</t>
  </si>
  <si>
    <t xml:space="preserve">  .Lambda = 1.04097197751802E-13,</t>
  </si>
  <si>
    <t xml:space="preserve">  .Daughter = "TC-99",</t>
  </si>
  <si>
    <t xml:space="preserve">  .Lambda = 3.2051151680268E-05,</t>
  </si>
  <si>
    <t xml:space="preserve">  .BranchingRatio = 0.999963</t>
  </si>
  <si>
    <t xml:space="preserve">  .BranchingRatio = 3.69999999999537E-05</t>
  </si>
  <si>
    <t xml:space="preserve">  .Lambda = 1.3642552003497E-14,</t>
  </si>
  <si>
    <t xml:space="preserve">  .Lambda = 1.36256257603165E-09,</t>
  </si>
  <si>
    <t xml:space="preserve">  .Lambda = 1.07669160419756E-12,</t>
  </si>
  <si>
    <t xml:space="preserve">  .Lambda = 7.59754712059154E-10,</t>
  </si>
  <si>
    <t xml:space="preserve">  .Lambda = 3.00629053319292E-06,</t>
  </si>
  <si>
    <t xml:space="preserve">  .Lambda = 4.29679010874426E-07,</t>
  </si>
  <si>
    <t xml:space="preserve">  .Lambda = 2.04701852056199E-09,</t>
  </si>
  <si>
    <t xml:space="preserve">  .BranchingRatio = 0.788</t>
  </si>
  <si>
    <t xml:space="preserve">  .Daughter = "KR-85M",</t>
  </si>
  <si>
    <t xml:space="preserve">  .BranchingRatio = 0.212</t>
  </si>
  <si>
    <t xml:space="preserve">  .Isotope = "KR-85M",</t>
  </si>
  <si>
    <t xml:space="preserve">  .A1 = 8,</t>
  </si>
  <si>
    <t xml:space="preserve">  .Lambda = 4.29778757787664E-05,</t>
  </si>
  <si>
    <t xml:space="preserve">  .Lambda = 6.71697514545264E-14,</t>
  </si>
  <si>
    <t xml:space="preserve">  .Lambda = 1.5159863904263E-05,</t>
  </si>
  <si>
    <t xml:space="preserve">  .Lambda = 2.17901872278077E-10,</t>
  </si>
  <si>
    <t xml:space="preserve">  .Lambda = 4.16704775671222E-09,</t>
  </si>
  <si>
    <t xml:space="preserve">  .Lambda = 8.4530143970725E-03,</t>
  </si>
  <si>
    <t xml:space="preserve">  .Lambda = 2.71166774390495E-13,</t>
  </si>
  <si>
    <t xml:space="preserve">  .Lambda = 3.80640955826439,</t>
  </si>
  <si>
    <t xml:space="preserve">  .Lambda = 2.95163238117601E-08,</t>
  </si>
  <si>
    <t xml:space="preserve">  .Lambda = 7.96970563339264E-09,</t>
  </si>
  <si>
    <t xml:space="preserve">  .Lambda = 2.57050202244037E-08,</t>
  </si>
  <si>
    <t xml:space="preserve">  .Lambda = 2.89618085371923E-07,</t>
  </si>
  <si>
    <t xml:space="preserve">  .Lambda = 9.18435811337883E-08,</t>
  </si>
  <si>
    <t xml:space="preserve">  .Lambda = 5.62314208455625E-07,</t>
  </si>
  <si>
    <t xml:space="preserve">  .Lambda = 8.44171902287948E-09,</t>
  </si>
  <si>
    <t xml:space="preserve">  .Lambda = 3.86291043363175E-12,</t>
  </si>
  <si>
    <t xml:space="preserve">  .Lambda = 1.78252966017401E-09,</t>
  </si>
  <si>
    <t xml:space="preserve">  .Lambda = 1.73655500498645E-08,</t>
  </si>
  <si>
    <t xml:space="preserve">  .Lambda = 1.05276878718833E-04,</t>
  </si>
  <si>
    <t xml:space="preserve">  .BranchingRatio = 0.053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</si>
</sst>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000000000000000E+00"/>
    <numFmt numFmtId="165" formatCode="0.0000E+00"/>
    <numFmt numFmtId="166" formatCode="0.00000"/>
  </numFmts>
  <fonts count="3">
    <font>
      <sz val="11"/>
      <color theme="1"/>
      <name val="Calibri"/>
      <family val="2"/>
      <scheme val="minor"/>
    </font>
    <font>
      <sz val="10"/>
      <name val="Arial"/>
      <family val="2"/>
    </font>
    <font>
      <sz val="10"/>
      <color rgb="FF000000"/>
      <name val="Arial Unicode MS"/>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2">
    <xf numFmtId="0" fontId="0" fillId="0" borderId="0"/>
    <xf numFmtId="0" fontId="1" fillId="0" borderId="0"/>
  </cellStyleXfs>
  <cellXfs count="9">
    <xf numFmtId="0" fontId="0" fillId="0" borderId="0" xfId="0"/>
    <xf numFmtId="164" fontId="0" fillId="0" borderId="0" xfId="0" applyNumberFormat="1"/>
    <xf numFmtId="165" fontId="0" fillId="0" borderId="0" xfId="0" applyNumberFormat="1"/>
    <xf numFmtId="2" fontId="0" fillId="0" borderId="0" xfId="0" applyNumberFormat="1"/>
    <xf numFmtId="1" fontId="0" fillId="0" borderId="0" xfId="0" applyNumberFormat="1"/>
    <xf numFmtId="0" fontId="0" fillId="2" borderId="0" xfId="0" applyFill="1"/>
    <xf numFmtId="11" fontId="0" fillId="0" borderId="0" xfId="0" applyNumberFormat="1"/>
    <xf numFmtId="0" fontId="2" fillId="0" borderId="0" xfId="0" applyFont="1" applyAlignment="1">
      <alignment vertical="center"/>
    </xf>
    <xf numFmtId="166" fontId="0" fillId="0" borderId="0" xfId="0" applyNumberFormat="1"/>
  </cellXfs>
  <cellStyles count="2">
    <cellStyle name="Normal" xfId="0" builtinId="0"/>
    <cellStyle name="Normal 2" xfId="1" xr:uid="{00000000-0005-0000-0000-000001000000}"/>
  </cellStyles>
  <dxfs count="0"/>
  <tableStyles count="1" defaultTableStyle="TableStyleMedium2" defaultPivotStyle="PivotStyleLight16">
    <tableStyle name="Invisible" pivot="0" table="0" count="0" xr9:uid="{7FBF1029-D5C7-4CA1-8F1E-B7359F8D8F1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Jamie.Prowse/Desktop/WVNS-CAL-391-R1%20-%20Hazard%20and%20Accident%20Evaluation%20Bases%20for%20WVNS-DSA-0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azard Evaluation"/>
      <sheetName val="Accident Analysis"/>
      <sheetName val="Add1 - Array Buffer Distance"/>
      <sheetName val="Add2 - VCC Tornado Impact"/>
      <sheetName val="ARF RF Basis"/>
      <sheetName val="HE General Comments"/>
      <sheetName val="HE MAR Basis"/>
      <sheetName val="HE Mitigated DR Basis"/>
      <sheetName val="Control Type - PE"/>
      <sheetName val="Control Type - PA"/>
      <sheetName val="Control Type - ME"/>
      <sheetName val="Control Type - MA"/>
      <sheetName val="HE Record of Revision"/>
      <sheetName val="Dose Conversion Factors"/>
      <sheetName val="SNF PE-Ci"/>
      <sheetName val="HLW PE-Ci"/>
      <sheetName val="TRU PE-Ci per FGE"/>
      <sheetName val="TRU Waste Statistics"/>
    </sheetNames>
    <sheetDataSet>
      <sheetData sheetId="0">
        <row r="7">
          <cell r="A7" t="str">
            <v>Event ID</v>
          </cell>
          <cell r="B7" t="str">
            <v>Event #</v>
          </cell>
          <cell r="C7" t="str">
            <v>Hazard</v>
          </cell>
          <cell r="D7" t="str">
            <v>Scenario</v>
          </cell>
          <cell r="E7" t="str">
            <v>MAR 
(PE-Ci)</v>
          </cell>
          <cell r="F7" t="str">
            <v>ARFxRF</v>
          </cell>
          <cell r="G7" t="str">
            <v>DR</v>
          </cell>
          <cell r="H7" t="str">
            <v>Rel Ht</v>
          </cell>
          <cell r="I7" t="str">
            <v>Rel Loc</v>
          </cell>
          <cell r="J7" t="str">
            <v>Freq1</v>
          </cell>
          <cell r="K7" t="str">
            <v>On1</v>
          </cell>
          <cell r="L7" t="str">
            <v>Off1</v>
          </cell>
          <cell r="M7" t="str">
            <v>On2</v>
          </cell>
          <cell r="N7" t="str">
            <v>Off2</v>
          </cell>
          <cell r="O7" t="str">
            <v>On3</v>
          </cell>
          <cell r="P7" t="str">
            <v>Off3</v>
          </cell>
          <cell r="Q7" t="str">
            <v>On4</v>
          </cell>
          <cell r="R7" t="str">
            <v>Off4</v>
          </cell>
          <cell r="S7" t="str">
            <v>ARFxRF</v>
          </cell>
          <cell r="T7" t="str">
            <v>DR</v>
          </cell>
          <cell r="U7" t="str">
            <v>Rel Ht</v>
          </cell>
          <cell r="V7" t="str">
            <v>Rel Loc</v>
          </cell>
          <cell r="W7" t="str">
            <v>Freq2</v>
          </cell>
          <cell r="X7" t="str">
            <v>On5</v>
          </cell>
          <cell r="Y7" t="str">
            <v>Off5</v>
          </cell>
          <cell r="Z7" t="str">
            <v>On6</v>
          </cell>
          <cell r="AA7" t="str">
            <v>Off6</v>
          </cell>
          <cell r="AB7" t="str">
            <v>On7</v>
          </cell>
          <cell r="AC7" t="str">
            <v>Off7</v>
          </cell>
          <cell r="AD7" t="str">
            <v>On8</v>
          </cell>
          <cell r="AE7" t="str">
            <v>Off8</v>
          </cell>
          <cell r="AF7" t="str">
            <v>Comment</v>
          </cell>
          <cell r="AG7" t="str">
            <v>PE-SAC</v>
          </cell>
          <cell r="AH7" t="str">
            <v>PE-Other</v>
          </cell>
          <cell r="AI7" t="str">
            <v>PA-SAC</v>
          </cell>
          <cell r="AJ7" t="str">
            <v>PA-Other</v>
          </cell>
          <cell r="AK7" t="str">
            <v>ME-SAC</v>
          </cell>
          <cell r="AL7" t="str">
            <v>ME-Other</v>
          </cell>
          <cell r="AM7" t="str">
            <v>MA-SAC</v>
          </cell>
          <cell r="AN7" t="str">
            <v>MA-Other</v>
          </cell>
        </row>
        <row r="8">
          <cell r="A8" t="str">
            <v>CHM</v>
          </cell>
          <cell r="B8">
            <v>1</v>
          </cell>
          <cell r="C8" t="str">
            <v>Fire or spill of PCBs</v>
          </cell>
          <cell r="D8" t="str">
            <v>Transformer fire or breach.</v>
          </cell>
          <cell r="E8" t="str">
            <v>PCBs in a transformer</v>
          </cell>
          <cell r="F8" t="str">
            <v>NA</v>
          </cell>
          <cell r="G8" t="str">
            <v>NA</v>
          </cell>
          <cell r="H8" t="str">
            <v>Gnd</v>
          </cell>
          <cell r="I8">
            <v>850</v>
          </cell>
          <cell r="J8" t="str">
            <v>A</v>
          </cell>
          <cell r="K8" t="str">
            <v>N</v>
          </cell>
          <cell r="L8" t="str">
            <v>N</v>
          </cell>
          <cell r="M8" t="str">
            <v>N</v>
          </cell>
          <cell r="N8" t="str">
            <v>N</v>
          </cell>
          <cell r="O8" t="str">
            <v>IV</v>
          </cell>
          <cell r="P8" t="str">
            <v>IV</v>
          </cell>
          <cell r="Q8" t="str">
            <v>IV</v>
          </cell>
          <cell r="R8" t="str">
            <v>IV</v>
          </cell>
          <cell r="S8" t="str">
            <v>NA</v>
          </cell>
          <cell r="T8" t="str">
            <v>NA</v>
          </cell>
          <cell r="U8" t="str">
            <v>Gnd</v>
          </cell>
          <cell r="V8">
            <v>850</v>
          </cell>
          <cell r="W8" t="str">
            <v>U</v>
          </cell>
          <cell r="X8" t="str">
            <v>N</v>
          </cell>
          <cell r="Y8" t="str">
            <v>N</v>
          </cell>
          <cell r="Z8" t="str">
            <v>N</v>
          </cell>
          <cell r="AA8" t="str">
            <v>N</v>
          </cell>
          <cell r="AB8" t="str">
            <v>IV</v>
          </cell>
          <cell r="AC8" t="str">
            <v>IV</v>
          </cell>
          <cell r="AD8" t="str">
            <v>IV</v>
          </cell>
          <cell r="AE8" t="str">
            <v>IV</v>
          </cell>
          <cell r="AF8" t="str">
            <v>None.</v>
          </cell>
          <cell r="AG8" t="str">
            <v>•  None</v>
          </cell>
          <cell r="AH8" t="str">
            <v>•  None</v>
          </cell>
          <cell r="AI8" t="str">
            <v>•  None</v>
          </cell>
          <cell r="AJ8" t="str">
            <v>•  Worker Safety Program
•  Quality Assurance Program
•  Fire Protection Program
•  Performance Based Training Program
•  Maintenance Program</v>
          </cell>
          <cell r="AK8" t="str">
            <v>•  None</v>
          </cell>
          <cell r="AL8" t="str">
            <v>•  None</v>
          </cell>
          <cell r="AM8" t="str">
            <v>•  None</v>
          </cell>
          <cell r="AN8" t="str">
            <v>•  Emergency Response Program
•  Fire Protection Program</v>
          </cell>
        </row>
        <row r="9">
          <cell r="A9" t="str">
            <v>CHM</v>
          </cell>
          <cell r="B9">
            <v>2</v>
          </cell>
          <cell r="C9" t="str">
            <v>Fire or spill involving chemicals with an NFPA health hazard rating ≥ 3</v>
          </cell>
          <cell r="D9" t="str">
            <v>Spill or fire involving sulfuric acid, sodium hypochlorite, sodium hydroxide, or hydrogen peroxide</v>
          </cell>
          <cell r="E9" t="str">
            <v>Hundreds of lbs of H2SO4, NaOCl, or NaOH; 330 gal of H2O2</v>
          </cell>
          <cell r="F9" t="str">
            <v>NA</v>
          </cell>
          <cell r="G9" t="str">
            <v>NA</v>
          </cell>
          <cell r="H9" t="str">
            <v>Gnd</v>
          </cell>
          <cell r="I9">
            <v>850</v>
          </cell>
          <cell r="J9" t="str">
            <v>A</v>
          </cell>
          <cell r="K9" t="str">
            <v>N</v>
          </cell>
          <cell r="L9" t="str">
            <v>N</v>
          </cell>
          <cell r="M9" t="str">
            <v>N</v>
          </cell>
          <cell r="N9" t="str">
            <v>N</v>
          </cell>
          <cell r="O9" t="str">
            <v>IV</v>
          </cell>
          <cell r="P9" t="str">
            <v>IV</v>
          </cell>
          <cell r="Q9" t="str">
            <v>IV</v>
          </cell>
          <cell r="R9" t="str">
            <v>IV</v>
          </cell>
          <cell r="S9" t="str">
            <v>NA</v>
          </cell>
          <cell r="T9" t="str">
            <v>NA</v>
          </cell>
          <cell r="U9" t="str">
            <v>Gnd</v>
          </cell>
          <cell r="V9">
            <v>850</v>
          </cell>
          <cell r="W9" t="str">
            <v>U</v>
          </cell>
          <cell r="X9" t="str">
            <v>N</v>
          </cell>
          <cell r="Y9" t="str">
            <v>N</v>
          </cell>
          <cell r="Z9" t="str">
            <v>N</v>
          </cell>
          <cell r="AA9" t="str">
            <v>N</v>
          </cell>
          <cell r="AB9" t="str">
            <v>IV</v>
          </cell>
          <cell r="AC9" t="str">
            <v>IV</v>
          </cell>
          <cell r="AD9" t="str">
            <v>IV</v>
          </cell>
          <cell r="AE9" t="str">
            <v>IV</v>
          </cell>
          <cell r="AF9" t="str">
            <v>None.</v>
          </cell>
          <cell r="AG9" t="str">
            <v>•  None</v>
          </cell>
          <cell r="AH9" t="str">
            <v>•  None</v>
          </cell>
          <cell r="AI9" t="str">
            <v>•  None</v>
          </cell>
          <cell r="AJ9" t="str">
            <v>•  Worker Safety Program
•  Quality Assurance Program
•  Fire Protection Program
•  Performance Based Training Program
•  Maintenance Program</v>
          </cell>
          <cell r="AK9" t="str">
            <v>•  None</v>
          </cell>
          <cell r="AL9" t="str">
            <v>•  None</v>
          </cell>
          <cell r="AM9" t="str">
            <v>•  None</v>
          </cell>
          <cell r="AN9" t="str">
            <v>•  Emergency Response Program
•  Fire Protection Program</v>
          </cell>
        </row>
        <row r="10">
          <cell r="A10" t="str">
            <v>CPCW</v>
          </cell>
          <cell r="B10">
            <v>1</v>
          </cell>
          <cell r="C10" t="str">
            <v>Localized flammable liquid pool fire</v>
          </cell>
          <cell r="D10" t="str">
            <v>Fuel or other flammable fluid pool fire resulting from leaking equipment or vehicle.  An unspecified ignition source ignites the fuel and a fire ensues that is of sufficient duration and intensity to lead to a release of radioactive material from containerized waste.</v>
          </cell>
          <cell r="E10">
            <v>2100</v>
          </cell>
          <cell r="F10" t="str">
            <v>E01</v>
          </cell>
          <cell r="G10">
            <v>1</v>
          </cell>
          <cell r="H10" t="str">
            <v>Gnd</v>
          </cell>
          <cell r="I10">
            <v>850</v>
          </cell>
          <cell r="J10" t="str">
            <v>U</v>
          </cell>
          <cell r="K10" t="str">
            <v>H</v>
          </cell>
          <cell r="L10" t="str">
            <v>H</v>
          </cell>
          <cell r="M10" t="str">
            <v>N</v>
          </cell>
          <cell r="N10" t="str">
            <v>N</v>
          </cell>
          <cell r="O10" t="str">
            <v>I</v>
          </cell>
          <cell r="P10" t="str">
            <v>I</v>
          </cell>
          <cell r="Q10" t="str">
            <v>IV</v>
          </cell>
          <cell r="R10" t="str">
            <v>IV</v>
          </cell>
          <cell r="S10" t="str">
            <v>E01</v>
          </cell>
          <cell r="T10">
            <v>4.7999999999999996E-3</v>
          </cell>
          <cell r="U10" t="str">
            <v>Gnd</v>
          </cell>
          <cell r="V10">
            <v>850</v>
          </cell>
          <cell r="W10" t="str">
            <v>EU</v>
          </cell>
          <cell r="X10" t="str">
            <v>L</v>
          </cell>
          <cell r="Y10" t="str">
            <v>L</v>
          </cell>
          <cell r="Z10" t="str">
            <v>N</v>
          </cell>
          <cell r="AA10" t="str">
            <v>N</v>
          </cell>
          <cell r="AB10" t="str">
            <v>IV</v>
          </cell>
          <cell r="AC10" t="str">
            <v>IV</v>
          </cell>
          <cell r="AD10" t="str">
            <v>IV</v>
          </cell>
          <cell r="AE10" t="str">
            <v>IV</v>
          </cell>
          <cell r="AF10" t="str">
            <v>Waste in CPC-WSA is primarily non-combustible vessels and equipment with internal contamination. Topography and soil conditions in outdoor hardstand areas limit the spatial extent of any fuel spilled in the area.  MAR is entire inventory of radioactive material in WVDP packaged waste (exclusive of HLW) (Ref.WVNS-CAL-397, Table C-1, Lag Storage).  DR reflects TSR to protect arrays of TRU waste containing greater than 10 PE-Ci from spills of flammable/ combustible liquids</v>
          </cell>
          <cell r="AG10" t="str">
            <v>•  None</v>
          </cell>
          <cell r="AH10" t="str">
            <v>•  None</v>
          </cell>
          <cell r="AI10" t="str">
            <v>•  SAC for TRU waste drum fire protection
•  SAC for TRU waste container physical protection</v>
          </cell>
          <cell r="AJ10" t="str">
            <v xml:space="preserve">•  Quality Assurance Program
•  Fire Protection Program
•  Performance Based Training Program
•  Maintenance Program
•  Conduct of Operations
•  Waste Management Program </v>
          </cell>
          <cell r="AK10" t="str">
            <v>•  APPROVED CONTAINERS used for TRU waste storage
•  TSR-compliant packaging for high activity TRU waste</v>
          </cell>
          <cell r="AL10" t="str">
            <v>•  Steel-deck pallets that limit direct flame impingement on TRU containers
•  Banding of drums on pallets</v>
          </cell>
          <cell r="AM10" t="str">
            <v>•  SAC for APPROVED CONTAINER use
•  SAC for facility inventory control</v>
          </cell>
          <cell r="AN10" t="str">
            <v>•  Radiological Protection Program
•  Emergency Response Program
•  Fire Protection Program
•  Performance Based Training Program
•  Conduct of Operations</v>
          </cell>
        </row>
        <row r="11">
          <cell r="A11" t="str">
            <v>CPCW</v>
          </cell>
          <cell r="B11">
            <v>2</v>
          </cell>
          <cell r="C11" t="str">
            <v>Small combustible material fire</v>
          </cell>
          <cell r="D11" t="str">
            <v>Fire occurs in a facility area that impacts TRU waste. Includes accidents initiated due to pyrophoric reactions or reactions involving incompatible wastes.</v>
          </cell>
          <cell r="E11">
            <v>360</v>
          </cell>
          <cell r="F11" t="str">
            <v>E02</v>
          </cell>
          <cell r="G11">
            <v>1</v>
          </cell>
          <cell r="H11" t="str">
            <v>Gnd</v>
          </cell>
          <cell r="I11">
            <v>850</v>
          </cell>
          <cell r="J11" t="str">
            <v>A</v>
          </cell>
          <cell r="K11" t="str">
            <v>H</v>
          </cell>
          <cell r="L11" t="str">
            <v>H</v>
          </cell>
          <cell r="M11" t="str">
            <v>N</v>
          </cell>
          <cell r="N11" t="str">
            <v>N</v>
          </cell>
          <cell r="O11" t="str">
            <v>I</v>
          </cell>
          <cell r="P11" t="str">
            <v>I</v>
          </cell>
          <cell r="Q11" t="str">
            <v>IV</v>
          </cell>
          <cell r="R11" t="str">
            <v>IV</v>
          </cell>
          <cell r="S11" t="str">
            <v>E02</v>
          </cell>
          <cell r="T11">
            <v>2.8E-3</v>
          </cell>
          <cell r="U11" t="str">
            <v>Gnd</v>
          </cell>
          <cell r="V11">
            <v>850</v>
          </cell>
          <cell r="W11" t="str">
            <v>U</v>
          </cell>
          <cell r="X11" t="str">
            <v>L</v>
          </cell>
          <cell r="Y11" t="str">
            <v>L</v>
          </cell>
          <cell r="Z11" t="str">
            <v>N</v>
          </cell>
          <cell r="AA11" t="str">
            <v>N</v>
          </cell>
          <cell r="AB11" t="str">
            <v>III</v>
          </cell>
          <cell r="AC11" t="str">
            <v>III</v>
          </cell>
          <cell r="AD11" t="str">
            <v>IV</v>
          </cell>
          <cell r="AE11" t="str">
            <v>IV</v>
          </cell>
          <cell r="AF11" t="str">
            <v>Contingency evaluation in the event of discovery of non-conforming waste container. Credit taken for storage of waste in APPROVED CONTAINERS in assuming mitigated event progresses as contained waste fire.  MAR is activity in maximally loaded 2-drum Interim Storage Container (Ref. WVNS-CAL-397, Table A-2).  DR reflects TSR that limits the amount of TRU waste that may be outside of an APPROVED CONTAINER to 1.0 PE-Ci.</v>
          </cell>
          <cell r="AG11" t="str">
            <v>•  None</v>
          </cell>
          <cell r="AH11" t="str">
            <v>•  None</v>
          </cell>
          <cell r="AI11" t="str">
            <v>•  None</v>
          </cell>
          <cell r="AJ11" t="str">
            <v xml:space="preserve">•  Quality Assurance Program
•  Fire Protection Program
-   “Hot work” controls
-   Combustible material control program
•  Performance Based Training Program
•  Maintenance Program
•  Conduct of Operations
•  Waste Management Program </v>
          </cell>
          <cell r="AK11" t="str">
            <v>•  APPROVED CONTAINERS used for TRU waste storage
•  TSR-compliant packaging for high activity TRU waste</v>
          </cell>
          <cell r="AL11" t="str">
            <v>•  None</v>
          </cell>
          <cell r="AM11" t="str">
            <v>•  SAC for APPROVED CONTAINER use
•  SAC for facility inventory control</v>
          </cell>
          <cell r="AN11" t="str">
            <v>•  Radiological Protection Program
•  Emergency Response Program
•  Fire Protection Program
•  Performance Based Training Program
•  Conduct of Operations</v>
          </cell>
        </row>
        <row r="12">
          <cell r="A12" t="str">
            <v>CPCW</v>
          </cell>
          <cell r="B12">
            <v>3</v>
          </cell>
          <cell r="C12" t="str">
            <v>Localized explosion external to container</v>
          </cell>
          <cell r="D12" t="str">
            <v xml:space="preserve">This event is assumed to be caused by an explosion involving a forktruck propane cylinder or other cylinder containing flammable gas (e.g. acetylene) that is associated with facility operations. In addition to explosion overpressures, an explosion could produce missiles that could impact MAR. </v>
          </cell>
          <cell r="E12">
            <v>360</v>
          </cell>
          <cell r="F12" t="str">
            <v>E05</v>
          </cell>
          <cell r="G12">
            <v>1</v>
          </cell>
          <cell r="H12" t="str">
            <v>Gnd</v>
          </cell>
          <cell r="I12">
            <v>850</v>
          </cell>
          <cell r="J12" t="str">
            <v>A</v>
          </cell>
          <cell r="K12" t="str">
            <v>H</v>
          </cell>
          <cell r="L12" t="str">
            <v>M</v>
          </cell>
          <cell r="M12" t="str">
            <v>N</v>
          </cell>
          <cell r="N12" t="str">
            <v>N</v>
          </cell>
          <cell r="O12" t="str">
            <v>I</v>
          </cell>
          <cell r="P12" t="str">
            <v>I</v>
          </cell>
          <cell r="Q12" t="str">
            <v>IV</v>
          </cell>
          <cell r="R12" t="str">
            <v>IV</v>
          </cell>
          <cell r="S12" t="str">
            <v>E05</v>
          </cell>
          <cell r="T12">
            <v>2.8000000000000001E-2</v>
          </cell>
          <cell r="U12" t="str">
            <v>Gnd</v>
          </cell>
          <cell r="V12">
            <v>850</v>
          </cell>
          <cell r="W12" t="str">
            <v>U</v>
          </cell>
          <cell r="X12" t="str">
            <v>L</v>
          </cell>
          <cell r="Y12" t="str">
            <v>L</v>
          </cell>
          <cell r="Z12" t="str">
            <v>N</v>
          </cell>
          <cell r="AA12" t="str">
            <v>N</v>
          </cell>
          <cell r="AB12" t="str">
            <v>III</v>
          </cell>
          <cell r="AC12" t="str">
            <v>III</v>
          </cell>
          <cell r="AD12" t="str">
            <v>IV</v>
          </cell>
          <cell r="AE12" t="str">
            <v>IV</v>
          </cell>
          <cell r="AF12" t="str">
            <v>APPROVED CONTAINERS credited with mitigating consequences. MAR is activity in maximally loaded 2-drum Interim Storage Container (Ref. WVNS-CAL-397, Table A-2).  DR credits SAC that requires TRU waste containing &gt;10 PE-Ci be in containers capable of meeting SAC physical protection functional requirements.</v>
          </cell>
          <cell r="AG12" t="str">
            <v>•  None</v>
          </cell>
          <cell r="AH12" t="str">
            <v>•  None</v>
          </cell>
          <cell r="AI12" t="str">
            <v>•  None</v>
          </cell>
          <cell r="AJ12" t="str">
            <v xml:space="preserve">•  Quality Assurance Program
•  Fire Protection Program
•  Performance Based Training Program
•  Maintenance Program
•  Waste Management Program </v>
          </cell>
          <cell r="AK12" t="str">
            <v>•   APPROVED CONTAINERS used for TRU waste storage
•   TSR-compliant packaging for high activity TRU waste</v>
          </cell>
          <cell r="AL12" t="str">
            <v>•  None</v>
          </cell>
          <cell r="AM12" t="str">
            <v>•  SAC for APPROVED CONTAINER use
•  SAC for facility inventory control</v>
          </cell>
          <cell r="AN12" t="str">
            <v>•  Radiological Protection Program
•  Emergency Response Program
•  Fire Protection Program
•  Performance Based Training Program
•  Conduct of Operations</v>
          </cell>
        </row>
        <row r="13">
          <cell r="A13" t="str">
            <v>CPCW</v>
          </cell>
          <cell r="B13">
            <v>4</v>
          </cell>
          <cell r="C13" t="str">
            <v>Waste container deflagration</v>
          </cell>
          <cell r="D13" t="str">
            <v>Hydrogen or other flammable/explosive gases inside a container is ignited.</v>
          </cell>
          <cell r="E13">
            <v>360</v>
          </cell>
          <cell r="F13" t="str">
            <v>E06</v>
          </cell>
          <cell r="G13">
            <v>1</v>
          </cell>
          <cell r="H13" t="str">
            <v>Gnd</v>
          </cell>
          <cell r="I13">
            <v>850</v>
          </cell>
          <cell r="J13" t="str">
            <v>U</v>
          </cell>
          <cell r="K13" t="str">
            <v>H</v>
          </cell>
          <cell r="L13" t="str">
            <v>M</v>
          </cell>
          <cell r="M13" t="str">
            <v>N</v>
          </cell>
          <cell r="N13" t="str">
            <v>N</v>
          </cell>
          <cell r="O13" t="str">
            <v>I</v>
          </cell>
          <cell r="P13" t="str">
            <v>II</v>
          </cell>
          <cell r="Q13" t="str">
            <v>IV</v>
          </cell>
          <cell r="R13" t="str">
            <v>IV</v>
          </cell>
          <cell r="S13" t="str">
            <v>E06</v>
          </cell>
          <cell r="T13">
            <v>0.25</v>
          </cell>
          <cell r="U13" t="str">
            <v>Gnd</v>
          </cell>
          <cell r="V13">
            <v>850</v>
          </cell>
          <cell r="W13" t="str">
            <v>EU</v>
          </cell>
          <cell r="X13" t="str">
            <v>M</v>
          </cell>
          <cell r="Y13" t="str">
            <v>M</v>
          </cell>
          <cell r="Z13" t="str">
            <v>N</v>
          </cell>
          <cell r="AA13" t="str">
            <v>N</v>
          </cell>
          <cell r="AB13" t="str">
            <v>III</v>
          </cell>
          <cell r="AC13" t="str">
            <v>III</v>
          </cell>
          <cell r="AD13" t="str">
            <v>IV</v>
          </cell>
          <cell r="AE13" t="str">
            <v>IV</v>
          </cell>
          <cell r="AF13" t="str">
            <v>Waste form and waste package vent filters contribute to low probability of this event.  MAR is activity in maximally loaded 2-drum Interim Storage Container (Ref. WVNS-CAL-397, Table A-2).  High PE-Ci waste is overpacked. DR reflects credit allowed per Section 4.4.2 of STD-5506. Resultant MAR bounds credible conservative non-overpacked MAR (10 PE-Ci)</v>
          </cell>
          <cell r="AG13" t="str">
            <v>•  None</v>
          </cell>
          <cell r="AH13" t="str">
            <v>•  HEPA filter vents on waste containers</v>
          </cell>
          <cell r="AI13" t="str">
            <v>•  None</v>
          </cell>
          <cell r="AJ13" t="str">
            <v xml:space="preserve">•  Quality Assurance Program
•  Fire Protection Program
•  Performance Based Training Program
•  Maintenance Program
•  Waste Management Program </v>
          </cell>
          <cell r="AK13" t="str">
            <v>•   TSR-compliant packaging for high activity TRU waste</v>
          </cell>
          <cell r="AL13" t="str">
            <v>•  None</v>
          </cell>
          <cell r="AM13" t="str">
            <v>•  SAC for APPROVED CONTAINER use
•  SAC for facility inventory control</v>
          </cell>
          <cell r="AN13" t="str">
            <v>•  Radiological Protection Program
•  Emergency Response Program
•  Fire Protection Program
•  Performance Based Training Program
•  Conduct of Operations</v>
          </cell>
        </row>
        <row r="14">
          <cell r="A14" t="str">
            <v>CPCW</v>
          </cell>
          <cell r="B14">
            <v>5</v>
          </cell>
          <cell r="C14" t="str">
            <v>Vehicle/equipment impacts waste/waste containers</v>
          </cell>
          <cell r="D14" t="str">
            <v>A mishap associated with the operation of vehicles at low speed (&lt;10 mph) or impact with handling equipment. Event assumed to result in loss of airborne contamination confinement due to puncture by forklift tines;  stacked drum array falling; or other similar causes.</v>
          </cell>
          <cell r="E14">
            <v>360</v>
          </cell>
          <cell r="F14" t="str">
            <v>E09</v>
          </cell>
          <cell r="G14">
            <v>0.01</v>
          </cell>
          <cell r="H14" t="str">
            <v>Gnd</v>
          </cell>
          <cell r="I14">
            <v>850</v>
          </cell>
          <cell r="J14" t="str">
            <v>A</v>
          </cell>
          <cell r="K14" t="str">
            <v>N</v>
          </cell>
          <cell r="L14" t="str">
            <v>L</v>
          </cell>
          <cell r="M14" t="str">
            <v>N</v>
          </cell>
          <cell r="N14" t="str">
            <v>N</v>
          </cell>
          <cell r="O14" t="str">
            <v>IV</v>
          </cell>
          <cell r="P14" t="str">
            <v>III</v>
          </cell>
          <cell r="Q14" t="str">
            <v>IV</v>
          </cell>
          <cell r="R14" t="str">
            <v>IV</v>
          </cell>
          <cell r="S14" t="str">
            <v>E09</v>
          </cell>
          <cell r="T14">
            <v>0.01</v>
          </cell>
          <cell r="U14" t="str">
            <v>Gnd</v>
          </cell>
          <cell r="V14">
            <v>850</v>
          </cell>
          <cell r="W14" t="str">
            <v>U</v>
          </cell>
          <cell r="X14" t="str">
            <v>N</v>
          </cell>
          <cell r="Y14" t="str">
            <v>L</v>
          </cell>
          <cell r="Z14" t="str">
            <v>N</v>
          </cell>
          <cell r="AA14" t="str">
            <v>N</v>
          </cell>
          <cell r="AB14" t="str">
            <v>IV</v>
          </cell>
          <cell r="AC14" t="str">
            <v>III</v>
          </cell>
          <cell r="AD14" t="str">
            <v>IV</v>
          </cell>
          <cell r="AE14" t="str">
            <v>IV</v>
          </cell>
          <cell r="AF14" t="str">
            <v xml:space="preserve">Shielding and nature of waste associated with many of the containers in the facility expected to mitigate the consequences of this event. MAR is activity in maximally loaded 2-drum Interim Storage Container (Ref. WVNS-CAL-397, Table A-2).  </v>
          </cell>
          <cell r="AG14" t="str">
            <v>•  None</v>
          </cell>
          <cell r="AH14" t="str">
            <v>•  Physical barriers such as Jersey barriers or facility structure that protects waste containers from vehicle impacts</v>
          </cell>
          <cell r="AI14" t="str">
            <v>• SAC for TRU waste container physical protection
• SAC for TRU waste transportation</v>
          </cell>
          <cell r="AJ14" t="str">
            <v xml:space="preserve">•  Quality Assurance Program
•  Performance Based Training Program
•  Maintenance Program
•  Conduct of Operations
•  Waste Management Program </v>
          </cell>
          <cell r="AK14" t="str">
            <v>•   TSR-compliant packaging for high activity TRU waste</v>
          </cell>
          <cell r="AL14" t="str">
            <v>•  None</v>
          </cell>
          <cell r="AM14" t="str">
            <v>•  None</v>
          </cell>
          <cell r="AN14" t="str">
            <v>•  Radiological Protection Program
•  Emergency Response Program
•  Performance Based Training Program
•  Conduct of Operations</v>
          </cell>
        </row>
        <row r="15">
          <cell r="A15" t="str">
            <v>CPCW</v>
          </cell>
          <cell r="B15">
            <v>6</v>
          </cell>
          <cell r="C15" t="str">
            <v>Drop/impact/spill</v>
          </cell>
          <cell r="D15" t="str">
            <v>This event is due to mishandling of containers or to drops/impacts caused by equipment failure or may be due to leaks caused by corrosion, construction defect, or improper closure.</v>
          </cell>
          <cell r="E15">
            <v>360</v>
          </cell>
          <cell r="F15" t="str">
            <v>E10</v>
          </cell>
          <cell r="G15">
            <v>0.1</v>
          </cell>
          <cell r="H15" t="str">
            <v>Gnd</v>
          </cell>
          <cell r="I15">
            <v>850</v>
          </cell>
          <cell r="J15" t="str">
            <v>A</v>
          </cell>
          <cell r="K15" t="str">
            <v>L</v>
          </cell>
          <cell r="L15" t="str">
            <v>L</v>
          </cell>
          <cell r="M15" t="str">
            <v>N</v>
          </cell>
          <cell r="N15" t="str">
            <v>N</v>
          </cell>
          <cell r="O15" t="str">
            <v>III</v>
          </cell>
          <cell r="P15" t="str">
            <v>III</v>
          </cell>
          <cell r="Q15" t="str">
            <v>IV</v>
          </cell>
          <cell r="R15" t="str">
            <v>IV</v>
          </cell>
          <cell r="S15" t="str">
            <v>E10</v>
          </cell>
          <cell r="T15">
            <v>0.1</v>
          </cell>
          <cell r="U15" t="str">
            <v>Gnd</v>
          </cell>
          <cell r="V15">
            <v>850</v>
          </cell>
          <cell r="W15" t="str">
            <v>U</v>
          </cell>
          <cell r="X15" t="str">
            <v>L</v>
          </cell>
          <cell r="Y15" t="str">
            <v>L</v>
          </cell>
          <cell r="Z15" t="str">
            <v>N</v>
          </cell>
          <cell r="AA15" t="str">
            <v>N</v>
          </cell>
          <cell r="AB15" t="str">
            <v>III</v>
          </cell>
          <cell r="AC15" t="str">
            <v>III</v>
          </cell>
          <cell r="AD15" t="str">
            <v>IV</v>
          </cell>
          <cell r="AE15" t="str">
            <v>IV</v>
          </cell>
          <cell r="AF15" t="str">
            <v xml:space="preserve">Shielding and nature of waste associated with many of the containers in the facility expected to mitigate the consequences of this event. MAR is activity in maximally loaded 2-drum Interim Storage Container (Ref. WVNS-CAL-397, Table A-2).  </v>
          </cell>
          <cell r="AG15" t="str">
            <v>•  None</v>
          </cell>
          <cell r="AH15" t="str">
            <v>•  None</v>
          </cell>
          <cell r="AI15" t="str">
            <v>•  None</v>
          </cell>
          <cell r="AJ15" t="str">
            <v xml:space="preserve">•  Quality Assurance Program
•  Performance Based Training Program
•  Maintenance Program
•  Conduct of Operations
•  Waste Management Program </v>
          </cell>
          <cell r="AK15" t="str">
            <v>•   TSR-compliant packaging for high activity TRU waste</v>
          </cell>
          <cell r="AL15" t="str">
            <v>•  None</v>
          </cell>
          <cell r="AM15" t="str">
            <v>•  None</v>
          </cell>
          <cell r="AN15" t="str">
            <v>•  Radiological Protection Program
•  Emergency Response Program
•  Performance Based Training Program
•  Conduct of Operations</v>
          </cell>
        </row>
        <row r="16">
          <cell r="A16" t="str">
            <v>CPCW</v>
          </cell>
          <cell r="B16">
            <v>7</v>
          </cell>
          <cell r="C16" t="str">
            <v>Collapse of stacked containers</v>
          </cell>
          <cell r="D16" t="str">
            <v>Collapse of a stacked array of containers due to corrosion, defective construction, or damage of containers, or due to improper stacking (e.g., exceeding limits, unstable array).</v>
          </cell>
          <cell r="E16">
            <v>1050</v>
          </cell>
          <cell r="F16" t="str">
            <v>E11</v>
          </cell>
          <cell r="G16">
            <v>0.1</v>
          </cell>
          <cell r="H16" t="str">
            <v>Gnd</v>
          </cell>
          <cell r="I16">
            <v>850</v>
          </cell>
          <cell r="J16" t="str">
            <v>A</v>
          </cell>
          <cell r="K16" t="str">
            <v>L</v>
          </cell>
          <cell r="L16" t="str">
            <v>L</v>
          </cell>
          <cell r="M16" t="str">
            <v>N</v>
          </cell>
          <cell r="N16" t="str">
            <v>N</v>
          </cell>
          <cell r="O16" t="str">
            <v>III</v>
          </cell>
          <cell r="P16" t="str">
            <v>III</v>
          </cell>
          <cell r="Q16" t="str">
            <v>IV</v>
          </cell>
          <cell r="R16" t="str">
            <v>IV</v>
          </cell>
          <cell r="S16" t="str">
            <v>E11</v>
          </cell>
          <cell r="T16">
            <v>0.1</v>
          </cell>
          <cell r="U16" t="str">
            <v>Gnd</v>
          </cell>
          <cell r="V16">
            <v>850</v>
          </cell>
          <cell r="W16" t="str">
            <v>U</v>
          </cell>
          <cell r="X16" t="str">
            <v>L</v>
          </cell>
          <cell r="Y16" t="str">
            <v>L</v>
          </cell>
          <cell r="Z16" t="str">
            <v>N</v>
          </cell>
          <cell r="AA16" t="str">
            <v>N</v>
          </cell>
          <cell r="AB16" t="str">
            <v>III</v>
          </cell>
          <cell r="AC16" t="str">
            <v>III</v>
          </cell>
          <cell r="AD16" t="str">
            <v>IV</v>
          </cell>
          <cell r="AE16" t="str">
            <v>IV</v>
          </cell>
          <cell r="AF16" t="str">
            <v xml:space="preserve">Event applies only to containers above 2nd tier of a storage array since Type 17C containers designed to withstand 4' drop.  MAR assumed to be half of activity in storage (i.e., activity in containers on 3rd and 4th tier of storage array (Ref. WVNS-CAL-397, Appendix A) </v>
          </cell>
          <cell r="AG16" t="str">
            <v>•  None</v>
          </cell>
          <cell r="AH16" t="str">
            <v>•  None</v>
          </cell>
          <cell r="AI16" t="str">
            <v>•  None</v>
          </cell>
          <cell r="AJ16" t="str">
            <v xml:space="preserve">•  Quality Assurance Program
•  Performance Based Training Program
•  Maintenance Program
•  Waste Management Program </v>
          </cell>
          <cell r="AK16" t="str">
            <v>•   APPROVED CONTAINERS used for TRU waste storage
•   TSR-compliant packaging for high activity TRU waste</v>
          </cell>
          <cell r="AL16" t="str">
            <v>•  Steel pallets used for TRU waste storage arrays
•  Banding of drums on pallets</v>
          </cell>
          <cell r="AM16" t="str">
            <v>•  None</v>
          </cell>
          <cell r="AN16" t="str">
            <v>•  Radiological Protection Program
•  Emergency Response Program
•  Performance Based Training Program
•  Conduct of Operations</v>
          </cell>
        </row>
        <row r="17">
          <cell r="A17" t="str">
            <v>CPCW</v>
          </cell>
          <cell r="B17">
            <v>8</v>
          </cell>
          <cell r="C17" t="str">
            <v>Waste container over-pressurization</v>
          </cell>
          <cell r="D17" t="str">
            <v>Container failure occurs due to pressure buildup, possibly due to radiolysis of water or other hydrogenous material, thermal expansion of material/gases inside the container, or chemical reactions inside the container.</v>
          </cell>
          <cell r="E17">
            <v>360</v>
          </cell>
          <cell r="F17" t="str">
            <v>E12</v>
          </cell>
          <cell r="G17">
            <v>1</v>
          </cell>
          <cell r="H17" t="str">
            <v>Gnd</v>
          </cell>
          <cell r="I17">
            <v>850</v>
          </cell>
          <cell r="J17" t="str">
            <v>A</v>
          </cell>
          <cell r="K17" t="str">
            <v>M</v>
          </cell>
          <cell r="L17" t="str">
            <v>M</v>
          </cell>
          <cell r="M17" t="str">
            <v>N</v>
          </cell>
          <cell r="N17" t="str">
            <v>N</v>
          </cell>
          <cell r="O17" t="str">
            <v>I</v>
          </cell>
          <cell r="P17" t="str">
            <v>I</v>
          </cell>
          <cell r="Q17" t="str">
            <v>IV</v>
          </cell>
          <cell r="R17" t="str">
            <v>IV</v>
          </cell>
          <cell r="S17" t="str">
            <v>E12</v>
          </cell>
          <cell r="T17">
            <v>0.1</v>
          </cell>
          <cell r="U17" t="str">
            <v>Gnd</v>
          </cell>
          <cell r="V17">
            <v>850</v>
          </cell>
          <cell r="W17" t="str">
            <v>U</v>
          </cell>
          <cell r="X17" t="str">
            <v>L</v>
          </cell>
          <cell r="Y17" t="str">
            <v>L</v>
          </cell>
          <cell r="Z17" t="str">
            <v>N</v>
          </cell>
          <cell r="AA17" t="str">
            <v>N</v>
          </cell>
          <cell r="AB17" t="str">
            <v>III</v>
          </cell>
          <cell r="AC17" t="str">
            <v>III</v>
          </cell>
          <cell r="AD17" t="str">
            <v>IV</v>
          </cell>
          <cell r="AE17" t="str">
            <v>IV</v>
          </cell>
          <cell r="AF17" t="str">
            <v>Waste form and waste package vent filters contribute to reducing the probability of this event.  MAR is activity in maximally loaded 2-drum Interim Storage Container (Ref. WVNS-CAL-397, Table A-2).  High PE-Ci waste is overpacked. DR reflects credit allowed per Section 4.4.2 of STD-5506. Resultant MAR bounds credible conservative non-overpacked MAR (10 PE-Ci)</v>
          </cell>
          <cell r="AG17" t="str">
            <v>•  None</v>
          </cell>
          <cell r="AH17" t="str">
            <v>•  HEPA filter vents on waste containers</v>
          </cell>
          <cell r="AI17" t="str">
            <v>•  None</v>
          </cell>
          <cell r="AJ17" t="str">
            <v xml:space="preserve">•  Quality Assurance Program
•  Performance Based Training Program
•  Waste Management Program </v>
          </cell>
          <cell r="AK17" t="str">
            <v>•  None</v>
          </cell>
          <cell r="AL17" t="str">
            <v>•  Lid restraining devices for bulging drums</v>
          </cell>
          <cell r="AM17" t="str">
            <v>•  None</v>
          </cell>
          <cell r="AN17" t="str">
            <v>•  Radiological Protection Program
•  Emergency Response Program
•  Performance Based Training Program
•  Conduct of Operations</v>
          </cell>
        </row>
        <row r="18">
          <cell r="A18" t="str">
            <v>CPCW</v>
          </cell>
          <cell r="B18">
            <v>9</v>
          </cell>
          <cell r="C18" t="str">
            <v>Direct exposure to radiation</v>
          </cell>
          <cell r="D18" t="str">
            <v>Exposure to ionizing radiation from the waste, possibly due to loss of proper shielding within a container or instrument miscalibration</v>
          </cell>
          <cell r="E18" t="str">
            <v>Not applicable.</v>
          </cell>
          <cell r="F18" t="str">
            <v>NA</v>
          </cell>
          <cell r="G18" t="str">
            <v>NA</v>
          </cell>
          <cell r="H18" t="str">
            <v>Gnd</v>
          </cell>
          <cell r="I18">
            <v>850</v>
          </cell>
          <cell r="J18" t="str">
            <v>A</v>
          </cell>
          <cell r="K18" t="str">
            <v>L</v>
          </cell>
          <cell r="L18" t="str">
            <v>N</v>
          </cell>
          <cell r="M18" t="str">
            <v>N</v>
          </cell>
          <cell r="N18" t="str">
            <v>N</v>
          </cell>
          <cell r="O18" t="str">
            <v>III</v>
          </cell>
          <cell r="P18" t="str">
            <v>IV</v>
          </cell>
          <cell r="Q18" t="str">
            <v>IV</v>
          </cell>
          <cell r="R18" t="str">
            <v>IV</v>
          </cell>
          <cell r="S18" t="str">
            <v>NA</v>
          </cell>
          <cell r="T18" t="str">
            <v>NA</v>
          </cell>
          <cell r="U18" t="str">
            <v>Gnd</v>
          </cell>
          <cell r="V18">
            <v>850</v>
          </cell>
          <cell r="W18" t="str">
            <v>U</v>
          </cell>
          <cell r="X18" t="str">
            <v>L</v>
          </cell>
          <cell r="Y18" t="str">
            <v>N</v>
          </cell>
          <cell r="Z18" t="str">
            <v>N</v>
          </cell>
          <cell r="AA18" t="str">
            <v>N</v>
          </cell>
          <cell r="AB18" t="str">
            <v>III</v>
          </cell>
          <cell r="AC18" t="str">
            <v>IV</v>
          </cell>
          <cell r="AD18" t="str">
            <v>IV</v>
          </cell>
          <cell r="AE18" t="str">
            <v>IV</v>
          </cell>
          <cell r="AF18" t="str">
            <v xml:space="preserve">None.  </v>
          </cell>
          <cell r="AG18" t="str">
            <v>•  None</v>
          </cell>
          <cell r="AH18" t="str">
            <v>•  Engineered radiation shielding on high dose rate waste containers</v>
          </cell>
          <cell r="AI18" t="str">
            <v>•  None</v>
          </cell>
          <cell r="AJ18" t="str">
            <v xml:space="preserve">•  Radiological Protection Program
•  Quality Assurance Program
•  Performance Based Training Program
•  Conduct of Operations
•  Waste Management Program </v>
          </cell>
          <cell r="AK18" t="str">
            <v>•  None</v>
          </cell>
          <cell r="AL18" t="str">
            <v>•  None</v>
          </cell>
          <cell r="AM18" t="str">
            <v>•  None</v>
          </cell>
          <cell r="AN18" t="str">
            <v>•  Radiological Protection Program
•  Performance Based Training Program
•  Conduct of Operations</v>
          </cell>
        </row>
        <row r="19">
          <cell r="A19" t="str">
            <v>CPCW</v>
          </cell>
          <cell r="B19">
            <v>10</v>
          </cell>
          <cell r="C19" t="str">
            <v>Criticality</v>
          </cell>
          <cell r="D19" t="str">
            <v>Inadvertent criticality occurs due to multiple independent failures and/or highly improbable circumstances</v>
          </cell>
          <cell r="E19" t="str">
            <v>&gt;450 FGE
Pu-239</v>
          </cell>
          <cell r="F19" t="str">
            <v>NA</v>
          </cell>
          <cell r="G19" t="str">
            <v>NA</v>
          </cell>
          <cell r="H19" t="str">
            <v>Gnd</v>
          </cell>
          <cell r="I19">
            <v>850</v>
          </cell>
          <cell r="J19" t="str">
            <v>BEU</v>
          </cell>
          <cell r="K19" t="str">
            <v>H</v>
          </cell>
          <cell r="L19" t="str">
            <v>N</v>
          </cell>
          <cell r="M19" t="str">
            <v>N</v>
          </cell>
          <cell r="N19" t="str">
            <v>N</v>
          </cell>
          <cell r="O19" t="str">
            <v>III</v>
          </cell>
          <cell r="P19" t="str">
            <v>IV</v>
          </cell>
          <cell r="Q19" t="str">
            <v>IV</v>
          </cell>
          <cell r="R19" t="str">
            <v>IV</v>
          </cell>
          <cell r="S19" t="str">
            <v>NA</v>
          </cell>
          <cell r="T19" t="str">
            <v>NA</v>
          </cell>
          <cell r="U19" t="str">
            <v>Gnd</v>
          </cell>
          <cell r="V19">
            <v>850</v>
          </cell>
          <cell r="W19" t="str">
            <v>BEU</v>
          </cell>
          <cell r="X19" t="str">
            <v>H</v>
          </cell>
          <cell r="Y19" t="str">
            <v>N</v>
          </cell>
          <cell r="Z19" t="str">
            <v>N</v>
          </cell>
          <cell r="AA19" t="str">
            <v>N</v>
          </cell>
          <cell r="AB19" t="str">
            <v>III</v>
          </cell>
          <cell r="AC19" t="str">
            <v>IV</v>
          </cell>
          <cell r="AD19" t="str">
            <v>IV</v>
          </cell>
          <cell r="AE19" t="str">
            <v>IV</v>
          </cell>
          <cell r="AF19" t="str">
            <v xml:space="preserve">Nuclear criticality safety administrative controls ensure that only safe quantities of fissile material are placed in waste packages.   </v>
          </cell>
          <cell r="AG19" t="str">
            <v>• PSRs for fissile material storage container specifications</v>
          </cell>
          <cell r="AH19" t="str">
            <v>•  None</v>
          </cell>
          <cell r="AI19" t="str">
            <v>• PSR limits on container fissile mass
• PSR for fissile material storage containers</v>
          </cell>
          <cell r="AJ19" t="str">
            <v xml:space="preserve">•  Radiological Protection Program
•  Nuclear Criticality Safety Program
•  Quality Assurance Program
•  Performance Based Training Program
•  Conduct of Operations
•  Waste Management Program </v>
          </cell>
          <cell r="AK19" t="str">
            <v>•  None</v>
          </cell>
          <cell r="AL19" t="str">
            <v>•  None</v>
          </cell>
          <cell r="AM19" t="str">
            <v>•  None</v>
          </cell>
          <cell r="AN19" t="str">
            <v>•  Radiological Protection Program
•  Nuclear Criticality Safety Program
•  Emergency Response Program
•  Performance Based Training Program
•  Conduct of Operations</v>
          </cell>
        </row>
        <row r="20">
          <cell r="A20" t="str">
            <v>CPCW</v>
          </cell>
          <cell r="B20">
            <v>11</v>
          </cell>
          <cell r="C20" t="str">
            <v>Aircraft impact with fire</v>
          </cell>
          <cell r="D20" t="str">
            <v>Small general aviation aircraft or helicopter crashes and a fire ensues</v>
          </cell>
          <cell r="E20">
            <v>2100</v>
          </cell>
          <cell r="F20" t="str">
            <v>E15</v>
          </cell>
          <cell r="G20">
            <v>1</v>
          </cell>
          <cell r="H20" t="str">
            <v>Gnd</v>
          </cell>
          <cell r="I20">
            <v>850</v>
          </cell>
          <cell r="J20" t="str">
            <v>BEU</v>
          </cell>
          <cell r="K20" t="str">
            <v>H</v>
          </cell>
          <cell r="L20" t="str">
            <v>H</v>
          </cell>
          <cell r="M20" t="str">
            <v>N</v>
          </cell>
          <cell r="N20" t="str">
            <v>N</v>
          </cell>
          <cell r="O20" t="str">
            <v>III</v>
          </cell>
          <cell r="P20" t="str">
            <v>III</v>
          </cell>
          <cell r="Q20" t="str">
            <v>IV</v>
          </cell>
          <cell r="R20" t="str">
            <v>IV</v>
          </cell>
          <cell r="S20" t="str">
            <v>E15</v>
          </cell>
          <cell r="T20">
            <v>1</v>
          </cell>
          <cell r="U20" t="str">
            <v>Gnd</v>
          </cell>
          <cell r="V20">
            <v>850</v>
          </cell>
          <cell r="W20" t="str">
            <v>BEU</v>
          </cell>
          <cell r="X20" t="str">
            <v>H</v>
          </cell>
          <cell r="Y20" t="str">
            <v>H</v>
          </cell>
          <cell r="Z20" t="str">
            <v>N</v>
          </cell>
          <cell r="AA20" t="str">
            <v>N</v>
          </cell>
          <cell r="AB20" t="str">
            <v>III</v>
          </cell>
          <cell r="AC20" t="str">
            <v>III</v>
          </cell>
          <cell r="AD20" t="str">
            <v>IV</v>
          </cell>
          <cell r="AE20" t="str">
            <v>IV</v>
          </cell>
          <cell r="AF20" t="str">
            <v xml:space="preserve">Shielding and nature of waste associated with many of the containers in the facility expected to mitigate the consequences of this event. Event assumes waste containers breach in a manner similar to external vehicle accident event. Event BEU per WVNS-CAL-388 MAR is entire inventory of radioactive material in WVDP packaged waste (exclusive of HLW) (Ref.WVNS-CAL-397, Table C-1, Lag Storage).  </v>
          </cell>
          <cell r="AG20" t="str">
            <v>•  None</v>
          </cell>
          <cell r="AH20" t="str">
            <v>•  None</v>
          </cell>
          <cell r="AI20" t="str">
            <v>•  None</v>
          </cell>
          <cell r="AJ20" t="str">
            <v>•  None</v>
          </cell>
          <cell r="AK20" t="str">
            <v>•   APPROVED CONTAINERS used for TRU waste storage
•   TSR-compliant packaging for high activity TRU waste</v>
          </cell>
          <cell r="AL20" t="str">
            <v>•  None</v>
          </cell>
          <cell r="AM20" t="str">
            <v>• SAC for APPROVED CONTAINER use</v>
          </cell>
          <cell r="AN20" t="str">
            <v>•  Radiological Protection Program
•  Emergency Response Program
•  Fire Protection Program
•  Performance Based Training Program
•  Conduct of Operations</v>
          </cell>
        </row>
        <row r="21">
          <cell r="A21" t="str">
            <v>CPCW</v>
          </cell>
          <cell r="B21">
            <v>12</v>
          </cell>
          <cell r="C21" t="str">
            <v>External fire</v>
          </cell>
          <cell r="D21" t="str">
            <v>A fire begins outside of the CPC-WSA and propagates to an area where waste is present. The external fire could be from a wildland fire, other facility, or another fire source.</v>
          </cell>
          <cell r="E21">
            <v>2100</v>
          </cell>
          <cell r="F21" t="str">
            <v>E19</v>
          </cell>
          <cell r="G21">
            <v>0.5</v>
          </cell>
          <cell r="H21" t="str">
            <v>Gnd</v>
          </cell>
          <cell r="I21">
            <v>850</v>
          </cell>
          <cell r="J21" t="str">
            <v>U</v>
          </cell>
          <cell r="K21" t="str">
            <v>H</v>
          </cell>
          <cell r="L21" t="str">
            <v>H</v>
          </cell>
          <cell r="M21" t="str">
            <v>N</v>
          </cell>
          <cell r="N21" t="str">
            <v>N</v>
          </cell>
          <cell r="O21" t="str">
            <v>I</v>
          </cell>
          <cell r="P21" t="str">
            <v>I</v>
          </cell>
          <cell r="Q21" t="str">
            <v>IV</v>
          </cell>
          <cell r="R21" t="str">
            <v>IV</v>
          </cell>
          <cell r="S21" t="str">
            <v>E19</v>
          </cell>
          <cell r="T21">
            <v>0.05</v>
          </cell>
          <cell r="U21" t="str">
            <v>Gnd</v>
          </cell>
          <cell r="V21">
            <v>850</v>
          </cell>
          <cell r="W21" t="str">
            <v>EU</v>
          </cell>
          <cell r="X21" t="str">
            <v>M</v>
          </cell>
          <cell r="Y21" t="str">
            <v>M</v>
          </cell>
          <cell r="Z21" t="str">
            <v>N</v>
          </cell>
          <cell r="AA21" t="str">
            <v>N</v>
          </cell>
          <cell r="AB21" t="str">
            <v>III</v>
          </cell>
          <cell r="AC21" t="str">
            <v>III</v>
          </cell>
          <cell r="AD21" t="str">
            <v>IV</v>
          </cell>
          <cell r="AE21" t="str">
            <v>IV</v>
          </cell>
          <cell r="AF21" t="str">
            <v>Unmitigated frequency very conservative since no exposure fire risks identified in WVNS-FHA-010, Rev. 2. Even under EU wildland fire conditions virtually no waste would be exposed to critical heat flux due to facility construction.  MAR is entire inventory of radioactive material in WVDP packaged waste (exclusive of HLW). 
(Ref.WVNS-CAL-397, Table C-1, Lag Storage).  DR assumes that 10% of array is exposed to critical heat flux.</v>
          </cell>
          <cell r="AG21" t="str">
            <v>•  None</v>
          </cell>
          <cell r="AH21" t="str">
            <v>•  None</v>
          </cell>
          <cell r="AI21" t="str">
            <v>• SAC for TRU waste container physical protection</v>
          </cell>
          <cell r="AJ21" t="str">
            <v>•  Fire Protection Program
•  Maintenance Program</v>
          </cell>
          <cell r="AK21" t="str">
            <v>•   APPROVED CONTAINERS used for TRU waste storage
•   TSR-compliant packaging for high activity TRU waste</v>
          </cell>
          <cell r="AL21" t="str">
            <v>•  Non-combustible facility sheathing/ exterior</v>
          </cell>
          <cell r="AM21" t="str">
            <v>• SAC for APPROVED CONTAINER use</v>
          </cell>
          <cell r="AN21" t="str">
            <v>•  Emergency Response Program
•  Fire Protection Program
•  Radiological Protection Program</v>
          </cell>
        </row>
        <row r="22">
          <cell r="A22" t="str">
            <v>CPCW</v>
          </cell>
          <cell r="B22">
            <v>13</v>
          </cell>
          <cell r="C22" t="str">
            <v>Tornado</v>
          </cell>
          <cell r="D22" t="str">
            <v>Direct effects of tornado winds, falling objects, or tornado-produced missiles causing impacts to the facility.</v>
          </cell>
          <cell r="E22">
            <v>2100</v>
          </cell>
          <cell r="F22" t="str">
            <v>E22</v>
          </cell>
          <cell r="G22">
            <v>1</v>
          </cell>
          <cell r="H22" t="str">
            <v>Gnd</v>
          </cell>
          <cell r="I22">
            <v>850</v>
          </cell>
          <cell r="J22" t="str">
            <v>U</v>
          </cell>
          <cell r="K22" t="str">
            <v>H</v>
          </cell>
          <cell r="L22" t="str">
            <v>M</v>
          </cell>
          <cell r="M22" t="str">
            <v>N</v>
          </cell>
          <cell r="N22" t="str">
            <v>N</v>
          </cell>
          <cell r="O22" t="str">
            <v>I</v>
          </cell>
          <cell r="P22" t="str">
            <v>II</v>
          </cell>
          <cell r="Q22" t="str">
            <v>IV</v>
          </cell>
          <cell r="R22" t="str">
            <v>IV</v>
          </cell>
          <cell r="S22" t="str">
            <v>E22</v>
          </cell>
          <cell r="T22">
            <v>0.18</v>
          </cell>
          <cell r="U22" t="str">
            <v>Gnd</v>
          </cell>
          <cell r="V22">
            <v>850</v>
          </cell>
          <cell r="W22" t="str">
            <v>EU</v>
          </cell>
          <cell r="X22" t="str">
            <v>M</v>
          </cell>
          <cell r="Y22" t="str">
            <v>M</v>
          </cell>
          <cell r="Z22" t="str">
            <v>N</v>
          </cell>
          <cell r="AA22" t="str">
            <v>N</v>
          </cell>
          <cell r="AB22" t="str">
            <v>III</v>
          </cell>
          <cell r="AC22" t="str">
            <v>III</v>
          </cell>
          <cell r="AD22" t="str">
            <v>IV</v>
          </cell>
          <cell r="AE22" t="str">
            <v>IV</v>
          </cell>
          <cell r="AF22" t="str">
            <v>Shielding and nature of waste associated with many of the containers in the facility expected to mitigate the consequences of this event. High wind conditions would disperse any released material in a manner significantly greater than 95% meteorological condition assumptions.  MAR is entire inventory of radioactive material in WVDP packaged waste (exclusive of HLW) (Ref.WVNS-CAL-397, Table C-1, Lag Storage).  Tornado borne missiles assumed to impact four TRU waste drums: max container and three at 99th percentile.</v>
          </cell>
          <cell r="AG22" t="str">
            <v>•  None</v>
          </cell>
          <cell r="AH22" t="str">
            <v>•  None</v>
          </cell>
          <cell r="AI22" t="str">
            <v>•  None</v>
          </cell>
          <cell r="AJ22" t="str">
            <v>•  None</v>
          </cell>
          <cell r="AK22" t="str">
            <v>•   TSR-compliant packaging for high activity TRU waste</v>
          </cell>
          <cell r="AL22" t="str">
            <v>•  None</v>
          </cell>
          <cell r="AM22" t="str">
            <v>•  None</v>
          </cell>
          <cell r="AN22" t="str">
            <v>•  Radiological Protection Program
•  Emergency Response Program
•  Performance Based Training Program
•  Conduct of Operations</v>
          </cell>
        </row>
        <row r="23">
          <cell r="A23" t="str">
            <v>CPCW</v>
          </cell>
          <cell r="B23">
            <v>14</v>
          </cell>
          <cell r="C23" t="str">
            <v>Seismic event</v>
          </cell>
          <cell r="D23" t="str">
            <v>Seismic event causes structural collapse and/or failure of storage array resulting in damage to stored containers.</v>
          </cell>
          <cell r="E23">
            <v>2100</v>
          </cell>
          <cell r="F23" t="str">
            <v>E24</v>
          </cell>
          <cell r="G23">
            <v>0.01</v>
          </cell>
          <cell r="H23" t="str">
            <v>Gnd</v>
          </cell>
          <cell r="I23">
            <v>850</v>
          </cell>
          <cell r="J23" t="str">
            <v>U</v>
          </cell>
          <cell r="K23" t="str">
            <v>L</v>
          </cell>
          <cell r="L23" t="str">
            <v>L</v>
          </cell>
          <cell r="M23" t="str">
            <v>N</v>
          </cell>
          <cell r="N23" t="str">
            <v>N</v>
          </cell>
          <cell r="O23" t="str">
            <v>III</v>
          </cell>
          <cell r="P23" t="str">
            <v>III</v>
          </cell>
          <cell r="Q23" t="str">
            <v>IV</v>
          </cell>
          <cell r="R23" t="str">
            <v>IV</v>
          </cell>
          <cell r="S23" t="str">
            <v>E24</v>
          </cell>
          <cell r="T23">
            <v>0.01</v>
          </cell>
          <cell r="U23" t="str">
            <v>Gnd</v>
          </cell>
          <cell r="V23">
            <v>850</v>
          </cell>
          <cell r="W23" t="str">
            <v>U</v>
          </cell>
          <cell r="X23" t="str">
            <v>L</v>
          </cell>
          <cell r="Y23" t="str">
            <v>L</v>
          </cell>
          <cell r="Z23" t="str">
            <v>N</v>
          </cell>
          <cell r="AA23" t="str">
            <v>N</v>
          </cell>
          <cell r="AB23" t="str">
            <v>III</v>
          </cell>
          <cell r="AC23" t="str">
            <v>III</v>
          </cell>
          <cell r="AD23" t="str">
            <v>IV</v>
          </cell>
          <cell r="AE23" t="str">
            <v>IV</v>
          </cell>
          <cell r="AF23" t="str">
            <v xml:space="preserve">Facility expected to remain intact following EBE. Toppling of storage array addressed under event "Collapse of Stacked Containers."  MAR is entire inventory of radioactive material in WVDP packaged waste (exclusive of HLW) (Ref.WVNS-CAL-397, Table C-1, Lag Storage).  </v>
          </cell>
          <cell r="AG23" t="str">
            <v>•  None</v>
          </cell>
          <cell r="AH23" t="str">
            <v>•  None</v>
          </cell>
          <cell r="AI23" t="str">
            <v>•  None</v>
          </cell>
          <cell r="AJ23" t="str">
            <v>•  None</v>
          </cell>
          <cell r="AK23" t="str">
            <v>•   APPROVED CONTAINERS used for TRU waste storage
•   TSR-compliant packaging for high activity TRU waste</v>
          </cell>
          <cell r="AL23" t="str">
            <v>•  None</v>
          </cell>
          <cell r="AM23" t="str">
            <v>•  None</v>
          </cell>
          <cell r="AN23" t="str">
            <v>•  Radiological Protection Program
•  Emergency Response Program
•  Performance Based Training Program
•  Conduct of Operations</v>
          </cell>
        </row>
        <row r="24">
          <cell r="A24" t="str">
            <v>CPCW</v>
          </cell>
          <cell r="B24">
            <v>15</v>
          </cell>
          <cell r="C24" t="str">
            <v>Loss of liquid contamination confinement</v>
          </cell>
          <cell r="D24" t="str">
            <v>Waste container containing residual liquids fails, resulting in loss of liquid contamination to the environment</v>
          </cell>
          <cell r="E24">
            <v>1</v>
          </cell>
          <cell r="F24" t="str">
            <v>AER</v>
          </cell>
          <cell r="G24">
            <v>1</v>
          </cell>
          <cell r="H24" t="str">
            <v>Gnd</v>
          </cell>
          <cell r="I24">
            <v>850</v>
          </cell>
          <cell r="J24" t="str">
            <v>U</v>
          </cell>
          <cell r="K24" t="str">
            <v>N</v>
          </cell>
          <cell r="L24" t="str">
            <v>N</v>
          </cell>
          <cell r="M24" t="str">
            <v>N</v>
          </cell>
          <cell r="N24" t="str">
            <v>N</v>
          </cell>
          <cell r="O24" t="str">
            <v>IV</v>
          </cell>
          <cell r="P24" t="str">
            <v>IV</v>
          </cell>
          <cell r="Q24" t="str">
            <v>IV</v>
          </cell>
          <cell r="R24" t="str">
            <v>IV</v>
          </cell>
          <cell r="S24" t="str">
            <v>AER</v>
          </cell>
          <cell r="T24">
            <v>1</v>
          </cell>
          <cell r="U24" t="str">
            <v>Gnd</v>
          </cell>
          <cell r="V24">
            <v>850</v>
          </cell>
          <cell r="W24" t="str">
            <v>U</v>
          </cell>
          <cell r="X24" t="str">
            <v>N</v>
          </cell>
          <cell r="Y24" t="str">
            <v>N</v>
          </cell>
          <cell r="Z24" t="str">
            <v>N</v>
          </cell>
          <cell r="AA24" t="str">
            <v>N</v>
          </cell>
          <cell r="AB24" t="str">
            <v>IV</v>
          </cell>
          <cell r="AC24" t="str">
            <v>IV</v>
          </cell>
          <cell r="AD24" t="str">
            <v>IV</v>
          </cell>
          <cell r="AE24" t="str">
            <v>IV</v>
          </cell>
          <cell r="AF24" t="str">
            <v xml:space="preserve">None.  </v>
          </cell>
          <cell r="AG24" t="str">
            <v>•  None</v>
          </cell>
          <cell r="AH24" t="str">
            <v>•  Cell liners/sumps and/or area berms</v>
          </cell>
          <cell r="AI24" t="str">
            <v>•  None</v>
          </cell>
          <cell r="AJ24" t="str">
            <v xml:space="preserve">•  Quality Assurance Program
•  Performance Based Training Program
•  Maintenance Program
•  Conduct of Operations
•  Waste Management Program </v>
          </cell>
          <cell r="AK24" t="str">
            <v>•  None</v>
          </cell>
          <cell r="AL24" t="str">
            <v>•  None</v>
          </cell>
          <cell r="AM24" t="str">
            <v>•  None</v>
          </cell>
          <cell r="AN24" t="str">
            <v>•  Radiological Protection Program
•  Performance Based Training Program
•  Conduct of Operations</v>
          </cell>
        </row>
        <row r="25">
          <cell r="A25" t="str">
            <v>CPCW</v>
          </cell>
          <cell r="B25">
            <v>16</v>
          </cell>
          <cell r="C25" t="str">
            <v>Flood</v>
          </cell>
          <cell r="D25" t="str">
            <v>A greater than 100-yr  rain event results in sheet flow that floods the storage area. Flooding may be exacerbated by plugged drainage channels or culverts.</v>
          </cell>
          <cell r="E25">
            <v>2100</v>
          </cell>
          <cell r="F25" t="str">
            <v>NA</v>
          </cell>
          <cell r="G25" t="str">
            <v>NA</v>
          </cell>
          <cell r="H25" t="str">
            <v>Gnd</v>
          </cell>
          <cell r="I25">
            <v>850</v>
          </cell>
          <cell r="J25" t="str">
            <v>U</v>
          </cell>
          <cell r="K25" t="str">
            <v>N</v>
          </cell>
          <cell r="L25" t="str">
            <v>N</v>
          </cell>
          <cell r="M25" t="str">
            <v>N</v>
          </cell>
          <cell r="N25" t="str">
            <v>N</v>
          </cell>
          <cell r="O25" t="str">
            <v>IV</v>
          </cell>
          <cell r="P25" t="str">
            <v>IV</v>
          </cell>
          <cell r="Q25" t="str">
            <v>IV</v>
          </cell>
          <cell r="R25" t="str">
            <v>IV</v>
          </cell>
          <cell r="S25" t="str">
            <v>NA</v>
          </cell>
          <cell r="T25" t="str">
            <v>NA</v>
          </cell>
          <cell r="U25" t="str">
            <v>Gnd</v>
          </cell>
          <cell r="V25">
            <v>850</v>
          </cell>
          <cell r="W25" t="str">
            <v>U</v>
          </cell>
          <cell r="X25" t="str">
            <v>N</v>
          </cell>
          <cell r="Y25" t="str">
            <v>N</v>
          </cell>
          <cell r="Z25" t="str">
            <v>N</v>
          </cell>
          <cell r="AA25" t="str">
            <v>N</v>
          </cell>
          <cell r="AB25" t="str">
            <v>IV</v>
          </cell>
          <cell r="AC25" t="str">
            <v>IV</v>
          </cell>
          <cell r="AD25" t="str">
            <v>IV</v>
          </cell>
          <cell r="AE25" t="str">
            <v>IV</v>
          </cell>
          <cell r="AF25" t="str">
            <v xml:space="preserve">Site topography places facility outside area vulnerable to flooding (ref. Figure 1.4-6).  MAR is entire inventory of radioactive material in WVDP packaged waste (exclusive of HLW) (Ref.WVNS-CAL-397, Table C-1, Lag Storage).  </v>
          </cell>
          <cell r="AG25" t="str">
            <v>•  None</v>
          </cell>
          <cell r="AH25" t="str">
            <v>•  Siting of storage array in area away from areas of anticipated flooding</v>
          </cell>
          <cell r="AI25" t="str">
            <v>•  None</v>
          </cell>
          <cell r="AJ25" t="str">
            <v>•  None</v>
          </cell>
          <cell r="AK25" t="str">
            <v>•  None</v>
          </cell>
          <cell r="AL25" t="str">
            <v>•  None</v>
          </cell>
          <cell r="AM25" t="str">
            <v>•  None</v>
          </cell>
          <cell r="AN25" t="str">
            <v>•  Radiological Protection Program
•  Performance Based Training Program
•  Conduct of Operations</v>
          </cell>
        </row>
        <row r="26">
          <cell r="A26" t="str">
            <v>HLWSS</v>
          </cell>
          <cell r="B26">
            <v>1</v>
          </cell>
          <cell r="C26" t="str">
            <v>Vehicle/equipment impacts waste/waste containers</v>
          </cell>
          <cell r="D26" t="str">
            <v>A transporter collides with a cask on the storage pad.</v>
          </cell>
          <cell r="E26">
            <v>2500</v>
          </cell>
          <cell r="F26" t="str">
            <v>SS</v>
          </cell>
          <cell r="G26">
            <v>0</v>
          </cell>
          <cell r="H26" t="str">
            <v>Gnd</v>
          </cell>
          <cell r="I26">
            <v>850</v>
          </cell>
          <cell r="J26" t="str">
            <v>A</v>
          </cell>
          <cell r="K26" t="str">
            <v>N</v>
          </cell>
          <cell r="L26" t="str">
            <v>N</v>
          </cell>
          <cell r="M26" t="str">
            <v>N</v>
          </cell>
          <cell r="N26" t="str">
            <v>N</v>
          </cell>
          <cell r="O26" t="str">
            <v>IV</v>
          </cell>
          <cell r="P26" t="str">
            <v>IV</v>
          </cell>
          <cell r="Q26" t="str">
            <v>IV</v>
          </cell>
          <cell r="R26" t="str">
            <v>IV</v>
          </cell>
          <cell r="S26" t="str">
            <v>SS</v>
          </cell>
          <cell r="T26">
            <v>0</v>
          </cell>
          <cell r="U26" t="str">
            <v>Gnd</v>
          </cell>
          <cell r="V26">
            <v>850</v>
          </cell>
          <cell r="W26" t="str">
            <v>A</v>
          </cell>
          <cell r="X26" t="str">
            <v>N</v>
          </cell>
          <cell r="Y26" t="str">
            <v>N</v>
          </cell>
          <cell r="Z26" t="str">
            <v>N</v>
          </cell>
          <cell r="AA26" t="str">
            <v>N</v>
          </cell>
          <cell r="AB26" t="str">
            <v>IV</v>
          </cell>
          <cell r="AC26" t="str">
            <v>IV</v>
          </cell>
          <cell r="AD26" t="str">
            <v>IV</v>
          </cell>
          <cell r="AE26" t="str">
            <v>IV</v>
          </cell>
          <cell r="AF26" t="str">
            <v xml:space="preserve">The maximum anticipated speed of the cask transporter enroute to the storage pad is approximately 2 mph.   MAR is cask containing 5 HLW canisters each containing an amount of activity equal to the maximum HLW canister (Ref. WVNS-CAL-396).  </v>
          </cell>
          <cell r="AG26" t="str">
            <v>•  None</v>
          </cell>
          <cell r="AH26" t="str">
            <v xml:space="preserve">•  Design of MPC-WVDP storage system capable of withstanding significant impact stresses </v>
          </cell>
          <cell r="AI26" t="str">
            <v>• SAC for TRU waste container physical protection
• SAC for TRU waste transportation</v>
          </cell>
          <cell r="AJ26" t="str">
            <v xml:space="preserve">•  Quality Assurance Program
•  Performance Based Training Program
•  Maintenance Program
•  Conduct of Operations
•  Waste Management Program </v>
          </cell>
          <cell r="AK26" t="str">
            <v>•  None</v>
          </cell>
          <cell r="AL26"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AM26" t="str">
            <v>•  None</v>
          </cell>
          <cell r="AN26" t="str">
            <v>•  Radiological Protection Program
•  Emergency Response Program
•  Performance Based Training Program
•  Conduct of Operations</v>
          </cell>
        </row>
        <row r="27">
          <cell r="A27" t="str">
            <v>HLWSS</v>
          </cell>
          <cell r="B27">
            <v>2</v>
          </cell>
          <cell r="C27" t="str">
            <v>Drop/impact/spill</v>
          </cell>
          <cell r="D27" t="str">
            <v>Loaded cask transporter collides with another vehicle.</v>
          </cell>
          <cell r="E27">
            <v>2500</v>
          </cell>
          <cell r="F27" t="str">
            <v>SS</v>
          </cell>
          <cell r="G27">
            <v>0</v>
          </cell>
          <cell r="H27" t="str">
            <v>Gnd</v>
          </cell>
          <cell r="I27">
            <v>850</v>
          </cell>
          <cell r="J27" t="str">
            <v>A</v>
          </cell>
          <cell r="K27" t="str">
            <v>N</v>
          </cell>
          <cell r="L27" t="str">
            <v>N</v>
          </cell>
          <cell r="M27" t="str">
            <v>N</v>
          </cell>
          <cell r="N27" t="str">
            <v>N</v>
          </cell>
          <cell r="O27" t="str">
            <v>IV</v>
          </cell>
          <cell r="P27" t="str">
            <v>IV</v>
          </cell>
          <cell r="Q27" t="str">
            <v>IV</v>
          </cell>
          <cell r="R27" t="str">
            <v>IV</v>
          </cell>
          <cell r="S27" t="str">
            <v>SS</v>
          </cell>
          <cell r="T27">
            <v>0</v>
          </cell>
          <cell r="U27" t="str">
            <v>Gnd</v>
          </cell>
          <cell r="V27">
            <v>850</v>
          </cell>
          <cell r="W27" t="str">
            <v>U</v>
          </cell>
          <cell r="X27" t="str">
            <v>N</v>
          </cell>
          <cell r="Y27" t="str">
            <v>N</v>
          </cell>
          <cell r="Z27" t="str">
            <v>N</v>
          </cell>
          <cell r="AA27" t="str">
            <v>N</v>
          </cell>
          <cell r="AB27" t="str">
            <v>IV</v>
          </cell>
          <cell r="AC27" t="str">
            <v>IV</v>
          </cell>
          <cell r="AD27" t="str">
            <v>IV</v>
          </cell>
          <cell r="AE27" t="str">
            <v>IV</v>
          </cell>
          <cell r="AF27" t="str">
            <v xml:space="preserve">Cask transporters are designed with conservative safety factors. (Transporters load tested to 125% of nominal capacity.) MAR is cask containing 5 HLW canisters each containing an amount of activity equal to the maximum HLW canister (Ref. WVNS-CAL-396).  </v>
          </cell>
          <cell r="AG27" t="str">
            <v>•  None</v>
          </cell>
          <cell r="AH27" t="str">
            <v>•  Cask lifting lugs and transporter lifting components designed with conservative safety factors
•  Transporter design that limits cask ground clearance to ≤ 6”</v>
          </cell>
          <cell r="AI27" t="str">
            <v>•  None</v>
          </cell>
          <cell r="AJ27" t="str">
            <v xml:space="preserve">•  Quality Assurance Program
•  Performance Based Training Program
•  Maintenance Program
•  Conduct of Operations
•  Waste Management Program </v>
          </cell>
          <cell r="AK27" t="str">
            <v>•  None</v>
          </cell>
          <cell r="AL27" t="str">
            <v>•  Heavily reinforced 19.75" thick concrete VSC
•  4" thick steel VSC shielding
•  Weld-sealed 3/8" thick steel MPC
•  3/16" thick steel canister basket
•  Weld-sealed steel HLW canisters capable of withstanding a 7 m (23 ft) drop
•  Borosilicate waste matrix that inhibits waste release and retards biological uptake due to stable chemical form</v>
          </cell>
          <cell r="AM27" t="str">
            <v>•  None</v>
          </cell>
          <cell r="AN27" t="str">
            <v>•  Radiological Protection Program
•  Emergency Response Program
•  Performance Based Training Program
•  Conduct of Operations</v>
          </cell>
        </row>
        <row r="28">
          <cell r="A28" t="str">
            <v>HLWSS</v>
          </cell>
          <cell r="B28">
            <v>3</v>
          </cell>
          <cell r="C28" t="str">
            <v>Drop/impact/spill</v>
          </cell>
          <cell r="D28" t="str">
            <v>Failure of a handling component on the transporter or operator error associated with not fully engaging the lifting lugs results in 6” drop of a loaded storage cask</v>
          </cell>
          <cell r="E28">
            <v>2500</v>
          </cell>
          <cell r="F28" t="str">
            <v>SS</v>
          </cell>
          <cell r="G28">
            <v>0</v>
          </cell>
          <cell r="H28" t="str">
            <v>Gnd</v>
          </cell>
          <cell r="I28">
            <v>850</v>
          </cell>
          <cell r="J28" t="str">
            <v>A</v>
          </cell>
          <cell r="K28" t="str">
            <v>N</v>
          </cell>
          <cell r="L28" t="str">
            <v>N</v>
          </cell>
          <cell r="M28" t="str">
            <v>N</v>
          </cell>
          <cell r="N28" t="str">
            <v>N</v>
          </cell>
          <cell r="O28" t="str">
            <v>IV</v>
          </cell>
          <cell r="P28" t="str">
            <v>IV</v>
          </cell>
          <cell r="Q28" t="str">
            <v>IV</v>
          </cell>
          <cell r="R28" t="str">
            <v>IV</v>
          </cell>
          <cell r="S28" t="str">
            <v>SS</v>
          </cell>
          <cell r="T28">
            <v>0</v>
          </cell>
          <cell r="U28" t="str">
            <v>Gnd</v>
          </cell>
          <cell r="V28">
            <v>850</v>
          </cell>
          <cell r="W28" t="str">
            <v>U</v>
          </cell>
          <cell r="X28" t="str">
            <v>N</v>
          </cell>
          <cell r="Y28" t="str">
            <v>N</v>
          </cell>
          <cell r="Z28" t="str">
            <v>N</v>
          </cell>
          <cell r="AA28" t="str">
            <v>N</v>
          </cell>
          <cell r="AB28" t="str">
            <v>IV</v>
          </cell>
          <cell r="AC28" t="str">
            <v>IV</v>
          </cell>
          <cell r="AD28" t="str">
            <v>IV</v>
          </cell>
          <cell r="AE28" t="str">
            <v>IV</v>
          </cell>
          <cell r="AF28" t="str">
            <v xml:space="preserve">Cask transporters are designed with conservative safety factors. (Transporters load tested to 125% of nominal capacity.) MAR is cask containing 5 HLW canisters each containing an amount of activity equal to the maximum HLW canister (Ref. WVNS-CAL-396).  </v>
          </cell>
          <cell r="AG28" t="str">
            <v>•  None</v>
          </cell>
          <cell r="AH28" t="str">
            <v>•  Cask lifting lugs and transporter lifting components designed with conservative safety factors
•  Transporter design that limits cask ground clearance to ≤ 6”</v>
          </cell>
          <cell r="AI28" t="str">
            <v>•  None</v>
          </cell>
          <cell r="AJ28" t="str">
            <v xml:space="preserve">•  Quality Assurance Program
•  Performance Based Training Program
•  Maintenance Program
•  Conduct of Operations
•  Waste Management Program </v>
          </cell>
          <cell r="AK28" t="str">
            <v>•  None</v>
          </cell>
          <cell r="AL28" t="str">
            <v>•  Heavily reinforced 19.75" thick concrete VSC
•  4" thick steel VSC shielding
•  Weld-sealed 3/8" thick steel MPC
•  3/16" thick steel canister basket
•  Weld-sealed steel HLW canisters capable of withstanding a 7 m (23 ft) drop
•  Borosilicate waste matrix that inhibits waste release and retards biological uptake due to stable chemical form</v>
          </cell>
          <cell r="AM28" t="str">
            <v>•  None</v>
          </cell>
          <cell r="AN28" t="str">
            <v>•  Radiological Protection Program
•  Emergency Response Program
•  Performance Based Training Program
•  Conduct of Operations</v>
          </cell>
        </row>
        <row r="29">
          <cell r="A29" t="str">
            <v>HLWSS</v>
          </cell>
          <cell r="B29">
            <v>4</v>
          </cell>
          <cell r="C29" t="str">
            <v>Storage cask tip-over due to transportation event</v>
          </cell>
          <cell r="D29" t="str">
            <v>Cask tips over following drop of cask during transport to storage pad or due to haul path failure during transit</v>
          </cell>
          <cell r="E29">
            <v>2500</v>
          </cell>
          <cell r="F29" t="str">
            <v>SS</v>
          </cell>
          <cell r="G29">
            <v>0</v>
          </cell>
          <cell r="H29" t="str">
            <v>Gnd</v>
          </cell>
          <cell r="I29">
            <v>850</v>
          </cell>
          <cell r="J29" t="str">
            <v>U</v>
          </cell>
          <cell r="K29" t="str">
            <v>N</v>
          </cell>
          <cell r="L29" t="str">
            <v>N</v>
          </cell>
          <cell r="M29" t="str">
            <v>N</v>
          </cell>
          <cell r="N29" t="str">
            <v>N</v>
          </cell>
          <cell r="O29" t="str">
            <v>IV</v>
          </cell>
          <cell r="P29" t="str">
            <v>IV</v>
          </cell>
          <cell r="Q29" t="str">
            <v>IV</v>
          </cell>
          <cell r="R29" t="str">
            <v>IV</v>
          </cell>
          <cell r="S29" t="str">
            <v>SS</v>
          </cell>
          <cell r="T29">
            <v>0</v>
          </cell>
          <cell r="U29" t="str">
            <v>Gnd</v>
          </cell>
          <cell r="V29">
            <v>850</v>
          </cell>
          <cell r="W29" t="str">
            <v>U</v>
          </cell>
          <cell r="X29" t="str">
            <v>N</v>
          </cell>
          <cell r="Y29" t="str">
            <v>N</v>
          </cell>
          <cell r="Z29" t="str">
            <v>N</v>
          </cell>
          <cell r="AA29" t="str">
            <v>N</v>
          </cell>
          <cell r="AB29" t="str">
            <v>IV</v>
          </cell>
          <cell r="AC29" t="str">
            <v>IV</v>
          </cell>
          <cell r="AD29" t="str">
            <v>IV</v>
          </cell>
          <cell r="AE29" t="str">
            <v>IV</v>
          </cell>
          <cell r="AF29" t="str">
            <v xml:space="preserve">Haul path to be inspected and verified to be adequate prior to transportation. MAR is cask containing 5 HLW canisters each containing an amount of activity equal to the maximum HLW canister (Ref. WVNS-CAL-396).  </v>
          </cell>
          <cell r="AG29" t="str">
            <v>•  None</v>
          </cell>
          <cell r="AH29" t="str">
            <v>•  Engineering design of haul path capable of supporting multiple transports in excess of cask load</v>
          </cell>
          <cell r="AI29" t="str">
            <v>•  None</v>
          </cell>
          <cell r="AJ29" t="str">
            <v>•  Quality Assurance Program
•  Performance Based Training Program
•  Maintenance Program
•  Conduct of Operations</v>
          </cell>
          <cell r="AK29" t="str">
            <v>•  None</v>
          </cell>
          <cell r="AL29" t="str">
            <v>•  Heavily reinforced 19.75" thick concrete VSC
•  4" thick steel VSC shielding
•  Weld-sealed 3/8" thick steel MPC
•  Weld-sealed steel HLW canister
•  Borosilicate waste matrix that inhibits waste release and retards biological uptake due to stable chemical form</v>
          </cell>
          <cell r="AM29" t="str">
            <v>•  None</v>
          </cell>
          <cell r="AN29" t="str">
            <v>•  Radiological Protection Program
•  Emergency Response Program
•  Performance Based Training Program
•  Conduct of Operations</v>
          </cell>
        </row>
        <row r="30">
          <cell r="A30" t="str">
            <v>HLWSS</v>
          </cell>
          <cell r="B30">
            <v>5</v>
          </cell>
          <cell r="C30" t="str">
            <v>Localized explosion external to container</v>
          </cell>
          <cell r="D30" t="str">
            <v xml:space="preserve">This event is assumed to be caused by an explosion involving a forktruck propane cylinder or other cylinder containing flammable gas (e.g. acetylene) that is associated with facility operations. In addition to explosion overpressures, an explosion could produce missiles that could impact MAR. </v>
          </cell>
          <cell r="E30">
            <v>2500</v>
          </cell>
          <cell r="F30" t="str">
            <v>SS</v>
          </cell>
          <cell r="G30">
            <v>0</v>
          </cell>
          <cell r="H30" t="str">
            <v>Gnd</v>
          </cell>
          <cell r="I30">
            <v>850</v>
          </cell>
          <cell r="J30" t="str">
            <v>A</v>
          </cell>
          <cell r="K30" t="str">
            <v>N</v>
          </cell>
          <cell r="L30" t="str">
            <v>N</v>
          </cell>
          <cell r="M30" t="str">
            <v>N</v>
          </cell>
          <cell r="N30" t="str">
            <v>N</v>
          </cell>
          <cell r="O30" t="str">
            <v>IV</v>
          </cell>
          <cell r="P30" t="str">
            <v>IV</v>
          </cell>
          <cell r="Q30" t="str">
            <v>IV</v>
          </cell>
          <cell r="R30" t="str">
            <v>IV</v>
          </cell>
          <cell r="S30" t="str">
            <v>SS</v>
          </cell>
          <cell r="T30">
            <v>0</v>
          </cell>
          <cell r="U30" t="str">
            <v>Gnd</v>
          </cell>
          <cell r="V30">
            <v>850</v>
          </cell>
          <cell r="W30" t="str">
            <v>U</v>
          </cell>
          <cell r="X30" t="str">
            <v>N</v>
          </cell>
          <cell r="Y30" t="str">
            <v>N</v>
          </cell>
          <cell r="Z30" t="str">
            <v>N</v>
          </cell>
          <cell r="AA30" t="str">
            <v>N</v>
          </cell>
          <cell r="AB30" t="str">
            <v>IV</v>
          </cell>
          <cell r="AC30" t="str">
            <v>IV</v>
          </cell>
          <cell r="AD30" t="str">
            <v>IV</v>
          </cell>
          <cell r="AE30" t="str">
            <v>IV</v>
          </cell>
          <cell r="AF30" t="str">
            <v xml:space="preserve"> MAR is cask containing 5 HLW canisters each containing an amount of activity equal to the maximum HLW canister (Ref. WVNS-CAL-396).  </v>
          </cell>
          <cell r="AG30" t="str">
            <v>•  None</v>
          </cell>
          <cell r="AH30" t="str">
            <v>•  None</v>
          </cell>
          <cell r="AI30" t="str">
            <v>•  None</v>
          </cell>
          <cell r="AJ30" t="str">
            <v xml:space="preserve">•  Quality Assurance Program
•  Fire Protection Program
•  Performance Based Training Program
•  Maintenance Program
•  Waste Management Program </v>
          </cell>
          <cell r="AK30" t="str">
            <v>•  None</v>
          </cell>
          <cell r="AL30"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AM30" t="str">
            <v>•  None</v>
          </cell>
          <cell r="AN30" t="str">
            <v>•  Radiological Protection Program
•  Emergency Response Program
•  Fire Protection Program
•  Performance Based Training Program
•  Conduct of Operations</v>
          </cell>
        </row>
        <row r="31">
          <cell r="A31" t="str">
            <v>HLWSS</v>
          </cell>
          <cell r="B31">
            <v>6</v>
          </cell>
          <cell r="C31" t="str">
            <v>Locomotive/ loaded rail car impacts storage casks</v>
          </cell>
          <cell r="D31" t="str">
            <v>A locomotive/ loaded rail car  containing demolition debris derails, colliding with casks on the storage pad.</v>
          </cell>
          <cell r="E31">
            <v>83000</v>
          </cell>
          <cell r="F31" t="str">
            <v>SS</v>
          </cell>
          <cell r="G31">
            <v>0</v>
          </cell>
          <cell r="H31" t="str">
            <v>Gnd</v>
          </cell>
          <cell r="I31">
            <v>850</v>
          </cell>
          <cell r="J31" t="str">
            <v>EU</v>
          </cell>
          <cell r="K31" t="str">
            <v>N</v>
          </cell>
          <cell r="L31" t="str">
            <v>N</v>
          </cell>
          <cell r="M31" t="str">
            <v>N</v>
          </cell>
          <cell r="N31" t="str">
            <v>N</v>
          </cell>
          <cell r="O31" t="str">
            <v>IV</v>
          </cell>
          <cell r="P31" t="str">
            <v>IV</v>
          </cell>
          <cell r="Q31" t="str">
            <v>IV</v>
          </cell>
          <cell r="R31" t="str">
            <v>IV</v>
          </cell>
          <cell r="S31" t="str">
            <v>SS</v>
          </cell>
          <cell r="T31">
            <v>0</v>
          </cell>
          <cell r="U31" t="str">
            <v>Gnd</v>
          </cell>
          <cell r="V31">
            <v>850</v>
          </cell>
          <cell r="W31" t="str">
            <v>BEU</v>
          </cell>
          <cell r="X31" t="str">
            <v>N</v>
          </cell>
          <cell r="Y31" t="str">
            <v>N</v>
          </cell>
          <cell r="Z31" t="str">
            <v>N</v>
          </cell>
          <cell r="AA31" t="str">
            <v>N</v>
          </cell>
          <cell r="AB31" t="str">
            <v>IV</v>
          </cell>
          <cell r="AC31" t="str">
            <v>IV</v>
          </cell>
          <cell r="AD31" t="str">
            <v>IV</v>
          </cell>
          <cell r="AE31" t="str">
            <v>IV</v>
          </cell>
          <cell r="AF31" t="str">
            <v xml:space="preserve">The rail line adjacent to the storage pad is a spur that is wholly on the WVDP premises, precluding other commercial traffic. MAR is entire inventory of radioactive material in HLWSS (Ref.WVNS-CAL-397, Table C-1, HLWSS).  </v>
          </cell>
          <cell r="AG31" t="str">
            <v>•  None</v>
          </cell>
          <cell r="AH31" t="str">
            <v>•  None</v>
          </cell>
          <cell r="AI31" t="str">
            <v>•  None</v>
          </cell>
          <cell r="AJ31" t="str">
            <v>•  Quality Assurance Program
•  Performance Based Training Program
•  Maintenance Program</v>
          </cell>
          <cell r="AK31" t="str">
            <v>•  None</v>
          </cell>
          <cell r="AL31"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AM31" t="str">
            <v>•  None</v>
          </cell>
          <cell r="AN31" t="str">
            <v>•  Radiological Protection Program
•  Emergency Response Program
•  Performance Based Training Program
•  Conduct of Operations</v>
          </cell>
        </row>
        <row r="32">
          <cell r="A32" t="str">
            <v>HLWSS</v>
          </cell>
          <cell r="B32">
            <v>7</v>
          </cell>
          <cell r="C32" t="str">
            <v>External explosion</v>
          </cell>
          <cell r="D32" t="str">
            <v>An event external to the storage array results in an explosion impacting the exposed face of the stored cask.</v>
          </cell>
          <cell r="E32">
            <v>2500</v>
          </cell>
          <cell r="F32" t="str">
            <v>SS</v>
          </cell>
          <cell r="G32">
            <v>0</v>
          </cell>
          <cell r="H32" t="str">
            <v>Gnd</v>
          </cell>
          <cell r="I32">
            <v>850</v>
          </cell>
          <cell r="J32" t="str">
            <v>U</v>
          </cell>
          <cell r="K32" t="str">
            <v>N</v>
          </cell>
          <cell r="L32" t="str">
            <v>N</v>
          </cell>
          <cell r="M32" t="str">
            <v>N</v>
          </cell>
          <cell r="N32" t="str">
            <v>N</v>
          </cell>
          <cell r="O32" t="str">
            <v>IV</v>
          </cell>
          <cell r="P32" t="str">
            <v>IV</v>
          </cell>
          <cell r="Q32" t="str">
            <v>IV</v>
          </cell>
          <cell r="R32" t="str">
            <v>IV</v>
          </cell>
          <cell r="S32" t="str">
            <v>SS</v>
          </cell>
          <cell r="T32">
            <v>0</v>
          </cell>
          <cell r="U32" t="str">
            <v>Gnd</v>
          </cell>
          <cell r="V32">
            <v>850</v>
          </cell>
          <cell r="W32" t="str">
            <v>EU</v>
          </cell>
          <cell r="X32" t="str">
            <v>N</v>
          </cell>
          <cell r="Y32" t="str">
            <v>N</v>
          </cell>
          <cell r="Z32" t="str">
            <v>N</v>
          </cell>
          <cell r="AA32" t="str">
            <v>N</v>
          </cell>
          <cell r="AB32" t="str">
            <v>IV</v>
          </cell>
          <cell r="AC32" t="str">
            <v>IV</v>
          </cell>
          <cell r="AD32" t="str">
            <v>IV</v>
          </cell>
          <cell r="AE32" t="str">
            <v>IV</v>
          </cell>
          <cell r="AF32" t="str">
            <v xml:space="preserve">No explosive material handling is required in vicinity of storage pad area. The storage pad is a minimum of 500 feet from public highways. MAR is cask containing 5 HLW canisters each containing an amount of activity equal to the maximum HLW canister (Ref. WVNS-CAL-396).  </v>
          </cell>
          <cell r="AG32" t="str">
            <v>•  None</v>
          </cell>
          <cell r="AH32" t="str">
            <v>•  None</v>
          </cell>
          <cell r="AI32" t="str">
            <v>• SAC for TRU waste container physical protection</v>
          </cell>
          <cell r="AJ32" t="str">
            <v>•  Quality Assurance Program
•  Performance Based Training Program
•  Maintenance Program</v>
          </cell>
          <cell r="AK32" t="str">
            <v>•  None</v>
          </cell>
          <cell r="AL32"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AM32" t="str">
            <v>•  None</v>
          </cell>
          <cell r="AN32" t="str">
            <v>•  Radiological Protection Program
•  Emergency Response Program
•  Fire Protection Program
•  Performance Based Training Program
•  Conduct of Operations</v>
          </cell>
        </row>
        <row r="33">
          <cell r="A33" t="str">
            <v>HLWSS</v>
          </cell>
          <cell r="B33">
            <v>8</v>
          </cell>
          <cell r="C33" t="str">
            <v>Localized flammable liquid pool fire</v>
          </cell>
          <cell r="D33" t="str">
            <v>Fuel or other flammable fluid pool fire resulting from leaking equipment or vehicle.  An unspecified ignition source ignites the fuel and a fire ensues that is of sufficient duration and intensity to lead to a release of radioactive material from containerized waste.</v>
          </cell>
          <cell r="E33">
            <v>83000</v>
          </cell>
          <cell r="F33" t="str">
            <v>E01</v>
          </cell>
          <cell r="G33">
            <v>1</v>
          </cell>
          <cell r="H33" t="str">
            <v>Gnd</v>
          </cell>
          <cell r="I33">
            <v>850</v>
          </cell>
          <cell r="J33" t="str">
            <v>EU</v>
          </cell>
          <cell r="K33" t="str">
            <v>H</v>
          </cell>
          <cell r="L33" t="str">
            <v>H</v>
          </cell>
          <cell r="M33" t="str">
            <v>N</v>
          </cell>
          <cell r="N33" t="str">
            <v>N</v>
          </cell>
          <cell r="O33" t="str">
            <v>II</v>
          </cell>
          <cell r="P33" t="str">
            <v>II</v>
          </cell>
          <cell r="Q33" t="str">
            <v>IV</v>
          </cell>
          <cell r="R33" t="str">
            <v>IV</v>
          </cell>
          <cell r="S33" t="str">
            <v>E01</v>
          </cell>
          <cell r="T33">
            <v>0</v>
          </cell>
          <cell r="U33" t="str">
            <v>Gnd</v>
          </cell>
          <cell r="V33">
            <v>850</v>
          </cell>
          <cell r="W33" t="str">
            <v>EU</v>
          </cell>
          <cell r="X33" t="str">
            <v>N</v>
          </cell>
          <cell r="Y33" t="str">
            <v>N</v>
          </cell>
          <cell r="Z33" t="str">
            <v>N</v>
          </cell>
          <cell r="AA33" t="str">
            <v>N</v>
          </cell>
          <cell r="AB33" t="str">
            <v>IV</v>
          </cell>
          <cell r="AC33" t="str">
            <v>IV</v>
          </cell>
          <cell r="AD33" t="str">
            <v>IV</v>
          </cell>
          <cell r="AE33" t="str">
            <v>IV</v>
          </cell>
          <cell r="AF33" t="str">
            <v xml:space="preserve"> MAR is entire inventory of radioactive material in HLWSS (Ref.WVNS-CAL-397, Table C-1, HLWSS).  </v>
          </cell>
          <cell r="AG33" t="str">
            <v>•  None</v>
          </cell>
          <cell r="AH33" t="str">
            <v>•  None</v>
          </cell>
          <cell r="AI33" t="str">
            <v>•  SAC for TRU waste drum fire protection
•  SAC for TRU waste container physical protection</v>
          </cell>
          <cell r="AJ33" t="str">
            <v xml:space="preserve">•  Quality Assurance Program
•  Fire Protection Program
•  Performance Based Training Program
•  Maintenance Program
•  Conduct of Operations
•  Waste Management Program </v>
          </cell>
          <cell r="AK33" t="str">
            <v>•  None</v>
          </cell>
          <cell r="AL33" t="str">
            <v>•  Heavily reinforced 19.75" thick concrete VSC
•  4" thick steel VSC shielding
•  Weld-sealed 3/8" thick steel MPC
•  Weld-sealed steel HLW canister
•  Borosilicate waste matrix that inhibits waste release and retards biological uptake due to stable chemical form</v>
          </cell>
          <cell r="AM33" t="str">
            <v>•  None</v>
          </cell>
          <cell r="AN33" t="str">
            <v>•  None</v>
          </cell>
        </row>
        <row r="34">
          <cell r="A34" t="str">
            <v>HLWSS</v>
          </cell>
          <cell r="B34">
            <v>9</v>
          </cell>
          <cell r="C34" t="str">
            <v>External fire</v>
          </cell>
          <cell r="D34" t="str">
            <v>A fire begins away from storage area and propagates to it. The external fire could be from a wildland fire, other facility, or another fire source.</v>
          </cell>
          <cell r="E34">
            <v>83000</v>
          </cell>
          <cell r="F34" t="str">
            <v>SS</v>
          </cell>
          <cell r="G34">
            <v>0</v>
          </cell>
          <cell r="H34" t="str">
            <v>Gnd</v>
          </cell>
          <cell r="I34">
            <v>850</v>
          </cell>
          <cell r="J34" t="str">
            <v>U</v>
          </cell>
          <cell r="K34" t="str">
            <v>N</v>
          </cell>
          <cell r="L34" t="str">
            <v>N</v>
          </cell>
          <cell r="M34" t="str">
            <v>N</v>
          </cell>
          <cell r="N34" t="str">
            <v>N</v>
          </cell>
          <cell r="O34" t="str">
            <v>IV</v>
          </cell>
          <cell r="P34" t="str">
            <v>IV</v>
          </cell>
          <cell r="Q34" t="str">
            <v>IV</v>
          </cell>
          <cell r="R34" t="str">
            <v>IV</v>
          </cell>
          <cell r="S34" t="str">
            <v>SS</v>
          </cell>
          <cell r="T34">
            <v>0</v>
          </cell>
          <cell r="U34" t="str">
            <v>Gnd</v>
          </cell>
          <cell r="V34">
            <v>850</v>
          </cell>
          <cell r="W34" t="str">
            <v>EU</v>
          </cell>
          <cell r="X34" t="str">
            <v>N</v>
          </cell>
          <cell r="Y34" t="str">
            <v>N</v>
          </cell>
          <cell r="Z34" t="str">
            <v>N</v>
          </cell>
          <cell r="AA34" t="str">
            <v>N</v>
          </cell>
          <cell r="AB34" t="str">
            <v>IV</v>
          </cell>
          <cell r="AC34" t="str">
            <v>IV</v>
          </cell>
          <cell r="AD34" t="str">
            <v>IV</v>
          </cell>
          <cell r="AE34" t="str">
            <v>IV</v>
          </cell>
          <cell r="AF34" t="str">
            <v xml:space="preserve">Cask construction sufficient to protect storage canisters under credible wildland fire event. Fire Protection Program recognized as mitigating probability of event.  MAR is entire inventory of radioactive material in HLWSS (Ref.WVNS-CAL-397, Table C-1, HLWSS).  </v>
          </cell>
          <cell r="AG34" t="str">
            <v>•  None</v>
          </cell>
          <cell r="AH34" t="str">
            <v>•  None</v>
          </cell>
          <cell r="AI34" t="str">
            <v>• SAC for TRU waste container physical protection</v>
          </cell>
          <cell r="AJ34" t="str">
            <v>•  Fire Protection Program
•  Maintenance Program</v>
          </cell>
          <cell r="AK34" t="str">
            <v>•  None</v>
          </cell>
          <cell r="AL34"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AM34" t="str">
            <v>•  None</v>
          </cell>
          <cell r="AN34" t="str">
            <v>•  Emergency Response Program
•  Fire Protection Program
•  Radiological Protection Program</v>
          </cell>
        </row>
        <row r="35">
          <cell r="A35" t="str">
            <v>HLWSS</v>
          </cell>
          <cell r="B35">
            <v>10</v>
          </cell>
          <cell r="C35" t="str">
            <v>Criticality</v>
          </cell>
          <cell r="D35" t="str">
            <v>Inadvertent criticality occurs due to multiple independent failures and/or highly improbable circumstances</v>
          </cell>
          <cell r="E35" t="str">
            <v>&gt;450 FGE
Pu-239</v>
          </cell>
          <cell r="F35" t="str">
            <v>NA</v>
          </cell>
          <cell r="G35" t="str">
            <v>NA</v>
          </cell>
          <cell r="H35" t="str">
            <v>Gnd</v>
          </cell>
          <cell r="I35">
            <v>850</v>
          </cell>
          <cell r="J35" t="str">
            <v>BEU</v>
          </cell>
          <cell r="K35" t="str">
            <v>N</v>
          </cell>
          <cell r="L35" t="str">
            <v>N</v>
          </cell>
          <cell r="M35" t="str">
            <v>N</v>
          </cell>
          <cell r="N35" t="str">
            <v>N</v>
          </cell>
          <cell r="O35" t="str">
            <v>IV</v>
          </cell>
          <cell r="P35" t="str">
            <v>IV</v>
          </cell>
          <cell r="Q35" t="str">
            <v>IV</v>
          </cell>
          <cell r="R35" t="str">
            <v>IV</v>
          </cell>
          <cell r="S35" t="str">
            <v>NA</v>
          </cell>
          <cell r="T35" t="str">
            <v>NA</v>
          </cell>
          <cell r="U35" t="str">
            <v>Gnd</v>
          </cell>
          <cell r="V35">
            <v>850</v>
          </cell>
          <cell r="W35" t="str">
            <v>BEU</v>
          </cell>
          <cell r="X35" t="str">
            <v>N</v>
          </cell>
          <cell r="Y35" t="str">
            <v>N</v>
          </cell>
          <cell r="Z35" t="str">
            <v>N</v>
          </cell>
          <cell r="AA35" t="str">
            <v>N</v>
          </cell>
          <cell r="AB35" t="str">
            <v>IV</v>
          </cell>
          <cell r="AC35" t="str">
            <v>IV</v>
          </cell>
          <cell r="AD35" t="str">
            <v>IV</v>
          </cell>
          <cell r="AE35" t="str">
            <v>IV</v>
          </cell>
          <cell r="AF35" t="str">
            <v xml:space="preserve">Low fissile material concentration, waste matrix form and composition, and presence of significant quantity of neutron absorbing material (iron, boron, U-238, Pu-240) limits waste reactivity and potential for re-organization into critical configuration.  </v>
          </cell>
          <cell r="AG35" t="str">
            <v>• PSRs for fissile material storage container specifications</v>
          </cell>
          <cell r="AH35" t="str">
            <v>•  Low concentration of fissile material in HLW
•  Very low effective enrichment of U-235 in waste uranium
•  Significant amount of neutron absorbers in waste</v>
          </cell>
          <cell r="AI35" t="str">
            <v>• PSR limits on container fissile mass
• PSR for fissile material storage containers</v>
          </cell>
          <cell r="AJ35" t="str">
            <v xml:space="preserve">•  Radiological Protection Program
•  Nuclear Criticality Safety Program
•  Quality Assurance Program
•  Performance Based Training Program
•  Conduct of Operations
•  Waste Management Program </v>
          </cell>
          <cell r="AK35" t="str">
            <v>•  None</v>
          </cell>
          <cell r="AL35" t="str">
            <v>•  None</v>
          </cell>
          <cell r="AM35" t="str">
            <v>•  None</v>
          </cell>
          <cell r="AN35" t="str">
            <v>•  Radiological Protection Program
•  Nuclear Criticality Safety Program
•  Emergency Response Program
•  Performance Based Training Program
•  Conduct of Operations</v>
          </cell>
        </row>
        <row r="36">
          <cell r="A36" t="str">
            <v>HLWSS</v>
          </cell>
          <cell r="B36">
            <v>11</v>
          </cell>
          <cell r="C36" t="str">
            <v>Corrosion</v>
          </cell>
          <cell r="D36" t="str">
            <v>Over a long period of time corrosion occurs to the metal seals of the cask resulting in corrosion of the overpack and canister bottoms with subsequent failure.</v>
          </cell>
          <cell r="E36">
            <v>2500</v>
          </cell>
          <cell r="F36" t="str">
            <v>SS</v>
          </cell>
          <cell r="G36">
            <v>0</v>
          </cell>
          <cell r="H36" t="str">
            <v>Gnd</v>
          </cell>
          <cell r="I36">
            <v>850</v>
          </cell>
          <cell r="J36" t="str">
            <v>U</v>
          </cell>
          <cell r="K36" t="str">
            <v>N</v>
          </cell>
          <cell r="L36" t="str">
            <v>N</v>
          </cell>
          <cell r="M36" t="str">
            <v>N</v>
          </cell>
          <cell r="N36" t="str">
            <v>N</v>
          </cell>
          <cell r="O36" t="str">
            <v>IV</v>
          </cell>
          <cell r="P36" t="str">
            <v>IV</v>
          </cell>
          <cell r="Q36" t="str">
            <v>IV</v>
          </cell>
          <cell r="R36" t="str">
            <v>IV</v>
          </cell>
          <cell r="S36" t="str">
            <v>SS</v>
          </cell>
          <cell r="T36">
            <v>0</v>
          </cell>
          <cell r="U36" t="str">
            <v>Gnd</v>
          </cell>
          <cell r="V36">
            <v>850</v>
          </cell>
          <cell r="W36" t="str">
            <v>U</v>
          </cell>
          <cell r="X36" t="str">
            <v>N</v>
          </cell>
          <cell r="Y36" t="str">
            <v>N</v>
          </cell>
          <cell r="Z36" t="str">
            <v>N</v>
          </cell>
          <cell r="AA36" t="str">
            <v>N</v>
          </cell>
          <cell r="AB36" t="str">
            <v>IV</v>
          </cell>
          <cell r="AC36" t="str">
            <v>IV</v>
          </cell>
          <cell r="AD36" t="str">
            <v>IV</v>
          </cell>
          <cell r="AE36" t="str">
            <v>IV</v>
          </cell>
          <cell r="AF36" t="str">
            <v xml:space="preserve">Carbon steel cask interior is coated to minimize corrosion. The overpack is stainless steel and rests on a stainless steel pad located on the bottom of the storage cask. The materials of construction and design limit the potential for corrosion of the canisters and canister overpack. MAR is cask containing 5 HLW canisters each containing an amount of activity equal to the maximum HLW canister (Ref. WVNS-CAL-396).  </v>
          </cell>
          <cell r="AG36" t="str">
            <v>•  None</v>
          </cell>
          <cell r="AH36" t="str">
            <v>•  MPC and canister basket assembly constructed of corrosion resistant material
•  Dual elastomer seals provided at the lid of the storage cask to prevent precipitation infiltration</v>
          </cell>
          <cell r="AI36" t="str">
            <v>•  None</v>
          </cell>
          <cell r="AJ36" t="str">
            <v xml:space="preserve">•  Quality Assurance Program
•  Performance Based Training Program
•  Maintenance Program
•  Conduct of Operations
•  Waste Management Program </v>
          </cell>
          <cell r="AK36" t="str">
            <v>•  None</v>
          </cell>
          <cell r="AL36" t="str">
            <v>•  Stainless steel canister basket and MPC construction
•  Sacrificial plate between components of dissimilar composition</v>
          </cell>
          <cell r="AM36" t="str">
            <v>•  None</v>
          </cell>
          <cell r="AN36" t="str">
            <v>•  None</v>
          </cell>
        </row>
        <row r="37">
          <cell r="A37" t="str">
            <v>HLWSS</v>
          </cell>
          <cell r="B37">
            <v>12</v>
          </cell>
          <cell r="C37" t="str">
            <v>Direct exposure to radiation</v>
          </cell>
          <cell r="D37" t="str">
            <v>During transport of cask workers are exposed to high levels of radiation over an extended period of time.</v>
          </cell>
          <cell r="E37" t="str">
            <v>Not applicable.</v>
          </cell>
          <cell r="F37" t="str">
            <v>NA</v>
          </cell>
          <cell r="G37" t="str">
            <v>NA</v>
          </cell>
          <cell r="H37" t="str">
            <v>Gnd</v>
          </cell>
          <cell r="I37">
            <v>850</v>
          </cell>
          <cell r="J37" t="str">
            <v>A</v>
          </cell>
          <cell r="K37" t="str">
            <v>M</v>
          </cell>
          <cell r="L37" t="str">
            <v>N</v>
          </cell>
          <cell r="M37" t="str">
            <v>N</v>
          </cell>
          <cell r="N37" t="str">
            <v>N</v>
          </cell>
          <cell r="O37" t="str">
            <v>I</v>
          </cell>
          <cell r="P37" t="str">
            <v>IV</v>
          </cell>
          <cell r="Q37" t="str">
            <v>IV</v>
          </cell>
          <cell r="R37" t="str">
            <v>IV</v>
          </cell>
          <cell r="S37" t="str">
            <v>NA</v>
          </cell>
          <cell r="T37" t="str">
            <v>NA</v>
          </cell>
          <cell r="U37" t="str">
            <v>Gnd</v>
          </cell>
          <cell r="V37">
            <v>850</v>
          </cell>
          <cell r="W37" t="str">
            <v>U</v>
          </cell>
          <cell r="X37" t="str">
            <v>L</v>
          </cell>
          <cell r="Y37" t="str">
            <v>N</v>
          </cell>
          <cell r="Z37" t="str">
            <v>N</v>
          </cell>
          <cell r="AA37" t="str">
            <v>N</v>
          </cell>
          <cell r="AB37" t="str">
            <v>III</v>
          </cell>
          <cell r="AC37" t="str">
            <v>IV</v>
          </cell>
          <cell r="AD37" t="str">
            <v>IV</v>
          </cell>
          <cell r="AE37" t="str">
            <v>IV</v>
          </cell>
          <cell r="AF37" t="str">
            <v xml:space="preserve">Reduced shielding on cask/MPC bottom is a known source of potentially elevated radiation levels during cask transport. Exposure risk will be mitigated by maintaining a low ground clearance (6” or less) during transportation.  </v>
          </cell>
          <cell r="AG37" t="str">
            <v>•  None</v>
          </cell>
          <cell r="AH37" t="str">
            <v>•  Heavily reinforced 19.75" thick concrete VSC
•  4" thick steel VSC shielding
•  Weld-sealed 3/8" thick steel MPC</v>
          </cell>
          <cell r="AI37" t="str">
            <v>•  None</v>
          </cell>
          <cell r="AJ37" t="str">
            <v xml:space="preserve">•  Radiological Protection Program
•  Quality Assurance Program
•  Performance Based Training Program
•  Conduct of Operations
•  Waste Management Program </v>
          </cell>
          <cell r="AK37" t="str">
            <v>•  None</v>
          </cell>
          <cell r="AL37" t="str">
            <v>•  None</v>
          </cell>
          <cell r="AM37" t="str">
            <v>•  None</v>
          </cell>
          <cell r="AN37" t="str">
            <v>•  Radiological Protection Program
•  Performance Based Training Program
•  Conduct of Operations</v>
          </cell>
        </row>
        <row r="38">
          <cell r="A38" t="str">
            <v>HLWSS</v>
          </cell>
          <cell r="B38">
            <v>13</v>
          </cell>
          <cell r="C38" t="str">
            <v>Flood</v>
          </cell>
          <cell r="D38" t="str">
            <v>A greater than 100-yr  rain event results in sheet flow that floods the storage area. Flooding may be exacerbated by plugged drainage channels or culverts.</v>
          </cell>
          <cell r="E38">
            <v>83000</v>
          </cell>
          <cell r="F38" t="str">
            <v>NA</v>
          </cell>
          <cell r="G38" t="str">
            <v>NA</v>
          </cell>
          <cell r="H38" t="str">
            <v>Gnd</v>
          </cell>
          <cell r="I38">
            <v>850</v>
          </cell>
          <cell r="J38" t="str">
            <v>U</v>
          </cell>
          <cell r="K38" t="str">
            <v>N</v>
          </cell>
          <cell r="L38" t="str">
            <v>N</v>
          </cell>
          <cell r="M38" t="str">
            <v>N</v>
          </cell>
          <cell r="N38" t="str">
            <v>N</v>
          </cell>
          <cell r="O38" t="str">
            <v>IV</v>
          </cell>
          <cell r="P38" t="str">
            <v>IV</v>
          </cell>
          <cell r="Q38" t="str">
            <v>IV</v>
          </cell>
          <cell r="R38" t="str">
            <v>IV</v>
          </cell>
          <cell r="S38" t="str">
            <v>NA</v>
          </cell>
          <cell r="T38" t="str">
            <v>NA</v>
          </cell>
          <cell r="U38" t="str">
            <v>Gnd</v>
          </cell>
          <cell r="V38">
            <v>850</v>
          </cell>
          <cell r="W38" t="str">
            <v>U</v>
          </cell>
          <cell r="X38" t="str">
            <v>N</v>
          </cell>
          <cell r="Y38" t="str">
            <v>N</v>
          </cell>
          <cell r="Z38" t="str">
            <v>N</v>
          </cell>
          <cell r="AA38" t="str">
            <v>N</v>
          </cell>
          <cell r="AB38" t="str">
            <v>IV</v>
          </cell>
          <cell r="AC38" t="str">
            <v>IV</v>
          </cell>
          <cell r="AD38" t="str">
            <v>IV</v>
          </cell>
          <cell r="AE38" t="str">
            <v>IV</v>
          </cell>
          <cell r="AF38" t="str">
            <v xml:space="preserve">Cask design provides isolation of stored waste from credible external water levels (ponding) due to flooding (i.e., no vent holes). MAR is entire inventory of radioactive material in HLWSS (Ref.WVNS-CAL-397, Table C-1, HLWSS).  </v>
          </cell>
          <cell r="AG38" t="str">
            <v>•  None</v>
          </cell>
          <cell r="AH38" t="str">
            <v>•  Siting of storage array in area away from areas of anticipated flooding</v>
          </cell>
          <cell r="AI38" t="str">
            <v>•  None</v>
          </cell>
          <cell r="AJ38" t="str">
            <v>•  None</v>
          </cell>
          <cell r="AK38" t="str">
            <v>•  None</v>
          </cell>
          <cell r="AL38" t="str">
            <v>•  Heavily reinforced 19.75" thick concrete VSC
•  Weld-sealed 3/8" thick steel MPC
•  Weld-sealed steel HLW canister
•  Borosilicate waste matrix that inhibits waste release and retards biological uptake due to stable chemical form</v>
          </cell>
          <cell r="AM38" t="str">
            <v>•  None</v>
          </cell>
          <cell r="AN38" t="str">
            <v>•  Radiological Protection Program
•  Performance Based Training Program
•  Conduct of Operations</v>
          </cell>
        </row>
        <row r="39">
          <cell r="A39" t="str">
            <v>HLWSS</v>
          </cell>
          <cell r="B39">
            <v>14</v>
          </cell>
          <cell r="C39" t="str">
            <v>Severe environmental conditions</v>
          </cell>
          <cell r="D39" t="str">
            <v>Severe weather patterns result in extended periods of extreme heat or cold.</v>
          </cell>
          <cell r="E39">
            <v>2500</v>
          </cell>
          <cell r="F39" t="str">
            <v>SS</v>
          </cell>
          <cell r="G39">
            <v>0</v>
          </cell>
          <cell r="H39" t="str">
            <v>Gnd</v>
          </cell>
          <cell r="I39">
            <v>850</v>
          </cell>
          <cell r="J39" t="str">
            <v>A</v>
          </cell>
          <cell r="K39" t="str">
            <v>N</v>
          </cell>
          <cell r="L39" t="str">
            <v>N</v>
          </cell>
          <cell r="M39" t="str">
            <v>N</v>
          </cell>
          <cell r="N39" t="str">
            <v>N</v>
          </cell>
          <cell r="O39" t="str">
            <v>IV</v>
          </cell>
          <cell r="P39" t="str">
            <v>IV</v>
          </cell>
          <cell r="Q39" t="str">
            <v>IV</v>
          </cell>
          <cell r="R39" t="str">
            <v>IV</v>
          </cell>
          <cell r="S39" t="str">
            <v>SS</v>
          </cell>
          <cell r="T39">
            <v>0</v>
          </cell>
          <cell r="U39" t="str">
            <v>Gnd</v>
          </cell>
          <cell r="V39">
            <v>850</v>
          </cell>
          <cell r="W39" t="str">
            <v>A</v>
          </cell>
          <cell r="X39" t="str">
            <v>N</v>
          </cell>
          <cell r="Y39" t="str">
            <v>N</v>
          </cell>
          <cell r="Z39" t="str">
            <v>N</v>
          </cell>
          <cell r="AA39" t="str">
            <v>N</v>
          </cell>
          <cell r="AB39" t="str">
            <v>IV</v>
          </cell>
          <cell r="AC39" t="str">
            <v>IV</v>
          </cell>
          <cell r="AD39" t="str">
            <v>IV</v>
          </cell>
          <cell r="AE39" t="str">
            <v>IV</v>
          </cell>
          <cell r="AF39" t="str">
            <v xml:space="preserve"> MAR is cask containing 5 HLW canisters each containing an amount of activity equal to the maximum HLW canister (Ref. WVNS-CAL-396).  </v>
          </cell>
          <cell r="AG39" t="str">
            <v>•  None</v>
          </cell>
          <cell r="AH39" t="str">
            <v>•  Storage system designed for a temperature range of -40 to 100 degrees Fahrenheit</v>
          </cell>
          <cell r="AI39" t="str">
            <v>•  None</v>
          </cell>
          <cell r="AJ39" t="str">
            <v>•  None</v>
          </cell>
          <cell r="AK39" t="str">
            <v>•  None</v>
          </cell>
          <cell r="AL39" t="str">
            <v>•  Weld-sealed 3/8" thick steel MPC
•  Weld-sealed steel HLW canister
•  Borosilicate waste matrix that inhibits waste release and retards biological uptake due to stable chemical form</v>
          </cell>
          <cell r="AM39" t="str">
            <v>•  None</v>
          </cell>
          <cell r="AN39" t="str">
            <v>•  None</v>
          </cell>
        </row>
        <row r="40">
          <cell r="A40" t="str">
            <v>HLWSS</v>
          </cell>
          <cell r="B40">
            <v>15</v>
          </cell>
          <cell r="C40" t="str">
            <v>High wind</v>
          </cell>
          <cell r="D40" t="str">
            <v>High straight winds produce airborne hazards that impact storage cask.</v>
          </cell>
          <cell r="E40">
            <v>83000</v>
          </cell>
          <cell r="F40" t="str">
            <v>SS</v>
          </cell>
          <cell r="G40">
            <v>0</v>
          </cell>
          <cell r="H40" t="str">
            <v>Gnd</v>
          </cell>
          <cell r="I40">
            <v>850</v>
          </cell>
          <cell r="J40" t="str">
            <v>A</v>
          </cell>
          <cell r="K40" t="str">
            <v>N</v>
          </cell>
          <cell r="L40" t="str">
            <v>N</v>
          </cell>
          <cell r="M40" t="str">
            <v>N</v>
          </cell>
          <cell r="N40" t="str">
            <v>N</v>
          </cell>
          <cell r="O40" t="str">
            <v>IV</v>
          </cell>
          <cell r="P40" t="str">
            <v>IV</v>
          </cell>
          <cell r="Q40" t="str">
            <v>IV</v>
          </cell>
          <cell r="R40" t="str">
            <v>IV</v>
          </cell>
          <cell r="S40" t="str">
            <v>SS</v>
          </cell>
          <cell r="T40">
            <v>0</v>
          </cell>
          <cell r="U40" t="str">
            <v>Gnd</v>
          </cell>
          <cell r="V40">
            <v>850</v>
          </cell>
          <cell r="W40" t="str">
            <v>A</v>
          </cell>
          <cell r="X40" t="str">
            <v>N</v>
          </cell>
          <cell r="Y40" t="str">
            <v>N</v>
          </cell>
          <cell r="Z40" t="str">
            <v>N</v>
          </cell>
          <cell r="AA40" t="str">
            <v>N</v>
          </cell>
          <cell r="AB40" t="str">
            <v>IV</v>
          </cell>
          <cell r="AC40" t="str">
            <v>IV</v>
          </cell>
          <cell r="AD40" t="str">
            <v>IV</v>
          </cell>
          <cell r="AE40" t="str">
            <v>IV</v>
          </cell>
          <cell r="AF40" t="str">
            <v xml:space="preserve">VSC determined to be stable against tip-over and sliding during high wind conditions (ref. NAC Calculation 630087-2010, Revision 0, MPC-WVDP VSC Structural Evaluation). MAR is entire inventory of radioactive material in HLWSS (Ref.WVNS-CAL-397, Table C-1, HLWSS).  </v>
          </cell>
          <cell r="AG40" t="str">
            <v>•  None</v>
          </cell>
          <cell r="AH40" t="str">
            <v>•  Cask construction details (reinforced concrete with 4-inch thick interior steel radial shield)
•  MPC design (welded steel confinement)</v>
          </cell>
          <cell r="AI40" t="str">
            <v>•  None</v>
          </cell>
          <cell r="AJ40" t="str">
            <v xml:space="preserve">•  Quality Assurance Program
•  Performance Based Training Program
•  Waste Management Program </v>
          </cell>
          <cell r="AK40" t="str">
            <v>•  None</v>
          </cell>
          <cell r="AL40"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AM40" t="str">
            <v>•  None</v>
          </cell>
          <cell r="AN40" t="str">
            <v>•  Radiological Protection Program
•  Emergency Response Program
•  Performance Based Training Program
•  Conduct of Operations</v>
          </cell>
        </row>
        <row r="41">
          <cell r="A41" t="str">
            <v>HLWSS</v>
          </cell>
          <cell r="B41">
            <v>16</v>
          </cell>
          <cell r="C41" t="str">
            <v>Seismic event</v>
          </cell>
          <cell r="D41" t="str">
            <v>Seismic accelerations impose loads on MPC/cask system (no tip over)</v>
          </cell>
          <cell r="E41">
            <v>83000</v>
          </cell>
          <cell r="F41" t="str">
            <v>SS</v>
          </cell>
          <cell r="G41">
            <v>0</v>
          </cell>
          <cell r="H41" t="str">
            <v>Gnd</v>
          </cell>
          <cell r="I41">
            <v>850</v>
          </cell>
          <cell r="J41" t="str">
            <v>U</v>
          </cell>
          <cell r="K41" t="str">
            <v>N</v>
          </cell>
          <cell r="L41" t="str">
            <v>N</v>
          </cell>
          <cell r="M41" t="str">
            <v>N</v>
          </cell>
          <cell r="N41" t="str">
            <v>N</v>
          </cell>
          <cell r="O41" t="str">
            <v>IV</v>
          </cell>
          <cell r="P41" t="str">
            <v>IV</v>
          </cell>
          <cell r="Q41" t="str">
            <v>IV</v>
          </cell>
          <cell r="R41" t="str">
            <v>IV</v>
          </cell>
          <cell r="S41" t="str">
            <v>SS</v>
          </cell>
          <cell r="T41">
            <v>0</v>
          </cell>
          <cell r="U41" t="str">
            <v>Gnd</v>
          </cell>
          <cell r="V41">
            <v>850</v>
          </cell>
          <cell r="W41" t="str">
            <v>U</v>
          </cell>
          <cell r="X41" t="str">
            <v>N</v>
          </cell>
          <cell r="Y41" t="str">
            <v>N</v>
          </cell>
          <cell r="Z41" t="str">
            <v>N</v>
          </cell>
          <cell r="AA41" t="str">
            <v>N</v>
          </cell>
          <cell r="AB41" t="str">
            <v>IV</v>
          </cell>
          <cell r="AC41" t="str">
            <v>IV</v>
          </cell>
          <cell r="AD41" t="str">
            <v>IV</v>
          </cell>
          <cell r="AE41" t="str">
            <v>IV</v>
          </cell>
          <cell r="AF41" t="str">
            <v xml:space="preserve"> MAR is entire inventory of radioactive material in HLWSS (Ref.WVNS-CAL-397, Table C-1, HLWSS).  </v>
          </cell>
          <cell r="AG41" t="str">
            <v>•  None</v>
          </cell>
          <cell r="AH41" t="str">
            <v>•  Cask construction details (reinforced concrete with 4-inch thick interior steel radial shield)
•  MPC design (welded steel confinement)
•  Seismically qualified storage pad
•  Low VSC center of gravity</v>
          </cell>
          <cell r="AI41" t="str">
            <v>•  None</v>
          </cell>
          <cell r="AJ41" t="str">
            <v>•  None</v>
          </cell>
          <cell r="AK41" t="str">
            <v>•  None</v>
          </cell>
          <cell r="AL41"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AM41" t="str">
            <v>•  None</v>
          </cell>
          <cell r="AN41" t="str">
            <v>•  Radiological Protection Program
•  Emergency Response Program
•  Performance Based Training Program
•  Conduct of Operations</v>
          </cell>
        </row>
        <row r="42">
          <cell r="A42" t="str">
            <v>HLWSS</v>
          </cell>
          <cell r="B42">
            <v>17</v>
          </cell>
          <cell r="C42" t="str">
            <v>Seismic event (tip over)</v>
          </cell>
          <cell r="D42" t="str">
            <v>Seismic event causes tip over of storage cask.</v>
          </cell>
          <cell r="E42">
            <v>2500</v>
          </cell>
          <cell r="F42" t="str">
            <v>SS</v>
          </cell>
          <cell r="G42">
            <v>0</v>
          </cell>
          <cell r="H42" t="str">
            <v>Gnd</v>
          </cell>
          <cell r="I42">
            <v>850</v>
          </cell>
          <cell r="J42" t="str">
            <v>BEU</v>
          </cell>
          <cell r="K42" t="str">
            <v>N</v>
          </cell>
          <cell r="L42" t="str">
            <v>N</v>
          </cell>
          <cell r="M42" t="str">
            <v>N</v>
          </cell>
          <cell r="N42" t="str">
            <v>N</v>
          </cell>
          <cell r="O42" t="str">
            <v>IV</v>
          </cell>
          <cell r="P42" t="str">
            <v>IV</v>
          </cell>
          <cell r="Q42" t="str">
            <v>IV</v>
          </cell>
          <cell r="R42" t="str">
            <v>IV</v>
          </cell>
          <cell r="S42" t="str">
            <v>SS</v>
          </cell>
          <cell r="T42">
            <v>0</v>
          </cell>
          <cell r="U42" t="str">
            <v>Gnd</v>
          </cell>
          <cell r="V42">
            <v>850</v>
          </cell>
          <cell r="W42" t="str">
            <v>BEU</v>
          </cell>
          <cell r="X42" t="str">
            <v>N</v>
          </cell>
          <cell r="Y42" t="str">
            <v>N</v>
          </cell>
          <cell r="Z42" t="str">
            <v>N</v>
          </cell>
          <cell r="AA42" t="str">
            <v>N</v>
          </cell>
          <cell r="AB42" t="str">
            <v>IV</v>
          </cell>
          <cell r="AC42" t="str">
            <v>IV</v>
          </cell>
          <cell r="AD42" t="str">
            <v>IV</v>
          </cell>
          <cell r="AE42" t="str">
            <v>IV</v>
          </cell>
          <cell r="AF42" t="str">
            <v xml:space="preserve">VSC determined to be stable against tip-over under conditions (ref. NAC Calculation 630087-2010, Revision 0, MPC-WVDP VSC Structural Evaluation). MAR is cask containing 5 HLW canisters each containing an amount of activity equal to the maximum HLW canister (Ref. WVNS-CAL-396).  </v>
          </cell>
          <cell r="AG42" t="str">
            <v>•  None</v>
          </cell>
          <cell r="AH42" t="str">
            <v>•  None</v>
          </cell>
          <cell r="AI42" t="str">
            <v>•  None</v>
          </cell>
          <cell r="AJ42" t="str">
            <v>•  None</v>
          </cell>
          <cell r="AK42" t="str">
            <v>•  None</v>
          </cell>
          <cell r="AL42" t="str">
            <v>•  Heavily reinforced 19.75" thick concrete VSC
•  4" thick steel VSC shielding
•  Weld-sealed 3/8" thick steel MPC
•  Weld-sealed steel HLW canister
•  Borosilicate waste matrix that inhibits waste release and retards biological uptake due to stable chemical form</v>
          </cell>
          <cell r="AM42" t="str">
            <v>•  None</v>
          </cell>
          <cell r="AN42" t="str">
            <v>•  Radiological Protection Program
•  Emergency Response Program
•  Performance Based Training Program
•  Conduct of Operations</v>
          </cell>
        </row>
        <row r="43">
          <cell r="A43" t="str">
            <v>HLWSS</v>
          </cell>
          <cell r="B43">
            <v>18</v>
          </cell>
          <cell r="C43" t="str">
            <v>Tornado</v>
          </cell>
          <cell r="D43" t="str">
            <v>Large negative pressure created by tornado induces significant release of  contamination from storage cask</v>
          </cell>
          <cell r="E43">
            <v>83000</v>
          </cell>
          <cell r="F43" t="str">
            <v>SS</v>
          </cell>
          <cell r="G43">
            <v>0</v>
          </cell>
          <cell r="H43" t="str">
            <v>Gnd</v>
          </cell>
          <cell r="I43">
            <v>850</v>
          </cell>
          <cell r="J43" t="str">
            <v>U</v>
          </cell>
          <cell r="K43" t="str">
            <v>N</v>
          </cell>
          <cell r="L43" t="str">
            <v>N</v>
          </cell>
          <cell r="M43" t="str">
            <v>N</v>
          </cell>
          <cell r="N43" t="str">
            <v>N</v>
          </cell>
          <cell r="O43" t="str">
            <v>IV</v>
          </cell>
          <cell r="P43" t="str">
            <v>IV</v>
          </cell>
          <cell r="Q43" t="str">
            <v>IV</v>
          </cell>
          <cell r="R43" t="str">
            <v>IV</v>
          </cell>
          <cell r="S43" t="str">
            <v>SS</v>
          </cell>
          <cell r="T43">
            <v>0</v>
          </cell>
          <cell r="U43" t="str">
            <v>Gnd</v>
          </cell>
          <cell r="V43">
            <v>850</v>
          </cell>
          <cell r="W43" t="str">
            <v>BEU</v>
          </cell>
          <cell r="X43" t="str">
            <v>N</v>
          </cell>
          <cell r="Y43" t="str">
            <v>N</v>
          </cell>
          <cell r="Z43" t="str">
            <v>N</v>
          </cell>
          <cell r="AA43" t="str">
            <v>N</v>
          </cell>
          <cell r="AB43" t="str">
            <v>IV</v>
          </cell>
          <cell r="AC43" t="str">
            <v>IV</v>
          </cell>
          <cell r="AD43" t="str">
            <v>IV</v>
          </cell>
          <cell r="AE43" t="str">
            <v>IV</v>
          </cell>
          <cell r="AF43" t="str">
            <v xml:space="preserve">Void space internal to cask and external to MPC expected to contain little to no removable surface contamination. In addition, surface contamination internal to MPC also expected to be maintained at low levels. Lack of passive vents in cask further inhibits release of any internal contamination. VSC capable of resisting effects of tornadic winds and tornado-borne missiles (ref. WVNS-CAL-391, Addendum 2). MAR is entire inventory of radioactive material in HLWSS (Ref.WVNS-CAL-397, Table C-1, HLWSS).  </v>
          </cell>
          <cell r="AG43" t="str">
            <v>•  None</v>
          </cell>
          <cell r="AH43" t="str">
            <v>•  Cask construction details (sealed lid with no vent holes)
•  Cask construction details (reinforced concrete with thick interior steel shield)
•  MPC design (welded steel confinement)
•  HLW canister design (welded steel confinement)
•  Vitrified waste form (nondispersible, encapsulated waste)</v>
          </cell>
          <cell r="AI43" t="str">
            <v>•  None</v>
          </cell>
          <cell r="AJ43" t="str">
            <v>•  None</v>
          </cell>
          <cell r="AK43" t="str">
            <v>•  None</v>
          </cell>
          <cell r="AL43"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AM43" t="str">
            <v>•  None</v>
          </cell>
          <cell r="AN43" t="str">
            <v>•  Radiological Protection Program
•  Emergency Response Program
•  Performance Based Training Program
•  Conduct of Operations</v>
          </cell>
        </row>
        <row r="44">
          <cell r="A44" t="str">
            <v>HLWSS</v>
          </cell>
          <cell r="B44">
            <v>19</v>
          </cell>
          <cell r="C44" t="str">
            <v>Tornado</v>
          </cell>
          <cell r="D44" t="str">
            <v>Tornado borne missiles impact storage cask</v>
          </cell>
          <cell r="E44">
            <v>83000</v>
          </cell>
          <cell r="F44" t="str">
            <v>SS</v>
          </cell>
          <cell r="G44">
            <v>0</v>
          </cell>
          <cell r="H44" t="str">
            <v>Gnd</v>
          </cell>
          <cell r="I44">
            <v>850</v>
          </cell>
          <cell r="J44" t="str">
            <v>U</v>
          </cell>
          <cell r="K44" t="str">
            <v>N</v>
          </cell>
          <cell r="L44" t="str">
            <v>N</v>
          </cell>
          <cell r="M44" t="str">
            <v>N</v>
          </cell>
          <cell r="N44" t="str">
            <v>N</v>
          </cell>
          <cell r="O44" t="str">
            <v>IV</v>
          </cell>
          <cell r="P44" t="str">
            <v>IV</v>
          </cell>
          <cell r="Q44" t="str">
            <v>IV</v>
          </cell>
          <cell r="R44" t="str">
            <v>IV</v>
          </cell>
          <cell r="S44" t="str">
            <v>SS</v>
          </cell>
          <cell r="T44">
            <v>0</v>
          </cell>
          <cell r="U44" t="str">
            <v>Gnd</v>
          </cell>
          <cell r="V44">
            <v>850</v>
          </cell>
          <cell r="W44" t="str">
            <v>BEU</v>
          </cell>
          <cell r="X44" t="str">
            <v>N</v>
          </cell>
          <cell r="Y44" t="str">
            <v>N</v>
          </cell>
          <cell r="Z44" t="str">
            <v>N</v>
          </cell>
          <cell r="AA44" t="str">
            <v>N</v>
          </cell>
          <cell r="AB44" t="str">
            <v>IV</v>
          </cell>
          <cell r="AC44" t="str">
            <v>IV</v>
          </cell>
          <cell r="AD44" t="str">
            <v>IV</v>
          </cell>
          <cell r="AE44" t="str">
            <v>IV</v>
          </cell>
          <cell r="AF44" t="str">
            <v xml:space="preserve">Void space internal to cask and external to MPC expected to contain little to no removable surface contamination. In addition, surface contamination internal to MPC also expected to be maintained at low levels. Lack of passive vents in cask further inhibits release of any internal contamination. VSC capable of resisting effects of tornadic winds and tornado-borne missiles (ref. WVNS-CAL-391, Addendum 2). MAR is entire inventory of radioactive material in HLWSS (Ref.WVNS-CAL-397, Table C-1, HLWSS).  </v>
          </cell>
          <cell r="AG44" t="str">
            <v>•  None</v>
          </cell>
          <cell r="AH44" t="str">
            <v>•  Cask construction details (sealed lid with no vent holes)
•  Cask construction details (reinforced concrete with thick interior steel shield)
•  MPC design (welded steel confinement)
•  HLW canister design (welded steel confinement)
•  Vitrified waste form (nondispersible, encapsulated waste)</v>
          </cell>
          <cell r="AI44" t="str">
            <v>•  None</v>
          </cell>
          <cell r="AJ44" t="str">
            <v>•  None</v>
          </cell>
          <cell r="AK44" t="str">
            <v>•  None</v>
          </cell>
          <cell r="AL44"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AM44" t="str">
            <v>•  None</v>
          </cell>
          <cell r="AN44" t="str">
            <v>•  Radiological Protection Program
•  Emergency Response Program
•  Performance Based Training Program
•  Conduct of Operations</v>
          </cell>
        </row>
        <row r="45">
          <cell r="A45" t="str">
            <v>HLWSS</v>
          </cell>
          <cell r="B45">
            <v>20</v>
          </cell>
          <cell r="C45" t="str">
            <v>Lightning</v>
          </cell>
          <cell r="D45" t="str">
            <v>Lightning strikes one of the casks</v>
          </cell>
          <cell r="E45">
            <v>2500</v>
          </cell>
          <cell r="F45" t="str">
            <v>SS</v>
          </cell>
          <cell r="G45">
            <v>0</v>
          </cell>
          <cell r="H45" t="str">
            <v>Gnd</v>
          </cell>
          <cell r="I45">
            <v>850</v>
          </cell>
          <cell r="J45" t="str">
            <v>U</v>
          </cell>
          <cell r="K45" t="str">
            <v>N</v>
          </cell>
          <cell r="L45" t="str">
            <v>N</v>
          </cell>
          <cell r="M45" t="str">
            <v>N</v>
          </cell>
          <cell r="N45" t="str">
            <v>N</v>
          </cell>
          <cell r="O45" t="str">
            <v>IV</v>
          </cell>
          <cell r="P45" t="str">
            <v>IV</v>
          </cell>
          <cell r="Q45" t="str">
            <v>IV</v>
          </cell>
          <cell r="R45" t="str">
            <v>IV</v>
          </cell>
          <cell r="S45" t="str">
            <v>SS</v>
          </cell>
          <cell r="T45">
            <v>0</v>
          </cell>
          <cell r="U45" t="str">
            <v>Gnd</v>
          </cell>
          <cell r="V45">
            <v>850</v>
          </cell>
          <cell r="W45" t="str">
            <v>U</v>
          </cell>
          <cell r="X45" t="str">
            <v>N</v>
          </cell>
          <cell r="Y45" t="str">
            <v>N</v>
          </cell>
          <cell r="Z45" t="str">
            <v>N</v>
          </cell>
          <cell r="AA45" t="str">
            <v>N</v>
          </cell>
          <cell r="AB45" t="str">
            <v>IV</v>
          </cell>
          <cell r="AC45" t="str">
            <v>IV</v>
          </cell>
          <cell r="AD45" t="str">
            <v>IV</v>
          </cell>
          <cell r="AE45" t="str">
            <v>IV</v>
          </cell>
          <cell r="AF45" t="str">
            <v xml:space="preserve">Waste protected by conductive shielding of cask interior.  MAR is cask containing 5 HLW canisters each containing an amount of activity equal to the maximum HLW canister (Ref. WVNS-CAL-396).  </v>
          </cell>
          <cell r="AG45" t="str">
            <v>•  None</v>
          </cell>
          <cell r="AH45" t="str">
            <v>•  VSCs located on storage pad are within 500 feet of 197-ft tall meteorological tower
•  Lighting/camera poles at each corner of storage pad</v>
          </cell>
          <cell r="AI45" t="str">
            <v>•  None</v>
          </cell>
          <cell r="AJ45" t="str">
            <v xml:space="preserve">•  Quality Assurance Program
•  Waste Management Program </v>
          </cell>
          <cell r="AK45" t="str">
            <v>•  None</v>
          </cell>
          <cell r="AL45" t="str">
            <v>•  Weld-sealed 3/8" thick steel MPC
•  Weld-sealed steel HLW canister</v>
          </cell>
          <cell r="AM45" t="str">
            <v>•  None</v>
          </cell>
          <cell r="AN45" t="str">
            <v>•  Radiological Protection Program
•  Emergency Response Program
•  Fire Protection Program
•  Performance Based Training Program
•  Conduct of Operations</v>
          </cell>
        </row>
        <row r="46">
          <cell r="A46" t="str">
            <v>HLWSS</v>
          </cell>
          <cell r="B46">
            <v>21</v>
          </cell>
          <cell r="C46" t="str">
            <v>Aircraft impact with fire</v>
          </cell>
          <cell r="D46" t="str">
            <v>Small general aviation aircraft or helicopter crashes and a fire ensues</v>
          </cell>
          <cell r="E46">
            <v>83000</v>
          </cell>
          <cell r="F46" t="str">
            <v>SS</v>
          </cell>
          <cell r="G46">
            <v>0</v>
          </cell>
          <cell r="H46" t="str">
            <v>Gnd</v>
          </cell>
          <cell r="I46">
            <v>850</v>
          </cell>
          <cell r="J46" t="str">
            <v>BEU</v>
          </cell>
          <cell r="K46" t="str">
            <v>N</v>
          </cell>
          <cell r="L46" t="str">
            <v>N</v>
          </cell>
          <cell r="M46" t="str">
            <v>N</v>
          </cell>
          <cell r="N46" t="str">
            <v>N</v>
          </cell>
          <cell r="O46" t="str">
            <v>IV</v>
          </cell>
          <cell r="P46" t="str">
            <v>IV</v>
          </cell>
          <cell r="Q46" t="str">
            <v>IV</v>
          </cell>
          <cell r="R46" t="str">
            <v>IV</v>
          </cell>
          <cell r="S46" t="str">
            <v>SS</v>
          </cell>
          <cell r="T46">
            <v>0</v>
          </cell>
          <cell r="U46" t="str">
            <v>Gnd</v>
          </cell>
          <cell r="V46">
            <v>850</v>
          </cell>
          <cell r="W46" t="str">
            <v>BEU</v>
          </cell>
          <cell r="X46" t="str">
            <v>N</v>
          </cell>
          <cell r="Y46" t="str">
            <v>N</v>
          </cell>
          <cell r="Z46" t="str">
            <v>N</v>
          </cell>
          <cell r="AA46" t="str">
            <v>N</v>
          </cell>
          <cell r="AB46" t="str">
            <v>IV</v>
          </cell>
          <cell r="AC46" t="str">
            <v>IV</v>
          </cell>
          <cell r="AD46" t="str">
            <v>IV</v>
          </cell>
          <cell r="AE46" t="str">
            <v>IV</v>
          </cell>
          <cell r="AF46" t="str">
            <v xml:space="preserve"> MAR is entire inventory of radioactive material in HLWSS (Ref.WVNS-CAL-397, Table C-1, HLWSS).  </v>
          </cell>
          <cell r="AG46" t="str">
            <v>•  None</v>
          </cell>
          <cell r="AH46" t="str">
            <v>•  None</v>
          </cell>
          <cell r="AI46" t="str">
            <v>•  None</v>
          </cell>
          <cell r="AJ46" t="str">
            <v>•  None</v>
          </cell>
          <cell r="AK46" t="str">
            <v>•  None</v>
          </cell>
          <cell r="AL46"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AM46" t="str">
            <v>• SAC for APPROVED CONTAINER use</v>
          </cell>
          <cell r="AN46" t="str">
            <v>•  Radiological Protection Program
•  Emergency Response Program
•  Fire Protection Program
•  Performance Based Training Program
•  Conduct of Operations</v>
          </cell>
        </row>
        <row r="47">
          <cell r="A47" t="str">
            <v>HLWSS</v>
          </cell>
          <cell r="B47">
            <v>22</v>
          </cell>
          <cell r="C47" t="str">
            <v>Loss of airborne contamination confinement</v>
          </cell>
          <cell r="D47" t="str">
            <v>Weld degradation and waste form embrittlement results in loss of container integrity and airborne contamination release</v>
          </cell>
          <cell r="E47">
            <v>2500</v>
          </cell>
          <cell r="F47" t="str">
            <v>SS</v>
          </cell>
          <cell r="G47">
            <v>0</v>
          </cell>
          <cell r="H47" t="str">
            <v>Gnd</v>
          </cell>
          <cell r="I47">
            <v>850</v>
          </cell>
          <cell r="J47" t="str">
            <v>EU</v>
          </cell>
          <cell r="K47" t="str">
            <v>N</v>
          </cell>
          <cell r="L47" t="str">
            <v>N</v>
          </cell>
          <cell r="M47" t="str">
            <v>N</v>
          </cell>
          <cell r="N47" t="str">
            <v>N</v>
          </cell>
          <cell r="O47" t="str">
            <v>IV</v>
          </cell>
          <cell r="P47" t="str">
            <v>IV</v>
          </cell>
          <cell r="Q47" t="str">
            <v>IV</v>
          </cell>
          <cell r="R47" t="str">
            <v>IV</v>
          </cell>
          <cell r="S47" t="str">
            <v>SS</v>
          </cell>
          <cell r="T47">
            <v>0</v>
          </cell>
          <cell r="U47" t="str">
            <v>Gnd</v>
          </cell>
          <cell r="V47">
            <v>850</v>
          </cell>
          <cell r="W47" t="str">
            <v>BEU</v>
          </cell>
          <cell r="X47" t="str">
            <v>N</v>
          </cell>
          <cell r="Y47" t="str">
            <v>N</v>
          </cell>
          <cell r="Z47" t="str">
            <v>N</v>
          </cell>
          <cell r="AA47" t="str">
            <v>N</v>
          </cell>
          <cell r="AB47" t="str">
            <v>IV</v>
          </cell>
          <cell r="AC47" t="str">
            <v>IV</v>
          </cell>
          <cell r="AD47" t="str">
            <v>IV</v>
          </cell>
          <cell r="AE47" t="str">
            <v>IV</v>
          </cell>
          <cell r="AF47" t="str">
            <v xml:space="preserve"> MAR is cask containing 5 HLW canisters each containing an amount of activity equal to the maximum HLW canister (Ref. WVNS-CAL-396).  </v>
          </cell>
          <cell r="AG47" t="str">
            <v>•  None</v>
          </cell>
          <cell r="AH47" t="str">
            <v>•  Welded seals on HLW canister and MPC
•  HEPA filter vents on waste drums
•  Gasketed seals on waste drums on VSC</v>
          </cell>
          <cell r="AI47" t="str">
            <v>•  None</v>
          </cell>
          <cell r="AJ47" t="str">
            <v>•  Quality Assurance Program
•  Fire Protection Program
•  Performance Based Training Program
•  Maintenance Program
•  Conduct of Operations</v>
          </cell>
          <cell r="AK47" t="str">
            <v>•  None</v>
          </cell>
          <cell r="AL47" t="str">
            <v>•  Weld-sealed MPC
•  Weld-sealed steel HLW canister
•  Borosilicate waste matrix</v>
          </cell>
          <cell r="AM47" t="str">
            <v>•  None</v>
          </cell>
          <cell r="AN47" t="str">
            <v>•  Radiological Protection Program
•  Performance Based Training Program
•  Conduct of Operations</v>
          </cell>
        </row>
        <row r="48">
          <cell r="A48" t="str">
            <v>HLWSS</v>
          </cell>
          <cell r="B48">
            <v>23</v>
          </cell>
          <cell r="C48" t="str">
            <v>External vehicle accident</v>
          </cell>
          <cell r="D48" t="str">
            <v>Impact of waste on storage pad by vehicle having a speed that can't be reasonably assumed to be &lt;~10 mph</v>
          </cell>
          <cell r="E48">
            <v>83000</v>
          </cell>
          <cell r="F48" t="str">
            <v>E16</v>
          </cell>
          <cell r="G48">
            <v>0.1</v>
          </cell>
          <cell r="H48" t="str">
            <v>Gnd</v>
          </cell>
          <cell r="I48">
            <v>850</v>
          </cell>
          <cell r="J48" t="str">
            <v>U</v>
          </cell>
          <cell r="K48" t="str">
            <v>H</v>
          </cell>
          <cell r="L48" t="str">
            <v>H</v>
          </cell>
          <cell r="M48" t="str">
            <v>N</v>
          </cell>
          <cell r="N48" t="str">
            <v>N</v>
          </cell>
          <cell r="O48" t="str">
            <v>I</v>
          </cell>
          <cell r="P48" t="str">
            <v>I</v>
          </cell>
          <cell r="Q48" t="str">
            <v>IV</v>
          </cell>
          <cell r="R48" t="str">
            <v>IV</v>
          </cell>
          <cell r="S48" t="str">
            <v>E16</v>
          </cell>
          <cell r="T48">
            <v>0</v>
          </cell>
          <cell r="U48" t="str">
            <v>Gnd</v>
          </cell>
          <cell r="V48">
            <v>850</v>
          </cell>
          <cell r="W48" t="str">
            <v>EU</v>
          </cell>
          <cell r="X48" t="str">
            <v>N</v>
          </cell>
          <cell r="Y48" t="str">
            <v>N</v>
          </cell>
          <cell r="Z48" t="str">
            <v>N</v>
          </cell>
          <cell r="AA48" t="str">
            <v>N</v>
          </cell>
          <cell r="AB48" t="str">
            <v>IV</v>
          </cell>
          <cell r="AC48" t="str">
            <v>IV</v>
          </cell>
          <cell r="AD48" t="str">
            <v>IV</v>
          </cell>
          <cell r="AE48" t="str">
            <v>IV</v>
          </cell>
          <cell r="AF48" t="str">
            <v xml:space="preserve">Impact by vehicle having a speed that can't be reasonably assumed to be &lt;~10 mph (e.g., plow truck, vendor/ subcontractor vehicle, etc.).  MAR is entire inventory of radioactive material in HLWSS (Ref.WVNS-CAL-397, Table C-1, HLWSS).  </v>
          </cell>
          <cell r="AG48" t="str">
            <v>•  None</v>
          </cell>
          <cell r="AH48" t="str">
            <v>•  Physical barriers such as Jersey barriers to protect from vehicle impacts</v>
          </cell>
          <cell r="AI48" t="str">
            <v>• SAC for TRU waste drum fire protection
• SAC for TRU waste container physical protection</v>
          </cell>
          <cell r="AJ48" t="str">
            <v xml:space="preserve">•  Quality Assurance Program
•  Performance Based Training Program
•  Waste Management Program </v>
          </cell>
          <cell r="AK48" t="str">
            <v>•  None</v>
          </cell>
          <cell r="AL48"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AM48" t="str">
            <v>•  None</v>
          </cell>
          <cell r="AN48" t="str">
            <v>•  Emergency Response Program
•  Radiological Protection Program</v>
          </cell>
        </row>
        <row r="49">
          <cell r="A49" t="str">
            <v>HLWSS</v>
          </cell>
          <cell r="B49">
            <v>24</v>
          </cell>
          <cell r="C49" t="str">
            <v>External vehicle accident with fire</v>
          </cell>
          <cell r="D49" t="str">
            <v>Impact of waste on storage pad by vehicle having a speed that can't be reasonably assumed to be &lt;~10 mph accompanied by fire</v>
          </cell>
          <cell r="E49">
            <v>83000</v>
          </cell>
          <cell r="F49" t="str">
            <v>E17</v>
          </cell>
          <cell r="G49">
            <v>1</v>
          </cell>
          <cell r="H49" t="str">
            <v>Gnd</v>
          </cell>
          <cell r="I49">
            <v>850</v>
          </cell>
          <cell r="J49" t="str">
            <v>EU</v>
          </cell>
          <cell r="K49" t="str">
            <v>H</v>
          </cell>
          <cell r="L49" t="str">
            <v>H</v>
          </cell>
          <cell r="M49" t="str">
            <v>N</v>
          </cell>
          <cell r="N49" t="str">
            <v>N</v>
          </cell>
          <cell r="O49" t="str">
            <v>II</v>
          </cell>
          <cell r="P49" t="str">
            <v>II</v>
          </cell>
          <cell r="Q49" t="str">
            <v>IV</v>
          </cell>
          <cell r="R49" t="str">
            <v>IV</v>
          </cell>
          <cell r="S49" t="str">
            <v>E17</v>
          </cell>
          <cell r="T49">
            <v>0</v>
          </cell>
          <cell r="U49" t="str">
            <v>Gnd</v>
          </cell>
          <cell r="V49">
            <v>850</v>
          </cell>
          <cell r="W49" t="str">
            <v>EU</v>
          </cell>
          <cell r="X49" t="str">
            <v>N</v>
          </cell>
          <cell r="Y49" t="str">
            <v>N</v>
          </cell>
          <cell r="Z49" t="str">
            <v>N</v>
          </cell>
          <cell r="AA49" t="str">
            <v>N</v>
          </cell>
          <cell r="AB49" t="str">
            <v>IV</v>
          </cell>
          <cell r="AC49" t="str">
            <v>IV</v>
          </cell>
          <cell r="AD49" t="str">
            <v>IV</v>
          </cell>
          <cell r="AE49" t="str">
            <v>IV</v>
          </cell>
          <cell r="AF49" t="str">
            <v xml:space="preserve">Impact by vehicle having a speed that can't be reasonably assumed to be &lt;~10 mph (e.g., plow truck, vendor/ subcontractor vehicle, etc.).  MAR is entire inventory of radioactive material in HLWSS (Ref.WVNS-CAL-397, Table C-1, HLWSS).  </v>
          </cell>
          <cell r="AG49" t="str">
            <v>•  None</v>
          </cell>
          <cell r="AH49" t="str">
            <v>•  Physical barriers such as Jersey barriers to protect from vehicle impacts</v>
          </cell>
          <cell r="AI49" t="str">
            <v>• SAC for TRU waste drum fire protection
• SAC for TRU waste container physical protection</v>
          </cell>
          <cell r="AJ49" t="str">
            <v xml:space="preserve">•  Quality Assurance Program
•  Performance Based Training Program
•  Waste Management Program </v>
          </cell>
          <cell r="AK49" t="str">
            <v>•  None</v>
          </cell>
          <cell r="AL49"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AM49" t="str">
            <v>•  None</v>
          </cell>
          <cell r="AN49" t="str">
            <v>•  Radiological Protection Program
•  Emergency Response Program
•  Fire Protection Program
•  Performance Based Training Program
•  Conduct of Operations</v>
          </cell>
        </row>
        <row r="50">
          <cell r="A50" t="str">
            <v>LSA</v>
          </cell>
          <cell r="B50">
            <v>1</v>
          </cell>
          <cell r="C50" t="str">
            <v>Localized flammable liquid pool fire</v>
          </cell>
          <cell r="D50" t="str">
            <v>Fuel or other flammable fluid pool fire resulting from leaking equipment or vehicle.  An unspecified ignition source ignites the fuel and a fire ensues that is of sufficient duration and intensity to lead to a release of radioactive material from containerized waste.</v>
          </cell>
          <cell r="E50">
            <v>2100</v>
          </cell>
          <cell r="F50" t="str">
            <v>E01</v>
          </cell>
          <cell r="G50">
            <v>1</v>
          </cell>
          <cell r="H50" t="str">
            <v>Gnd</v>
          </cell>
          <cell r="I50">
            <v>850</v>
          </cell>
          <cell r="J50" t="str">
            <v>U</v>
          </cell>
          <cell r="K50" t="str">
            <v>H</v>
          </cell>
          <cell r="L50" t="str">
            <v>H</v>
          </cell>
          <cell r="M50" t="str">
            <v>N</v>
          </cell>
          <cell r="N50" t="str">
            <v>N</v>
          </cell>
          <cell r="O50" t="str">
            <v>I</v>
          </cell>
          <cell r="P50" t="str">
            <v>I</v>
          </cell>
          <cell r="Q50" t="str">
            <v>IV</v>
          </cell>
          <cell r="R50" t="str">
            <v>IV</v>
          </cell>
          <cell r="S50" t="str">
            <v>E01</v>
          </cell>
          <cell r="T50">
            <v>4.7999999999999996E-3</v>
          </cell>
          <cell r="U50" t="str">
            <v>Gnd</v>
          </cell>
          <cell r="V50">
            <v>850</v>
          </cell>
          <cell r="W50" t="str">
            <v>EU</v>
          </cell>
          <cell r="X50" t="str">
            <v>L</v>
          </cell>
          <cell r="Y50" t="str">
            <v>L</v>
          </cell>
          <cell r="Z50" t="str">
            <v>N</v>
          </cell>
          <cell r="AA50" t="str">
            <v>N</v>
          </cell>
          <cell r="AB50" t="str">
            <v>IV</v>
          </cell>
          <cell r="AC50" t="str">
            <v>IV</v>
          </cell>
          <cell r="AD50" t="str">
            <v>IV</v>
          </cell>
          <cell r="AE50" t="str">
            <v>IV</v>
          </cell>
          <cell r="AF50" t="str">
            <v>APPROVED CONTAINERS credited with limiting the propagation of fire in a storage array.  MAR is entire inventory of radioactive material in WVDP packaged waste (exclusive of HLW) (Ref.WVNS-CAL-397, Table C-1).  DR reflects TSR to protect arrays of TRU waste containing greater than 10 PE-Ci from spills of flammable/ combustible liquids</v>
          </cell>
          <cell r="AG50" t="str">
            <v>•  None</v>
          </cell>
          <cell r="AH50" t="str">
            <v>•  None</v>
          </cell>
          <cell r="AI50" t="str">
            <v>•  SAC for TRU waste drum fire protection
•  SAC for TRU waste container physical protection</v>
          </cell>
          <cell r="AJ50" t="str">
            <v xml:space="preserve">•  Quality Assurance Program
•  Fire Protection Program
•  Performance Based Training Program
•  Maintenance Program
•  Conduct of Operations
•  Waste Management Program </v>
          </cell>
          <cell r="AK50" t="str">
            <v>•  APPROVED CONTAINERS used for TRU waste storage
•  TSR-compliant packaging for high activity TRU waste</v>
          </cell>
          <cell r="AL50" t="str">
            <v>•  Steel-deck pallets that limit direct flame impingement on TRU containers
•  Banding of drums on pallets</v>
          </cell>
          <cell r="AM50" t="str">
            <v>•  SAC for APPROVED CONTAINER use
•  SAC for facility inventory control</v>
          </cell>
          <cell r="AN50" t="str">
            <v>•  Radiological Protection Program
•  Emergency Response Program
•  Fire Protection Program
•  Performance Based Training Program
•  Conduct of Operations</v>
          </cell>
        </row>
        <row r="51">
          <cell r="A51" t="str">
            <v>LSA</v>
          </cell>
          <cell r="B51">
            <v>2</v>
          </cell>
          <cell r="C51" t="str">
            <v>Small combustible material fire</v>
          </cell>
          <cell r="D51" t="str">
            <v>Fire occurs in a facility area that impacts TRU waste. Includes accidents initiated due to pyrophoric reactions or reactions involving incompatible wastes.</v>
          </cell>
          <cell r="E51">
            <v>360</v>
          </cell>
          <cell r="F51" t="str">
            <v>E02</v>
          </cell>
          <cell r="G51">
            <v>1</v>
          </cell>
          <cell r="H51" t="str">
            <v>Gnd</v>
          </cell>
          <cell r="I51">
            <v>850</v>
          </cell>
          <cell r="J51" t="str">
            <v>A</v>
          </cell>
          <cell r="K51" t="str">
            <v>H</v>
          </cell>
          <cell r="L51" t="str">
            <v>H</v>
          </cell>
          <cell r="M51" t="str">
            <v>N</v>
          </cell>
          <cell r="N51" t="str">
            <v>N</v>
          </cell>
          <cell r="O51" t="str">
            <v>I</v>
          </cell>
          <cell r="P51" t="str">
            <v>I</v>
          </cell>
          <cell r="Q51" t="str">
            <v>IV</v>
          </cell>
          <cell r="R51" t="str">
            <v>IV</v>
          </cell>
          <cell r="S51" t="str">
            <v>E02</v>
          </cell>
          <cell r="T51">
            <v>2.8E-3</v>
          </cell>
          <cell r="U51" t="str">
            <v>Gnd</v>
          </cell>
          <cell r="V51">
            <v>850</v>
          </cell>
          <cell r="W51" t="str">
            <v>U</v>
          </cell>
          <cell r="X51" t="str">
            <v>L</v>
          </cell>
          <cell r="Y51" t="str">
            <v>L</v>
          </cell>
          <cell r="Z51" t="str">
            <v>N</v>
          </cell>
          <cell r="AA51" t="str">
            <v>N</v>
          </cell>
          <cell r="AB51" t="str">
            <v>III</v>
          </cell>
          <cell r="AC51" t="str">
            <v>III</v>
          </cell>
          <cell r="AD51" t="str">
            <v>IV</v>
          </cell>
          <cell r="AE51" t="str">
            <v>IV</v>
          </cell>
          <cell r="AF51" t="str">
            <v>Fire Protection (hot work controls), Radiation Protection, and Waste Management Programs credited with minimizing probability and consequences of fire event.  MAR assumes that waste is unconfined combustible.  MAR is activity in maximally loaded 2-drum Interim Storage Container (Ref. WVNS-CAL-397, Table A-2).  DR reflects TSR that limits the amount of TRU waste that may be outside of an APPROVED CONTAINER to 1.0 PE-Ci.</v>
          </cell>
          <cell r="AG51" t="str">
            <v>•  None</v>
          </cell>
          <cell r="AH51" t="str">
            <v>•  None</v>
          </cell>
          <cell r="AI51" t="str">
            <v>•  None</v>
          </cell>
          <cell r="AJ51" t="str">
            <v xml:space="preserve">•  Quality Assurance Program
•  Fire Protection Program
-   “Hot work” controls
-   Combustible material control program
•  Performance Based Training Program
•  Maintenance Program
•  Conduct of Operations
•  Waste Management Program </v>
          </cell>
          <cell r="AK51" t="str">
            <v>•  APPROVED CONTAINERS used for TRU waste storage
•  TSR-compliant packaging for high activity TRU waste</v>
          </cell>
          <cell r="AL51" t="str">
            <v>•  Automatic fixed FM-200 fire suppression system in CSPF</v>
          </cell>
          <cell r="AM51" t="str">
            <v>•  SAC for APPROVED CONTAINER use
•  SAC for facility inventory control</v>
          </cell>
          <cell r="AN51" t="str">
            <v>•  Radiological Protection Program
•  Emergency Response Program
•  Fire Protection Program
•  Performance Based Training Program
•  Conduct of Operations</v>
          </cell>
        </row>
        <row r="52">
          <cell r="A52" t="str">
            <v>LSA</v>
          </cell>
          <cell r="B52">
            <v>3</v>
          </cell>
          <cell r="C52" t="str">
            <v>Large fire</v>
          </cell>
          <cell r="D52" t="str">
            <v>Fire affecting a large portion of LSA-3 or LSA-4. Fire impacts more than a localized area containing TRU waste containers. Facility fire may be initiated by a liquid pool fire, but waste exposure is to burning combustible materials and not burning liquid.</v>
          </cell>
          <cell r="E52">
            <v>2100</v>
          </cell>
          <cell r="F52" t="str">
            <v>E04</v>
          </cell>
          <cell r="G52">
            <v>0.5</v>
          </cell>
          <cell r="H52" t="str">
            <v>Gnd</v>
          </cell>
          <cell r="I52">
            <v>850</v>
          </cell>
          <cell r="J52" t="str">
            <v>U</v>
          </cell>
          <cell r="K52" t="str">
            <v>H</v>
          </cell>
          <cell r="L52" t="str">
            <v>H</v>
          </cell>
          <cell r="M52" t="str">
            <v>N</v>
          </cell>
          <cell r="N52" t="str">
            <v>N</v>
          </cell>
          <cell r="O52" t="str">
            <v>I</v>
          </cell>
          <cell r="P52" t="str">
            <v>I</v>
          </cell>
          <cell r="Q52" t="str">
            <v>IV</v>
          </cell>
          <cell r="R52" t="str">
            <v>IV</v>
          </cell>
          <cell r="S52" t="str">
            <v>E04</v>
          </cell>
          <cell r="T52">
            <v>3.3500000000000002E-2</v>
          </cell>
          <cell r="U52" t="str">
            <v>Gnd</v>
          </cell>
          <cell r="V52">
            <v>850</v>
          </cell>
          <cell r="W52" t="str">
            <v>EU</v>
          </cell>
          <cell r="X52" t="str">
            <v>M</v>
          </cell>
          <cell r="Y52" t="str">
            <v>M</v>
          </cell>
          <cell r="Z52" t="str">
            <v>N</v>
          </cell>
          <cell r="AA52" t="str">
            <v>N</v>
          </cell>
          <cell r="AB52" t="str">
            <v>III</v>
          </cell>
          <cell r="AC52" t="str">
            <v>III</v>
          </cell>
          <cell r="AD52" t="str">
            <v>IV</v>
          </cell>
          <cell r="AE52" t="str">
            <v>IV</v>
          </cell>
          <cell r="AF52" t="str">
            <v>Combustibles in area are minimized through site combustible material control requirements. APPROVED CONTAINERS credited with limiting the propagation of fire in a storage array.  MAR is entire inventory of radioactive material in WVDP packaged waste (exclusive of HLW) (Ref.WVNS-CAL-397, Table C-1).  DR assumes impacted material to be all drummed CH TRU waste (i.e., waste not in shielded overpacks) per Exhibit 1 of WVNS-CAL-397. MAR very conservative since release fraction applies only to drums exposed to critical heat flux.</v>
          </cell>
          <cell r="AG52" t="str">
            <v>•  None</v>
          </cell>
          <cell r="AH52" t="str">
            <v>•  None</v>
          </cell>
          <cell r="AI52" t="str">
            <v>•  None</v>
          </cell>
          <cell r="AJ52" t="str">
            <v xml:space="preserve">•  Quality Assurance Program
•  Fire Protection Program
-   “Hot work” controls
-   Combustible material control program
•  Performance Based Training Program
•  Maintenance Program
•  Waste Management Program </v>
          </cell>
          <cell r="AK52" t="str">
            <v>•   APPROVED CONTAINERS used for TRU waste storage
•   TSR-compliant packaging for high activity TRU waste</v>
          </cell>
          <cell r="AL52" t="str">
            <v>•  Automatic fixed FM-200 fire suppression system in CSPF
•  Wet pipe sprinkler system in Shipping Depot</v>
          </cell>
          <cell r="AM52" t="str">
            <v>•  SAC for APPROVED CONTAINER use
•  SAC for facility inventory control</v>
          </cell>
          <cell r="AN52" t="str">
            <v>•  Radiological Protection Program
•  Emergency Response Program
•  Fire Protection Program
•  Performance Based Training Program
•  Conduct of Operations</v>
          </cell>
        </row>
        <row r="53">
          <cell r="A53" t="str">
            <v>LSA</v>
          </cell>
          <cell r="B53">
            <v>4</v>
          </cell>
          <cell r="C53" t="str">
            <v>Localized explosion external to container</v>
          </cell>
          <cell r="D53" t="str">
            <v xml:space="preserve">This event is assumed to be caused by an explosion involving a forktruck propane cylinder or other cylinder containing flammable gas (e.g. acetylene) that is associated with facility operations. In addition to explosion overpressures, an explosion could produce missiles that could impact MAR. </v>
          </cell>
          <cell r="E53">
            <v>360</v>
          </cell>
          <cell r="F53" t="str">
            <v>E05</v>
          </cell>
          <cell r="G53">
            <v>1</v>
          </cell>
          <cell r="H53" t="str">
            <v>Gnd</v>
          </cell>
          <cell r="I53">
            <v>850</v>
          </cell>
          <cell r="J53" t="str">
            <v>A</v>
          </cell>
          <cell r="K53" t="str">
            <v>H</v>
          </cell>
          <cell r="L53" t="str">
            <v>M</v>
          </cell>
          <cell r="M53" t="str">
            <v>N</v>
          </cell>
          <cell r="N53" t="str">
            <v>N</v>
          </cell>
          <cell r="O53" t="str">
            <v>I</v>
          </cell>
          <cell r="P53" t="str">
            <v>I</v>
          </cell>
          <cell r="Q53" t="str">
            <v>IV</v>
          </cell>
          <cell r="R53" t="str">
            <v>IV</v>
          </cell>
          <cell r="S53" t="str">
            <v>E05</v>
          </cell>
          <cell r="T53">
            <v>2.8000000000000001E-2</v>
          </cell>
          <cell r="U53" t="str">
            <v>Gnd</v>
          </cell>
          <cell r="V53">
            <v>850</v>
          </cell>
          <cell r="W53" t="str">
            <v>U</v>
          </cell>
          <cell r="X53" t="str">
            <v>L</v>
          </cell>
          <cell r="Y53" t="str">
            <v>L</v>
          </cell>
          <cell r="Z53" t="str">
            <v>N</v>
          </cell>
          <cell r="AA53" t="str">
            <v>N</v>
          </cell>
          <cell r="AB53" t="str">
            <v>III</v>
          </cell>
          <cell r="AC53" t="str">
            <v>III</v>
          </cell>
          <cell r="AD53" t="str">
            <v>IV</v>
          </cell>
          <cell r="AE53" t="str">
            <v>IV</v>
          </cell>
          <cell r="AF53" t="str">
            <v>APPROVED CONTAINERS credited with mitigating consequences. MAR is activity in maximally loaded 2-drum Interim Storage Container (Ref. WVNS-CAL-397, Table A-2).  DR credits SAC that requires TRU waste containing &gt;10 PE-Ci be in containers capable of meeting SAC physical protection functional requirements.</v>
          </cell>
          <cell r="AG53" t="str">
            <v>•  None</v>
          </cell>
          <cell r="AH53" t="str">
            <v>•  Flammable material storage lockers
•  Compressed gas storage racks</v>
          </cell>
          <cell r="AI53" t="str">
            <v>•  None</v>
          </cell>
          <cell r="AJ53" t="str">
            <v xml:space="preserve">•  Quality Assurance Program
•  Fire Protection Program
•  Performance Based Training Program
•  Maintenance Program
•  Waste Management Program </v>
          </cell>
          <cell r="AK53" t="str">
            <v>•   APPROVED CONTAINERS used for TRU waste storage
•   TSR-compliant packaging for high activity TRU waste</v>
          </cell>
          <cell r="AL53" t="str">
            <v>•  None</v>
          </cell>
          <cell r="AM53" t="str">
            <v>•  SAC for APPROVED CONTAINER use
•  SAC for facility inventory control</v>
          </cell>
          <cell r="AN53" t="str">
            <v>•  Radiological Protection Program
•  Emergency Response Program
•  Fire Protection Program
•  Performance Based Training Program
•  Conduct of Operations</v>
          </cell>
        </row>
        <row r="54">
          <cell r="A54" t="str">
            <v>LSA</v>
          </cell>
          <cell r="B54">
            <v>5</v>
          </cell>
          <cell r="C54" t="str">
            <v>Waste container deflagration</v>
          </cell>
          <cell r="D54" t="str">
            <v>Hydrogen or other flammable/explosive gases inside a container is ignited.</v>
          </cell>
          <cell r="E54">
            <v>360</v>
          </cell>
          <cell r="F54" t="str">
            <v>E06</v>
          </cell>
          <cell r="G54">
            <v>1</v>
          </cell>
          <cell r="H54" t="str">
            <v>Gnd</v>
          </cell>
          <cell r="I54">
            <v>850</v>
          </cell>
          <cell r="J54" t="str">
            <v>U</v>
          </cell>
          <cell r="K54" t="str">
            <v>H</v>
          </cell>
          <cell r="L54" t="str">
            <v>M</v>
          </cell>
          <cell r="M54" t="str">
            <v>N</v>
          </cell>
          <cell r="N54" t="str">
            <v>N</v>
          </cell>
          <cell r="O54" t="str">
            <v>I</v>
          </cell>
          <cell r="P54" t="str">
            <v>II</v>
          </cell>
          <cell r="Q54" t="str">
            <v>IV</v>
          </cell>
          <cell r="R54" t="str">
            <v>IV</v>
          </cell>
          <cell r="S54" t="str">
            <v>E06</v>
          </cell>
          <cell r="T54">
            <v>0.25</v>
          </cell>
          <cell r="U54" t="str">
            <v>Gnd</v>
          </cell>
          <cell r="V54">
            <v>850</v>
          </cell>
          <cell r="W54" t="str">
            <v>EU</v>
          </cell>
          <cell r="X54" t="str">
            <v>M</v>
          </cell>
          <cell r="Y54" t="str">
            <v>M</v>
          </cell>
          <cell r="Z54" t="str">
            <v>N</v>
          </cell>
          <cell r="AA54" t="str">
            <v>N</v>
          </cell>
          <cell r="AB54" t="str">
            <v>III</v>
          </cell>
          <cell r="AC54" t="str">
            <v>III</v>
          </cell>
          <cell r="AD54" t="str">
            <v>IV</v>
          </cell>
          <cell r="AE54" t="str">
            <v>IV</v>
          </cell>
          <cell r="AF54" t="str">
            <v>Waste form and waste package vent filters contribute to low probability of this event.  MAR is activity in maximally loaded 2-drum Interim Storage Container (Ref. WVNS-CAL-397, Table A-2).  High PE-Ci waste is overpacked. DR reflects credit allowed per Section 4.4.2 of STD-5506. Resultant MAR bounds credible conservative non-overpacked MAR (10 PE-Ci)</v>
          </cell>
          <cell r="AG54" t="str">
            <v>•  None</v>
          </cell>
          <cell r="AH54" t="str">
            <v>•  HEPA filter vents on waste containers
•  Non-sparking tools for containers suspected of containing high concentrations of flammable gas</v>
          </cell>
          <cell r="AI54" t="str">
            <v>•  None</v>
          </cell>
          <cell r="AJ54" t="str">
            <v xml:space="preserve">•  Quality Assurance Program
•  Fire Protection Program
•  Performance Based Training Program
•  Maintenance Program
•  Waste Management Program </v>
          </cell>
          <cell r="AK54" t="str">
            <v>•   TSR-compliant packaging for high activity TRU waste</v>
          </cell>
          <cell r="AL54" t="str">
            <v>•  None</v>
          </cell>
          <cell r="AM54" t="str">
            <v>•  SAC for APPROVED CONTAINER use
•  SAC for facility inventory control</v>
          </cell>
          <cell r="AN54" t="str">
            <v>•  Radiological Protection Program
•  Emergency Response Program
•  Fire Protection Program
•  Performance Based Training Program
•  Conduct of Operations</v>
          </cell>
        </row>
        <row r="55">
          <cell r="A55" t="str">
            <v>LSA</v>
          </cell>
          <cell r="B55">
            <v>6</v>
          </cell>
          <cell r="C55" t="str">
            <v>Vehicle/equipment impacts waste/waste containers</v>
          </cell>
          <cell r="D55" t="str">
            <v>A mishap associated with the operation of vehicles at low speed (&lt;10 mph) or impact with handling equipment. Event assumed to result in loss of airborne contamination confinement due to puncture by forklift tines;  stacked drum array falling; or other similar causes.</v>
          </cell>
          <cell r="E55">
            <v>360</v>
          </cell>
          <cell r="F55" t="str">
            <v>E09</v>
          </cell>
          <cell r="G55">
            <v>0.01</v>
          </cell>
          <cell r="H55" t="str">
            <v>Gnd</v>
          </cell>
          <cell r="I55">
            <v>850</v>
          </cell>
          <cell r="J55" t="str">
            <v>A</v>
          </cell>
          <cell r="K55" t="str">
            <v>N</v>
          </cell>
          <cell r="L55" t="str">
            <v>L</v>
          </cell>
          <cell r="M55" t="str">
            <v>N</v>
          </cell>
          <cell r="N55" t="str">
            <v>N</v>
          </cell>
          <cell r="O55" t="str">
            <v>IV</v>
          </cell>
          <cell r="P55" t="str">
            <v>III</v>
          </cell>
          <cell r="Q55" t="str">
            <v>IV</v>
          </cell>
          <cell r="R55" t="str">
            <v>IV</v>
          </cell>
          <cell r="S55" t="str">
            <v>E09</v>
          </cell>
          <cell r="T55">
            <v>0.01</v>
          </cell>
          <cell r="U55" t="str">
            <v>Gnd</v>
          </cell>
          <cell r="V55">
            <v>850</v>
          </cell>
          <cell r="W55" t="str">
            <v>A</v>
          </cell>
          <cell r="X55" t="str">
            <v>N</v>
          </cell>
          <cell r="Y55" t="str">
            <v>L</v>
          </cell>
          <cell r="Z55" t="str">
            <v>N</v>
          </cell>
          <cell r="AA55" t="str">
            <v>N</v>
          </cell>
          <cell r="AB55" t="str">
            <v>IV</v>
          </cell>
          <cell r="AC55" t="str">
            <v>III</v>
          </cell>
          <cell r="AD55" t="str">
            <v>IV</v>
          </cell>
          <cell r="AE55" t="str">
            <v>IV</v>
          </cell>
          <cell r="AF55" t="str">
            <v xml:space="preserve"> MAR is activity in maximally loaded 2-drum Interim Storage Container (Ref. WVNS-CAL-397, Table A-2).  </v>
          </cell>
          <cell r="AG55" t="str">
            <v>•  None</v>
          </cell>
          <cell r="AH55" t="str">
            <v>•  Physical barriers such as Jersey barriers or facility structure that protects waste containers from vehicle impacts</v>
          </cell>
          <cell r="AI55" t="str">
            <v>• SAC for TRU waste container physical protection
• SAC for TRU waste transportation</v>
          </cell>
          <cell r="AJ55" t="str">
            <v xml:space="preserve">•  Quality Assurance Program
•  Performance Based Training Program
•  Maintenance Program
•  Conduct of Operations
•  Waste Management Program </v>
          </cell>
          <cell r="AK55" t="str">
            <v>•   TSR-compliant packaging for high activity TRU waste</v>
          </cell>
          <cell r="AL55" t="str">
            <v>•  None</v>
          </cell>
          <cell r="AM55" t="str">
            <v>•  None</v>
          </cell>
          <cell r="AN55" t="str">
            <v>•  Radiological Protection Program
•  Emergency Response Program
•  Performance Based Training Program
•  Conduct of Operations</v>
          </cell>
        </row>
        <row r="56">
          <cell r="A56" t="str">
            <v>LSA</v>
          </cell>
          <cell r="B56">
            <v>7</v>
          </cell>
          <cell r="C56" t="str">
            <v>Drop/impact/spill</v>
          </cell>
          <cell r="D56" t="str">
            <v>This event is due to mishandling of containers; or to drops/impacts caused by equipment failure; or leaks caused by corrosion, construction defect, or improper closure.</v>
          </cell>
          <cell r="E56">
            <v>360</v>
          </cell>
          <cell r="F56" t="str">
            <v>E10</v>
          </cell>
          <cell r="G56">
            <v>0.1</v>
          </cell>
          <cell r="H56" t="str">
            <v>Gnd</v>
          </cell>
          <cell r="I56">
            <v>850</v>
          </cell>
          <cell r="J56" t="str">
            <v>A</v>
          </cell>
          <cell r="K56" t="str">
            <v>L</v>
          </cell>
          <cell r="L56" t="str">
            <v>L</v>
          </cell>
          <cell r="M56" t="str">
            <v>N</v>
          </cell>
          <cell r="N56" t="str">
            <v>N</v>
          </cell>
          <cell r="O56" t="str">
            <v>III</v>
          </cell>
          <cell r="P56" t="str">
            <v>III</v>
          </cell>
          <cell r="Q56" t="str">
            <v>IV</v>
          </cell>
          <cell r="R56" t="str">
            <v>IV</v>
          </cell>
          <cell r="S56" t="str">
            <v>E10</v>
          </cell>
          <cell r="T56">
            <v>0.1</v>
          </cell>
          <cell r="U56" t="str">
            <v>Gnd</v>
          </cell>
          <cell r="V56">
            <v>850</v>
          </cell>
          <cell r="W56" t="str">
            <v>U</v>
          </cell>
          <cell r="X56" t="str">
            <v>L</v>
          </cell>
          <cell r="Y56" t="str">
            <v>L</v>
          </cell>
          <cell r="Z56" t="str">
            <v>N</v>
          </cell>
          <cell r="AA56" t="str">
            <v>N</v>
          </cell>
          <cell r="AB56" t="str">
            <v>III</v>
          </cell>
          <cell r="AC56" t="str">
            <v>III</v>
          </cell>
          <cell r="AD56" t="str">
            <v>IV</v>
          </cell>
          <cell r="AE56" t="str">
            <v>IV</v>
          </cell>
          <cell r="AF56" t="str">
            <v xml:space="preserve">Event is a low energy breach of container confinement (e.g. tine puncture or container drop).  MAR is activity in maximally loaded 2-drum Interim Storage Container (Ref. WVNS-CAL-397, Table A-2).  </v>
          </cell>
          <cell r="AG56" t="str">
            <v>•  None</v>
          </cell>
          <cell r="AH56" t="str">
            <v>•  None</v>
          </cell>
          <cell r="AI56" t="str">
            <v>•  None</v>
          </cell>
          <cell r="AJ56" t="str">
            <v xml:space="preserve">•  Quality Assurance Program
•  Performance Based Training Program
•  Maintenance Program
•  Conduct of Operations
•  Waste Management Program </v>
          </cell>
          <cell r="AK56" t="str">
            <v>•   TSR-compliant packaging for high activity TRU waste</v>
          </cell>
          <cell r="AL56" t="str">
            <v>•  None</v>
          </cell>
          <cell r="AM56" t="str">
            <v>•  None</v>
          </cell>
          <cell r="AN56" t="str">
            <v>•  Radiological Protection Program
•  Emergency Response Program
•  Performance Based Training Program
•  Conduct of Operations</v>
          </cell>
        </row>
        <row r="57">
          <cell r="A57" t="str">
            <v>LSA</v>
          </cell>
          <cell r="B57">
            <v>8</v>
          </cell>
          <cell r="C57" t="str">
            <v>Collapse of stacked containers</v>
          </cell>
          <cell r="D57" t="str">
            <v>Collapse of a stacked array of containers due to corrosion, defective construction, or damage of containers, or due to improper stacking (e.g., exceeding limits, unstable array).</v>
          </cell>
          <cell r="E57">
            <v>1050</v>
          </cell>
          <cell r="F57" t="str">
            <v>E11</v>
          </cell>
          <cell r="G57">
            <v>0.1</v>
          </cell>
          <cell r="H57" t="str">
            <v>Gnd</v>
          </cell>
          <cell r="I57">
            <v>850</v>
          </cell>
          <cell r="J57" t="str">
            <v>A</v>
          </cell>
          <cell r="K57" t="str">
            <v>L</v>
          </cell>
          <cell r="L57" t="str">
            <v>L</v>
          </cell>
          <cell r="M57" t="str">
            <v>N</v>
          </cell>
          <cell r="N57" t="str">
            <v>N</v>
          </cell>
          <cell r="O57" t="str">
            <v>III</v>
          </cell>
          <cell r="P57" t="str">
            <v>III</v>
          </cell>
          <cell r="Q57" t="str">
            <v>IV</v>
          </cell>
          <cell r="R57" t="str">
            <v>IV</v>
          </cell>
          <cell r="S57" t="str">
            <v>E11</v>
          </cell>
          <cell r="T57">
            <v>0.1</v>
          </cell>
          <cell r="U57" t="str">
            <v>Gnd</v>
          </cell>
          <cell r="V57">
            <v>850</v>
          </cell>
          <cell r="W57" t="str">
            <v>U</v>
          </cell>
          <cell r="X57" t="str">
            <v>L</v>
          </cell>
          <cell r="Y57" t="str">
            <v>L</v>
          </cell>
          <cell r="Z57" t="str">
            <v>N</v>
          </cell>
          <cell r="AA57" t="str">
            <v>N</v>
          </cell>
          <cell r="AB57" t="str">
            <v>III</v>
          </cell>
          <cell r="AC57" t="str">
            <v>III</v>
          </cell>
          <cell r="AD57" t="str">
            <v>IV</v>
          </cell>
          <cell r="AE57" t="str">
            <v>IV</v>
          </cell>
          <cell r="AF57" t="str">
            <v xml:space="preserve">Event applies only to containers above 2nd tier of a storage array since Type 17C containers designed to withstand 4' drop.  MAR assumed to be half of activity in storage (i.e., activity in containers on 3rd and 4th tier of storage array (Ref. WVNS-CAL-397, Appendix A) </v>
          </cell>
          <cell r="AG57" t="str">
            <v>•  None</v>
          </cell>
          <cell r="AH57" t="str">
            <v>•  None</v>
          </cell>
          <cell r="AI57" t="str">
            <v>•  None</v>
          </cell>
          <cell r="AJ57" t="str">
            <v xml:space="preserve">•  Quality Assurance Program
•  Performance Based Training Program
•  Maintenance Program
•  Waste Management Program </v>
          </cell>
          <cell r="AK57" t="str">
            <v>•   APPROVED CONTAINERS used for TRU waste storage
•   TSR-compliant packaging for high activity TRU waste</v>
          </cell>
          <cell r="AL57" t="str">
            <v>•  Steel pallets used for TRU waste storage arrays
•  Banding of drums on pallets</v>
          </cell>
          <cell r="AM57" t="str">
            <v>•  None</v>
          </cell>
          <cell r="AN57" t="str">
            <v>•  Radiological Protection Program
•  Emergency Response Program
•  Performance Based Training Program
•  Conduct of Operations</v>
          </cell>
        </row>
        <row r="58">
          <cell r="A58" t="str">
            <v>LSA</v>
          </cell>
          <cell r="B58">
            <v>9</v>
          </cell>
          <cell r="C58" t="str">
            <v>Waste container over-pressurization</v>
          </cell>
          <cell r="D58" t="str">
            <v>Container failure occurs due to pressure buildup, possibly due to radiolysis of water or other hydrogenous material, thermal expansion of material/gases inside the container, or chemical reactions inside the container.</v>
          </cell>
          <cell r="E58">
            <v>360</v>
          </cell>
          <cell r="F58" t="str">
            <v>E12</v>
          </cell>
          <cell r="G58">
            <v>1</v>
          </cell>
          <cell r="H58" t="str">
            <v>Gnd</v>
          </cell>
          <cell r="I58">
            <v>850</v>
          </cell>
          <cell r="J58" t="str">
            <v>A</v>
          </cell>
          <cell r="K58" t="str">
            <v>M</v>
          </cell>
          <cell r="L58" t="str">
            <v>M</v>
          </cell>
          <cell r="M58" t="str">
            <v>N</v>
          </cell>
          <cell r="N58" t="str">
            <v>N</v>
          </cell>
          <cell r="O58" t="str">
            <v>I</v>
          </cell>
          <cell r="P58" t="str">
            <v>I</v>
          </cell>
          <cell r="Q58" t="str">
            <v>IV</v>
          </cell>
          <cell r="R58" t="str">
            <v>IV</v>
          </cell>
          <cell r="S58" t="str">
            <v>E12</v>
          </cell>
          <cell r="T58">
            <v>0.1</v>
          </cell>
          <cell r="U58" t="str">
            <v>Gnd</v>
          </cell>
          <cell r="V58">
            <v>850</v>
          </cell>
          <cell r="W58" t="str">
            <v>A</v>
          </cell>
          <cell r="X58" t="str">
            <v>L</v>
          </cell>
          <cell r="Y58" t="str">
            <v>L</v>
          </cell>
          <cell r="Z58" t="str">
            <v>N</v>
          </cell>
          <cell r="AA58" t="str">
            <v>N</v>
          </cell>
          <cell r="AB58" t="str">
            <v>III</v>
          </cell>
          <cell r="AC58" t="str">
            <v>III</v>
          </cell>
          <cell r="AD58" t="str">
            <v>IV</v>
          </cell>
          <cell r="AE58" t="str">
            <v>IV</v>
          </cell>
          <cell r="AF58" t="str">
            <v>Waste form and waste package vent filters contribute to reducing the probability of this event.  MAR is activity in maximally loaded 2-drum Interim Storage Container (Ref. WVNS-CAL-397, Table A-2).  High PE-Ci waste is overpacked. DR reflects credit allowed per Section 4.4.2 of STD-5506. Resultant MAR bounds credible conservative non-overpacked MAR (10 PE-Ci)</v>
          </cell>
          <cell r="AG58" t="str">
            <v>•  None</v>
          </cell>
          <cell r="AH58" t="str">
            <v>•  HEPA filter vents on waste containers</v>
          </cell>
          <cell r="AI58" t="str">
            <v>•  None</v>
          </cell>
          <cell r="AJ58" t="str">
            <v xml:space="preserve">•  Quality Assurance Program
•  Performance Based Training Program
•  Waste Management Program </v>
          </cell>
          <cell r="AK58" t="str">
            <v>•  None</v>
          </cell>
          <cell r="AL58" t="str">
            <v>•  Lid restraining devices for bulging drums</v>
          </cell>
          <cell r="AM58" t="str">
            <v>•  None</v>
          </cell>
          <cell r="AN58" t="str">
            <v>•  Radiological Protection Program
•  Emergency Response Program
•  Performance Based Training Program
•  Conduct of Operations</v>
          </cell>
        </row>
        <row r="59">
          <cell r="A59" t="str">
            <v>LSA</v>
          </cell>
          <cell r="B59">
            <v>10</v>
          </cell>
          <cell r="C59" t="str">
            <v>Direct exposure to radiation</v>
          </cell>
          <cell r="D59" t="str">
            <v>Exposure to ionizing radiation from the waste, possibly due to loss of proper shielding within a container or instrument miscalibration</v>
          </cell>
          <cell r="E59" t="str">
            <v>Not applicable.</v>
          </cell>
          <cell r="F59" t="str">
            <v>NA</v>
          </cell>
          <cell r="G59" t="str">
            <v>NA</v>
          </cell>
          <cell r="H59" t="str">
            <v>Gnd</v>
          </cell>
          <cell r="I59">
            <v>850</v>
          </cell>
          <cell r="J59" t="str">
            <v>A</v>
          </cell>
          <cell r="K59" t="str">
            <v>M</v>
          </cell>
          <cell r="L59" t="str">
            <v>N</v>
          </cell>
          <cell r="M59" t="str">
            <v>N</v>
          </cell>
          <cell r="N59" t="str">
            <v>N</v>
          </cell>
          <cell r="O59" t="str">
            <v>I</v>
          </cell>
          <cell r="P59" t="str">
            <v>IV</v>
          </cell>
          <cell r="Q59" t="str">
            <v>IV</v>
          </cell>
          <cell r="R59" t="str">
            <v>IV</v>
          </cell>
          <cell r="S59" t="str">
            <v>NA</v>
          </cell>
          <cell r="T59" t="str">
            <v>NA</v>
          </cell>
          <cell r="U59" t="str">
            <v>Gnd</v>
          </cell>
          <cell r="V59">
            <v>850</v>
          </cell>
          <cell r="W59" t="str">
            <v>U</v>
          </cell>
          <cell r="X59" t="str">
            <v>L</v>
          </cell>
          <cell r="Y59" t="str">
            <v>N</v>
          </cell>
          <cell r="Z59" t="str">
            <v>N</v>
          </cell>
          <cell r="AA59" t="str">
            <v>N</v>
          </cell>
          <cell r="AB59" t="str">
            <v>III</v>
          </cell>
          <cell r="AC59" t="str">
            <v>IV</v>
          </cell>
          <cell r="AD59" t="str">
            <v>IV</v>
          </cell>
          <cell r="AE59" t="str">
            <v>IV</v>
          </cell>
          <cell r="AF59" t="str">
            <v xml:space="preserve">None.  </v>
          </cell>
          <cell r="AG59" t="str">
            <v>•  None</v>
          </cell>
          <cell r="AH59" t="str">
            <v>•  Engineered radiation shielding on high dose rate waste containers</v>
          </cell>
          <cell r="AI59" t="str">
            <v>•  None</v>
          </cell>
          <cell r="AJ59" t="str">
            <v xml:space="preserve">•  Radiological Protection Program
•  Quality Assurance Program
•  Performance Based Training Program
•  Conduct of Operations
•  Waste Management Program </v>
          </cell>
          <cell r="AK59" t="str">
            <v>•  None</v>
          </cell>
          <cell r="AL59" t="str">
            <v>•  None</v>
          </cell>
          <cell r="AM59" t="str">
            <v>•  None</v>
          </cell>
          <cell r="AN59" t="str">
            <v>•  Radiological Protection Program
•  Performance Based Training Program
•  Conduct of Operations</v>
          </cell>
        </row>
        <row r="60">
          <cell r="A60" t="str">
            <v>LSA</v>
          </cell>
          <cell r="B60">
            <v>11</v>
          </cell>
          <cell r="C60" t="str">
            <v>Criticality</v>
          </cell>
          <cell r="D60" t="str">
            <v>Inadvertent criticality occurs due to multiple independent failures and/or highly improbable circumstances</v>
          </cell>
          <cell r="E60" t="str">
            <v>&gt;450 FGE
Pu-239</v>
          </cell>
          <cell r="F60" t="str">
            <v>NA</v>
          </cell>
          <cell r="G60" t="str">
            <v>NA</v>
          </cell>
          <cell r="H60" t="str">
            <v>Gnd</v>
          </cell>
          <cell r="I60">
            <v>850</v>
          </cell>
          <cell r="J60" t="str">
            <v>BEU</v>
          </cell>
          <cell r="K60" t="str">
            <v>H</v>
          </cell>
          <cell r="L60" t="str">
            <v>N</v>
          </cell>
          <cell r="M60" t="str">
            <v>N</v>
          </cell>
          <cell r="N60" t="str">
            <v>N</v>
          </cell>
          <cell r="O60" t="str">
            <v>III</v>
          </cell>
          <cell r="P60" t="str">
            <v>IV</v>
          </cell>
          <cell r="Q60" t="str">
            <v>IV</v>
          </cell>
          <cell r="R60" t="str">
            <v>IV</v>
          </cell>
          <cell r="S60" t="str">
            <v>NA</v>
          </cell>
          <cell r="T60" t="str">
            <v>NA</v>
          </cell>
          <cell r="U60" t="str">
            <v>Gnd</v>
          </cell>
          <cell r="V60">
            <v>850</v>
          </cell>
          <cell r="W60" t="str">
            <v>BEU</v>
          </cell>
          <cell r="X60" t="str">
            <v>H</v>
          </cell>
          <cell r="Y60" t="str">
            <v>N</v>
          </cell>
          <cell r="Z60" t="str">
            <v>N</v>
          </cell>
          <cell r="AA60" t="str">
            <v>N</v>
          </cell>
          <cell r="AB60" t="str">
            <v>III</v>
          </cell>
          <cell r="AC60" t="str">
            <v>IV</v>
          </cell>
          <cell r="AD60" t="str">
            <v>IV</v>
          </cell>
          <cell r="AE60" t="str">
            <v>IV</v>
          </cell>
          <cell r="AF60" t="str">
            <v xml:space="preserve">Nuclear criticality safety administrative controls ensure that only safe quantities of fissile material are placed in waste packages.   </v>
          </cell>
          <cell r="AG60" t="str">
            <v>• PSRs for fissile material storage container specifications</v>
          </cell>
          <cell r="AH60" t="str">
            <v>•  None</v>
          </cell>
          <cell r="AI60" t="str">
            <v>• PSR limits on container fissile mass
• PSR for fissile material storage containers</v>
          </cell>
          <cell r="AJ60" t="str">
            <v xml:space="preserve">•  Radiological Protection Program
•  Nuclear Criticality Safety Program
•  Quality Assurance Program
•  Performance Based Training Program
•  Conduct of Operations
•  Waste Management Program </v>
          </cell>
          <cell r="AK60" t="str">
            <v>•  None</v>
          </cell>
          <cell r="AL60" t="str">
            <v>•  None</v>
          </cell>
          <cell r="AM60" t="str">
            <v>•  None</v>
          </cell>
          <cell r="AN60" t="str">
            <v>•  Radiological Protection Program
•  Nuclear Criticality Safety Program
•  Emergency Response Program
•  Performance Based Training Program
•  Conduct of Operations</v>
          </cell>
        </row>
        <row r="61">
          <cell r="A61" t="str">
            <v>LSA</v>
          </cell>
          <cell r="B61">
            <v>12</v>
          </cell>
          <cell r="C61" t="str">
            <v>Aircraft impact with fire</v>
          </cell>
          <cell r="D61" t="str">
            <v>Small general aviation aircraft or helicopter crashes and a fire ensues</v>
          </cell>
          <cell r="E61">
            <v>2100</v>
          </cell>
          <cell r="F61" t="str">
            <v>E15</v>
          </cell>
          <cell r="G61">
            <v>1</v>
          </cell>
          <cell r="H61" t="str">
            <v>Gnd</v>
          </cell>
          <cell r="I61">
            <v>850</v>
          </cell>
          <cell r="J61" t="str">
            <v>BEU</v>
          </cell>
          <cell r="K61" t="str">
            <v>H</v>
          </cell>
          <cell r="L61" t="str">
            <v>H</v>
          </cell>
          <cell r="M61" t="str">
            <v>N</v>
          </cell>
          <cell r="N61" t="str">
            <v>N</v>
          </cell>
          <cell r="O61" t="str">
            <v>III</v>
          </cell>
          <cell r="P61" t="str">
            <v>III</v>
          </cell>
          <cell r="Q61" t="str">
            <v>IV</v>
          </cell>
          <cell r="R61" t="str">
            <v>IV</v>
          </cell>
          <cell r="S61" t="str">
            <v>E15</v>
          </cell>
          <cell r="T61">
            <v>1</v>
          </cell>
          <cell r="U61" t="str">
            <v>Gnd</v>
          </cell>
          <cell r="V61">
            <v>850</v>
          </cell>
          <cell r="W61" t="str">
            <v>BEU</v>
          </cell>
          <cell r="X61" t="str">
            <v>H</v>
          </cell>
          <cell r="Y61" t="str">
            <v>H</v>
          </cell>
          <cell r="Z61" t="str">
            <v>N</v>
          </cell>
          <cell r="AA61" t="str">
            <v>N</v>
          </cell>
          <cell r="AB61" t="str">
            <v>III</v>
          </cell>
          <cell r="AC61" t="str">
            <v>III</v>
          </cell>
          <cell r="AD61" t="str">
            <v>IV</v>
          </cell>
          <cell r="AE61" t="str">
            <v>IV</v>
          </cell>
          <cell r="AF61" t="str">
            <v xml:space="preserve">Event assumes waste containers breach in a manner similar to external vehicle accident event. Event BEU per WVNS-CAL-388. MAR is entire inventory of radioactive material in WVDP packaged waste (exclusive of HLW) (Ref.WVNS-CAL-397, Table C-1).  </v>
          </cell>
          <cell r="AG61" t="str">
            <v>•  None</v>
          </cell>
          <cell r="AH61" t="str">
            <v>•  None</v>
          </cell>
          <cell r="AI61" t="str">
            <v>•  None</v>
          </cell>
          <cell r="AJ61" t="str">
            <v>•  None</v>
          </cell>
          <cell r="AK61" t="str">
            <v>•   APPROVED CONTAINERS used for TRU waste storage
•   TSR-compliant packaging for high activity TRU waste</v>
          </cell>
          <cell r="AL61" t="str">
            <v>•  None</v>
          </cell>
          <cell r="AM61" t="str">
            <v>• SAC for APPROVED CONTAINER use</v>
          </cell>
          <cell r="AN61" t="str">
            <v>•  Radiological Protection Program
•  Emergency Response Program
•  Fire Protection Program
•  Performance Based Training Program
•  Conduct of Operations</v>
          </cell>
        </row>
        <row r="62">
          <cell r="A62" t="str">
            <v>LSA</v>
          </cell>
          <cell r="B62">
            <v>13</v>
          </cell>
          <cell r="C62" t="str">
            <v>External explosion</v>
          </cell>
          <cell r="D62" t="str">
            <v>Explosion involving failure of equipment not directly related to facility operations (e.g. natural gas line rupture) with possible missiles generated</v>
          </cell>
          <cell r="E62">
            <v>360</v>
          </cell>
          <cell r="F62" t="str">
            <v>E18</v>
          </cell>
          <cell r="G62">
            <v>1</v>
          </cell>
          <cell r="H62" t="str">
            <v>Gnd</v>
          </cell>
          <cell r="I62">
            <v>850</v>
          </cell>
          <cell r="J62" t="str">
            <v>U</v>
          </cell>
          <cell r="K62" t="str">
            <v>M</v>
          </cell>
          <cell r="L62" t="str">
            <v>M</v>
          </cell>
          <cell r="M62" t="str">
            <v>N</v>
          </cell>
          <cell r="N62" t="str">
            <v>N</v>
          </cell>
          <cell r="O62" t="str">
            <v>II</v>
          </cell>
          <cell r="P62" t="str">
            <v>II</v>
          </cell>
          <cell r="Q62" t="str">
            <v>IV</v>
          </cell>
          <cell r="R62" t="str">
            <v>IV</v>
          </cell>
          <cell r="S62" t="str">
            <v>E18</v>
          </cell>
          <cell r="T62">
            <v>1</v>
          </cell>
          <cell r="U62" t="str">
            <v>Gnd</v>
          </cell>
          <cell r="V62">
            <v>850</v>
          </cell>
          <cell r="W62" t="str">
            <v>EU</v>
          </cell>
          <cell r="X62" t="str">
            <v>M</v>
          </cell>
          <cell r="Y62" t="str">
            <v>M</v>
          </cell>
          <cell r="Z62" t="str">
            <v>N</v>
          </cell>
          <cell r="AA62" t="str">
            <v>N</v>
          </cell>
          <cell r="AB62" t="str">
            <v>III</v>
          </cell>
          <cell r="AC62" t="str">
            <v>III</v>
          </cell>
          <cell r="AD62" t="str">
            <v>IV</v>
          </cell>
          <cell r="AE62" t="str">
            <v>IV</v>
          </cell>
          <cell r="AF62" t="str">
            <v xml:space="preserve">Explosion assumed to be due to detonation of accumulated flammable gas associated with facility natural gas heaters.  MAR is activity in maximally loaded 2-drum Interim Storage Container (Ref. WVNS-CAL-397, Table A-2).  </v>
          </cell>
          <cell r="AG62" t="str">
            <v>•  None</v>
          </cell>
          <cell r="AH62" t="str">
            <v>•  None</v>
          </cell>
          <cell r="AI62" t="str">
            <v>• SAC for TRU waste container physical protection</v>
          </cell>
          <cell r="AJ62" t="str">
            <v>•  Quality Assurance Program
•  Performance Based Training Program
•  Maintenance Program</v>
          </cell>
          <cell r="AK62" t="str">
            <v>•   APPROVED CONTAINERS used for TRU waste storage
•   TSR-compliant packaging for high activity TRU waste</v>
          </cell>
          <cell r="AL62" t="str">
            <v>•  None</v>
          </cell>
          <cell r="AM62" t="str">
            <v>• SAC for APPROVED CONTAINER use</v>
          </cell>
          <cell r="AN62" t="str">
            <v>•  Radiological Protection Program
•  Emergency Response Program
•  Fire Protection Program
•  Performance Based Training Program
•  Conduct of Operations</v>
          </cell>
        </row>
        <row r="63">
          <cell r="A63" t="str">
            <v>LSA</v>
          </cell>
          <cell r="B63">
            <v>14</v>
          </cell>
          <cell r="C63" t="str">
            <v>External fire</v>
          </cell>
          <cell r="D63" t="str">
            <v>A fire begins outside of a facility and propagates to a facility/area where TRU waste is present. The external fire could be from a wildland fire, other facility, or another fire source.</v>
          </cell>
          <cell r="E63">
            <v>2100</v>
          </cell>
          <cell r="F63" t="str">
            <v>E19</v>
          </cell>
          <cell r="G63">
            <v>0.5</v>
          </cell>
          <cell r="H63" t="str">
            <v>Gnd</v>
          </cell>
          <cell r="I63">
            <v>850</v>
          </cell>
          <cell r="J63" t="str">
            <v>U</v>
          </cell>
          <cell r="K63" t="str">
            <v>H</v>
          </cell>
          <cell r="L63" t="str">
            <v>H</v>
          </cell>
          <cell r="M63" t="str">
            <v>N</v>
          </cell>
          <cell r="N63" t="str">
            <v>N</v>
          </cell>
          <cell r="O63" t="str">
            <v>I</v>
          </cell>
          <cell r="P63" t="str">
            <v>I</v>
          </cell>
          <cell r="Q63" t="str">
            <v>IV</v>
          </cell>
          <cell r="R63" t="str">
            <v>IV</v>
          </cell>
          <cell r="S63" t="str">
            <v>E19</v>
          </cell>
          <cell r="T63">
            <v>0.05</v>
          </cell>
          <cell r="U63" t="str">
            <v>Gnd</v>
          </cell>
          <cell r="V63">
            <v>850</v>
          </cell>
          <cell r="W63" t="str">
            <v>EU</v>
          </cell>
          <cell r="X63" t="str">
            <v>M</v>
          </cell>
          <cell r="Y63" t="str">
            <v>M</v>
          </cell>
          <cell r="Z63" t="str">
            <v>N</v>
          </cell>
          <cell r="AA63" t="str">
            <v>N</v>
          </cell>
          <cell r="AB63" t="str">
            <v>III</v>
          </cell>
          <cell r="AC63" t="str">
            <v>III</v>
          </cell>
          <cell r="AD63" t="str">
            <v>IV</v>
          </cell>
          <cell r="AE63" t="str">
            <v>IV</v>
          </cell>
          <cell r="AF63" t="str">
            <v>Unmitigated frequency very conservative since no exposure fire risks identified in WVNS-FHA-015. Even under EU wildland fire conditions virtually no waste would be exposed to critical heat flux due to facility construction.  MAR is entire inventory of radioactive material in WVDP packaged waste (exclusive of HLW) (Ref.WVNS-CAL-397, Table C-1).  DR assumes that 10% of array is exposed to critical heat flux.</v>
          </cell>
          <cell r="AG63" t="str">
            <v>•  None</v>
          </cell>
          <cell r="AH63" t="str">
            <v>•  None</v>
          </cell>
          <cell r="AI63" t="str">
            <v>• SAC for TRU waste container physical protection</v>
          </cell>
          <cell r="AJ63" t="str">
            <v>•  Fire Protection Program
•  Maintenance Program</v>
          </cell>
          <cell r="AK63" t="str">
            <v>•   APPROVED CONTAINERS used for TRU waste storage
•   TSR-compliant packaging for high activity TRU waste</v>
          </cell>
          <cell r="AL63" t="str">
            <v>•  Non-combustible facility sheathing/ exterior</v>
          </cell>
          <cell r="AM63" t="str">
            <v>• SAC for APPROVED CONTAINER use</v>
          </cell>
          <cell r="AN63" t="str">
            <v>•  Emergency Response Program
•  Fire Protection Program
•  Radiological Protection Program</v>
          </cell>
        </row>
        <row r="64">
          <cell r="A64" t="str">
            <v>LSA</v>
          </cell>
          <cell r="B64">
            <v>15</v>
          </cell>
          <cell r="C64" t="str">
            <v>Tornado</v>
          </cell>
          <cell r="D64" t="str">
            <v>Direct effects of tornado winds, falling objects, or tornado-produced missiles causing impacts to the facility. Event includes loss of contamination confinement resulting from abnormal facility differential pressures (backflow).</v>
          </cell>
          <cell r="E64">
            <v>2100</v>
          </cell>
          <cell r="F64" t="str">
            <v>E22</v>
          </cell>
          <cell r="G64">
            <v>1</v>
          </cell>
          <cell r="H64" t="str">
            <v>Gnd</v>
          </cell>
          <cell r="I64">
            <v>850</v>
          </cell>
          <cell r="J64" t="str">
            <v>U</v>
          </cell>
          <cell r="K64" t="str">
            <v>H</v>
          </cell>
          <cell r="L64" t="str">
            <v>M</v>
          </cell>
          <cell r="M64" t="str">
            <v>N</v>
          </cell>
          <cell r="N64" t="str">
            <v>N</v>
          </cell>
          <cell r="O64" t="str">
            <v>I</v>
          </cell>
          <cell r="P64" t="str">
            <v>II</v>
          </cell>
          <cell r="Q64" t="str">
            <v>IV</v>
          </cell>
          <cell r="R64" t="str">
            <v>IV</v>
          </cell>
          <cell r="S64" t="str">
            <v>E22</v>
          </cell>
          <cell r="T64">
            <v>0.18</v>
          </cell>
          <cell r="U64" t="str">
            <v>Gnd</v>
          </cell>
          <cell r="V64">
            <v>850</v>
          </cell>
          <cell r="W64" t="str">
            <v>EU</v>
          </cell>
          <cell r="X64" t="str">
            <v>M</v>
          </cell>
          <cell r="Y64" t="str">
            <v>M</v>
          </cell>
          <cell r="Z64" t="str">
            <v>N</v>
          </cell>
          <cell r="AA64" t="str">
            <v>N</v>
          </cell>
          <cell r="AB64" t="str">
            <v>III</v>
          </cell>
          <cell r="AC64" t="str">
            <v>III</v>
          </cell>
          <cell r="AD64" t="str">
            <v>IV</v>
          </cell>
          <cell r="AE64" t="str">
            <v>IV</v>
          </cell>
          <cell r="AF64" t="str">
            <v>High wind conditions would disperse any released material in a manner significantly greater than 95% meteorological condition assumptions.  MAR is entire inventory of radioactive material in WVDP packaged waste (exclusive of HLW) (Ref.WVNS-CAL-397, Table C-1).  Tornado borne missiles assumed to impact four TRU waste drums: max container and three at 99th percentile.</v>
          </cell>
          <cell r="AG64" t="str">
            <v>•  None</v>
          </cell>
          <cell r="AH64" t="str">
            <v>•  None</v>
          </cell>
          <cell r="AI64" t="str">
            <v>•  None</v>
          </cell>
          <cell r="AJ64" t="str">
            <v>•  None</v>
          </cell>
          <cell r="AK64" t="str">
            <v>•   TSR-compliant packaging for high activity TRU waste</v>
          </cell>
          <cell r="AL64" t="str">
            <v>•  None</v>
          </cell>
          <cell r="AM64" t="str">
            <v>•  None</v>
          </cell>
          <cell r="AN64" t="str">
            <v>•  Radiological Protection Program
•  Emergency Response Program
•  Performance Based Training Program
•  Conduct of Operations</v>
          </cell>
        </row>
        <row r="65">
          <cell r="A65" t="str">
            <v>LSA</v>
          </cell>
          <cell r="B65">
            <v>16</v>
          </cell>
          <cell r="C65" t="str">
            <v>Seismic event</v>
          </cell>
          <cell r="D65" t="str">
            <v>Seismic event causes structural collapse and/or failure of storage array resulting in damage to stored containers.</v>
          </cell>
          <cell r="E65">
            <v>2100</v>
          </cell>
          <cell r="F65" t="str">
            <v>E24</v>
          </cell>
          <cell r="G65">
            <v>0.01</v>
          </cell>
          <cell r="H65" t="str">
            <v>Gnd</v>
          </cell>
          <cell r="I65">
            <v>850</v>
          </cell>
          <cell r="J65" t="str">
            <v>U</v>
          </cell>
          <cell r="K65" t="str">
            <v>L</v>
          </cell>
          <cell r="L65" t="str">
            <v>L</v>
          </cell>
          <cell r="M65" t="str">
            <v>N</v>
          </cell>
          <cell r="N65" t="str">
            <v>N</v>
          </cell>
          <cell r="O65" t="str">
            <v>III</v>
          </cell>
          <cell r="P65" t="str">
            <v>III</v>
          </cell>
          <cell r="Q65" t="str">
            <v>IV</v>
          </cell>
          <cell r="R65" t="str">
            <v>IV</v>
          </cell>
          <cell r="S65" t="str">
            <v>E24</v>
          </cell>
          <cell r="T65">
            <v>0.01</v>
          </cell>
          <cell r="U65" t="str">
            <v>Gnd</v>
          </cell>
          <cell r="V65">
            <v>850</v>
          </cell>
          <cell r="W65" t="str">
            <v>U</v>
          </cell>
          <cell r="X65" t="str">
            <v>L</v>
          </cell>
          <cell r="Y65" t="str">
            <v>L</v>
          </cell>
          <cell r="Z65" t="str">
            <v>N</v>
          </cell>
          <cell r="AA65" t="str">
            <v>N</v>
          </cell>
          <cell r="AB65" t="str">
            <v>III</v>
          </cell>
          <cell r="AC65" t="str">
            <v>III</v>
          </cell>
          <cell r="AD65" t="str">
            <v>IV</v>
          </cell>
          <cell r="AE65" t="str">
            <v>IV</v>
          </cell>
          <cell r="AF65" t="str">
            <v xml:space="preserve">Facility expected to remain intact following EBE. Toppling of storage array addressed under event "Collapse of Stacked Containers."  MAR is entire inventory of radioactive material in WVDP packaged waste (exclusive of HLW) (Ref.WVNS-CAL-397, Table C-1).  </v>
          </cell>
          <cell r="AG65" t="str">
            <v>•  None</v>
          </cell>
          <cell r="AH65" t="str">
            <v>•  None</v>
          </cell>
          <cell r="AI65" t="str">
            <v>•  None</v>
          </cell>
          <cell r="AJ65" t="str">
            <v>•  None</v>
          </cell>
          <cell r="AK65" t="str">
            <v>•   APPROVED CONTAINERS used for TRU waste storage
•   TSR-compliant packaging for high activity TRU waste</v>
          </cell>
          <cell r="AL65" t="str">
            <v>•  None</v>
          </cell>
          <cell r="AM65" t="str">
            <v>•  None</v>
          </cell>
          <cell r="AN65" t="str">
            <v>•  Radiological Protection Program
•  Emergency Response Program
•  Performance Based Training Program
•  Conduct of Operations</v>
          </cell>
        </row>
        <row r="66">
          <cell r="A66" t="str">
            <v>LSA</v>
          </cell>
          <cell r="B66">
            <v>17</v>
          </cell>
          <cell r="C66" t="str">
            <v>HEPA filter failure</v>
          </cell>
          <cell r="D66" t="str">
            <v>Excess moisture or particulate on filters or area pressure excursion causes high filter differential pressure, resulting in filter failure</v>
          </cell>
          <cell r="E66">
            <v>1</v>
          </cell>
          <cell r="F66" t="str">
            <v>HB</v>
          </cell>
          <cell r="G66">
            <v>1</v>
          </cell>
          <cell r="H66" t="str">
            <v>Gnd</v>
          </cell>
          <cell r="I66">
            <v>850</v>
          </cell>
          <cell r="J66" t="str">
            <v>A</v>
          </cell>
          <cell r="K66" t="str">
            <v>L</v>
          </cell>
          <cell r="L66" t="str">
            <v>L</v>
          </cell>
          <cell r="M66" t="str">
            <v>N</v>
          </cell>
          <cell r="N66" t="str">
            <v>N</v>
          </cell>
          <cell r="O66" t="str">
            <v>III</v>
          </cell>
          <cell r="P66" t="str">
            <v>III</v>
          </cell>
          <cell r="Q66" t="str">
            <v>IV</v>
          </cell>
          <cell r="R66" t="str">
            <v>IV</v>
          </cell>
          <cell r="S66" t="str">
            <v>HB</v>
          </cell>
          <cell r="T66">
            <v>1</v>
          </cell>
          <cell r="U66" t="str">
            <v>Gnd</v>
          </cell>
          <cell r="V66">
            <v>850</v>
          </cell>
          <cell r="W66" t="str">
            <v>U</v>
          </cell>
          <cell r="X66" t="str">
            <v>L</v>
          </cell>
          <cell r="Y66" t="str">
            <v>L</v>
          </cell>
          <cell r="Z66" t="str">
            <v>N</v>
          </cell>
          <cell r="AA66" t="str">
            <v>N</v>
          </cell>
          <cell r="AB66" t="str">
            <v>III</v>
          </cell>
          <cell r="AC66" t="str">
            <v>III</v>
          </cell>
          <cell r="AD66" t="str">
            <v>IV</v>
          </cell>
          <cell r="AE66" t="str">
            <v>IV</v>
          </cell>
          <cell r="AF66" t="str">
            <v xml:space="preserve"> 10% of MPPB ventilation system MAR bounding for facility HEPA filters based on system environmental emission data </v>
          </cell>
          <cell r="AG66" t="str">
            <v>•  None</v>
          </cell>
          <cell r="AH66" t="str">
            <v>•  None</v>
          </cell>
          <cell r="AI66" t="str">
            <v>•  None</v>
          </cell>
          <cell r="AJ66" t="str">
            <v>•  Quality Assurance Program
•  Fire Protection Program
•  Performance Based Training Program
•  Maintenance Program
•  Conduct of Operations</v>
          </cell>
          <cell r="AK66" t="str">
            <v>•  None</v>
          </cell>
          <cell r="AL66" t="str">
            <v>•  None</v>
          </cell>
          <cell r="AM66" t="str">
            <v>•  None</v>
          </cell>
          <cell r="AN66" t="str">
            <v>•  Radiological Protection Program
•  Emergency Response Program
•  Performance Based Training Program
•  Conduct of Operations</v>
          </cell>
        </row>
        <row r="67">
          <cell r="A67" t="str">
            <v>LSA</v>
          </cell>
          <cell r="B67">
            <v>18</v>
          </cell>
          <cell r="C67" t="str">
            <v>HEPA filter fire</v>
          </cell>
          <cell r="D67" t="str">
            <v>Area fire propagates to HEPA filter bank</v>
          </cell>
          <cell r="E67">
            <v>1</v>
          </cell>
          <cell r="F67" t="str">
            <v>HF</v>
          </cell>
          <cell r="G67">
            <v>1</v>
          </cell>
          <cell r="H67" t="str">
            <v>Gnd</v>
          </cell>
          <cell r="I67">
            <v>850</v>
          </cell>
          <cell r="J67" t="str">
            <v>A</v>
          </cell>
          <cell r="K67" t="str">
            <v>N</v>
          </cell>
          <cell r="L67" t="str">
            <v>N</v>
          </cell>
          <cell r="M67" t="str">
            <v>N</v>
          </cell>
          <cell r="N67" t="str">
            <v>N</v>
          </cell>
          <cell r="O67" t="str">
            <v>IV</v>
          </cell>
          <cell r="P67" t="str">
            <v>IV</v>
          </cell>
          <cell r="Q67" t="str">
            <v>IV</v>
          </cell>
          <cell r="R67" t="str">
            <v>IV</v>
          </cell>
          <cell r="S67" t="str">
            <v>HF</v>
          </cell>
          <cell r="T67">
            <v>1</v>
          </cell>
          <cell r="U67" t="str">
            <v>Gnd</v>
          </cell>
          <cell r="V67">
            <v>850</v>
          </cell>
          <cell r="W67" t="str">
            <v>U</v>
          </cell>
          <cell r="X67" t="str">
            <v>N</v>
          </cell>
          <cell r="Y67" t="str">
            <v>N</v>
          </cell>
          <cell r="Z67" t="str">
            <v>N</v>
          </cell>
          <cell r="AA67" t="str">
            <v>N</v>
          </cell>
          <cell r="AB67" t="str">
            <v>IV</v>
          </cell>
          <cell r="AC67" t="str">
            <v>IV</v>
          </cell>
          <cell r="AD67" t="str">
            <v>IV</v>
          </cell>
          <cell r="AE67" t="str">
            <v>IV</v>
          </cell>
          <cell r="AF67" t="str">
            <v xml:space="preserve"> 10% of MPPB ventilation system MAR bounding for facility HEPA filters based on system environmental emission data </v>
          </cell>
          <cell r="AG67" t="str">
            <v>•  None</v>
          </cell>
          <cell r="AH67" t="str">
            <v>•  CSPF fire suppression system</v>
          </cell>
          <cell r="AI67" t="str">
            <v>•  None</v>
          </cell>
          <cell r="AJ67" t="str">
            <v>•  Quality Assurance Program
•  Fire Protection Program
•  Performance Based Training Program
•  Maintenance Program
•  Conduct of Operations</v>
          </cell>
          <cell r="AK67" t="str">
            <v>•  None</v>
          </cell>
          <cell r="AL67" t="str">
            <v>•  None</v>
          </cell>
          <cell r="AM67" t="str">
            <v>•  None</v>
          </cell>
          <cell r="AN67" t="str">
            <v>•  Radiological Protection Program
•  Emergency Response Program
•  Fire Protection Program
•  Performance Based Training Program
•  Conduct of Operations</v>
          </cell>
        </row>
        <row r="68">
          <cell r="A68" t="str">
            <v>LSA</v>
          </cell>
          <cell r="B68">
            <v>19</v>
          </cell>
          <cell r="C68" t="str">
            <v>Loss of airborne contamination confinement</v>
          </cell>
          <cell r="D68" t="str">
            <v>Loss of CSPF/WPA exhaust blowers operability; loss of adequate area negative; or other upset condition resulting in loss of airborne contamination confinement.</v>
          </cell>
          <cell r="E68">
            <v>360</v>
          </cell>
          <cell r="F68" t="str">
            <v>AER</v>
          </cell>
          <cell r="G68">
            <v>1</v>
          </cell>
          <cell r="H68" t="str">
            <v>Gnd</v>
          </cell>
          <cell r="I68">
            <v>850</v>
          </cell>
          <cell r="J68" t="str">
            <v>A</v>
          </cell>
          <cell r="K68" t="str">
            <v>L</v>
          </cell>
          <cell r="L68" t="str">
            <v>L</v>
          </cell>
          <cell r="M68" t="str">
            <v>N</v>
          </cell>
          <cell r="N68" t="str">
            <v>N</v>
          </cell>
          <cell r="O68" t="str">
            <v>III</v>
          </cell>
          <cell r="P68" t="str">
            <v>III</v>
          </cell>
          <cell r="Q68" t="str">
            <v>IV</v>
          </cell>
          <cell r="R68" t="str">
            <v>IV</v>
          </cell>
          <cell r="S68" t="str">
            <v>AER</v>
          </cell>
          <cell r="T68">
            <v>1</v>
          </cell>
          <cell r="U68" t="str">
            <v>Gnd</v>
          </cell>
          <cell r="V68">
            <v>850</v>
          </cell>
          <cell r="W68" t="str">
            <v>A</v>
          </cell>
          <cell r="X68" t="str">
            <v>L</v>
          </cell>
          <cell r="Y68" t="str">
            <v>L</v>
          </cell>
          <cell r="Z68" t="str">
            <v>N</v>
          </cell>
          <cell r="AA68" t="str">
            <v>N</v>
          </cell>
          <cell r="AB68" t="str">
            <v>III</v>
          </cell>
          <cell r="AC68" t="str">
            <v>III</v>
          </cell>
          <cell r="AD68" t="str">
            <v>IV</v>
          </cell>
          <cell r="AE68" t="str">
            <v>IV</v>
          </cell>
          <cell r="AF68" t="str">
            <v xml:space="preserve">Contamination assumed to migrate from confinement boundary penetrations through aerodynamic entrainment and resuspension under static facility conditions. MAR is activity in maximally loaded 2-drum Interim Storage Container (Ref. WVNS-CAL-397, Table A-2).  </v>
          </cell>
          <cell r="AG68" t="str">
            <v>•  None</v>
          </cell>
          <cell r="AH68" t="str">
            <v>•  None</v>
          </cell>
          <cell r="AI68" t="str">
            <v>•  None</v>
          </cell>
          <cell r="AJ68" t="str">
            <v>•  Quality Assurance Program
•  Fire Protection Program
•  Performance Based Training Program
•  Maintenance Program
•  Conduct of Operations</v>
          </cell>
          <cell r="AK68" t="str">
            <v>•  None</v>
          </cell>
          <cell r="AL68" t="str">
            <v>•  None</v>
          </cell>
          <cell r="AM68" t="str">
            <v>•  None</v>
          </cell>
          <cell r="AN68" t="str">
            <v>•  None</v>
          </cell>
        </row>
        <row r="69">
          <cell r="A69" t="str">
            <v>LSA</v>
          </cell>
          <cell r="B69">
            <v>20</v>
          </cell>
          <cell r="C69" t="str">
            <v>Loss of liquid contamination confinement</v>
          </cell>
          <cell r="D69" t="str">
            <v>Waste container containing residual liquids fails, resulting in loss of liquid contamination to the environment</v>
          </cell>
          <cell r="E69">
            <v>1</v>
          </cell>
          <cell r="F69" t="str">
            <v>FFS</v>
          </cell>
          <cell r="G69">
            <v>0.5</v>
          </cell>
          <cell r="H69" t="str">
            <v>Gnd</v>
          </cell>
          <cell r="I69">
            <v>850</v>
          </cell>
          <cell r="J69" t="str">
            <v>A</v>
          </cell>
          <cell r="K69" t="str">
            <v>N</v>
          </cell>
          <cell r="L69" t="str">
            <v>N</v>
          </cell>
          <cell r="M69" t="str">
            <v>N</v>
          </cell>
          <cell r="N69" t="str">
            <v>N</v>
          </cell>
          <cell r="O69" t="str">
            <v>IV</v>
          </cell>
          <cell r="P69" t="str">
            <v>IV</v>
          </cell>
          <cell r="Q69" t="str">
            <v>IV</v>
          </cell>
          <cell r="R69" t="str">
            <v>IV</v>
          </cell>
          <cell r="S69" t="str">
            <v>FFS</v>
          </cell>
          <cell r="T69">
            <v>0.5</v>
          </cell>
          <cell r="U69" t="str">
            <v>Gnd</v>
          </cell>
          <cell r="V69">
            <v>850</v>
          </cell>
          <cell r="W69" t="str">
            <v>A</v>
          </cell>
          <cell r="X69" t="str">
            <v>N</v>
          </cell>
          <cell r="Y69" t="str">
            <v>N</v>
          </cell>
          <cell r="Z69" t="str">
            <v>N</v>
          </cell>
          <cell r="AA69" t="str">
            <v>N</v>
          </cell>
          <cell r="AB69" t="str">
            <v>IV</v>
          </cell>
          <cell r="AC69" t="str">
            <v>IV</v>
          </cell>
          <cell r="AD69" t="str">
            <v>IV</v>
          </cell>
          <cell r="AE69" t="str">
            <v>IV</v>
          </cell>
          <cell r="AF69" t="str">
            <v xml:space="preserve">None.  </v>
          </cell>
          <cell r="AG69" t="str">
            <v>•  None</v>
          </cell>
          <cell r="AH69" t="str">
            <v>•  Cell liners/sumps and/or area berms</v>
          </cell>
          <cell r="AI69" t="str">
            <v>•  None</v>
          </cell>
          <cell r="AJ69" t="str">
            <v xml:space="preserve">•  Quality Assurance Program
•  Performance Based Training Program
•  Maintenance Program
•  Conduct of Operations
•  Waste Management Program </v>
          </cell>
          <cell r="AK69" t="str">
            <v>•  None</v>
          </cell>
          <cell r="AL69" t="str">
            <v>•  Building berms</v>
          </cell>
          <cell r="AM69" t="str">
            <v>•  None</v>
          </cell>
          <cell r="AN69" t="str">
            <v>•  Radiological Protection Program
•  Performance Based Training Program
•  Conduct of Operations</v>
          </cell>
        </row>
        <row r="70">
          <cell r="A70" t="str">
            <v>LSA</v>
          </cell>
          <cell r="B70">
            <v>21</v>
          </cell>
          <cell r="C70" t="str">
            <v>Flood</v>
          </cell>
          <cell r="D70" t="str">
            <v>A greater than 100-yr  rain event results in sheet flow that floods the storage area. Flooding may be exacerbated by plugged drainage channels or culverts.</v>
          </cell>
          <cell r="E70">
            <v>2100</v>
          </cell>
          <cell r="F70" t="str">
            <v>NA</v>
          </cell>
          <cell r="G70" t="str">
            <v>NA</v>
          </cell>
          <cell r="H70" t="str">
            <v>Gnd</v>
          </cell>
          <cell r="I70">
            <v>850</v>
          </cell>
          <cell r="J70" t="str">
            <v>U</v>
          </cell>
          <cell r="K70" t="str">
            <v>N</v>
          </cell>
          <cell r="L70" t="str">
            <v>N</v>
          </cell>
          <cell r="M70" t="str">
            <v>N</v>
          </cell>
          <cell r="N70" t="str">
            <v>N</v>
          </cell>
          <cell r="O70" t="str">
            <v>IV</v>
          </cell>
          <cell r="P70" t="str">
            <v>IV</v>
          </cell>
          <cell r="Q70" t="str">
            <v>IV</v>
          </cell>
          <cell r="R70" t="str">
            <v>IV</v>
          </cell>
          <cell r="S70" t="str">
            <v>NA</v>
          </cell>
          <cell r="T70" t="str">
            <v>NA</v>
          </cell>
          <cell r="U70" t="str">
            <v>Gnd</v>
          </cell>
          <cell r="V70">
            <v>850</v>
          </cell>
          <cell r="W70" t="str">
            <v>U</v>
          </cell>
          <cell r="X70" t="str">
            <v>N</v>
          </cell>
          <cell r="Y70" t="str">
            <v>N</v>
          </cell>
          <cell r="Z70" t="str">
            <v>N</v>
          </cell>
          <cell r="AA70" t="str">
            <v>N</v>
          </cell>
          <cell r="AB70" t="str">
            <v>IV</v>
          </cell>
          <cell r="AC70" t="str">
            <v>IV</v>
          </cell>
          <cell r="AD70" t="str">
            <v>IV</v>
          </cell>
          <cell r="AE70" t="str">
            <v>IV</v>
          </cell>
          <cell r="AF70" t="str">
            <v xml:space="preserve">Site topography places facility outside area vulnerable to flooding (ref. Figure 1.4-6).  MAR is entire inventory of radioactive material in WVDP packaged waste (exclusive of HLW) (Ref.WVNS-CAL-397, Table C-1).  </v>
          </cell>
          <cell r="AG70" t="str">
            <v>•  None</v>
          </cell>
          <cell r="AH70" t="str">
            <v>•  Siting of storage array in area away from areas of anticipated flooding</v>
          </cell>
          <cell r="AI70" t="str">
            <v>•  None</v>
          </cell>
          <cell r="AJ70" t="str">
            <v>•  None</v>
          </cell>
          <cell r="AK70" t="str">
            <v>•  None</v>
          </cell>
          <cell r="AL70" t="str">
            <v>•  None</v>
          </cell>
          <cell r="AM70" t="str">
            <v>•  None</v>
          </cell>
          <cell r="AN70" t="str">
            <v>•  Radiological Protection Program
•  Performance Based Training Program
•  Conduct of Operations</v>
          </cell>
        </row>
        <row r="71">
          <cell r="A71" t="str">
            <v>MP</v>
          </cell>
          <cell r="B71">
            <v>1</v>
          </cell>
          <cell r="C71" t="str">
            <v>Small combustible material fire</v>
          </cell>
          <cell r="D71" t="str">
            <v>Fire occurs in a contaminated facility area. Includes accidents initiated due to pyrophoric reactions or reactions involving incompatible materials.</v>
          </cell>
          <cell r="E71">
            <v>360</v>
          </cell>
          <cell r="F71" t="str">
            <v>E02</v>
          </cell>
          <cell r="G71">
            <v>1</v>
          </cell>
          <cell r="H71" t="str">
            <v>60m</v>
          </cell>
          <cell r="I71">
            <v>1050</v>
          </cell>
          <cell r="J71" t="str">
            <v>A</v>
          </cell>
          <cell r="K71" t="str">
            <v>N</v>
          </cell>
          <cell r="L71" t="str">
            <v>M</v>
          </cell>
          <cell r="M71" t="str">
            <v>N</v>
          </cell>
          <cell r="N71" t="str">
            <v>N</v>
          </cell>
          <cell r="O71" t="str">
            <v>IV</v>
          </cell>
          <cell r="P71" t="str">
            <v>I</v>
          </cell>
          <cell r="Q71" t="str">
            <v>IV</v>
          </cell>
          <cell r="R71" t="str">
            <v>IV</v>
          </cell>
          <cell r="S71" t="str">
            <v>CWF</v>
          </cell>
          <cell r="T71">
            <v>1</v>
          </cell>
          <cell r="U71" t="str">
            <v>60m</v>
          </cell>
          <cell r="V71">
            <v>1050</v>
          </cell>
          <cell r="W71" t="str">
            <v>U</v>
          </cell>
          <cell r="X71" t="str">
            <v>N</v>
          </cell>
          <cell r="Y71" t="str">
            <v>L</v>
          </cell>
          <cell r="Z71" t="str">
            <v>N</v>
          </cell>
          <cell r="AA71" t="str">
            <v>N</v>
          </cell>
          <cell r="AB71" t="str">
            <v>IV</v>
          </cell>
          <cell r="AC71" t="str">
            <v>III</v>
          </cell>
          <cell r="AD71" t="str">
            <v>IV</v>
          </cell>
          <cell r="AE71" t="str">
            <v>IV</v>
          </cell>
          <cell r="AF71" t="str">
            <v xml:space="preserve">Releases are assumed to be through facility stack, even under loss of active ventilation, via stack chimney effect. Credit taken for Fire Protection Program controls in assuming mitigated event progresses as contained waste fire.  MAR is activity in maximally loaded 2-drum Interim Storage Container (Ref. WVNS-CAL-397, Table A-2).  </v>
          </cell>
          <cell r="AG71" t="str">
            <v>•  None</v>
          </cell>
          <cell r="AH71" t="str">
            <v>•  None</v>
          </cell>
          <cell r="AI71" t="str">
            <v>•  None</v>
          </cell>
          <cell r="AJ71" t="str">
            <v xml:space="preserve">•  Quality Assurance Program
•  Fire Protection Program
-   “Hot work” controls
-   Combustible material control program
•  Performance Based Training Program
•  Maintenance Program
•  Conduct of Operations
•  Waste Management Program </v>
          </cell>
          <cell r="AK71" t="str">
            <v>•  None</v>
          </cell>
          <cell r="AL71" t="str">
            <v>•  Fire rated cell walls and shield doors</v>
          </cell>
          <cell r="AM71" t="str">
            <v>•  None</v>
          </cell>
          <cell r="AN71" t="str">
            <v>•  Radiological Protection Program
•  Emergency Response Program
•  Fire Protection Program
•  Performance Based Training Program
•  Conduct of Operations</v>
          </cell>
        </row>
        <row r="72">
          <cell r="A72" t="str">
            <v>MP</v>
          </cell>
          <cell r="B72">
            <v>2</v>
          </cell>
          <cell r="C72" t="str">
            <v>Large fire</v>
          </cell>
          <cell r="D72" t="str">
            <v>Large cell fire. Expected to be bounded by combustion of shield window mineral oil following window failure. Fire may initiate due to ignition of combustible or pyrophoric material in cell.</v>
          </cell>
          <cell r="E72">
            <v>2300</v>
          </cell>
          <cell r="F72" t="str">
            <v>E04</v>
          </cell>
          <cell r="G72">
            <v>0.5</v>
          </cell>
          <cell r="H72" t="str">
            <v>60m</v>
          </cell>
          <cell r="I72">
            <v>1050</v>
          </cell>
          <cell r="J72" t="str">
            <v>U</v>
          </cell>
          <cell r="K72" t="str">
            <v>N</v>
          </cell>
          <cell r="L72" t="str">
            <v>L</v>
          </cell>
          <cell r="M72" t="str">
            <v>N</v>
          </cell>
          <cell r="N72" t="str">
            <v>N</v>
          </cell>
          <cell r="O72" t="str">
            <v>IV</v>
          </cell>
          <cell r="P72" t="str">
            <v>III</v>
          </cell>
          <cell r="Q72" t="str">
            <v>IV</v>
          </cell>
          <cell r="R72" t="str">
            <v>IV</v>
          </cell>
          <cell r="S72" t="str">
            <v>E04</v>
          </cell>
          <cell r="T72">
            <v>0.5</v>
          </cell>
          <cell r="U72" t="str">
            <v>60m</v>
          </cell>
          <cell r="V72">
            <v>1050</v>
          </cell>
          <cell r="W72" t="str">
            <v>EU</v>
          </cell>
          <cell r="X72" t="str">
            <v>N</v>
          </cell>
          <cell r="Y72" t="str">
            <v>L</v>
          </cell>
          <cell r="Z72" t="str">
            <v>N</v>
          </cell>
          <cell r="AA72" t="str">
            <v>N</v>
          </cell>
          <cell r="AB72" t="str">
            <v>IV</v>
          </cell>
          <cell r="AC72" t="str">
            <v>IV</v>
          </cell>
          <cell r="AD72" t="str">
            <v>IV</v>
          </cell>
          <cell r="AE72" t="str">
            <v>IV</v>
          </cell>
          <cell r="AF72" t="str">
            <v xml:space="preserve">Releases are assumed to be through facility stack, even under loss of active ventilation, via stack chimney effect.  MAR is entire inventory of radioactive material in the MPPB  (exclusive of HLW) (Ref. WVNS-CAL-397, Table C-1).  </v>
          </cell>
          <cell r="AG72" t="str">
            <v>•  None</v>
          </cell>
          <cell r="AH72" t="str">
            <v>•  None</v>
          </cell>
          <cell r="AI72" t="str">
            <v>•  None</v>
          </cell>
          <cell r="AJ72" t="str">
            <v xml:space="preserve">•  Quality Assurance Program
•  Fire Protection Program
-   “Hot work” controls
-   Combustible material control program
•  Performance Based Training Program
•  Maintenance Program
•  Waste Management Program </v>
          </cell>
          <cell r="AK72" t="str">
            <v>•  None</v>
          </cell>
          <cell r="AL72" t="str">
            <v>•  Fire rated cell walls and shield doors</v>
          </cell>
          <cell r="AM72" t="str">
            <v>•  None</v>
          </cell>
          <cell r="AN72" t="str">
            <v>•  Radiological Protection Program
•  Emergency Response Program
•  Fire Protection Program
•  Performance Based Training Program
•  Conduct of Operations</v>
          </cell>
        </row>
        <row r="73">
          <cell r="A73" t="str">
            <v>MP</v>
          </cell>
          <cell r="B73">
            <v>3</v>
          </cell>
          <cell r="C73" t="str">
            <v>Waste container deflagration</v>
          </cell>
          <cell r="D73" t="str">
            <v>Hydrogen or other flammable/explosive gases inside a container is ignited.</v>
          </cell>
          <cell r="E73">
            <v>360</v>
          </cell>
          <cell r="F73" t="str">
            <v>E06</v>
          </cell>
          <cell r="G73">
            <v>1</v>
          </cell>
          <cell r="H73" t="str">
            <v>60m</v>
          </cell>
          <cell r="I73">
            <v>1050</v>
          </cell>
          <cell r="J73" t="str">
            <v>U</v>
          </cell>
          <cell r="K73" t="str">
            <v>N</v>
          </cell>
          <cell r="L73" t="str">
            <v>L</v>
          </cell>
          <cell r="M73" t="str">
            <v>N</v>
          </cell>
          <cell r="N73" t="str">
            <v>N</v>
          </cell>
          <cell r="O73" t="str">
            <v>IV</v>
          </cell>
          <cell r="P73" t="str">
            <v>III</v>
          </cell>
          <cell r="Q73" t="str">
            <v>IV</v>
          </cell>
          <cell r="R73" t="str">
            <v>IV</v>
          </cell>
          <cell r="S73" t="str">
            <v>E06</v>
          </cell>
          <cell r="T73">
            <v>1</v>
          </cell>
          <cell r="U73" t="str">
            <v>60m</v>
          </cell>
          <cell r="V73">
            <v>1050</v>
          </cell>
          <cell r="W73" t="str">
            <v>EU</v>
          </cell>
          <cell r="X73" t="str">
            <v>N</v>
          </cell>
          <cell r="Y73" t="str">
            <v>L</v>
          </cell>
          <cell r="Z73" t="str">
            <v>N</v>
          </cell>
          <cell r="AA73" t="str">
            <v>N</v>
          </cell>
          <cell r="AB73" t="str">
            <v>IV</v>
          </cell>
          <cell r="AC73" t="str">
            <v>IV</v>
          </cell>
          <cell r="AD73" t="str">
            <v>IV</v>
          </cell>
          <cell r="AE73" t="str">
            <v>IV</v>
          </cell>
          <cell r="AF73" t="str">
            <v xml:space="preserve">Waste form and waste package vent filters contribute to low probability of this event. Event is assumed to occur within shielded process cell.  MAR is activity in maximally loaded 2-drum Interim Storage Container (Ref. WVNS-CAL-397, Table A-2).  </v>
          </cell>
          <cell r="AG73" t="str">
            <v>•  None</v>
          </cell>
          <cell r="AH73" t="str">
            <v>•  HEPA filter vents on waste containers
•  Non-sparking tools for containers suspected of containing high concentrations of flammable gas</v>
          </cell>
          <cell r="AI73" t="str">
            <v>•  None</v>
          </cell>
          <cell r="AJ73" t="str">
            <v xml:space="preserve">•  Quality Assurance Program
•  Fire Protection Program
•  Performance Based Training Program
•  Maintenance Program
•  Waste Management Program </v>
          </cell>
          <cell r="AK73" t="str">
            <v>•  None</v>
          </cell>
          <cell r="AL73" t="str">
            <v>•  Confinement capability of cell structure
•  Fire rated cell walls and shield doors</v>
          </cell>
          <cell r="AM73" t="str">
            <v>•  None</v>
          </cell>
          <cell r="AN73" t="str">
            <v>•  Radiological Protection Program
•  Emergency Response Program
•  Fire Protection Program
•  Performance Based Training Program
•  Conduct of Operations</v>
          </cell>
        </row>
        <row r="74">
          <cell r="A74" t="str">
            <v>MP</v>
          </cell>
          <cell r="B74">
            <v>4</v>
          </cell>
          <cell r="C74" t="str">
            <v>Localized explosion within facility</v>
          </cell>
          <cell r="D74" t="str">
            <v>Localized explosion within facility.</v>
          </cell>
          <cell r="E74">
            <v>360</v>
          </cell>
          <cell r="F74" t="str">
            <v>ES</v>
          </cell>
          <cell r="G74">
            <v>1</v>
          </cell>
          <cell r="H74" t="str">
            <v>60m</v>
          </cell>
          <cell r="I74">
            <v>1050</v>
          </cell>
          <cell r="J74" t="str">
            <v>U</v>
          </cell>
          <cell r="K74" t="str">
            <v>N</v>
          </cell>
          <cell r="L74" t="str">
            <v>L</v>
          </cell>
          <cell r="M74" t="str">
            <v>N</v>
          </cell>
          <cell r="N74" t="str">
            <v>N</v>
          </cell>
          <cell r="O74" t="str">
            <v>IV</v>
          </cell>
          <cell r="P74" t="str">
            <v>III</v>
          </cell>
          <cell r="Q74" t="str">
            <v>IV</v>
          </cell>
          <cell r="R74" t="str">
            <v>IV</v>
          </cell>
          <cell r="S74" t="str">
            <v>ES</v>
          </cell>
          <cell r="T74">
            <v>1</v>
          </cell>
          <cell r="U74" t="str">
            <v>60m</v>
          </cell>
          <cell r="V74">
            <v>1050</v>
          </cell>
          <cell r="W74" t="str">
            <v>U</v>
          </cell>
          <cell r="X74" t="str">
            <v>N</v>
          </cell>
          <cell r="Y74" t="str">
            <v>L</v>
          </cell>
          <cell r="Z74" t="str">
            <v>N</v>
          </cell>
          <cell r="AA74" t="str">
            <v>N</v>
          </cell>
          <cell r="AB74" t="str">
            <v>IV</v>
          </cell>
          <cell r="AC74" t="str">
            <v>III</v>
          </cell>
          <cell r="AD74" t="str">
            <v>IV</v>
          </cell>
          <cell r="AE74" t="str">
            <v>IV</v>
          </cell>
          <cell r="AF74" t="str">
            <v xml:space="preserve">Event is assumed to be due to ignition of flammable gas associated with D&amp;D activities (e.g., cutting gases, pressurized decontamination gases, etc.).  MAR is activity in maximally loaded 2-drum Interim Storage Container (Ref. WVNS-CAL-397, Table A-2).  </v>
          </cell>
          <cell r="AG74" t="str">
            <v>•  None</v>
          </cell>
          <cell r="AH74" t="str">
            <v>•  None</v>
          </cell>
          <cell r="AI74" t="str">
            <v>•  None</v>
          </cell>
          <cell r="AJ74" t="str">
            <v>•  Quality Assurance Program
•  Fire Protection Program
•  Performance Based Training Program
•  Maintenance Program
•  Conduct of Operations</v>
          </cell>
          <cell r="AK74" t="str">
            <v>•  None</v>
          </cell>
          <cell r="AL74" t="str">
            <v>•  Reinforced concrete shield walls</v>
          </cell>
          <cell r="AM74" t="str">
            <v>•  None</v>
          </cell>
          <cell r="AN74" t="str">
            <v>•  Radiological Protection Program
•  Emergency Response Program
•  Fire Protection Program
•  Performance Based Training Program
•  Conduct of Operations</v>
          </cell>
        </row>
        <row r="75">
          <cell r="A75" t="str">
            <v>MP</v>
          </cell>
          <cell r="B75">
            <v>5</v>
          </cell>
          <cell r="C75" t="str">
            <v>Drop/impact/spill</v>
          </cell>
          <cell r="D75" t="str">
            <v>This event is due to mishandling of containers or to drops/impacts caused by equipment failure or leaks caused by corrosion, construction defect, or improper closure. Analysis includes impacts affecting vitrified waste canisters.</v>
          </cell>
          <cell r="E75">
            <v>360</v>
          </cell>
          <cell r="F75" t="str">
            <v>E10</v>
          </cell>
          <cell r="G75">
            <v>0.1</v>
          </cell>
          <cell r="H75" t="str">
            <v>60m</v>
          </cell>
          <cell r="I75">
            <v>1050</v>
          </cell>
          <cell r="J75" t="str">
            <v>A</v>
          </cell>
          <cell r="K75" t="str">
            <v>N</v>
          </cell>
          <cell r="L75" t="str">
            <v>N</v>
          </cell>
          <cell r="M75" t="str">
            <v>N</v>
          </cell>
          <cell r="N75" t="str">
            <v>N</v>
          </cell>
          <cell r="O75" t="str">
            <v>IV</v>
          </cell>
          <cell r="P75" t="str">
            <v>IV</v>
          </cell>
          <cell r="Q75" t="str">
            <v>IV</v>
          </cell>
          <cell r="R75" t="str">
            <v>IV</v>
          </cell>
          <cell r="S75" t="str">
            <v>E10</v>
          </cell>
          <cell r="T75">
            <v>0.1</v>
          </cell>
          <cell r="U75" t="str">
            <v>60m</v>
          </cell>
          <cell r="V75">
            <v>1050</v>
          </cell>
          <cell r="W75" t="str">
            <v>U</v>
          </cell>
          <cell r="X75" t="str">
            <v>N</v>
          </cell>
          <cell r="Y75" t="str">
            <v>N</v>
          </cell>
          <cell r="Z75" t="str">
            <v>N</v>
          </cell>
          <cell r="AA75" t="str">
            <v>N</v>
          </cell>
          <cell r="AB75" t="str">
            <v>IV</v>
          </cell>
          <cell r="AC75" t="str">
            <v>IV</v>
          </cell>
          <cell r="AD75" t="str">
            <v>IV</v>
          </cell>
          <cell r="AE75" t="str">
            <v>IV</v>
          </cell>
          <cell r="AF75" t="str">
            <v xml:space="preserve">Assumed to be bounded by one high activity TRU waste container in HLWIS dropped on another high activity TRU waste container.  No releases from HLW canister expected for this event.  MAR is activity in maximally loaded 2-drum Interim Storage Container (Ref. WVNS-CAL-397, Table A-2).  </v>
          </cell>
          <cell r="AG75" t="str">
            <v>•  None</v>
          </cell>
          <cell r="AH75" t="str">
            <v>•  None</v>
          </cell>
          <cell r="AI75" t="str">
            <v>•  None</v>
          </cell>
          <cell r="AJ75" t="str">
            <v xml:space="preserve">•  Quality Assurance Program
•  Performance Based Training Program
•  Maintenance Program
•  Conduct of Operations
•  Waste Management Program </v>
          </cell>
          <cell r="AK75" t="str">
            <v>•  None</v>
          </cell>
          <cell r="AL75" t="str">
            <v>•  Confinement capability of cell structure</v>
          </cell>
          <cell r="AM75" t="str">
            <v>•  None</v>
          </cell>
          <cell r="AN75" t="str">
            <v>•  Radiological Protection Program
•  Emergency Response Program
•  Performance Based Training Program
•  Conduct of Operations</v>
          </cell>
        </row>
        <row r="76">
          <cell r="A76" t="str">
            <v>MP</v>
          </cell>
          <cell r="B76">
            <v>6</v>
          </cell>
          <cell r="C76" t="str">
            <v>Waste container over-pressurization</v>
          </cell>
          <cell r="D76" t="str">
            <v>Container failure occurs due to pressure buildup, possibly due to radiolysis of water or other hydrogenous material, thermal expansion of material/gases inside the container, or chemical reactions inside the container.</v>
          </cell>
          <cell r="E76">
            <v>360</v>
          </cell>
          <cell r="F76" t="str">
            <v>E12</v>
          </cell>
          <cell r="G76">
            <v>1</v>
          </cell>
          <cell r="H76" t="str">
            <v>60m</v>
          </cell>
          <cell r="I76">
            <v>1050</v>
          </cell>
          <cell r="J76" t="str">
            <v>A</v>
          </cell>
          <cell r="K76" t="str">
            <v>N</v>
          </cell>
          <cell r="L76" t="str">
            <v>L</v>
          </cell>
          <cell r="M76" t="str">
            <v>N</v>
          </cell>
          <cell r="N76" t="str">
            <v>N</v>
          </cell>
          <cell r="O76" t="str">
            <v>IV</v>
          </cell>
          <cell r="P76" t="str">
            <v>III</v>
          </cell>
          <cell r="Q76" t="str">
            <v>IV</v>
          </cell>
          <cell r="R76" t="str">
            <v>IV</v>
          </cell>
          <cell r="S76" t="str">
            <v>E12</v>
          </cell>
          <cell r="T76">
            <v>1</v>
          </cell>
          <cell r="U76" t="str">
            <v>60m</v>
          </cell>
          <cell r="V76">
            <v>1050</v>
          </cell>
          <cell r="W76" t="str">
            <v>A</v>
          </cell>
          <cell r="X76" t="str">
            <v>N</v>
          </cell>
          <cell r="Y76" t="str">
            <v>L</v>
          </cell>
          <cell r="Z76" t="str">
            <v>N</v>
          </cell>
          <cell r="AA76" t="str">
            <v>N</v>
          </cell>
          <cell r="AB76" t="str">
            <v>IV</v>
          </cell>
          <cell r="AC76" t="str">
            <v>III</v>
          </cell>
          <cell r="AD76" t="str">
            <v>IV</v>
          </cell>
          <cell r="AE76" t="str">
            <v>IV</v>
          </cell>
          <cell r="AF76" t="str">
            <v xml:space="preserve">Waste form and waste package vent filters contribute to reducing the probability of this event. Event is assumed to occur within shielded process cell.  MAR is activity in maximally loaded 2-drum Interim Storage Container (Ref. WVNS-CAL-397, Table A-2).  </v>
          </cell>
          <cell r="AG76" t="str">
            <v>•  None</v>
          </cell>
          <cell r="AH76" t="str">
            <v>•  HEPA filter vents on waste containers</v>
          </cell>
          <cell r="AI76" t="str">
            <v>•  None</v>
          </cell>
          <cell r="AJ76" t="str">
            <v xml:space="preserve">•  Quality Assurance Program
•  Performance Based Training Program
•  Waste Management Program </v>
          </cell>
          <cell r="AK76" t="str">
            <v>•  None</v>
          </cell>
          <cell r="AL76" t="str">
            <v>•  None</v>
          </cell>
          <cell r="AM76" t="str">
            <v>•  None</v>
          </cell>
          <cell r="AN76" t="str">
            <v>•  Radiological Protection Program
•  Emergency Response Program
•  Performance Based Training Program
•  Conduct of Operations</v>
          </cell>
        </row>
        <row r="77">
          <cell r="A77" t="str">
            <v>MP</v>
          </cell>
          <cell r="B77">
            <v>7</v>
          </cell>
          <cell r="C77" t="str">
            <v>Direct exposure to radiation</v>
          </cell>
          <cell r="D77" t="str">
            <v>Exposure to ionizing radiation from the waste, possibly due to loss of proper shielding within a container or instrument miscalibration</v>
          </cell>
          <cell r="E77" t="str">
            <v>Not applicable.</v>
          </cell>
          <cell r="F77" t="str">
            <v>NA</v>
          </cell>
          <cell r="G77" t="str">
            <v>NA</v>
          </cell>
          <cell r="H77" t="str">
            <v>60m</v>
          </cell>
          <cell r="I77">
            <v>1050</v>
          </cell>
          <cell r="J77" t="str">
            <v>A</v>
          </cell>
          <cell r="K77" t="str">
            <v>M</v>
          </cell>
          <cell r="L77" t="str">
            <v>N</v>
          </cell>
          <cell r="M77" t="str">
            <v>N</v>
          </cell>
          <cell r="N77" t="str">
            <v>N</v>
          </cell>
          <cell r="O77" t="str">
            <v>I</v>
          </cell>
          <cell r="P77" t="str">
            <v>IV</v>
          </cell>
          <cell r="Q77" t="str">
            <v>IV</v>
          </cell>
          <cell r="R77" t="str">
            <v>IV</v>
          </cell>
          <cell r="S77" t="str">
            <v>NA</v>
          </cell>
          <cell r="T77" t="str">
            <v>NA</v>
          </cell>
          <cell r="U77" t="str">
            <v>60m</v>
          </cell>
          <cell r="V77">
            <v>1050</v>
          </cell>
          <cell r="W77" t="str">
            <v>U</v>
          </cell>
          <cell r="X77" t="str">
            <v>L</v>
          </cell>
          <cell r="Y77" t="str">
            <v>N</v>
          </cell>
          <cell r="Z77" t="str">
            <v>N</v>
          </cell>
          <cell r="AA77" t="str">
            <v>N</v>
          </cell>
          <cell r="AB77" t="str">
            <v>III</v>
          </cell>
          <cell r="AC77" t="str">
            <v>IV</v>
          </cell>
          <cell r="AD77" t="str">
            <v>IV</v>
          </cell>
          <cell r="AE77" t="str">
            <v>IV</v>
          </cell>
          <cell r="AF77" t="str">
            <v xml:space="preserve">None.  </v>
          </cell>
          <cell r="AG77" t="str">
            <v>•  None</v>
          </cell>
          <cell r="AH77" t="str">
            <v>•  Engineered radiation shielding on high dose rate waste containers</v>
          </cell>
          <cell r="AI77" t="str">
            <v>•  None</v>
          </cell>
          <cell r="AJ77" t="str">
            <v xml:space="preserve">•  Radiological Protection Program
•  Quality Assurance Program
•  Performance Based Training Program
•  Conduct of Operations
•  Waste Management Program </v>
          </cell>
          <cell r="AK77" t="str">
            <v>•  None</v>
          </cell>
          <cell r="AL77" t="str">
            <v>•  None</v>
          </cell>
          <cell r="AM77" t="str">
            <v>•  None</v>
          </cell>
          <cell r="AN77" t="str">
            <v>•  Radiological Protection Program
•  Performance Based Training Program
•  Conduct of Operations</v>
          </cell>
        </row>
        <row r="78">
          <cell r="A78" t="str">
            <v>MP</v>
          </cell>
          <cell r="B78">
            <v>8</v>
          </cell>
          <cell r="C78" t="str">
            <v>Criticality</v>
          </cell>
          <cell r="D78" t="str">
            <v>Inadvertent criticality occurs due to multiple independent failures and/or highly improbable circumstances</v>
          </cell>
          <cell r="E78" t="str">
            <v>&gt;450 FGE
Pu-239</v>
          </cell>
          <cell r="F78" t="str">
            <v>NA</v>
          </cell>
          <cell r="G78" t="str">
            <v>NA</v>
          </cell>
          <cell r="H78" t="str">
            <v>60m</v>
          </cell>
          <cell r="I78">
            <v>1050</v>
          </cell>
          <cell r="J78" t="str">
            <v>BEU</v>
          </cell>
          <cell r="K78" t="str">
            <v>L</v>
          </cell>
          <cell r="L78" t="str">
            <v>N</v>
          </cell>
          <cell r="M78" t="str">
            <v>N</v>
          </cell>
          <cell r="N78" t="str">
            <v>N</v>
          </cell>
          <cell r="O78" t="str">
            <v>IV</v>
          </cell>
          <cell r="P78" t="str">
            <v>IV</v>
          </cell>
          <cell r="Q78" t="str">
            <v>IV</v>
          </cell>
          <cell r="R78" t="str">
            <v>IV</v>
          </cell>
          <cell r="S78" t="str">
            <v>NA</v>
          </cell>
          <cell r="T78" t="str">
            <v>NA</v>
          </cell>
          <cell r="U78" t="str">
            <v>60m</v>
          </cell>
          <cell r="V78">
            <v>1050</v>
          </cell>
          <cell r="W78" t="str">
            <v>BEU</v>
          </cell>
          <cell r="X78" t="str">
            <v>L</v>
          </cell>
          <cell r="Y78" t="str">
            <v>N</v>
          </cell>
          <cell r="Z78" t="str">
            <v>N</v>
          </cell>
          <cell r="AA78" t="str">
            <v>N</v>
          </cell>
          <cell r="AB78" t="str">
            <v>IV</v>
          </cell>
          <cell r="AC78" t="str">
            <v>IV</v>
          </cell>
          <cell r="AD78" t="str">
            <v>IV</v>
          </cell>
          <cell r="AE78" t="str">
            <v>IV</v>
          </cell>
          <cell r="AF78" t="str">
            <v xml:space="preserve">Nuclear criticality safety administrative controls ensure criticality safety for all D&amp;D operations and waste packaging activities involving greater than a significant quantity of fissile material.   </v>
          </cell>
          <cell r="AG78" t="str">
            <v>• PSRs for fissile material storage container specifications</v>
          </cell>
          <cell r="AH78" t="str">
            <v>•  None</v>
          </cell>
          <cell r="AI78" t="str">
            <v>• PSR limits on container fissile mass
• PSR for fissile material storage containers</v>
          </cell>
          <cell r="AJ78" t="str">
            <v xml:space="preserve">•  Radiological Protection Program
•  Nuclear Criticality Safety Program
•  Quality Assurance Program
•  Performance Based Training Program
•  Conduct of Operations
•  Waste Management Program </v>
          </cell>
          <cell r="AK78" t="str">
            <v>•  None</v>
          </cell>
          <cell r="AL78" t="str">
            <v>•  None</v>
          </cell>
          <cell r="AM78" t="str">
            <v>•  None</v>
          </cell>
          <cell r="AN78" t="str">
            <v>•  Radiological Protection Program
•  Nuclear Criticality Safety Program
•  Emergency Response Program
•  Performance Based Training Program
•  Conduct of Operations</v>
          </cell>
        </row>
        <row r="79">
          <cell r="A79" t="str">
            <v>MP</v>
          </cell>
          <cell r="B79">
            <v>9</v>
          </cell>
          <cell r="C79" t="str">
            <v>Aircraft impact with fire</v>
          </cell>
          <cell r="D79" t="str">
            <v>Small general aviation aircraft or helicopter crashes and a fire ensues</v>
          </cell>
          <cell r="E79">
            <v>10</v>
          </cell>
          <cell r="F79" t="str">
            <v>HF</v>
          </cell>
          <cell r="G79">
            <v>1</v>
          </cell>
          <cell r="H79" t="str">
            <v>60m</v>
          </cell>
          <cell r="I79">
            <v>1050</v>
          </cell>
          <cell r="J79" t="str">
            <v>BEU</v>
          </cell>
          <cell r="K79" t="str">
            <v>N</v>
          </cell>
          <cell r="L79" t="str">
            <v>N</v>
          </cell>
          <cell r="M79" t="str">
            <v>N</v>
          </cell>
          <cell r="N79" t="str">
            <v>N</v>
          </cell>
          <cell r="O79" t="str">
            <v>IV</v>
          </cell>
          <cell r="P79" t="str">
            <v>IV</v>
          </cell>
          <cell r="Q79" t="str">
            <v>IV</v>
          </cell>
          <cell r="R79" t="str">
            <v>IV</v>
          </cell>
          <cell r="S79" t="str">
            <v>HF</v>
          </cell>
          <cell r="T79">
            <v>1</v>
          </cell>
          <cell r="U79" t="str">
            <v>60m</v>
          </cell>
          <cell r="V79">
            <v>1050</v>
          </cell>
          <cell r="W79" t="str">
            <v>BEU</v>
          </cell>
          <cell r="X79" t="str">
            <v>N</v>
          </cell>
          <cell r="Y79" t="str">
            <v>N</v>
          </cell>
          <cell r="Z79" t="str">
            <v>N</v>
          </cell>
          <cell r="AA79" t="str">
            <v>N</v>
          </cell>
          <cell r="AB79" t="str">
            <v>IV</v>
          </cell>
          <cell r="AC79" t="str">
            <v>IV</v>
          </cell>
          <cell r="AD79" t="str">
            <v>IV</v>
          </cell>
          <cell r="AE79" t="str">
            <v>IV</v>
          </cell>
          <cell r="AF79" t="str">
            <v xml:space="preserve">Event not expected to impact radioactive materials within heavily shielded cells. Only activity in ventilation system would be expected to be affected. Event BEU per WVNS-CAL-388. Only facility ventilation system vulnerable to event. MAR is inventory of radioactive material in bounding MPPB ventilation system 
(Ref. WVNS-CAL-397, Table A-1, "VEC") </v>
          </cell>
          <cell r="AG79" t="str">
            <v>•  None</v>
          </cell>
          <cell r="AH79" t="str">
            <v>•  None</v>
          </cell>
          <cell r="AI79" t="str">
            <v>•  None</v>
          </cell>
          <cell r="AJ79" t="str">
            <v>•  None</v>
          </cell>
          <cell r="AK79" t="str">
            <v>•  None</v>
          </cell>
          <cell r="AL79" t="str">
            <v>•  None</v>
          </cell>
          <cell r="AM79" t="str">
            <v>• SAC for APPROVED CONTAINER use</v>
          </cell>
          <cell r="AN79" t="str">
            <v>•  Radiological Protection Program
•  Emergency Response Program
•  Fire Protection Program
•  Performance Based Training Program
•  Conduct of Operations</v>
          </cell>
        </row>
        <row r="80">
          <cell r="A80" t="str">
            <v>MP</v>
          </cell>
          <cell r="B80">
            <v>10</v>
          </cell>
          <cell r="C80" t="str">
            <v>External explosion</v>
          </cell>
          <cell r="D80" t="str">
            <v>Explosion involving failure of equipment not directly related to facility operations (e.g. natural gas line rupture) with possible missiles generated.</v>
          </cell>
          <cell r="E80">
            <v>2300</v>
          </cell>
          <cell r="F80" t="str">
            <v>E18</v>
          </cell>
          <cell r="G80">
            <v>1</v>
          </cell>
          <cell r="H80" t="str">
            <v>60m</v>
          </cell>
          <cell r="I80">
            <v>1050</v>
          </cell>
          <cell r="J80" t="str">
            <v>U</v>
          </cell>
          <cell r="K80" t="str">
            <v>N</v>
          </cell>
          <cell r="L80" t="str">
            <v>L</v>
          </cell>
          <cell r="M80" t="str">
            <v>N</v>
          </cell>
          <cell r="N80" t="str">
            <v>N</v>
          </cell>
          <cell r="O80" t="str">
            <v>IV</v>
          </cell>
          <cell r="P80" t="str">
            <v>III</v>
          </cell>
          <cell r="Q80" t="str">
            <v>IV</v>
          </cell>
          <cell r="R80" t="str">
            <v>IV</v>
          </cell>
          <cell r="S80" t="str">
            <v>E18</v>
          </cell>
          <cell r="T80">
            <v>1</v>
          </cell>
          <cell r="U80" t="str">
            <v>60m</v>
          </cell>
          <cell r="V80">
            <v>1050</v>
          </cell>
          <cell r="W80" t="str">
            <v>U</v>
          </cell>
          <cell r="X80" t="str">
            <v>N</v>
          </cell>
          <cell r="Y80" t="str">
            <v>L</v>
          </cell>
          <cell r="Z80" t="str">
            <v>N</v>
          </cell>
          <cell r="AA80" t="str">
            <v>N</v>
          </cell>
          <cell r="AB80" t="str">
            <v>IV</v>
          </cell>
          <cell r="AC80" t="str">
            <v>III</v>
          </cell>
          <cell r="AD80" t="str">
            <v>IV</v>
          </cell>
          <cell r="AE80" t="str">
            <v>IV</v>
          </cell>
          <cell r="AF80" t="str">
            <v xml:space="preserve">Explosion assumed to be due to detonation of accumulated flammable gas associated with utility room or related operations.  MAR is entire inventory of radioactive material in the MPPB  (exclusive of HLW) (Ref. WVNS-CAL-397, Table C-1).  </v>
          </cell>
          <cell r="AG80" t="str">
            <v>•  None</v>
          </cell>
          <cell r="AH80" t="str">
            <v>•  None</v>
          </cell>
          <cell r="AI80" t="str">
            <v>•  None</v>
          </cell>
          <cell r="AJ80" t="str">
            <v>•  Quality Assurance Program
•  Performance Based Training Program
•  Maintenance Program</v>
          </cell>
          <cell r="AK80" t="str">
            <v>•  None</v>
          </cell>
          <cell r="AL80" t="str">
            <v>•  None</v>
          </cell>
          <cell r="AM80" t="str">
            <v>•  None</v>
          </cell>
          <cell r="AN80" t="str">
            <v>•  Radiological Protection Program
•  Emergency Response Program
•  Fire Protection Program
•  Performance Based Training Program
•  Conduct of Operations</v>
          </cell>
        </row>
        <row r="81">
          <cell r="A81" t="str">
            <v>MP</v>
          </cell>
          <cell r="B81">
            <v>11</v>
          </cell>
          <cell r="C81" t="str">
            <v>Tornado</v>
          </cell>
          <cell r="D81" t="str">
            <v>Direct effects of tornado winds, falling objects, or tornado-produced missiles causing impacts to the facility. Event includes loss of contamination confinement resulting from abnormal facility differential pressures (backflow).</v>
          </cell>
          <cell r="E81">
            <v>2300</v>
          </cell>
          <cell r="F81" t="str">
            <v>IS</v>
          </cell>
          <cell r="G81">
            <v>1</v>
          </cell>
          <cell r="H81" t="str">
            <v>60m</v>
          </cell>
          <cell r="I81">
            <v>1050</v>
          </cell>
          <cell r="J81" t="str">
            <v>U</v>
          </cell>
          <cell r="K81" t="str">
            <v>N</v>
          </cell>
          <cell r="L81" t="str">
            <v>L</v>
          </cell>
          <cell r="M81" t="str">
            <v>N</v>
          </cell>
          <cell r="N81" t="str">
            <v>N</v>
          </cell>
          <cell r="O81" t="str">
            <v>IV</v>
          </cell>
          <cell r="P81" t="str">
            <v>III</v>
          </cell>
          <cell r="Q81" t="str">
            <v>IV</v>
          </cell>
          <cell r="R81" t="str">
            <v>IV</v>
          </cell>
          <cell r="S81" t="str">
            <v>IS</v>
          </cell>
          <cell r="T81">
            <v>1</v>
          </cell>
          <cell r="U81" t="str">
            <v>60m</v>
          </cell>
          <cell r="V81">
            <v>1050</v>
          </cell>
          <cell r="W81" t="str">
            <v>U</v>
          </cell>
          <cell r="X81" t="str">
            <v>N</v>
          </cell>
          <cell r="Y81" t="str">
            <v>L</v>
          </cell>
          <cell r="Z81" t="str">
            <v>N</v>
          </cell>
          <cell r="AA81" t="str">
            <v>N</v>
          </cell>
          <cell r="AB81" t="str">
            <v>IV</v>
          </cell>
          <cell r="AC81" t="str">
            <v>III</v>
          </cell>
          <cell r="AD81" t="str">
            <v>IV</v>
          </cell>
          <cell r="AE81" t="str">
            <v>IV</v>
          </cell>
          <cell r="AF81" t="str">
            <v xml:space="preserve">Source term for event expected to be limited to airborne contamination affected by large negative pressure associated with direct strike by a tornado. Facility confinement not expected to be affected by missiles of EBE.  MAR is entire inventory of radioactive material in the MPPB  (exclusive of HLW) (Ref. WVNS-CAL-397, Table C-1).  </v>
          </cell>
          <cell r="AG81" t="str">
            <v>•  None</v>
          </cell>
          <cell r="AH81" t="str">
            <v>•  None</v>
          </cell>
          <cell r="AI81" t="str">
            <v>•  None</v>
          </cell>
          <cell r="AJ81" t="str">
            <v>•  None</v>
          </cell>
          <cell r="AK81" t="str">
            <v>•  None</v>
          </cell>
          <cell r="AL81" t="str">
            <v>•  Facility design capable of maintaining confinement integrity following design basis events</v>
          </cell>
          <cell r="AM81" t="str">
            <v>•  None</v>
          </cell>
          <cell r="AN81" t="str">
            <v>•  Radiological Protection Program
•  Emergency Response Program
•  Performance Based Training Program
•  Conduct of Operations</v>
          </cell>
        </row>
        <row r="82">
          <cell r="A82" t="str">
            <v>MP</v>
          </cell>
          <cell r="B82">
            <v>12</v>
          </cell>
          <cell r="C82" t="str">
            <v>Seismic event</v>
          </cell>
          <cell r="D82" t="str">
            <v>Seismic event causes failure of equipment or structure which impacts facility contamination and/or seismic event disturbs loose surface contamination. Confinement boundaries are expected to remain intact.</v>
          </cell>
          <cell r="E82">
            <v>2300</v>
          </cell>
          <cell r="F82" t="str">
            <v>EQ</v>
          </cell>
          <cell r="G82">
            <v>0.1</v>
          </cell>
          <cell r="H82" t="str">
            <v>60m</v>
          </cell>
          <cell r="I82">
            <v>1050</v>
          </cell>
          <cell r="J82" t="str">
            <v>U</v>
          </cell>
          <cell r="K82" t="str">
            <v>N</v>
          </cell>
          <cell r="L82" t="str">
            <v>L</v>
          </cell>
          <cell r="M82" t="str">
            <v>N</v>
          </cell>
          <cell r="N82" t="str">
            <v>N</v>
          </cell>
          <cell r="O82" t="str">
            <v>IV</v>
          </cell>
          <cell r="P82" t="str">
            <v>III</v>
          </cell>
          <cell r="Q82" t="str">
            <v>IV</v>
          </cell>
          <cell r="R82" t="str">
            <v>IV</v>
          </cell>
          <cell r="S82" t="str">
            <v>EQ</v>
          </cell>
          <cell r="T82">
            <v>0.1</v>
          </cell>
          <cell r="U82" t="str">
            <v>60m</v>
          </cell>
          <cell r="V82">
            <v>1050</v>
          </cell>
          <cell r="W82" t="str">
            <v>U</v>
          </cell>
          <cell r="X82" t="str">
            <v>N</v>
          </cell>
          <cell r="Y82" t="str">
            <v>L</v>
          </cell>
          <cell r="Z82" t="str">
            <v>N</v>
          </cell>
          <cell r="AA82" t="str">
            <v>N</v>
          </cell>
          <cell r="AB82" t="str">
            <v>IV</v>
          </cell>
          <cell r="AC82" t="str">
            <v>III</v>
          </cell>
          <cell r="AD82" t="str">
            <v>IV</v>
          </cell>
          <cell r="AE82" t="str">
            <v>IV</v>
          </cell>
          <cell r="AF82" t="str">
            <v xml:space="preserve">Facility confinement boundaries expected to remain intact following EBE.  MAR is entire inventory of radioactive material in the MPPB  (exclusive of HLW) (Ref. WVNS-CAL-397, Table C-1).  </v>
          </cell>
          <cell r="AG82" t="str">
            <v>•  None</v>
          </cell>
          <cell r="AH82" t="str">
            <v>•  None</v>
          </cell>
          <cell r="AI82" t="str">
            <v>•  None</v>
          </cell>
          <cell r="AJ82" t="str">
            <v>•  None</v>
          </cell>
          <cell r="AK82" t="str">
            <v>•  None</v>
          </cell>
          <cell r="AL82" t="str">
            <v>•  Facility design capable of maintaining confinement integrity following design basis events</v>
          </cell>
          <cell r="AM82" t="str">
            <v>•  None</v>
          </cell>
          <cell r="AN82" t="str">
            <v>•  Radiological Protection Program
•  Emergency Response Program
•  Performance Based Training Program
•  Conduct of Operations</v>
          </cell>
        </row>
        <row r="83">
          <cell r="A83" t="str">
            <v>MP</v>
          </cell>
          <cell r="B83">
            <v>13</v>
          </cell>
          <cell r="C83" t="str">
            <v>HEPA filter fire</v>
          </cell>
          <cell r="D83" t="str">
            <v>In-cell fire propagates to HEPA filter bank</v>
          </cell>
          <cell r="E83">
            <v>10</v>
          </cell>
          <cell r="F83" t="str">
            <v>HF</v>
          </cell>
          <cell r="G83">
            <v>1</v>
          </cell>
          <cell r="H83" t="str">
            <v>60m</v>
          </cell>
          <cell r="I83">
            <v>1050</v>
          </cell>
          <cell r="J83" t="str">
            <v>A</v>
          </cell>
          <cell r="K83" t="str">
            <v>N</v>
          </cell>
          <cell r="L83" t="str">
            <v>N</v>
          </cell>
          <cell r="M83" t="str">
            <v>N</v>
          </cell>
          <cell r="N83" t="str">
            <v>N</v>
          </cell>
          <cell r="O83" t="str">
            <v>IV</v>
          </cell>
          <cell r="P83" t="str">
            <v>IV</v>
          </cell>
          <cell r="Q83" t="str">
            <v>IV</v>
          </cell>
          <cell r="R83" t="str">
            <v>IV</v>
          </cell>
          <cell r="S83" t="str">
            <v>HF</v>
          </cell>
          <cell r="T83">
            <v>1</v>
          </cell>
          <cell r="U83" t="str">
            <v>60m</v>
          </cell>
          <cell r="V83">
            <v>1050</v>
          </cell>
          <cell r="W83" t="str">
            <v>U</v>
          </cell>
          <cell r="X83" t="str">
            <v>N</v>
          </cell>
          <cell r="Y83" t="str">
            <v>N</v>
          </cell>
          <cell r="Z83" t="str">
            <v>N</v>
          </cell>
          <cell r="AA83" t="str">
            <v>N</v>
          </cell>
          <cell r="AB83" t="str">
            <v>IV</v>
          </cell>
          <cell r="AC83" t="str">
            <v>IV</v>
          </cell>
          <cell r="AD83" t="str">
            <v>IV</v>
          </cell>
          <cell r="AE83" t="str">
            <v>IV</v>
          </cell>
          <cell r="AF83" t="str">
            <v xml:space="preserve"> MAR is inventory of radioactive material in bounding MPPB ventilation system (Ref. WVNS-CAL-397, Table A-1, "VEC"). </v>
          </cell>
          <cell r="AG83" t="str">
            <v>•  None</v>
          </cell>
          <cell r="AH83" t="str">
            <v>•  None</v>
          </cell>
          <cell r="AI83" t="str">
            <v>•  None</v>
          </cell>
          <cell r="AJ83" t="str">
            <v>•  Quality Assurance Program
•  Fire Protection Program
•  Performance Based Training Program
•  Maintenance Program
•  Conduct of Operations</v>
          </cell>
          <cell r="AK83" t="str">
            <v>•  None</v>
          </cell>
          <cell r="AL83" t="str">
            <v>•  Redundant ventilation system filter trains and blowers</v>
          </cell>
          <cell r="AM83" t="str">
            <v>•  None</v>
          </cell>
          <cell r="AN83" t="str">
            <v>•  Radiological Protection Program
•  Emergency Response Program
•  Fire Protection Program
•  Performance Based Training Program
•  Conduct of Operations</v>
          </cell>
        </row>
        <row r="84">
          <cell r="A84" t="str">
            <v>MP</v>
          </cell>
          <cell r="B84">
            <v>14</v>
          </cell>
          <cell r="C84" t="str">
            <v>HEPA filter failure</v>
          </cell>
          <cell r="D84" t="str">
            <v>Excess moisture or particulate on filters or area pressure excursion causes high filter differential pressure, resulting in filter failure</v>
          </cell>
          <cell r="E84">
            <v>10</v>
          </cell>
          <cell r="F84" t="str">
            <v>HB</v>
          </cell>
          <cell r="G84">
            <v>1</v>
          </cell>
          <cell r="H84" t="str">
            <v>60m</v>
          </cell>
          <cell r="I84">
            <v>1050</v>
          </cell>
          <cell r="J84" t="str">
            <v>A</v>
          </cell>
          <cell r="K84" t="str">
            <v>N</v>
          </cell>
          <cell r="L84" t="str">
            <v>L</v>
          </cell>
          <cell r="M84" t="str">
            <v>N</v>
          </cell>
          <cell r="N84" t="str">
            <v>N</v>
          </cell>
          <cell r="O84" t="str">
            <v>IV</v>
          </cell>
          <cell r="P84" t="str">
            <v>III</v>
          </cell>
          <cell r="Q84" t="str">
            <v>IV</v>
          </cell>
          <cell r="R84" t="str">
            <v>IV</v>
          </cell>
          <cell r="S84" t="str">
            <v>HB</v>
          </cell>
          <cell r="T84">
            <v>1</v>
          </cell>
          <cell r="U84" t="str">
            <v>60m</v>
          </cell>
          <cell r="V84">
            <v>1050</v>
          </cell>
          <cell r="W84" t="str">
            <v>U</v>
          </cell>
          <cell r="X84" t="str">
            <v>N</v>
          </cell>
          <cell r="Y84" t="str">
            <v>L</v>
          </cell>
          <cell r="Z84" t="str">
            <v>N</v>
          </cell>
          <cell r="AA84" t="str">
            <v>N</v>
          </cell>
          <cell r="AB84" t="str">
            <v>IV</v>
          </cell>
          <cell r="AC84" t="str">
            <v>III</v>
          </cell>
          <cell r="AD84" t="str">
            <v>IV</v>
          </cell>
          <cell r="AE84" t="str">
            <v>IV</v>
          </cell>
          <cell r="AF84" t="str">
            <v xml:space="preserve"> MAR is inventory of radioactive material in bounding MPPB ventilation system (Ref. WVNS-CAL-397, Table A-1, "VEC"). </v>
          </cell>
          <cell r="AG84" t="str">
            <v>•  None</v>
          </cell>
          <cell r="AH84" t="str">
            <v>•  Instrumentation and controls to switch trains on high differential pressure
•  Instrumentation and controls to provide backup ventilation blower capability</v>
          </cell>
          <cell r="AI84" t="str">
            <v>•  None</v>
          </cell>
          <cell r="AJ84" t="str">
            <v>•  Quality Assurance Program
•  Fire Protection Program
•  Performance Based Training Program
•  Maintenance Program
•  Conduct of Operations</v>
          </cell>
          <cell r="AK84" t="str">
            <v>•  None</v>
          </cell>
          <cell r="AL84" t="str">
            <v>•  Redundant ventilation system filter trains and blowers</v>
          </cell>
          <cell r="AM84" t="str">
            <v>•  None</v>
          </cell>
          <cell r="AN84" t="str">
            <v>•  Radiological Protection Program
•  Emergency Response Program
•  Performance Based Training Program
•  Conduct of Operations</v>
          </cell>
        </row>
        <row r="85">
          <cell r="A85" t="str">
            <v>MP</v>
          </cell>
          <cell r="B85">
            <v>15</v>
          </cell>
          <cell r="C85" t="str">
            <v>Loss of airborne contamination confinement</v>
          </cell>
          <cell r="D85" t="str">
            <v>Loss of power/redundancy resulting in loss of exhaust blower operability or other upset condition resulting in loss of airborne contamination confinement.</v>
          </cell>
          <cell r="E85">
            <v>2300</v>
          </cell>
          <cell r="F85" t="str">
            <v>AER</v>
          </cell>
          <cell r="G85">
            <v>1</v>
          </cell>
          <cell r="H85" t="str">
            <v>60m</v>
          </cell>
          <cell r="I85">
            <v>1050</v>
          </cell>
          <cell r="J85" t="str">
            <v>A</v>
          </cell>
          <cell r="K85" t="str">
            <v>N</v>
          </cell>
          <cell r="L85" t="str">
            <v>L</v>
          </cell>
          <cell r="M85" t="str">
            <v>N</v>
          </cell>
          <cell r="N85" t="str">
            <v>N</v>
          </cell>
          <cell r="O85" t="str">
            <v>IV</v>
          </cell>
          <cell r="P85" t="str">
            <v>III</v>
          </cell>
          <cell r="Q85" t="str">
            <v>IV</v>
          </cell>
          <cell r="R85" t="str">
            <v>IV</v>
          </cell>
          <cell r="S85" t="str">
            <v>AER</v>
          </cell>
          <cell r="T85">
            <v>1</v>
          </cell>
          <cell r="U85" t="str">
            <v>60m</v>
          </cell>
          <cell r="V85">
            <v>1050</v>
          </cell>
          <cell r="W85" t="str">
            <v>A</v>
          </cell>
          <cell r="X85" t="str">
            <v>N</v>
          </cell>
          <cell r="Y85" t="str">
            <v>L</v>
          </cell>
          <cell r="Z85" t="str">
            <v>N</v>
          </cell>
          <cell r="AA85" t="str">
            <v>N</v>
          </cell>
          <cell r="AB85" t="str">
            <v>IV</v>
          </cell>
          <cell r="AC85" t="str">
            <v>III</v>
          </cell>
          <cell r="AD85" t="str">
            <v>IV</v>
          </cell>
          <cell r="AE85" t="str">
            <v>IV</v>
          </cell>
          <cell r="AF85" t="str">
            <v xml:space="preserve">Contamination assumed to migrate from confinement boundary penetrations through aerodynamic entrainment and resuspension under static facility conditions. MAR is entire inventory of radioactive material in the MPPB  (exclusive of HLW) (Ref. WVNS-CAL-397, Table C-1).  </v>
          </cell>
          <cell r="AG85" t="str">
            <v>•  None</v>
          </cell>
          <cell r="AH85" t="str">
            <v>•  Facility ventilation exhaust stack which continues to provide nominal facility negative via chimney effect</v>
          </cell>
          <cell r="AI85" t="str">
            <v>•  None</v>
          </cell>
          <cell r="AJ85" t="str">
            <v>•  Quality Assurance Program
•  Fire Protection Program
•  Performance Based Training Program
•  Maintenance Program
•  Conduct of Operations</v>
          </cell>
          <cell r="AK85" t="str">
            <v>•  None</v>
          </cell>
          <cell r="AL85" t="str">
            <v>•  Confinement capability of facility envelope
•  Nominal facility negative maintained on facility even under loss of active ventilation through stack "chimney effect"</v>
          </cell>
          <cell r="AM85" t="str">
            <v>•  None</v>
          </cell>
          <cell r="AN85" t="str">
            <v>•  Radiological Protection Program
•  Performance Based Training Program
•  Conduct of Operations</v>
          </cell>
        </row>
        <row r="86">
          <cell r="A86" t="str">
            <v>MP</v>
          </cell>
          <cell r="B86">
            <v>16</v>
          </cell>
          <cell r="C86" t="str">
            <v>Stack failure</v>
          </cell>
          <cell r="D86" t="str">
            <v>Stack fails due to seismic event, impact of guy wires during equipment handling, or impact by aircraft, or similar event.</v>
          </cell>
          <cell r="E86">
            <v>10</v>
          </cell>
          <cell r="F86" t="str">
            <v>IS</v>
          </cell>
          <cell r="G86">
            <v>1</v>
          </cell>
          <cell r="H86" t="str">
            <v>60m</v>
          </cell>
          <cell r="I86">
            <v>1050</v>
          </cell>
          <cell r="J86" t="str">
            <v>U</v>
          </cell>
          <cell r="K86" t="str">
            <v>N</v>
          </cell>
          <cell r="L86" t="str">
            <v>N</v>
          </cell>
          <cell r="M86" t="str">
            <v>N</v>
          </cell>
          <cell r="N86" t="str">
            <v>N</v>
          </cell>
          <cell r="O86" t="str">
            <v>IV</v>
          </cell>
          <cell r="P86" t="str">
            <v>IV</v>
          </cell>
          <cell r="Q86" t="str">
            <v>IV</v>
          </cell>
          <cell r="R86" t="str">
            <v>IV</v>
          </cell>
          <cell r="S86" t="str">
            <v>IS</v>
          </cell>
          <cell r="T86">
            <v>1</v>
          </cell>
          <cell r="U86" t="str">
            <v>60m</v>
          </cell>
          <cell r="V86">
            <v>1050</v>
          </cell>
          <cell r="W86" t="str">
            <v>U</v>
          </cell>
          <cell r="X86" t="str">
            <v>N</v>
          </cell>
          <cell r="Y86" t="str">
            <v>N</v>
          </cell>
          <cell r="Z86" t="str">
            <v>N</v>
          </cell>
          <cell r="AA86" t="str">
            <v>N</v>
          </cell>
          <cell r="AB86" t="str">
            <v>IV</v>
          </cell>
          <cell r="AC86" t="str">
            <v>IV</v>
          </cell>
          <cell r="AD86" t="str">
            <v>IV</v>
          </cell>
          <cell r="AE86" t="str">
            <v>IV</v>
          </cell>
          <cell r="AF86" t="str">
            <v xml:space="preserve"> MAR is activity in MPPB Stack 
(Ref. WVNS-CAL-397, Table A-1) </v>
          </cell>
          <cell r="AG86" t="str">
            <v>•  None</v>
          </cell>
          <cell r="AH86" t="str">
            <v>•  Stack design capable of maintaining structural integrity following design basis events</v>
          </cell>
          <cell r="AI86" t="str">
            <v>•  None</v>
          </cell>
          <cell r="AJ86" t="str">
            <v>•  None</v>
          </cell>
          <cell r="AK86" t="str">
            <v>•  None</v>
          </cell>
          <cell r="AL86" t="str">
            <v>•  None</v>
          </cell>
          <cell r="AM86" t="str">
            <v>•  None</v>
          </cell>
          <cell r="AN86" t="str">
            <v>•  Radiological Protection Program
•  Emergency Response Program
•  Performance Based Training Program
•  Conduct of Operations</v>
          </cell>
        </row>
        <row r="87">
          <cell r="A87" t="str">
            <v>MP</v>
          </cell>
          <cell r="B87">
            <v>17</v>
          </cell>
          <cell r="C87" t="str">
            <v>Loss of liquid contamination confinement</v>
          </cell>
          <cell r="D87" t="str">
            <v>Vessel/line failure; sump overflow; roof leak; or other loss of contaminated liquid to an operating area or to the environment</v>
          </cell>
          <cell r="E87">
            <v>1</v>
          </cell>
          <cell r="F87" t="str">
            <v>FFS</v>
          </cell>
          <cell r="G87">
            <v>0.5</v>
          </cell>
          <cell r="H87" t="str">
            <v>60m</v>
          </cell>
          <cell r="I87">
            <v>1050</v>
          </cell>
          <cell r="J87" t="str">
            <v>A</v>
          </cell>
          <cell r="K87" t="str">
            <v>N</v>
          </cell>
          <cell r="L87" t="str">
            <v>N</v>
          </cell>
          <cell r="M87" t="str">
            <v>N</v>
          </cell>
          <cell r="N87" t="str">
            <v>N</v>
          </cell>
          <cell r="O87" t="str">
            <v>IV</v>
          </cell>
          <cell r="P87" t="str">
            <v>IV</v>
          </cell>
          <cell r="Q87" t="str">
            <v>IV</v>
          </cell>
          <cell r="R87" t="str">
            <v>IV</v>
          </cell>
          <cell r="S87" t="str">
            <v>FFS</v>
          </cell>
          <cell r="T87">
            <v>0.5</v>
          </cell>
          <cell r="U87" t="str">
            <v>60m</v>
          </cell>
          <cell r="V87">
            <v>1050</v>
          </cell>
          <cell r="W87" t="str">
            <v>A</v>
          </cell>
          <cell r="X87" t="str">
            <v>N</v>
          </cell>
          <cell r="Y87" t="str">
            <v>N</v>
          </cell>
          <cell r="Z87" t="str">
            <v>N</v>
          </cell>
          <cell r="AA87" t="str">
            <v>N</v>
          </cell>
          <cell r="AB87" t="str">
            <v>IV</v>
          </cell>
          <cell r="AC87" t="str">
            <v>IV</v>
          </cell>
          <cell r="AD87" t="str">
            <v>IV</v>
          </cell>
          <cell r="AE87" t="str">
            <v>IV</v>
          </cell>
          <cell r="AF87" t="str">
            <v xml:space="preserve">None.  </v>
          </cell>
          <cell r="AG87" t="str">
            <v>•  None</v>
          </cell>
          <cell r="AH87" t="str">
            <v>•  Cell liners/sumps and/or area berms</v>
          </cell>
          <cell r="AI87" t="str">
            <v>•  None</v>
          </cell>
          <cell r="AJ87" t="str">
            <v xml:space="preserve">•  Quality Assurance Program
•  Performance Based Training Program
•  Maintenance Program
•  Conduct of Operations
•  Waste Management Program </v>
          </cell>
          <cell r="AK87" t="str">
            <v>•  None</v>
          </cell>
          <cell r="AL87" t="str">
            <v>•  Cell sumps/liners</v>
          </cell>
          <cell r="AM87" t="str">
            <v>•  None</v>
          </cell>
          <cell r="AN87" t="str">
            <v>•  Radiological Protection Program
•  Performance Based Training Program
•  Conduct of Operations</v>
          </cell>
        </row>
        <row r="88">
          <cell r="A88" t="str">
            <v>MP</v>
          </cell>
          <cell r="B88">
            <v>18</v>
          </cell>
          <cell r="C88" t="str">
            <v>Flood</v>
          </cell>
          <cell r="D88" t="str">
            <v>A greater than 100-yr  rain event results in sheet flow that floods the storage area. Flooding may be exacerbated by plugged drainage channels or culverts.</v>
          </cell>
          <cell r="E88">
            <v>2300</v>
          </cell>
          <cell r="F88" t="str">
            <v>NA</v>
          </cell>
          <cell r="G88" t="str">
            <v>NA</v>
          </cell>
          <cell r="H88" t="str">
            <v>60m</v>
          </cell>
          <cell r="I88">
            <v>1050</v>
          </cell>
          <cell r="J88" t="str">
            <v>U</v>
          </cell>
          <cell r="K88" t="str">
            <v>N</v>
          </cell>
          <cell r="L88" t="str">
            <v>N</v>
          </cell>
          <cell r="M88" t="str">
            <v>N</v>
          </cell>
          <cell r="N88" t="str">
            <v>N</v>
          </cell>
          <cell r="O88" t="str">
            <v>IV</v>
          </cell>
          <cell r="P88" t="str">
            <v>IV</v>
          </cell>
          <cell r="Q88" t="str">
            <v>IV</v>
          </cell>
          <cell r="R88" t="str">
            <v>IV</v>
          </cell>
          <cell r="S88" t="str">
            <v>NA</v>
          </cell>
          <cell r="T88" t="str">
            <v>NA</v>
          </cell>
          <cell r="U88" t="str">
            <v>60m</v>
          </cell>
          <cell r="V88">
            <v>1050</v>
          </cell>
          <cell r="W88" t="str">
            <v>U</v>
          </cell>
          <cell r="X88" t="str">
            <v>N</v>
          </cell>
          <cell r="Y88" t="str">
            <v>N</v>
          </cell>
          <cell r="Z88" t="str">
            <v>N</v>
          </cell>
          <cell r="AA88" t="str">
            <v>N</v>
          </cell>
          <cell r="AB88" t="str">
            <v>IV</v>
          </cell>
          <cell r="AC88" t="str">
            <v>IV</v>
          </cell>
          <cell r="AD88" t="str">
            <v>IV</v>
          </cell>
          <cell r="AE88" t="str">
            <v>IV</v>
          </cell>
          <cell r="AF88" t="str">
            <v xml:space="preserve">Site topography places facility outside area vulnerable to flooding (ref. Figure 1.4-6).  MAR is entire inventory of radioactive material in the MPPB  (exclusive of HLW) (Ref. WVNS-CAL-397, Table C-1).  </v>
          </cell>
          <cell r="AG88" t="str">
            <v>•  None</v>
          </cell>
          <cell r="AH88" t="str">
            <v>•  Siting of storage array in area away from areas of anticipated flooding</v>
          </cell>
          <cell r="AI88" t="str">
            <v>•  None</v>
          </cell>
          <cell r="AJ88" t="str">
            <v>•  None</v>
          </cell>
          <cell r="AK88" t="str">
            <v>•  None</v>
          </cell>
          <cell r="AL88" t="str">
            <v>•  None</v>
          </cell>
          <cell r="AM88" t="str">
            <v>•  None</v>
          </cell>
          <cell r="AN88" t="str">
            <v>•  Radiological Protection Program
•  Performance Based Training Program
•  Conduct of Operations</v>
          </cell>
        </row>
        <row r="89">
          <cell r="A89" t="str">
            <v>MPA</v>
          </cell>
          <cell r="B89">
            <v>1</v>
          </cell>
          <cell r="C89" t="str">
            <v>Localized flammable liquid pool fire</v>
          </cell>
          <cell r="D89" t="str">
            <v>Fuel or other flammable fluid pool fire resulting from leaking equipment.  An unspecified ignition source ignites the fuel and a fire ensues that is of sufficient duration and intensity to lead to a release of radioactive material from containerized waste.</v>
          </cell>
          <cell r="E89">
            <v>360</v>
          </cell>
          <cell r="F89" t="str">
            <v>E01</v>
          </cell>
          <cell r="G89">
            <v>1</v>
          </cell>
          <cell r="H89" t="str">
            <v>Gnd</v>
          </cell>
          <cell r="I89">
            <v>850</v>
          </cell>
          <cell r="J89" t="str">
            <v>EU</v>
          </cell>
          <cell r="K89" t="str">
            <v>H</v>
          </cell>
          <cell r="L89" t="str">
            <v>H</v>
          </cell>
          <cell r="M89" t="str">
            <v>N</v>
          </cell>
          <cell r="N89" t="str">
            <v>N</v>
          </cell>
          <cell r="O89" t="str">
            <v>II</v>
          </cell>
          <cell r="P89" t="str">
            <v>II</v>
          </cell>
          <cell r="Q89" t="str">
            <v>IV</v>
          </cell>
          <cell r="R89" t="str">
            <v>IV</v>
          </cell>
          <cell r="S89" t="str">
            <v>E01</v>
          </cell>
          <cell r="T89">
            <v>2.8000000000000001E-2</v>
          </cell>
          <cell r="U89" t="str">
            <v>Gnd</v>
          </cell>
          <cell r="V89">
            <v>850</v>
          </cell>
          <cell r="W89" t="str">
            <v>EU</v>
          </cell>
          <cell r="X89" t="str">
            <v>L</v>
          </cell>
          <cell r="Y89" t="str">
            <v>L</v>
          </cell>
          <cell r="Z89" t="str">
            <v>N</v>
          </cell>
          <cell r="AA89" t="str">
            <v>N</v>
          </cell>
          <cell r="AB89" t="str">
            <v>IV</v>
          </cell>
          <cell r="AC89" t="str">
            <v>IV</v>
          </cell>
          <cell r="AD89" t="str">
            <v>IV</v>
          </cell>
          <cell r="AE89" t="str">
            <v>IV</v>
          </cell>
          <cell r="AF89" t="str">
            <v>Potentially affected areas are FRS or Vit LI/LO.  MAR is activity in maximally loaded 2-drum Interim Storage Container (Ref. WVNS-CAL-397, Table A-2).  DR reflects TSR to protect arrays of TRU waste containing greater than 10 PE-Ci from spills of flammable/ combustible liquids</v>
          </cell>
          <cell r="AG89" t="str">
            <v>•  None</v>
          </cell>
          <cell r="AH89" t="str">
            <v>•  None</v>
          </cell>
          <cell r="AI89" t="str">
            <v>•  SAC for TRU waste drum fire protection
•  SAC for TRU waste container physical protection</v>
          </cell>
          <cell r="AJ89" t="str">
            <v xml:space="preserve">•  Quality Assurance Program
•  Fire Protection Program
•  Performance Based Training Program
•  Maintenance Program
•  Conduct of Operations
•  Waste Management Program </v>
          </cell>
          <cell r="AK89" t="str">
            <v>•  APPROVED CONTAINERS used for TRU waste storage
•  TSR-compliant packaging for high activity TRU waste</v>
          </cell>
          <cell r="AL89" t="str">
            <v>•  Steel-deck pallets that limit direct flame impingement on TRU containers</v>
          </cell>
          <cell r="AM89" t="str">
            <v>•  SAC for APPROVED CONTAINER use
•  SAC for facility inventory control</v>
          </cell>
          <cell r="AN89" t="str">
            <v>•  Radiological Protection Program
•  Emergency Response Program
•  Fire Protection Program
•  Performance Based Training Program
•  Conduct of Operations</v>
          </cell>
        </row>
        <row r="90">
          <cell r="A90" t="str">
            <v>MPA</v>
          </cell>
          <cell r="B90">
            <v>2</v>
          </cell>
          <cell r="C90" t="str">
            <v>Small combustible material fire</v>
          </cell>
          <cell r="D90" t="str">
            <v>Fire occurs in a facility area that impacts TRU waste. Includes accidents initiated due to pyrophoric reactions or reactions involving incompatible wastes.</v>
          </cell>
          <cell r="E90">
            <v>360</v>
          </cell>
          <cell r="F90" t="str">
            <v>E02</v>
          </cell>
          <cell r="G90">
            <v>1</v>
          </cell>
          <cell r="H90" t="str">
            <v>Gnd</v>
          </cell>
          <cell r="I90">
            <v>850</v>
          </cell>
          <cell r="J90" t="str">
            <v>A</v>
          </cell>
          <cell r="K90" t="str">
            <v>H</v>
          </cell>
          <cell r="L90" t="str">
            <v>H</v>
          </cell>
          <cell r="M90" t="str">
            <v>N</v>
          </cell>
          <cell r="N90" t="str">
            <v>N</v>
          </cell>
          <cell r="O90" t="str">
            <v>I</v>
          </cell>
          <cell r="P90" t="str">
            <v>I</v>
          </cell>
          <cell r="Q90" t="str">
            <v>IV</v>
          </cell>
          <cell r="R90" t="str">
            <v>IV</v>
          </cell>
          <cell r="S90" t="str">
            <v>E02</v>
          </cell>
          <cell r="T90">
            <v>2.8E-3</v>
          </cell>
          <cell r="U90" t="str">
            <v>Gnd</v>
          </cell>
          <cell r="V90">
            <v>850</v>
          </cell>
          <cell r="W90" t="str">
            <v>U</v>
          </cell>
          <cell r="X90" t="str">
            <v>L</v>
          </cell>
          <cell r="Y90" t="str">
            <v>L</v>
          </cell>
          <cell r="Z90" t="str">
            <v>N</v>
          </cell>
          <cell r="AA90" t="str">
            <v>N</v>
          </cell>
          <cell r="AB90" t="str">
            <v>III</v>
          </cell>
          <cell r="AC90" t="str">
            <v>III</v>
          </cell>
          <cell r="AD90" t="str">
            <v>IV</v>
          </cell>
          <cell r="AE90" t="str">
            <v>IV</v>
          </cell>
          <cell r="AF90" t="str">
            <v>MAR limit imposed on exposed waste operations. Fire Protection (hot work controls), Radiation Protection, and Waste Management Programs credited with minimizing probability and consequences of fire event.  MAR assumes that waste is unconfined combustible. MAR is activity in maximally loaded 2-drum Interim Storage Container (Ref. WVNS-CAL-397, Table A-2).  DR reflects TSR that limits the amount of TRU waste that may be outside of an APPROVED CONTAINER to 1.0 PE-Ci.</v>
          </cell>
          <cell r="AG90" t="str">
            <v>•  None</v>
          </cell>
          <cell r="AH90" t="str">
            <v>•  None</v>
          </cell>
          <cell r="AI90" t="str">
            <v>•  None</v>
          </cell>
          <cell r="AJ90" t="str">
            <v xml:space="preserve">•  Quality Assurance Program
•  Fire Protection Program
-   “Hot work” controls
-   Combustible material control program
•  Performance Based Training Program
•  Maintenance Program
•  Conduct of Operations
•  Waste Management Program </v>
          </cell>
          <cell r="AK90" t="str">
            <v>•  APPROVED CONTAINERS used for TRU waste storage
•  TSR-compliant packaging for high activity TRU waste</v>
          </cell>
          <cell r="AL90" t="str">
            <v>•  Wet pipe sprinkler system in Load In Facility</v>
          </cell>
          <cell r="AM90" t="str">
            <v>•  SAC for APPROVED CONTAINER use
•  SAC for facility inventory control</v>
          </cell>
          <cell r="AN90" t="str">
            <v>•  Radiological Protection Program
•  Emergency Response Program
•  Fire Protection Program
•  Performance Based Training Program
•  Conduct of Operations</v>
          </cell>
        </row>
        <row r="91">
          <cell r="A91" t="str">
            <v>MPA</v>
          </cell>
          <cell r="B91">
            <v>3</v>
          </cell>
          <cell r="C91" t="str">
            <v>Localized explosion external to container</v>
          </cell>
          <cell r="D91" t="str">
            <v xml:space="preserve">This event is assumed to be caused by an explosion involving a forktruck propane cylinder or other cylinder containing flammable gas (e.g. acetylene) that is associated with facility operations. In addition to explosion overpressures, an explosion could produce missiles that could impact MAR. </v>
          </cell>
          <cell r="E91">
            <v>360</v>
          </cell>
          <cell r="F91" t="str">
            <v>E05</v>
          </cell>
          <cell r="G91">
            <v>1</v>
          </cell>
          <cell r="H91" t="str">
            <v>Gnd</v>
          </cell>
          <cell r="I91">
            <v>850</v>
          </cell>
          <cell r="J91" t="str">
            <v>A</v>
          </cell>
          <cell r="K91" t="str">
            <v>H</v>
          </cell>
          <cell r="L91" t="str">
            <v>M</v>
          </cell>
          <cell r="M91" t="str">
            <v>N</v>
          </cell>
          <cell r="N91" t="str">
            <v>N</v>
          </cell>
          <cell r="O91" t="str">
            <v>I</v>
          </cell>
          <cell r="P91" t="str">
            <v>I</v>
          </cell>
          <cell r="Q91" t="str">
            <v>IV</v>
          </cell>
          <cell r="R91" t="str">
            <v>IV</v>
          </cell>
          <cell r="S91" t="str">
            <v>E05</v>
          </cell>
          <cell r="T91">
            <v>2.8000000000000001E-2</v>
          </cell>
          <cell r="U91" t="str">
            <v>Gnd</v>
          </cell>
          <cell r="V91">
            <v>850</v>
          </cell>
          <cell r="W91" t="str">
            <v>U</v>
          </cell>
          <cell r="X91" t="str">
            <v>L</v>
          </cell>
          <cell r="Y91" t="str">
            <v>L</v>
          </cell>
          <cell r="Z91" t="str">
            <v>N</v>
          </cell>
          <cell r="AA91" t="str">
            <v>N</v>
          </cell>
          <cell r="AB91" t="str">
            <v>III</v>
          </cell>
          <cell r="AC91" t="str">
            <v>III</v>
          </cell>
          <cell r="AD91" t="str">
            <v>IV</v>
          </cell>
          <cell r="AE91" t="str">
            <v>IV</v>
          </cell>
          <cell r="AF91" t="str">
            <v>APPROVED CONTAINERS recognized as mitigating consequences. MAR is activity in maximally loaded 2-drum Interim Storage Container (Ref. WVNS-CAL-397, Table A-2).  DR credits SAC that requires TRU waste containing &gt;10 PE-Ci be in containers capable of meeting SAC physical protection functional requirements.</v>
          </cell>
          <cell r="AG91" t="str">
            <v>•  None</v>
          </cell>
          <cell r="AH91" t="str">
            <v>•  None</v>
          </cell>
          <cell r="AI91" t="str">
            <v>•  None</v>
          </cell>
          <cell r="AJ91" t="str">
            <v xml:space="preserve">•  Quality Assurance Program
•  Fire Protection Program
•  Performance Based Training Program
•  Maintenance Program
•  Waste Management Program </v>
          </cell>
          <cell r="AK91" t="str">
            <v>•   APPROVED CONTAINERS used for TRU waste storage
•   TSR-compliant packaging for high activity TRU waste</v>
          </cell>
          <cell r="AL91" t="str">
            <v>•  None</v>
          </cell>
          <cell r="AM91" t="str">
            <v>•  SAC for APPROVED CONTAINER use
•  SAC for facility inventory control</v>
          </cell>
          <cell r="AN91" t="str">
            <v>•  Radiological Protection Program
•  Emergency Response Program
•  Fire Protection Program
•  Performance Based Training Program
•  Conduct of Operations</v>
          </cell>
        </row>
        <row r="92">
          <cell r="A92" t="str">
            <v>MPA</v>
          </cell>
          <cell r="B92">
            <v>4</v>
          </cell>
          <cell r="C92" t="str">
            <v>Waste container deflagration</v>
          </cell>
          <cell r="D92" t="str">
            <v>Hydrogen or other flammable/explosive gases inside a container is ignited.</v>
          </cell>
          <cell r="E92">
            <v>360</v>
          </cell>
          <cell r="F92" t="str">
            <v>E06</v>
          </cell>
          <cell r="G92">
            <v>1</v>
          </cell>
          <cell r="H92" t="str">
            <v>Gnd</v>
          </cell>
          <cell r="I92">
            <v>850</v>
          </cell>
          <cell r="J92" t="str">
            <v>U</v>
          </cell>
          <cell r="K92" t="str">
            <v>H</v>
          </cell>
          <cell r="L92" t="str">
            <v>M</v>
          </cell>
          <cell r="M92" t="str">
            <v>N</v>
          </cell>
          <cell r="N92" t="str">
            <v>N</v>
          </cell>
          <cell r="O92" t="str">
            <v>I</v>
          </cell>
          <cell r="P92" t="str">
            <v>II</v>
          </cell>
          <cell r="Q92" t="str">
            <v>IV</v>
          </cell>
          <cell r="R92" t="str">
            <v>IV</v>
          </cell>
          <cell r="S92" t="str">
            <v>E06</v>
          </cell>
          <cell r="T92">
            <v>0.25</v>
          </cell>
          <cell r="U92" t="str">
            <v>Gnd</v>
          </cell>
          <cell r="V92">
            <v>850</v>
          </cell>
          <cell r="W92" t="str">
            <v>EU</v>
          </cell>
          <cell r="X92" t="str">
            <v>M</v>
          </cell>
          <cell r="Y92" t="str">
            <v>M</v>
          </cell>
          <cell r="Z92" t="str">
            <v>N</v>
          </cell>
          <cell r="AA92" t="str">
            <v>N</v>
          </cell>
          <cell r="AB92" t="str">
            <v>III</v>
          </cell>
          <cell r="AC92" t="str">
            <v>III</v>
          </cell>
          <cell r="AD92" t="str">
            <v>IV</v>
          </cell>
          <cell r="AE92" t="str">
            <v>IV</v>
          </cell>
          <cell r="AF92" t="str">
            <v>Waste form and waste package vent filters contribute to low probability of this event.  MAR is activity in maximally loaded 2-drum Interim Storage Container (Ref. WVNS-CAL-397, Table A-2).  High PE-Ci waste is overpacked. DR reflects credit allowed per Section 4.4.2 of STD-5506. Resultant MAR bounds credible conservative non-overpacked MAR (10 PE-Ci)</v>
          </cell>
          <cell r="AG92" t="str">
            <v>•  None</v>
          </cell>
          <cell r="AH92" t="str">
            <v>•  HEPA filter vents on waste containers
•  Non-sparking tools for containers suspected of containing high concentrations of flammable gas</v>
          </cell>
          <cell r="AI92" t="str">
            <v>•  None</v>
          </cell>
          <cell r="AJ92" t="str">
            <v xml:space="preserve">•  Quality Assurance Program
•  Fire Protection Program
•  Performance Based Training Program
•  Maintenance Program
•  Waste Management Program </v>
          </cell>
          <cell r="AK92" t="str">
            <v>•   TSR-compliant packaging for high activity TRU waste</v>
          </cell>
          <cell r="AL92" t="str">
            <v>•  None</v>
          </cell>
          <cell r="AM92" t="str">
            <v>•  SAC for APPROVED CONTAINER use
•  SAC for facility inventory control</v>
          </cell>
          <cell r="AN92" t="str">
            <v>•  Radiological Protection Program
•  Emergency Response Program
•  Fire Protection Program
•  Performance Based Training Program
•  Conduct of Operations</v>
          </cell>
        </row>
        <row r="93">
          <cell r="A93" t="str">
            <v>MPA</v>
          </cell>
          <cell r="B93">
            <v>5</v>
          </cell>
          <cell r="C93" t="str">
            <v>Vehicle/equipment impacts waste/waste containers</v>
          </cell>
          <cell r="D93" t="str">
            <v>A mishap associated with the operation of vehicles at low speed (&lt;10 mph) or impact with handling equipment. Event assumed to result in loss of airborne contamination confinement due to puncture by forklift tines;  stacked drum array falling; or other similar causes.</v>
          </cell>
          <cell r="E93">
            <v>360</v>
          </cell>
          <cell r="F93" t="str">
            <v>E09</v>
          </cell>
          <cell r="G93">
            <v>0.01</v>
          </cell>
          <cell r="H93" t="str">
            <v>Gnd</v>
          </cell>
          <cell r="I93">
            <v>850</v>
          </cell>
          <cell r="J93" t="str">
            <v>A</v>
          </cell>
          <cell r="K93" t="str">
            <v>N</v>
          </cell>
          <cell r="L93" t="str">
            <v>L</v>
          </cell>
          <cell r="M93" t="str">
            <v>N</v>
          </cell>
          <cell r="N93" t="str">
            <v>N</v>
          </cell>
          <cell r="O93" t="str">
            <v>IV</v>
          </cell>
          <cell r="P93" t="str">
            <v>III</v>
          </cell>
          <cell r="Q93" t="str">
            <v>IV</v>
          </cell>
          <cell r="R93" t="str">
            <v>IV</v>
          </cell>
          <cell r="S93" t="str">
            <v>E09</v>
          </cell>
          <cell r="T93">
            <v>0.01</v>
          </cell>
          <cell r="U93" t="str">
            <v>Gnd</v>
          </cell>
          <cell r="V93">
            <v>850</v>
          </cell>
          <cell r="W93" t="str">
            <v>A</v>
          </cell>
          <cell r="X93" t="str">
            <v>N</v>
          </cell>
          <cell r="Y93" t="str">
            <v>L</v>
          </cell>
          <cell r="Z93" t="str">
            <v>N</v>
          </cell>
          <cell r="AA93" t="str">
            <v>N</v>
          </cell>
          <cell r="AB93" t="str">
            <v>IV</v>
          </cell>
          <cell r="AC93" t="str">
            <v>III</v>
          </cell>
          <cell r="AD93" t="str">
            <v>IV</v>
          </cell>
          <cell r="AE93" t="str">
            <v>IV</v>
          </cell>
          <cell r="AF93" t="str">
            <v xml:space="preserve">Containers assumed to be impacted by handling equipment travelling &lt;10 mph.  MAR is activity in maximally loaded 2-drum Interim Storage Container (Ref. WVNS-CAL-397, Table A-2).  </v>
          </cell>
          <cell r="AG93" t="str">
            <v>•  None</v>
          </cell>
          <cell r="AH93" t="str">
            <v>•  Physical barriers such as Jersey barriers or facility structure that protects waste containers from vehicle impacts</v>
          </cell>
          <cell r="AI93" t="str">
            <v>•  None</v>
          </cell>
          <cell r="AJ93" t="str">
            <v xml:space="preserve">•  Quality Assurance Program
•  Performance Based Training Program
•  Maintenance Program
•  Conduct of Operations
•  Waste Management Program </v>
          </cell>
          <cell r="AK93" t="str">
            <v>•   TSR-compliant packaging for high activity TRU waste</v>
          </cell>
          <cell r="AL93" t="str">
            <v>•  None</v>
          </cell>
          <cell r="AM93" t="str">
            <v>•  None</v>
          </cell>
          <cell r="AN93" t="str">
            <v>•  Radiological Protection Program
•  Emergency Response Program
•  Performance Based Training Program
•  Conduct of Operations</v>
          </cell>
        </row>
        <row r="94">
          <cell r="A94" t="str">
            <v>MPA</v>
          </cell>
          <cell r="B94">
            <v>6</v>
          </cell>
          <cell r="C94" t="str">
            <v>Drop/impact/spill</v>
          </cell>
          <cell r="D94" t="str">
            <v>This event is due to mishandling of containers; or to drops/impacts caused by equipment failure; or leaks caused by corrosion, construction defect, or improper closure.</v>
          </cell>
          <cell r="E94">
            <v>360</v>
          </cell>
          <cell r="F94" t="str">
            <v>E10</v>
          </cell>
          <cell r="G94">
            <v>0.1</v>
          </cell>
          <cell r="H94" t="str">
            <v>Gnd</v>
          </cell>
          <cell r="I94">
            <v>850</v>
          </cell>
          <cell r="J94" t="str">
            <v>A</v>
          </cell>
          <cell r="K94" t="str">
            <v>L</v>
          </cell>
          <cell r="L94" t="str">
            <v>L</v>
          </cell>
          <cell r="M94" t="str">
            <v>N</v>
          </cell>
          <cell r="N94" t="str">
            <v>N</v>
          </cell>
          <cell r="O94" t="str">
            <v>III</v>
          </cell>
          <cell r="P94" t="str">
            <v>III</v>
          </cell>
          <cell r="Q94" t="str">
            <v>IV</v>
          </cell>
          <cell r="R94" t="str">
            <v>IV</v>
          </cell>
          <cell r="S94" t="str">
            <v>E10</v>
          </cell>
          <cell r="T94">
            <v>0.1</v>
          </cell>
          <cell r="U94" t="str">
            <v>Gnd</v>
          </cell>
          <cell r="V94">
            <v>850</v>
          </cell>
          <cell r="W94" t="str">
            <v>U</v>
          </cell>
          <cell r="X94" t="str">
            <v>L</v>
          </cell>
          <cell r="Y94" t="str">
            <v>L</v>
          </cell>
          <cell r="Z94" t="str">
            <v>N</v>
          </cell>
          <cell r="AA94" t="str">
            <v>N</v>
          </cell>
          <cell r="AB94" t="str">
            <v>III</v>
          </cell>
          <cell r="AC94" t="str">
            <v>III</v>
          </cell>
          <cell r="AD94" t="str">
            <v>IV</v>
          </cell>
          <cell r="AE94" t="str">
            <v>IV</v>
          </cell>
          <cell r="AF94" t="str">
            <v xml:space="preserve">Event is a low energy breach of container confinement (e.g. tine puncture or container drop).  MAR is activity in maximally loaded 2-drum Interim Storage Container (Ref. WVNS-CAL-397, Table A-2).  </v>
          </cell>
          <cell r="AG94" t="str">
            <v>•  None</v>
          </cell>
          <cell r="AH94" t="str">
            <v>•  None</v>
          </cell>
          <cell r="AI94" t="str">
            <v>•  None</v>
          </cell>
          <cell r="AJ94" t="str">
            <v xml:space="preserve">•  Quality Assurance Program
•  Performance Based Training Program
•  Maintenance Program
•  Conduct of Operations
•  Waste Management Program </v>
          </cell>
          <cell r="AK94" t="str">
            <v>•   TSR-compliant packaging for high activity TRU waste</v>
          </cell>
          <cell r="AL94" t="str">
            <v>•  None</v>
          </cell>
          <cell r="AM94" t="str">
            <v>•  None</v>
          </cell>
          <cell r="AN94" t="str">
            <v>•  Radiological Protection Program
•  Emergency Response Program
•  Performance Based Training Program
•  Conduct of Operations</v>
          </cell>
        </row>
        <row r="95">
          <cell r="A95" t="str">
            <v>MPA</v>
          </cell>
          <cell r="B95">
            <v>7</v>
          </cell>
          <cell r="C95" t="str">
            <v>Waste container over-pressurization</v>
          </cell>
          <cell r="D95" t="str">
            <v>Container failure occurs due to pressure buildup, possibly due to radiolysis of water or other hydrogenous material, thermal expansion of material/gases inside the container, or chemical reactions inside the container.</v>
          </cell>
          <cell r="E95">
            <v>360</v>
          </cell>
          <cell r="F95" t="str">
            <v>E12</v>
          </cell>
          <cell r="G95">
            <v>1</v>
          </cell>
          <cell r="H95" t="str">
            <v>Gnd</v>
          </cell>
          <cell r="I95">
            <v>850</v>
          </cell>
          <cell r="J95" t="str">
            <v>A</v>
          </cell>
          <cell r="K95" t="str">
            <v>M</v>
          </cell>
          <cell r="L95" t="str">
            <v>M</v>
          </cell>
          <cell r="M95" t="str">
            <v>N</v>
          </cell>
          <cell r="N95" t="str">
            <v>N</v>
          </cell>
          <cell r="O95" t="str">
            <v>I</v>
          </cell>
          <cell r="P95" t="str">
            <v>I</v>
          </cell>
          <cell r="Q95" t="str">
            <v>IV</v>
          </cell>
          <cell r="R95" t="str">
            <v>IV</v>
          </cell>
          <cell r="S95" t="str">
            <v>E12</v>
          </cell>
          <cell r="T95">
            <v>0.1</v>
          </cell>
          <cell r="U95" t="str">
            <v>Gnd</v>
          </cell>
          <cell r="V95">
            <v>850</v>
          </cell>
          <cell r="W95" t="str">
            <v>A</v>
          </cell>
          <cell r="X95" t="str">
            <v>L</v>
          </cell>
          <cell r="Y95" t="str">
            <v>L</v>
          </cell>
          <cell r="Z95" t="str">
            <v>N</v>
          </cell>
          <cell r="AA95" t="str">
            <v>N</v>
          </cell>
          <cell r="AB95" t="str">
            <v>III</v>
          </cell>
          <cell r="AC95" t="str">
            <v>III</v>
          </cell>
          <cell r="AD95" t="str">
            <v>IV</v>
          </cell>
          <cell r="AE95" t="str">
            <v>IV</v>
          </cell>
          <cell r="AF95" t="str">
            <v>Waste form and waste package vent filters contribute to reducing the probability of this event.  MAR is activity in maximally loaded 2-drum Interim Storage Container (Ref. WVNS-CAL-397, Table A-2).  High PE-Ci waste is overpacked. DR reflects credit allowed per Section 4.4.2 of STD-5506. Resultant MAR bounds credible conservative non-overpacked MAR (10 PE-Ci)</v>
          </cell>
          <cell r="AG95" t="str">
            <v>•  None</v>
          </cell>
          <cell r="AH95" t="str">
            <v>•  HEPA filter vents on waste containers</v>
          </cell>
          <cell r="AI95" t="str">
            <v>•  None</v>
          </cell>
          <cell r="AJ95" t="str">
            <v xml:space="preserve">•  Quality Assurance Program
•  Performance Based Training Program
•  Waste Management Program </v>
          </cell>
          <cell r="AK95" t="str">
            <v>•  None</v>
          </cell>
          <cell r="AL95" t="str">
            <v>•  Lid restraining devices for bulging drums</v>
          </cell>
          <cell r="AM95" t="str">
            <v>•  None</v>
          </cell>
          <cell r="AN95" t="str">
            <v>•  Radiological Protection Program
•  Emergency Response Program
•  Performance Based Training Program
•  Conduct of Operations</v>
          </cell>
        </row>
        <row r="96">
          <cell r="A96" t="str">
            <v>MPA</v>
          </cell>
          <cell r="B96">
            <v>8</v>
          </cell>
          <cell r="C96" t="str">
            <v>Direct exposure to radiation</v>
          </cell>
          <cell r="D96" t="str">
            <v>Exposure to ionizing radiation from the waste, possibly due to loss of proper shielding within a container or instrument miscalibration</v>
          </cell>
          <cell r="E96" t="str">
            <v>Not applicable.</v>
          </cell>
          <cell r="F96" t="str">
            <v>NA</v>
          </cell>
          <cell r="G96" t="str">
            <v>NA</v>
          </cell>
          <cell r="H96" t="str">
            <v>Gnd</v>
          </cell>
          <cell r="I96">
            <v>850</v>
          </cell>
          <cell r="J96" t="str">
            <v>A</v>
          </cell>
          <cell r="K96" t="str">
            <v>M</v>
          </cell>
          <cell r="L96" t="str">
            <v>N</v>
          </cell>
          <cell r="M96" t="str">
            <v>N</v>
          </cell>
          <cell r="N96" t="str">
            <v>N</v>
          </cell>
          <cell r="O96" t="str">
            <v>I</v>
          </cell>
          <cell r="P96" t="str">
            <v>IV</v>
          </cell>
          <cell r="Q96" t="str">
            <v>IV</v>
          </cell>
          <cell r="R96" t="str">
            <v>IV</v>
          </cell>
          <cell r="S96" t="str">
            <v>NA</v>
          </cell>
          <cell r="T96" t="str">
            <v>NA</v>
          </cell>
          <cell r="U96" t="str">
            <v>Gnd</v>
          </cell>
          <cell r="V96">
            <v>850</v>
          </cell>
          <cell r="W96" t="str">
            <v>U</v>
          </cell>
          <cell r="X96" t="str">
            <v>L</v>
          </cell>
          <cell r="Y96" t="str">
            <v>N</v>
          </cell>
          <cell r="Z96" t="str">
            <v>N</v>
          </cell>
          <cell r="AA96" t="str">
            <v>N</v>
          </cell>
          <cell r="AB96" t="str">
            <v>III</v>
          </cell>
          <cell r="AC96" t="str">
            <v>IV</v>
          </cell>
          <cell r="AD96" t="str">
            <v>IV</v>
          </cell>
          <cell r="AE96" t="str">
            <v>IV</v>
          </cell>
          <cell r="AF96" t="str">
            <v xml:space="preserve">None.  </v>
          </cell>
          <cell r="AG96" t="str">
            <v>•  None</v>
          </cell>
          <cell r="AH96" t="str">
            <v>•  Engineered radiation shielding on high dose rate waste containers</v>
          </cell>
          <cell r="AI96" t="str">
            <v>•  None</v>
          </cell>
          <cell r="AJ96" t="str">
            <v xml:space="preserve">•  Radiological Protection Program
•  Quality Assurance Program
•  Performance Based Training Program
•  Conduct of Operations
•  Waste Management Program </v>
          </cell>
          <cell r="AK96" t="str">
            <v>•  None</v>
          </cell>
          <cell r="AL96" t="str">
            <v>•  None</v>
          </cell>
          <cell r="AM96" t="str">
            <v>•  None</v>
          </cell>
          <cell r="AN96" t="str">
            <v>•  Radiological Protection Program
•  Performance Based Training Program
•  Conduct of Operations</v>
          </cell>
        </row>
        <row r="97">
          <cell r="A97" t="str">
            <v>MPA</v>
          </cell>
          <cell r="B97">
            <v>9</v>
          </cell>
          <cell r="C97" t="str">
            <v>Criticality</v>
          </cell>
          <cell r="D97" t="str">
            <v>Inadvertent criticality occurs due to multiple independent failures and/or highly improbable circumstances</v>
          </cell>
          <cell r="E97" t="str">
            <v>&gt;450 FGE
Pu-239</v>
          </cell>
          <cell r="F97" t="str">
            <v>NA</v>
          </cell>
          <cell r="G97" t="str">
            <v>NA</v>
          </cell>
          <cell r="H97" t="str">
            <v>Gnd</v>
          </cell>
          <cell r="I97">
            <v>850</v>
          </cell>
          <cell r="J97" t="str">
            <v>BEU</v>
          </cell>
          <cell r="K97" t="str">
            <v>H</v>
          </cell>
          <cell r="L97" t="str">
            <v>N</v>
          </cell>
          <cell r="M97" t="str">
            <v>N</v>
          </cell>
          <cell r="N97" t="str">
            <v>N</v>
          </cell>
          <cell r="O97" t="str">
            <v>III</v>
          </cell>
          <cell r="P97" t="str">
            <v>IV</v>
          </cell>
          <cell r="Q97" t="str">
            <v>IV</v>
          </cell>
          <cell r="R97" t="str">
            <v>IV</v>
          </cell>
          <cell r="S97" t="str">
            <v>NA</v>
          </cell>
          <cell r="T97" t="str">
            <v>NA</v>
          </cell>
          <cell r="U97" t="str">
            <v>Gnd</v>
          </cell>
          <cell r="V97">
            <v>850</v>
          </cell>
          <cell r="W97" t="str">
            <v>BEU</v>
          </cell>
          <cell r="X97" t="str">
            <v>H</v>
          </cell>
          <cell r="Y97" t="str">
            <v>N</v>
          </cell>
          <cell r="Z97" t="str">
            <v>N</v>
          </cell>
          <cell r="AA97" t="str">
            <v>N</v>
          </cell>
          <cell r="AB97" t="str">
            <v>III</v>
          </cell>
          <cell r="AC97" t="str">
            <v>IV</v>
          </cell>
          <cell r="AD97" t="str">
            <v>IV</v>
          </cell>
          <cell r="AE97" t="str">
            <v>IV</v>
          </cell>
          <cell r="AF97" t="str">
            <v xml:space="preserve">Nuclear criticality safety administrative controls ensure that only safe quantities of fissile material are placed in waste packages.   </v>
          </cell>
          <cell r="AG97" t="str">
            <v>• PSRs for fissile material storage container specifications</v>
          </cell>
          <cell r="AH97" t="str">
            <v>•  None</v>
          </cell>
          <cell r="AI97" t="str">
            <v>• PSR limits on container fissile mass
• PSR for fissile material storage containers</v>
          </cell>
          <cell r="AJ97" t="str">
            <v xml:space="preserve">•  Radiological Protection Program
•  Nuclear Criticality Safety Program
•  Quality Assurance Program
•  Performance Based Training Program
•  Conduct of Operations
•  Waste Management Program </v>
          </cell>
          <cell r="AK97" t="str">
            <v>•  None</v>
          </cell>
          <cell r="AL97" t="str">
            <v>•  None</v>
          </cell>
          <cell r="AM97" t="str">
            <v>•  None</v>
          </cell>
          <cell r="AN97" t="str">
            <v>•  Radiological Protection Program
•  Nuclear Criticality Safety Program
•  Emergency Response Program
•  Performance Based Training Program
•  Conduct of Operations</v>
          </cell>
        </row>
        <row r="98">
          <cell r="A98" t="str">
            <v>MPA</v>
          </cell>
          <cell r="B98">
            <v>10</v>
          </cell>
          <cell r="C98" t="str">
            <v>Aircraft impact with fire</v>
          </cell>
          <cell r="D98" t="str">
            <v>Small general aviation aircraft or helicopter crashes and a fire ensues</v>
          </cell>
          <cell r="E98">
            <v>360</v>
          </cell>
          <cell r="F98" t="str">
            <v>E15</v>
          </cell>
          <cell r="G98">
            <v>1</v>
          </cell>
          <cell r="H98" t="str">
            <v>Gnd</v>
          </cell>
          <cell r="I98">
            <v>850</v>
          </cell>
          <cell r="J98" t="str">
            <v>BEU</v>
          </cell>
          <cell r="K98" t="str">
            <v>H</v>
          </cell>
          <cell r="L98" t="str">
            <v>H</v>
          </cell>
          <cell r="M98" t="str">
            <v>N</v>
          </cell>
          <cell r="N98" t="str">
            <v>N</v>
          </cell>
          <cell r="O98" t="str">
            <v>III</v>
          </cell>
          <cell r="P98" t="str">
            <v>III</v>
          </cell>
          <cell r="Q98" t="str">
            <v>IV</v>
          </cell>
          <cell r="R98" t="str">
            <v>IV</v>
          </cell>
          <cell r="S98" t="str">
            <v>E15</v>
          </cell>
          <cell r="T98">
            <v>1</v>
          </cell>
          <cell r="U98" t="str">
            <v>Gnd</v>
          </cell>
          <cell r="V98">
            <v>850</v>
          </cell>
          <cell r="W98" t="str">
            <v>BEU</v>
          </cell>
          <cell r="X98" t="str">
            <v>H</v>
          </cell>
          <cell r="Y98" t="str">
            <v>H</v>
          </cell>
          <cell r="Z98" t="str">
            <v>N</v>
          </cell>
          <cell r="AA98" t="str">
            <v>N</v>
          </cell>
          <cell r="AB98" t="str">
            <v>III</v>
          </cell>
          <cell r="AC98" t="str">
            <v>III</v>
          </cell>
          <cell r="AD98" t="str">
            <v>IV</v>
          </cell>
          <cell r="AE98" t="str">
            <v>IV</v>
          </cell>
          <cell r="AF98" t="str">
            <v xml:space="preserve">Event assumes waste containers breach in a manner similar to external vehicle accident event. Event BEU per WVNS-CAL-388. MAR is activity in maximally loaded 2-drum Interim Storage Container (Ref. WVNS-CAL-397, Table A-2).  </v>
          </cell>
          <cell r="AG98" t="str">
            <v>•  None</v>
          </cell>
          <cell r="AH98" t="str">
            <v>•  None</v>
          </cell>
          <cell r="AI98" t="str">
            <v>•  None</v>
          </cell>
          <cell r="AJ98" t="str">
            <v>•  None</v>
          </cell>
          <cell r="AK98" t="str">
            <v>•   APPROVED CONTAINERS used for TRU waste storage
•   TSR-compliant packaging for high activity TRU waste</v>
          </cell>
          <cell r="AL98" t="str">
            <v>•  None</v>
          </cell>
          <cell r="AM98" t="str">
            <v>• SAC for APPROVED CONTAINER use</v>
          </cell>
          <cell r="AN98" t="str">
            <v>•  Radiological Protection Program
•  Emergency Response Program
•  Fire Protection Program
•  Performance Based Training Program
•  Conduct of Operations</v>
          </cell>
        </row>
        <row r="99">
          <cell r="A99" t="str">
            <v>MPA</v>
          </cell>
          <cell r="B99">
            <v>11</v>
          </cell>
          <cell r="C99" t="str">
            <v>Tornado</v>
          </cell>
          <cell r="D99" t="str">
            <v>Direct effects of tornado winds, falling objects, or tornado-produced missiles causing impacts to the facility. Event includes loss of contamination confinement resulting from abnormal facility differential pressures (backflow).</v>
          </cell>
          <cell r="E99">
            <v>360</v>
          </cell>
          <cell r="F99" t="str">
            <v>E22</v>
          </cell>
          <cell r="G99">
            <v>1</v>
          </cell>
          <cell r="H99" t="str">
            <v>Gnd</v>
          </cell>
          <cell r="I99">
            <v>850</v>
          </cell>
          <cell r="J99" t="str">
            <v>U</v>
          </cell>
          <cell r="K99" t="str">
            <v>M</v>
          </cell>
          <cell r="L99" t="str">
            <v>M</v>
          </cell>
          <cell r="M99" t="str">
            <v>N</v>
          </cell>
          <cell r="N99" t="str">
            <v>N</v>
          </cell>
          <cell r="O99" t="str">
            <v>II</v>
          </cell>
          <cell r="P99" t="str">
            <v>II</v>
          </cell>
          <cell r="Q99" t="str">
            <v>IV</v>
          </cell>
          <cell r="R99" t="str">
            <v>IV</v>
          </cell>
          <cell r="S99" t="str">
            <v>E22</v>
          </cell>
          <cell r="T99">
            <v>1</v>
          </cell>
          <cell r="U99" t="str">
            <v>Gnd</v>
          </cell>
          <cell r="V99">
            <v>850</v>
          </cell>
          <cell r="W99" t="str">
            <v>EU</v>
          </cell>
          <cell r="X99" t="str">
            <v>M</v>
          </cell>
          <cell r="Y99" t="str">
            <v>M</v>
          </cell>
          <cell r="Z99" t="str">
            <v>N</v>
          </cell>
          <cell r="AA99" t="str">
            <v>N</v>
          </cell>
          <cell r="AB99" t="str">
            <v>III</v>
          </cell>
          <cell r="AC99" t="str">
            <v>III</v>
          </cell>
          <cell r="AD99" t="str">
            <v>IV</v>
          </cell>
          <cell r="AE99" t="str">
            <v>IV</v>
          </cell>
          <cell r="AF99" t="str">
            <v xml:space="preserve"> MAR is activity in maximally loaded 2-drum Interim Storage Container (Ref. WVNS-CAL-397, Table A-2).  </v>
          </cell>
          <cell r="AG99" t="str">
            <v>•  None</v>
          </cell>
          <cell r="AH99" t="str">
            <v>•  None</v>
          </cell>
          <cell r="AI99" t="str">
            <v>•  None</v>
          </cell>
          <cell r="AJ99" t="str">
            <v>•  None</v>
          </cell>
          <cell r="AK99" t="str">
            <v>•  None</v>
          </cell>
          <cell r="AL99" t="str">
            <v>•  Facility design capable of maintaining confinement integrity following design basis events</v>
          </cell>
          <cell r="AM99" t="str">
            <v>•  None</v>
          </cell>
          <cell r="AN99" t="str">
            <v>•  Radiological Protection Program
•  Emergency Response Program
•  Performance Based Training Program
•  Conduct of Operations</v>
          </cell>
        </row>
        <row r="100">
          <cell r="A100" t="str">
            <v>MPA</v>
          </cell>
          <cell r="B100">
            <v>12</v>
          </cell>
          <cell r="C100" t="str">
            <v>Seismic event</v>
          </cell>
          <cell r="D100" t="str">
            <v>Seismic event causes failure of equipment or structure which impacts facility contamination and/or seismic event disturbs loose surface contamination. Confinement boundaries are expected to remain intact.</v>
          </cell>
          <cell r="E100">
            <v>360</v>
          </cell>
          <cell r="F100" t="str">
            <v>E24</v>
          </cell>
          <cell r="G100">
            <v>0.01</v>
          </cell>
          <cell r="H100" t="str">
            <v>Gnd</v>
          </cell>
          <cell r="I100">
            <v>850</v>
          </cell>
          <cell r="J100" t="str">
            <v>U</v>
          </cell>
          <cell r="K100" t="str">
            <v>N</v>
          </cell>
          <cell r="L100" t="str">
            <v>L</v>
          </cell>
          <cell r="M100" t="str">
            <v>N</v>
          </cell>
          <cell r="N100" t="str">
            <v>N</v>
          </cell>
          <cell r="O100" t="str">
            <v>IV</v>
          </cell>
          <cell r="P100" t="str">
            <v>III</v>
          </cell>
          <cell r="Q100" t="str">
            <v>IV</v>
          </cell>
          <cell r="R100" t="str">
            <v>IV</v>
          </cell>
          <cell r="S100" t="str">
            <v>E24</v>
          </cell>
          <cell r="T100">
            <v>0.01</v>
          </cell>
          <cell r="U100" t="str">
            <v>Gnd</v>
          </cell>
          <cell r="V100">
            <v>850</v>
          </cell>
          <cell r="W100" t="str">
            <v>U</v>
          </cell>
          <cell r="X100" t="str">
            <v>N</v>
          </cell>
          <cell r="Y100" t="str">
            <v>L</v>
          </cell>
          <cell r="Z100" t="str">
            <v>N</v>
          </cell>
          <cell r="AA100" t="str">
            <v>N</v>
          </cell>
          <cell r="AB100" t="str">
            <v>IV</v>
          </cell>
          <cell r="AC100" t="str">
            <v>III</v>
          </cell>
          <cell r="AD100" t="str">
            <v>IV</v>
          </cell>
          <cell r="AE100" t="str">
            <v>IV</v>
          </cell>
          <cell r="AF100" t="str">
            <v xml:space="preserve">Facility confinement boundaries expected to remain intact following EBE.  MAR is activity in maximally loaded 2-drum Interim Storage Container (Ref. WVNS-CAL-397, Table A-2).  </v>
          </cell>
          <cell r="AG100" t="str">
            <v>•  None</v>
          </cell>
          <cell r="AH100" t="str">
            <v>•  None</v>
          </cell>
          <cell r="AI100" t="str">
            <v>•  None</v>
          </cell>
          <cell r="AJ100" t="str">
            <v>•  None</v>
          </cell>
          <cell r="AK100" t="str">
            <v>•  None</v>
          </cell>
          <cell r="AL100" t="str">
            <v>•  Facility design capable of maintaining confinement integrity following design basis events</v>
          </cell>
          <cell r="AM100" t="str">
            <v>•  None</v>
          </cell>
          <cell r="AN100" t="str">
            <v>•  Radiological Protection Program
•  Emergency Response Program
•  Performance Based Training Program
•  Conduct of Operations</v>
          </cell>
        </row>
        <row r="101">
          <cell r="A101" t="str">
            <v>MPA</v>
          </cell>
          <cell r="B101">
            <v>13</v>
          </cell>
          <cell r="C101" t="str">
            <v>Loss of airborne contamination confinement</v>
          </cell>
          <cell r="D101" t="str">
            <v>Loss of power resulting in loss of exhaust blower operability or other upset condition resulting in loss of airborne contamination confinement.</v>
          </cell>
          <cell r="E101">
            <v>360</v>
          </cell>
          <cell r="F101" t="str">
            <v>AER</v>
          </cell>
          <cell r="G101">
            <v>1</v>
          </cell>
          <cell r="H101" t="str">
            <v>Gnd</v>
          </cell>
          <cell r="I101">
            <v>850</v>
          </cell>
          <cell r="J101" t="str">
            <v>A</v>
          </cell>
          <cell r="K101" t="str">
            <v>L</v>
          </cell>
          <cell r="L101" t="str">
            <v>L</v>
          </cell>
          <cell r="M101" t="str">
            <v>N</v>
          </cell>
          <cell r="N101" t="str">
            <v>N</v>
          </cell>
          <cell r="O101" t="str">
            <v>III</v>
          </cell>
          <cell r="P101" t="str">
            <v>III</v>
          </cell>
          <cell r="Q101" t="str">
            <v>IV</v>
          </cell>
          <cell r="R101" t="str">
            <v>IV</v>
          </cell>
          <cell r="S101" t="str">
            <v>AER</v>
          </cell>
          <cell r="T101">
            <v>1</v>
          </cell>
          <cell r="U101" t="str">
            <v>Gnd</v>
          </cell>
          <cell r="V101">
            <v>850</v>
          </cell>
          <cell r="W101" t="str">
            <v>A</v>
          </cell>
          <cell r="X101" t="str">
            <v>L</v>
          </cell>
          <cell r="Y101" t="str">
            <v>L</v>
          </cell>
          <cell r="Z101" t="str">
            <v>N</v>
          </cell>
          <cell r="AA101" t="str">
            <v>N</v>
          </cell>
          <cell r="AB101" t="str">
            <v>III</v>
          </cell>
          <cell r="AC101" t="str">
            <v>III</v>
          </cell>
          <cell r="AD101" t="str">
            <v>IV</v>
          </cell>
          <cell r="AE101" t="str">
            <v>IV</v>
          </cell>
          <cell r="AF101" t="str">
            <v xml:space="preserve">Contamination assumed to migrate from confinement boundary penetrations through aerodynamic entrainment and resuspension under static facility conditions. MAR is activity in maximally loaded 2-drum Interim Storage Container (Ref. WVNS-CAL-397, Table A-2).  </v>
          </cell>
          <cell r="AG101" t="str">
            <v>•  None</v>
          </cell>
          <cell r="AH101" t="str">
            <v>•  None</v>
          </cell>
          <cell r="AI101" t="str">
            <v>•  None</v>
          </cell>
          <cell r="AJ101" t="str">
            <v>•  Quality Assurance Program
•  Fire Protection Program
•  Performance Based Training Program
•  Maintenance Program
•  Conduct of Operations</v>
          </cell>
          <cell r="AK101" t="str">
            <v>•  None</v>
          </cell>
          <cell r="AL101" t="str">
            <v>•  None</v>
          </cell>
          <cell r="AM101" t="str">
            <v>•  None</v>
          </cell>
          <cell r="AN101" t="str">
            <v>•  None</v>
          </cell>
        </row>
        <row r="102">
          <cell r="A102" t="str">
            <v>MPA</v>
          </cell>
          <cell r="B102">
            <v>14</v>
          </cell>
          <cell r="C102" t="str">
            <v>Loss of liquid contamination confinement</v>
          </cell>
          <cell r="D102" t="str">
            <v>Waste container containing residual liquids fails, resulting in loss of liquid contamination to the environment</v>
          </cell>
          <cell r="E102">
            <v>1</v>
          </cell>
          <cell r="F102" t="str">
            <v>FFS</v>
          </cell>
          <cell r="G102">
            <v>0.5</v>
          </cell>
          <cell r="H102" t="str">
            <v>Gnd</v>
          </cell>
          <cell r="I102">
            <v>850</v>
          </cell>
          <cell r="J102" t="str">
            <v>A</v>
          </cell>
          <cell r="K102" t="str">
            <v>N</v>
          </cell>
          <cell r="L102" t="str">
            <v>N</v>
          </cell>
          <cell r="M102" t="str">
            <v>N</v>
          </cell>
          <cell r="N102" t="str">
            <v>N</v>
          </cell>
          <cell r="O102" t="str">
            <v>IV</v>
          </cell>
          <cell r="P102" t="str">
            <v>IV</v>
          </cell>
          <cell r="Q102" t="str">
            <v>IV</v>
          </cell>
          <cell r="R102" t="str">
            <v>IV</v>
          </cell>
          <cell r="S102" t="str">
            <v>FFS</v>
          </cell>
          <cell r="T102">
            <v>0.5</v>
          </cell>
          <cell r="U102" t="str">
            <v>Gnd</v>
          </cell>
          <cell r="V102">
            <v>850</v>
          </cell>
          <cell r="W102" t="str">
            <v>A</v>
          </cell>
          <cell r="X102" t="str">
            <v>N</v>
          </cell>
          <cell r="Y102" t="str">
            <v>N</v>
          </cell>
          <cell r="Z102" t="str">
            <v>N</v>
          </cell>
          <cell r="AA102" t="str">
            <v>N</v>
          </cell>
          <cell r="AB102" t="str">
            <v>IV</v>
          </cell>
          <cell r="AC102" t="str">
            <v>IV</v>
          </cell>
          <cell r="AD102" t="str">
            <v>IV</v>
          </cell>
          <cell r="AE102" t="str">
            <v>IV</v>
          </cell>
          <cell r="AF102" t="str">
            <v xml:space="preserve">None.  </v>
          </cell>
          <cell r="AG102" t="str">
            <v>•  None</v>
          </cell>
          <cell r="AH102" t="str">
            <v>•  Cell liners/sumps and/or area berms</v>
          </cell>
          <cell r="AI102" t="str">
            <v>•  None</v>
          </cell>
          <cell r="AJ102" t="str">
            <v xml:space="preserve">•  Quality Assurance Program
•  Performance Based Training Program
•  Maintenance Program
•  Conduct of Operations
•  Waste Management Program </v>
          </cell>
          <cell r="AK102" t="str">
            <v>•  None</v>
          </cell>
          <cell r="AL102" t="str">
            <v>•  None</v>
          </cell>
          <cell r="AM102" t="str">
            <v>•  None</v>
          </cell>
          <cell r="AN102" t="str">
            <v>•  Radiological Protection Program
•  Performance Based Training Program
•  Conduct of Operations</v>
          </cell>
        </row>
        <row r="103">
          <cell r="A103" t="str">
            <v>MPA</v>
          </cell>
          <cell r="B103">
            <v>15</v>
          </cell>
          <cell r="C103" t="str">
            <v>HEPA filter failure</v>
          </cell>
          <cell r="D103" t="str">
            <v>Excess moisture or particulate on filters or area pressure excursion causes high filter differential pressure, resulting in filter failure</v>
          </cell>
          <cell r="E103">
            <v>1</v>
          </cell>
          <cell r="F103" t="str">
            <v>HB</v>
          </cell>
          <cell r="G103">
            <v>1</v>
          </cell>
          <cell r="H103" t="str">
            <v>Gnd</v>
          </cell>
          <cell r="I103">
            <v>850</v>
          </cell>
          <cell r="J103" t="str">
            <v>A</v>
          </cell>
          <cell r="K103" t="str">
            <v>L</v>
          </cell>
          <cell r="L103" t="str">
            <v>L</v>
          </cell>
          <cell r="M103" t="str">
            <v>N</v>
          </cell>
          <cell r="N103" t="str">
            <v>N</v>
          </cell>
          <cell r="O103" t="str">
            <v>III</v>
          </cell>
          <cell r="P103" t="str">
            <v>III</v>
          </cell>
          <cell r="Q103" t="str">
            <v>IV</v>
          </cell>
          <cell r="R103" t="str">
            <v>IV</v>
          </cell>
          <cell r="S103" t="str">
            <v>HB</v>
          </cell>
          <cell r="T103">
            <v>1</v>
          </cell>
          <cell r="U103" t="str">
            <v>Gnd</v>
          </cell>
          <cell r="V103">
            <v>850</v>
          </cell>
          <cell r="W103" t="str">
            <v>U</v>
          </cell>
          <cell r="X103" t="str">
            <v>L</v>
          </cell>
          <cell r="Y103" t="str">
            <v>L</v>
          </cell>
          <cell r="Z103" t="str">
            <v>N</v>
          </cell>
          <cell r="AA103" t="str">
            <v>N</v>
          </cell>
          <cell r="AB103" t="str">
            <v>III</v>
          </cell>
          <cell r="AC103" t="str">
            <v>III</v>
          </cell>
          <cell r="AD103" t="str">
            <v>IV</v>
          </cell>
          <cell r="AE103" t="str">
            <v>IV</v>
          </cell>
          <cell r="AF103" t="str">
            <v xml:space="preserve"> 10% of MPPB ventilation system MAR bounding for facility HEPA filters based on system environmental emission data </v>
          </cell>
          <cell r="AG103" t="str">
            <v>•  None</v>
          </cell>
          <cell r="AH103" t="str">
            <v>•  None</v>
          </cell>
          <cell r="AI103" t="str">
            <v>•  None</v>
          </cell>
          <cell r="AJ103" t="str">
            <v>•  Quality Assurance Program
•  Fire Protection Program
•  Performance Based Training Program
•  Maintenance Program
•  Conduct of Operations</v>
          </cell>
          <cell r="AK103" t="str">
            <v>•  None</v>
          </cell>
          <cell r="AL103" t="str">
            <v>•  None</v>
          </cell>
          <cell r="AM103" t="str">
            <v>•  None</v>
          </cell>
          <cell r="AN103" t="str">
            <v>•  Radiological Protection Program
•  Emergency Response Program
•  Performance Based Training Program
•  Conduct of Operations</v>
          </cell>
        </row>
        <row r="104">
          <cell r="A104" t="str">
            <v>MPA</v>
          </cell>
          <cell r="B104">
            <v>16</v>
          </cell>
          <cell r="C104" t="str">
            <v>HEPA filter fire</v>
          </cell>
          <cell r="D104" t="str">
            <v>Area fire propagates to HEPA filter bank</v>
          </cell>
          <cell r="E104">
            <v>1</v>
          </cell>
          <cell r="F104" t="str">
            <v>HF</v>
          </cell>
          <cell r="G104">
            <v>1</v>
          </cell>
          <cell r="H104" t="str">
            <v>Gnd</v>
          </cell>
          <cell r="I104">
            <v>850</v>
          </cell>
          <cell r="J104" t="str">
            <v>A</v>
          </cell>
          <cell r="K104" t="str">
            <v>N</v>
          </cell>
          <cell r="L104" t="str">
            <v>N</v>
          </cell>
          <cell r="M104" t="str">
            <v>N</v>
          </cell>
          <cell r="N104" t="str">
            <v>N</v>
          </cell>
          <cell r="O104" t="str">
            <v>IV</v>
          </cell>
          <cell r="P104" t="str">
            <v>IV</v>
          </cell>
          <cell r="Q104" t="str">
            <v>IV</v>
          </cell>
          <cell r="R104" t="str">
            <v>IV</v>
          </cell>
          <cell r="S104" t="str">
            <v>HF</v>
          </cell>
          <cell r="T104">
            <v>1</v>
          </cell>
          <cell r="U104" t="str">
            <v>Gnd</v>
          </cell>
          <cell r="V104">
            <v>850</v>
          </cell>
          <cell r="W104" t="str">
            <v>U</v>
          </cell>
          <cell r="X104" t="str">
            <v>N</v>
          </cell>
          <cell r="Y104" t="str">
            <v>N</v>
          </cell>
          <cell r="Z104" t="str">
            <v>N</v>
          </cell>
          <cell r="AA104" t="str">
            <v>N</v>
          </cell>
          <cell r="AB104" t="str">
            <v>IV</v>
          </cell>
          <cell r="AC104" t="str">
            <v>IV</v>
          </cell>
          <cell r="AD104" t="str">
            <v>IV</v>
          </cell>
          <cell r="AE104" t="str">
            <v>IV</v>
          </cell>
          <cell r="AF104" t="str">
            <v xml:space="preserve"> 10% of MPPB ventilation system MAR bounding for facility HEPA filters based on system environmental emission data </v>
          </cell>
          <cell r="AG104" t="str">
            <v>•  None</v>
          </cell>
          <cell r="AH104" t="str">
            <v>•  None</v>
          </cell>
          <cell r="AI104" t="str">
            <v>•  None</v>
          </cell>
          <cell r="AJ104" t="str">
            <v>•  Quality Assurance Program
•  Fire Protection Program
•  Performance Based Training Program
•  Maintenance Program
•  Conduct of Operations</v>
          </cell>
          <cell r="AK104" t="str">
            <v>•  None</v>
          </cell>
          <cell r="AL104" t="str">
            <v>•  None</v>
          </cell>
          <cell r="AM104" t="str">
            <v>•  None</v>
          </cell>
          <cell r="AN104" t="str">
            <v>•  Radiological Protection Program
•  Emergency Response Program
•  Fire Protection Program
•  Performance Based Training Program
•  Conduct of Operations</v>
          </cell>
        </row>
        <row r="105">
          <cell r="A105" t="str">
            <v>MPA</v>
          </cell>
          <cell r="B105">
            <v>17</v>
          </cell>
          <cell r="C105" t="str">
            <v>Flood</v>
          </cell>
          <cell r="D105" t="str">
            <v>A greater than 100-yr  rain event results in sheet flow that floods the storage area. Flooding may be exacerbated by plugged drainage channels or culverts.</v>
          </cell>
          <cell r="E105">
            <v>360</v>
          </cell>
          <cell r="F105" t="str">
            <v>NA</v>
          </cell>
          <cell r="G105" t="str">
            <v>NA</v>
          </cell>
          <cell r="H105" t="str">
            <v>Gnd</v>
          </cell>
          <cell r="I105">
            <v>850</v>
          </cell>
          <cell r="J105" t="str">
            <v>U</v>
          </cell>
          <cell r="K105" t="str">
            <v>N</v>
          </cell>
          <cell r="L105" t="str">
            <v>N</v>
          </cell>
          <cell r="M105" t="str">
            <v>N</v>
          </cell>
          <cell r="N105" t="str">
            <v>N</v>
          </cell>
          <cell r="O105" t="str">
            <v>IV</v>
          </cell>
          <cell r="P105" t="str">
            <v>IV</v>
          </cell>
          <cell r="Q105" t="str">
            <v>IV</v>
          </cell>
          <cell r="R105" t="str">
            <v>IV</v>
          </cell>
          <cell r="S105" t="str">
            <v>NA</v>
          </cell>
          <cell r="T105" t="str">
            <v>NA</v>
          </cell>
          <cell r="U105" t="str">
            <v>Gnd</v>
          </cell>
          <cell r="V105">
            <v>850</v>
          </cell>
          <cell r="W105" t="str">
            <v>U</v>
          </cell>
          <cell r="X105" t="str">
            <v>N</v>
          </cell>
          <cell r="Y105" t="str">
            <v>N</v>
          </cell>
          <cell r="Z105" t="str">
            <v>N</v>
          </cell>
          <cell r="AA105" t="str">
            <v>N</v>
          </cell>
          <cell r="AB105" t="str">
            <v>IV</v>
          </cell>
          <cell r="AC105" t="str">
            <v>IV</v>
          </cell>
          <cell r="AD105" t="str">
            <v>IV</v>
          </cell>
          <cell r="AE105" t="str">
            <v>IV</v>
          </cell>
          <cell r="AF105" t="str">
            <v xml:space="preserve">Site topography places facility outside area vulnerable to flooding (ref. Figure 1.4-6).  MAR is activity in maximally loaded 2-drum Interim Storage Container (Ref. WVNS-CAL-397, Table A-2).  </v>
          </cell>
          <cell r="AG105" t="str">
            <v>•  None</v>
          </cell>
          <cell r="AH105" t="str">
            <v>•  Siting of storage array in area away from areas of anticipated flooding</v>
          </cell>
          <cell r="AI105" t="str">
            <v>•  None</v>
          </cell>
          <cell r="AJ105" t="str">
            <v>•  None</v>
          </cell>
          <cell r="AK105" t="str">
            <v>•  None</v>
          </cell>
          <cell r="AL105" t="str">
            <v>•  None</v>
          </cell>
          <cell r="AM105" t="str">
            <v>•  None</v>
          </cell>
          <cell r="AN105" t="str">
            <v>•  Radiological Protection Program
•  Performance Based Training Program
•  Conduct of Operations</v>
          </cell>
        </row>
        <row r="106">
          <cell r="A106" t="str">
            <v>OUT</v>
          </cell>
          <cell r="B106">
            <v>1</v>
          </cell>
          <cell r="C106" t="str">
            <v>Localized flammable liquid pool fire</v>
          </cell>
          <cell r="D106" t="str">
            <v>Fuel or other flammable fluid pool fire resulting from leaking equipment or vehicle.  An unspecified ignition source ignites the fuel and a fire ensues that is of sufficient duration and intensity to lead to a release of radioactive material from containerized waste.</v>
          </cell>
          <cell r="E106">
            <v>2100</v>
          </cell>
          <cell r="F106" t="str">
            <v>E01</v>
          </cell>
          <cell r="G106">
            <v>1</v>
          </cell>
          <cell r="H106" t="str">
            <v>Gnd</v>
          </cell>
          <cell r="I106">
            <v>850</v>
          </cell>
          <cell r="J106" t="str">
            <v>U</v>
          </cell>
          <cell r="K106" t="str">
            <v>H</v>
          </cell>
          <cell r="L106" t="str">
            <v>H</v>
          </cell>
          <cell r="M106" t="str">
            <v>N</v>
          </cell>
          <cell r="N106" t="str">
            <v>N</v>
          </cell>
          <cell r="O106" t="str">
            <v>I</v>
          </cell>
          <cell r="P106" t="str">
            <v>I</v>
          </cell>
          <cell r="Q106" t="str">
            <v>IV</v>
          </cell>
          <cell r="R106" t="str">
            <v>IV</v>
          </cell>
          <cell r="S106" t="str">
            <v>E01</v>
          </cell>
          <cell r="T106">
            <v>4.7999999999999996E-3</v>
          </cell>
          <cell r="U106" t="str">
            <v>Gnd</v>
          </cell>
          <cell r="V106">
            <v>850</v>
          </cell>
          <cell r="W106" t="str">
            <v>EU</v>
          </cell>
          <cell r="X106" t="str">
            <v>L</v>
          </cell>
          <cell r="Y106" t="str">
            <v>L</v>
          </cell>
          <cell r="Z106" t="str">
            <v>N</v>
          </cell>
          <cell r="AA106" t="str">
            <v>N</v>
          </cell>
          <cell r="AB106" t="str">
            <v>IV</v>
          </cell>
          <cell r="AC106" t="str">
            <v>IV</v>
          </cell>
          <cell r="AD106" t="str">
            <v>IV</v>
          </cell>
          <cell r="AE106" t="str">
            <v>IV</v>
          </cell>
          <cell r="AF106" t="str">
            <v>Topography and soil conditions in outdoor hardstand areas limit the spatial extent of any fuel spill in the area. MAR is entire inventory of radioactive material in WVDP packaged waste (exclusive of HLW) (Ref.WVNS-CAL-397, Table C-1, Lag Storage).  DR reflects TSR to protect arrays of TRU waste containing greater than 10 PE-Ci from spills of flammable/ combustible liquids</v>
          </cell>
          <cell r="AG106" t="str">
            <v>•  None</v>
          </cell>
          <cell r="AH106" t="str">
            <v>•  None</v>
          </cell>
          <cell r="AI106" t="str">
            <v>• SAC for TRU waste drum fire protection
• SAC for TRU waste container physical protection
• SAC for TRU WASTE AREAS</v>
          </cell>
          <cell r="AJ106" t="str">
            <v xml:space="preserve">•  Quality Assurance Program
•  Fire Protection Program
•  Performance Based Training Program
•  Maintenance Program
•  Conduct of Operations
•  Waste Management Program </v>
          </cell>
          <cell r="AK106" t="str">
            <v>•  APPROVED CONTAINERS used for TRU waste storage
•  TSR-compliant packaging for high activity TRU waste</v>
          </cell>
          <cell r="AL106" t="str">
            <v>•  Steel-deck pallets that limit direct flame impingement on TRU containers
•  Banding of drums on pallets</v>
          </cell>
          <cell r="AM106" t="str">
            <v>•  SAC for APPROVED CONTAINER use
•  SAC for facility inventory control
• SAC for TRU WASTE AREAS</v>
          </cell>
          <cell r="AN106" t="str">
            <v>•  Radiological Protection Program
•  Emergency Response Program
•  Fire Protection Program
•  Performance Based Training Program
•  Conduct of Operations</v>
          </cell>
        </row>
        <row r="107">
          <cell r="A107" t="str">
            <v>OUT</v>
          </cell>
          <cell r="B107">
            <v>2</v>
          </cell>
          <cell r="C107" t="str">
            <v>Small combustible material fire</v>
          </cell>
          <cell r="D107" t="str">
            <v>Fire occurs in a facility area that impacts TRU waste. Includes accidents initiated due to pyrophoric reactions or reactions involving incompatible wastes.</v>
          </cell>
          <cell r="E107">
            <v>360</v>
          </cell>
          <cell r="F107" t="str">
            <v>E02</v>
          </cell>
          <cell r="G107">
            <v>1</v>
          </cell>
          <cell r="H107" t="str">
            <v>Gnd</v>
          </cell>
          <cell r="I107">
            <v>850</v>
          </cell>
          <cell r="J107" t="str">
            <v>U</v>
          </cell>
          <cell r="K107" t="str">
            <v>H</v>
          </cell>
          <cell r="L107" t="str">
            <v>H</v>
          </cell>
          <cell r="M107" t="str">
            <v>N</v>
          </cell>
          <cell r="N107" t="str">
            <v>N</v>
          </cell>
          <cell r="O107" t="str">
            <v>I</v>
          </cell>
          <cell r="P107" t="str">
            <v>I</v>
          </cell>
          <cell r="Q107" t="str">
            <v>IV</v>
          </cell>
          <cell r="R107" t="str">
            <v>IV</v>
          </cell>
          <cell r="S107" t="str">
            <v>E02</v>
          </cell>
          <cell r="T107">
            <v>2.8E-3</v>
          </cell>
          <cell r="U107" t="str">
            <v>Gnd</v>
          </cell>
          <cell r="V107">
            <v>850</v>
          </cell>
          <cell r="W107" t="str">
            <v>U</v>
          </cell>
          <cell r="X107" t="str">
            <v>L</v>
          </cell>
          <cell r="Y107" t="str">
            <v>L</v>
          </cell>
          <cell r="Z107" t="str">
            <v>N</v>
          </cell>
          <cell r="AA107" t="str">
            <v>N</v>
          </cell>
          <cell r="AB107" t="str">
            <v>III</v>
          </cell>
          <cell r="AC107" t="str">
            <v>III</v>
          </cell>
          <cell r="AD107" t="str">
            <v>IV</v>
          </cell>
          <cell r="AE107" t="str">
            <v>IV</v>
          </cell>
          <cell r="AF107" t="str">
            <v>Amount of combustible material in radiologically-controlled areas controlled by WVDP Fire Protection Program. Credit taken for storage of waste in APPROVED CONTAINERS in assuming mitigated event progresses as contained waste fire.  MAR is activity in maximally loaded 2-drum Interim Storage Container (Ref. WVNS-CAL-397, Table A-2).  DR reflects TSR that limits the amount of TRU waste that may be outside of an APPROVED CONTAINER to 1.0 PE-Ci.</v>
          </cell>
          <cell r="AG107" t="str">
            <v>•  None</v>
          </cell>
          <cell r="AH107" t="str">
            <v>•  None</v>
          </cell>
          <cell r="AI107" t="str">
            <v>•  None</v>
          </cell>
          <cell r="AJ107" t="str">
            <v xml:space="preserve">•  Quality Assurance Program
•  Fire Protection Program
-   “Hot work” controls
-   Combustible material control program
•  Performance Based Training Program
•  Maintenance Program
•  Conduct of Operations
•  Waste Management Program </v>
          </cell>
          <cell r="AK107" t="str">
            <v>•  APPROVED CONTAINERS used for TRU waste storage
•  TSR-compliant packaging for high activity TRU waste</v>
          </cell>
          <cell r="AL107" t="str">
            <v>•  None</v>
          </cell>
          <cell r="AM107" t="str">
            <v>•  SAC for APPROVED CONTAINER use
•  SAC for facility inventory control
• SAC for TRU WASTE AREAS</v>
          </cell>
          <cell r="AN107" t="str">
            <v>•  Radiological Protection Program
•  Emergency Response Program
•  Fire Protection Program
•  Performance Based Training Program
•  Conduct of Operations</v>
          </cell>
        </row>
        <row r="108">
          <cell r="A108" t="str">
            <v>OUT</v>
          </cell>
          <cell r="B108">
            <v>3</v>
          </cell>
          <cell r="C108" t="str">
            <v>Localized explosion external to container</v>
          </cell>
          <cell r="D108" t="str">
            <v xml:space="preserve">This event is assumed to be caused by an explosion involving a forktruck propane cylinder or other cylinder containing flammable gas (e.g. acetylene) that is associated with facility operations. In addition to explosion overpressures, an explosion could produce missiles that could impact MAR. </v>
          </cell>
          <cell r="E108">
            <v>360</v>
          </cell>
          <cell r="F108" t="str">
            <v>E05</v>
          </cell>
          <cell r="G108">
            <v>1</v>
          </cell>
          <cell r="H108" t="str">
            <v>Gnd</v>
          </cell>
          <cell r="I108">
            <v>850</v>
          </cell>
          <cell r="J108" t="str">
            <v>A</v>
          </cell>
          <cell r="K108" t="str">
            <v>H</v>
          </cell>
          <cell r="L108" t="str">
            <v>M</v>
          </cell>
          <cell r="M108" t="str">
            <v>N</v>
          </cell>
          <cell r="N108" t="str">
            <v>N</v>
          </cell>
          <cell r="O108" t="str">
            <v>I</v>
          </cell>
          <cell r="P108" t="str">
            <v>I</v>
          </cell>
          <cell r="Q108" t="str">
            <v>IV</v>
          </cell>
          <cell r="R108" t="str">
            <v>IV</v>
          </cell>
          <cell r="S108" t="str">
            <v>E05</v>
          </cell>
          <cell r="T108">
            <v>2.8000000000000001E-2</v>
          </cell>
          <cell r="U108" t="str">
            <v>Gnd</v>
          </cell>
          <cell r="V108">
            <v>850</v>
          </cell>
          <cell r="W108" t="str">
            <v>U</v>
          </cell>
          <cell r="X108" t="str">
            <v>L</v>
          </cell>
          <cell r="Y108" t="str">
            <v>L</v>
          </cell>
          <cell r="Z108" t="str">
            <v>N</v>
          </cell>
          <cell r="AA108" t="str">
            <v>N</v>
          </cell>
          <cell r="AB108" t="str">
            <v>III</v>
          </cell>
          <cell r="AC108" t="str">
            <v>III</v>
          </cell>
          <cell r="AD108" t="str">
            <v>IV</v>
          </cell>
          <cell r="AE108" t="str">
            <v>IV</v>
          </cell>
          <cell r="AF108" t="str">
            <v>APPROVED CONTAINERS credited with mitigating consequences. MAR is activity in maximally loaded 2-drum Interim Storage Container (Ref. WVNS-CAL-397, Table A-2).  DR credits SAC that requires TRU waste containing &gt;10 PE-Ci be in containers capable of meeting SAC physical protection functional requirements.</v>
          </cell>
          <cell r="AG108" t="str">
            <v>•  None</v>
          </cell>
          <cell r="AH108" t="str">
            <v>•  None</v>
          </cell>
          <cell r="AI108" t="str">
            <v>•  None</v>
          </cell>
          <cell r="AJ108" t="str">
            <v xml:space="preserve">•  Quality Assurance Program
•  Fire Protection Program
•  Performance Based Training Program
•  Maintenance Program
•  Waste Management Program </v>
          </cell>
          <cell r="AK108" t="str">
            <v>•   APPROVED CONTAINERS used for TRU waste storage
•   TSR-compliant packaging for high activity TRU waste</v>
          </cell>
          <cell r="AL108" t="str">
            <v>•  None</v>
          </cell>
          <cell r="AM108" t="str">
            <v>•  SAC for APPROVED CONTAINER use
•  SAC for facility inventory control</v>
          </cell>
          <cell r="AN108" t="str">
            <v>•  Radiological Protection Program
•  Emergency Response Program
•  Fire Protection Program
•  Performance Based Training Program
•  Conduct of Operations</v>
          </cell>
        </row>
        <row r="109">
          <cell r="A109" t="str">
            <v>OUT</v>
          </cell>
          <cell r="B109">
            <v>4</v>
          </cell>
          <cell r="C109" t="str">
            <v>Waste container deflagration</v>
          </cell>
          <cell r="D109" t="str">
            <v>Hydrogen or other flammable/explosive gases inside a container is ignited.</v>
          </cell>
          <cell r="E109">
            <v>360</v>
          </cell>
          <cell r="F109" t="str">
            <v>E06</v>
          </cell>
          <cell r="G109">
            <v>1</v>
          </cell>
          <cell r="H109" t="str">
            <v>Gnd</v>
          </cell>
          <cell r="I109">
            <v>850</v>
          </cell>
          <cell r="J109" t="str">
            <v>U</v>
          </cell>
          <cell r="K109" t="str">
            <v>H</v>
          </cell>
          <cell r="L109" t="str">
            <v>M</v>
          </cell>
          <cell r="M109" t="str">
            <v>N</v>
          </cell>
          <cell r="N109" t="str">
            <v>N</v>
          </cell>
          <cell r="O109" t="str">
            <v>I</v>
          </cell>
          <cell r="P109" t="str">
            <v>II</v>
          </cell>
          <cell r="Q109" t="str">
            <v>IV</v>
          </cell>
          <cell r="R109" t="str">
            <v>IV</v>
          </cell>
          <cell r="S109" t="str">
            <v>E06</v>
          </cell>
          <cell r="T109">
            <v>0.25</v>
          </cell>
          <cell r="U109" t="str">
            <v>Gnd</v>
          </cell>
          <cell r="V109">
            <v>850</v>
          </cell>
          <cell r="W109" t="str">
            <v>EU</v>
          </cell>
          <cell r="X109" t="str">
            <v>M</v>
          </cell>
          <cell r="Y109" t="str">
            <v>M</v>
          </cell>
          <cell r="Z109" t="str">
            <v>N</v>
          </cell>
          <cell r="AA109" t="str">
            <v>N</v>
          </cell>
          <cell r="AB109" t="str">
            <v>III</v>
          </cell>
          <cell r="AC109" t="str">
            <v>III</v>
          </cell>
          <cell r="AD109" t="str">
            <v>IV</v>
          </cell>
          <cell r="AE109" t="str">
            <v>IV</v>
          </cell>
          <cell r="AF109" t="str">
            <v>Waste form and waste package vent filters contribute to low probability of this event.  MAR is activity in maximally loaded 2-drum Interim Storage Container (Ref. WVNS-CAL-397, Table A-2).  High PE-Ci waste is overpacked. DR reflects credit allowed per Section 4.4.2 of STD-5506. Resultant MAR bounds credible conservative non-overpacked MAR (10 PE-Ci)</v>
          </cell>
          <cell r="AG109" t="str">
            <v>•  None</v>
          </cell>
          <cell r="AH109" t="str">
            <v>•  HEPA filter vents on waste containers</v>
          </cell>
          <cell r="AI109" t="str">
            <v>•  None</v>
          </cell>
          <cell r="AJ109" t="str">
            <v xml:space="preserve">•  Quality Assurance Program
•  Fire Protection Program
•  Performance Based Training Program
•  Maintenance Program
•  Waste Management Program </v>
          </cell>
          <cell r="AK109" t="str">
            <v>•   TSR-compliant packaging for high activity TRU waste</v>
          </cell>
          <cell r="AL109" t="str">
            <v>•  None</v>
          </cell>
          <cell r="AM109" t="str">
            <v>•  SAC for APPROVED CONTAINER use
•  SAC for facility inventory control</v>
          </cell>
          <cell r="AN109" t="str">
            <v>•  Radiological Protection Program
•  Emergency Response Program
•  Fire Protection Program
•  Performance Based Training Program
•  Conduct of Operations</v>
          </cell>
        </row>
        <row r="110">
          <cell r="A110" t="str">
            <v>OUT</v>
          </cell>
          <cell r="B110">
            <v>5</v>
          </cell>
          <cell r="C110" t="str">
            <v>Vehicle/equipment impacts waste/waste containers</v>
          </cell>
          <cell r="D110" t="str">
            <v>A mishap associated with the operation of vehicles at low speed (&lt;10 mph) or impact with handling equipment. Event assumed to result in loss of airborne contamination confinement due to puncture by forklift tines;  stacked drum array falling; or other similar causes.</v>
          </cell>
          <cell r="E110">
            <v>360</v>
          </cell>
          <cell r="F110" t="str">
            <v>E09</v>
          </cell>
          <cell r="G110">
            <v>0.01</v>
          </cell>
          <cell r="H110" t="str">
            <v>Gnd</v>
          </cell>
          <cell r="I110">
            <v>850</v>
          </cell>
          <cell r="J110" t="str">
            <v>A</v>
          </cell>
          <cell r="K110" t="str">
            <v>N</v>
          </cell>
          <cell r="L110" t="str">
            <v>L</v>
          </cell>
          <cell r="M110" t="str">
            <v>N</v>
          </cell>
          <cell r="N110" t="str">
            <v>N</v>
          </cell>
          <cell r="O110" t="str">
            <v>IV</v>
          </cell>
          <cell r="P110" t="str">
            <v>III</v>
          </cell>
          <cell r="Q110" t="str">
            <v>IV</v>
          </cell>
          <cell r="R110" t="str">
            <v>IV</v>
          </cell>
          <cell r="S110" t="str">
            <v>E09</v>
          </cell>
          <cell r="T110">
            <v>0.01</v>
          </cell>
          <cell r="U110" t="str">
            <v>Gnd</v>
          </cell>
          <cell r="V110">
            <v>850</v>
          </cell>
          <cell r="W110" t="str">
            <v>A</v>
          </cell>
          <cell r="X110" t="str">
            <v>N</v>
          </cell>
          <cell r="Y110" t="str">
            <v>L</v>
          </cell>
          <cell r="Z110" t="str">
            <v>N</v>
          </cell>
          <cell r="AA110" t="str">
            <v>N</v>
          </cell>
          <cell r="AB110" t="str">
            <v>IV</v>
          </cell>
          <cell r="AC110" t="str">
            <v>III</v>
          </cell>
          <cell r="AD110" t="str">
            <v>IV</v>
          </cell>
          <cell r="AE110" t="str">
            <v>IV</v>
          </cell>
          <cell r="AF110" t="str">
            <v xml:space="preserve">Containers assumed to be impacted by handling equipment travelling &lt;10 mph.  MAR is activity in maximally loaded 2-drum Interim Storage Container (Ref. WVNS-CAL-397, Table A-2).  </v>
          </cell>
          <cell r="AG110" t="str">
            <v>•  None</v>
          </cell>
          <cell r="AH110" t="str">
            <v>•  Physical barriers such as Jersey barriers or facility structure that protects waste containers from vehicle impacts</v>
          </cell>
          <cell r="AI110" t="str">
            <v>• SAC for TRU waste container physical protection
• SAC for TRU WASTE AREAS</v>
          </cell>
          <cell r="AJ110" t="str">
            <v xml:space="preserve">•  Quality Assurance Program
•  Performance Based Training Program
•  Maintenance Program
•  Conduct of Operations
•  Waste Management Program </v>
          </cell>
          <cell r="AK110" t="str">
            <v>•   TSR-compliant packaging for high activity TRU waste</v>
          </cell>
          <cell r="AL110" t="str">
            <v>•  None</v>
          </cell>
          <cell r="AM110" t="str">
            <v>• SAC for TRU WASTE AREAS</v>
          </cell>
          <cell r="AN110" t="str">
            <v>•  Radiological Protection Program
•  Emergency Response Program
•  Performance Based Training Program
•  Conduct of Operations</v>
          </cell>
        </row>
        <row r="111">
          <cell r="A111" t="str">
            <v>OUT</v>
          </cell>
          <cell r="B111">
            <v>6</v>
          </cell>
          <cell r="C111" t="str">
            <v>Drop/impact/spill</v>
          </cell>
          <cell r="D111" t="str">
            <v>This event is due to mishandling of containers; or to drops/impacts caused by equipment failure; or leaks caused by corrosion, construction defect, or improper closure.</v>
          </cell>
          <cell r="E111">
            <v>360</v>
          </cell>
          <cell r="F111" t="str">
            <v>E10</v>
          </cell>
          <cell r="G111">
            <v>0.1</v>
          </cell>
          <cell r="H111" t="str">
            <v>Gnd</v>
          </cell>
          <cell r="I111">
            <v>850</v>
          </cell>
          <cell r="J111" t="str">
            <v>A</v>
          </cell>
          <cell r="K111" t="str">
            <v>L</v>
          </cell>
          <cell r="L111" t="str">
            <v>L</v>
          </cell>
          <cell r="M111" t="str">
            <v>N</v>
          </cell>
          <cell r="N111" t="str">
            <v>N</v>
          </cell>
          <cell r="O111" t="str">
            <v>III</v>
          </cell>
          <cell r="P111" t="str">
            <v>III</v>
          </cell>
          <cell r="Q111" t="str">
            <v>IV</v>
          </cell>
          <cell r="R111" t="str">
            <v>IV</v>
          </cell>
          <cell r="S111" t="str">
            <v>E10</v>
          </cell>
          <cell r="T111">
            <v>0.1</v>
          </cell>
          <cell r="U111" t="str">
            <v>Gnd</v>
          </cell>
          <cell r="V111">
            <v>850</v>
          </cell>
          <cell r="W111" t="str">
            <v>U</v>
          </cell>
          <cell r="X111" t="str">
            <v>L</v>
          </cell>
          <cell r="Y111" t="str">
            <v>L</v>
          </cell>
          <cell r="Z111" t="str">
            <v>N</v>
          </cell>
          <cell r="AA111" t="str">
            <v>N</v>
          </cell>
          <cell r="AB111" t="str">
            <v>III</v>
          </cell>
          <cell r="AC111" t="str">
            <v>III</v>
          </cell>
          <cell r="AD111" t="str">
            <v>IV</v>
          </cell>
          <cell r="AE111" t="str">
            <v>IV</v>
          </cell>
          <cell r="AF111" t="str">
            <v xml:space="preserve">Event is a low energy breach of container confinement (e.g. tine puncture or container drop).  MAR is activity in maximally loaded 2-drum Interim Storage Container (Ref. WVNS-CAL-397, Table A-2).  </v>
          </cell>
          <cell r="AG111" t="str">
            <v>•  None</v>
          </cell>
          <cell r="AH111" t="str">
            <v>•  None</v>
          </cell>
          <cell r="AI111" t="str">
            <v>•  None</v>
          </cell>
          <cell r="AJ111" t="str">
            <v xml:space="preserve">•  Quality Assurance Program
•  Performance Based Training Program
•  Maintenance Program
•  Conduct of Operations
•  Waste Management Program </v>
          </cell>
          <cell r="AK111" t="str">
            <v>•   TSR-compliant packaging for high activity TRU waste</v>
          </cell>
          <cell r="AL111" t="str">
            <v>•  None</v>
          </cell>
          <cell r="AM111" t="str">
            <v>• SAC for TRU WASTE AREAS</v>
          </cell>
          <cell r="AN111" t="str">
            <v>•  Radiological Protection Program
•  Emergency Response Program
•  Performance Based Training Program
•  Conduct of Operations</v>
          </cell>
        </row>
        <row r="112">
          <cell r="A112" t="str">
            <v>OUT</v>
          </cell>
          <cell r="B112">
            <v>7</v>
          </cell>
          <cell r="C112" t="str">
            <v>Collapse of stacked containers</v>
          </cell>
          <cell r="D112" t="str">
            <v>Collapse of a stacked array of containers due to corrosion, defective construction, or damage of containers, or due to improper stacking (e.g., exceeding limits, unstable array).</v>
          </cell>
          <cell r="E112">
            <v>1050</v>
          </cell>
          <cell r="F112" t="str">
            <v>E11</v>
          </cell>
          <cell r="G112">
            <v>0.1</v>
          </cell>
          <cell r="H112" t="str">
            <v>Gnd</v>
          </cell>
          <cell r="I112">
            <v>850</v>
          </cell>
          <cell r="J112" t="str">
            <v>A</v>
          </cell>
          <cell r="K112" t="str">
            <v>L</v>
          </cell>
          <cell r="L112" t="str">
            <v>L</v>
          </cell>
          <cell r="M112" t="str">
            <v>N</v>
          </cell>
          <cell r="N112" t="str">
            <v>N</v>
          </cell>
          <cell r="O112" t="str">
            <v>III</v>
          </cell>
          <cell r="P112" t="str">
            <v>III</v>
          </cell>
          <cell r="Q112" t="str">
            <v>IV</v>
          </cell>
          <cell r="R112" t="str">
            <v>IV</v>
          </cell>
          <cell r="S112" t="str">
            <v>E11</v>
          </cell>
          <cell r="T112">
            <v>0.1</v>
          </cell>
          <cell r="U112" t="str">
            <v>Gnd</v>
          </cell>
          <cell r="V112">
            <v>850</v>
          </cell>
          <cell r="W112" t="str">
            <v>U</v>
          </cell>
          <cell r="X112" t="str">
            <v>L</v>
          </cell>
          <cell r="Y112" t="str">
            <v>L</v>
          </cell>
          <cell r="Z112" t="str">
            <v>N</v>
          </cell>
          <cell r="AA112" t="str">
            <v>N</v>
          </cell>
          <cell r="AB112" t="str">
            <v>III</v>
          </cell>
          <cell r="AC112" t="str">
            <v>III</v>
          </cell>
          <cell r="AD112" t="str">
            <v>IV</v>
          </cell>
          <cell r="AE112" t="str">
            <v>IV</v>
          </cell>
          <cell r="AF112" t="str">
            <v xml:space="preserve"> MAR assumed to be half of activity in storage (i.e., activity in containers on 3rd and 4th tier of storage array (Ref. WVNS-CAL-397, Appendix A) </v>
          </cell>
          <cell r="AG112" t="str">
            <v>•  None</v>
          </cell>
          <cell r="AH112" t="str">
            <v>•  None</v>
          </cell>
          <cell r="AI112" t="str">
            <v>•  None</v>
          </cell>
          <cell r="AJ112" t="str">
            <v xml:space="preserve">•  Quality Assurance Program
•  Performance Based Training Program
•  Maintenance Program
•  Waste Management Program </v>
          </cell>
          <cell r="AK112" t="str">
            <v>•   APPROVED CONTAINERS used for TRU waste storage
•   TSR-compliant packaging for high activity TRU waste</v>
          </cell>
          <cell r="AL112" t="str">
            <v>•  Steel pallets used for TRU waste storage arrays
•  Banding of drums on pallets</v>
          </cell>
          <cell r="AM112" t="str">
            <v>•  None</v>
          </cell>
          <cell r="AN112" t="str">
            <v>•  Radiological Protection Program
•  Emergency Response Program
•  Performance Based Training Program
•  Conduct of Operations</v>
          </cell>
        </row>
        <row r="113">
          <cell r="A113" t="str">
            <v>OUT</v>
          </cell>
          <cell r="B113">
            <v>8</v>
          </cell>
          <cell r="C113" t="str">
            <v>Waste container over-pressurization</v>
          </cell>
          <cell r="D113" t="str">
            <v>Container failure occurs due to pressure buildup, possibly due to radiolysis of water or other hydrogenous material, thermal expansion of material/gases inside the container, or chemical reactions inside the container.</v>
          </cell>
          <cell r="E113">
            <v>360</v>
          </cell>
          <cell r="F113" t="str">
            <v>E12</v>
          </cell>
          <cell r="G113">
            <v>1</v>
          </cell>
          <cell r="H113" t="str">
            <v>Gnd</v>
          </cell>
          <cell r="I113">
            <v>850</v>
          </cell>
          <cell r="J113" t="str">
            <v>A</v>
          </cell>
          <cell r="K113" t="str">
            <v>M</v>
          </cell>
          <cell r="L113" t="str">
            <v>M</v>
          </cell>
          <cell r="M113" t="str">
            <v>N</v>
          </cell>
          <cell r="N113" t="str">
            <v>N</v>
          </cell>
          <cell r="O113" t="str">
            <v>I</v>
          </cell>
          <cell r="P113" t="str">
            <v>I</v>
          </cell>
          <cell r="Q113" t="str">
            <v>IV</v>
          </cell>
          <cell r="R113" t="str">
            <v>IV</v>
          </cell>
          <cell r="S113" t="str">
            <v>E12</v>
          </cell>
          <cell r="T113">
            <v>0.1</v>
          </cell>
          <cell r="U113" t="str">
            <v>Gnd</v>
          </cell>
          <cell r="V113">
            <v>850</v>
          </cell>
          <cell r="W113" t="str">
            <v>A</v>
          </cell>
          <cell r="X113" t="str">
            <v>L</v>
          </cell>
          <cell r="Y113" t="str">
            <v>L</v>
          </cell>
          <cell r="Z113" t="str">
            <v>N</v>
          </cell>
          <cell r="AA113" t="str">
            <v>N</v>
          </cell>
          <cell r="AB113" t="str">
            <v>III</v>
          </cell>
          <cell r="AC113" t="str">
            <v>III</v>
          </cell>
          <cell r="AD113" t="str">
            <v>IV</v>
          </cell>
          <cell r="AE113" t="str">
            <v>IV</v>
          </cell>
          <cell r="AF113" t="str">
            <v>Waste form and waste package vent filters contribute to reducing the probability of this event.  MAR is activity in maximally loaded 2-drum Interim Storage Container (Ref. WVNS-CAL-397, Table A-2).  High PE-Ci waste is overpacked. DR reflects credit allowed per Section 4.4.2 of STD-5506. Resultant MAR bounds credible conservative non-overpacked MAR (10 PE-Ci)</v>
          </cell>
          <cell r="AG113" t="str">
            <v>•  None</v>
          </cell>
          <cell r="AH113" t="str">
            <v>•  HEPA filter vents on waste containers</v>
          </cell>
          <cell r="AI113" t="str">
            <v>•  None</v>
          </cell>
          <cell r="AJ113" t="str">
            <v xml:space="preserve">•  Quality Assurance Program
•  Performance Based Training Program
•  Waste Management Program </v>
          </cell>
          <cell r="AK113" t="str">
            <v>•  None</v>
          </cell>
          <cell r="AL113" t="str">
            <v>•  Lid restraining devices for bulging drums</v>
          </cell>
          <cell r="AM113" t="str">
            <v>• SAC for TRU WASTE AREAS</v>
          </cell>
          <cell r="AN113" t="str">
            <v>•  Radiological Protection Program
•  Emergency Response Program
•  Performance Based Training Program
•  Conduct of Operations</v>
          </cell>
        </row>
        <row r="114">
          <cell r="A114" t="str">
            <v>OUT</v>
          </cell>
          <cell r="B114">
            <v>9</v>
          </cell>
          <cell r="C114" t="str">
            <v>Direct exposure to radiation</v>
          </cell>
          <cell r="D114" t="str">
            <v>Exposure to ionizing radiation from the waste, possibly due to loss of proper shielding within a container or instrument miscalibration</v>
          </cell>
          <cell r="E114" t="str">
            <v>Not applicable.</v>
          </cell>
          <cell r="F114" t="str">
            <v>NA</v>
          </cell>
          <cell r="G114" t="str">
            <v>NA</v>
          </cell>
          <cell r="H114" t="str">
            <v>Gnd</v>
          </cell>
          <cell r="I114">
            <v>850</v>
          </cell>
          <cell r="J114" t="str">
            <v>A</v>
          </cell>
          <cell r="K114" t="str">
            <v>M</v>
          </cell>
          <cell r="L114" t="str">
            <v>N</v>
          </cell>
          <cell r="M114" t="str">
            <v>N</v>
          </cell>
          <cell r="N114" t="str">
            <v>N</v>
          </cell>
          <cell r="O114" t="str">
            <v>I</v>
          </cell>
          <cell r="P114" t="str">
            <v>IV</v>
          </cell>
          <cell r="Q114" t="str">
            <v>IV</v>
          </cell>
          <cell r="R114" t="str">
            <v>IV</v>
          </cell>
          <cell r="S114" t="str">
            <v>NA</v>
          </cell>
          <cell r="T114" t="str">
            <v>NA</v>
          </cell>
          <cell r="U114" t="str">
            <v>Gnd</v>
          </cell>
          <cell r="V114">
            <v>850</v>
          </cell>
          <cell r="W114" t="str">
            <v>U</v>
          </cell>
          <cell r="X114" t="str">
            <v>L</v>
          </cell>
          <cell r="Y114" t="str">
            <v>N</v>
          </cell>
          <cell r="Z114" t="str">
            <v>N</v>
          </cell>
          <cell r="AA114" t="str">
            <v>N</v>
          </cell>
          <cell r="AB114" t="str">
            <v>III</v>
          </cell>
          <cell r="AC114" t="str">
            <v>IV</v>
          </cell>
          <cell r="AD114" t="str">
            <v>IV</v>
          </cell>
          <cell r="AE114" t="str">
            <v>IV</v>
          </cell>
          <cell r="AF114" t="str">
            <v xml:space="preserve">None.  </v>
          </cell>
          <cell r="AG114" t="str">
            <v>•  None</v>
          </cell>
          <cell r="AH114" t="str">
            <v>•  Engineered radiation shielding on high dose rate waste containers</v>
          </cell>
          <cell r="AI114" t="str">
            <v>•  None</v>
          </cell>
          <cell r="AJ114" t="str">
            <v xml:space="preserve">•  Radiological Protection Program
•  Quality Assurance Program
•  Performance Based Training Program
•  Conduct of Operations
•  Waste Management Program </v>
          </cell>
          <cell r="AK114" t="str">
            <v>•  None</v>
          </cell>
          <cell r="AL114" t="str">
            <v>•  None</v>
          </cell>
          <cell r="AM114" t="str">
            <v>•  None</v>
          </cell>
          <cell r="AN114" t="str">
            <v>•  Radiological Protection Program
•  Performance Based Training Program
•  Conduct of Operations</v>
          </cell>
        </row>
        <row r="115">
          <cell r="A115" t="str">
            <v>OUT</v>
          </cell>
          <cell r="B115">
            <v>10</v>
          </cell>
          <cell r="C115" t="str">
            <v>Criticality</v>
          </cell>
          <cell r="D115" t="str">
            <v>Inadvertent criticality occurs due to multiple independent failures and/or highly improbable circumstances</v>
          </cell>
          <cell r="E115" t="str">
            <v>&gt;450 FGE
Pu-239</v>
          </cell>
          <cell r="F115" t="str">
            <v>NA</v>
          </cell>
          <cell r="G115" t="str">
            <v>NA</v>
          </cell>
          <cell r="H115" t="str">
            <v>Gnd</v>
          </cell>
          <cell r="I115">
            <v>850</v>
          </cell>
          <cell r="J115" t="str">
            <v>BEU</v>
          </cell>
          <cell r="K115" t="str">
            <v>H</v>
          </cell>
          <cell r="L115" t="str">
            <v>N</v>
          </cell>
          <cell r="M115" t="str">
            <v>N</v>
          </cell>
          <cell r="N115" t="str">
            <v>N</v>
          </cell>
          <cell r="O115" t="str">
            <v>III</v>
          </cell>
          <cell r="P115" t="str">
            <v>IV</v>
          </cell>
          <cell r="Q115" t="str">
            <v>IV</v>
          </cell>
          <cell r="R115" t="str">
            <v>IV</v>
          </cell>
          <cell r="S115" t="str">
            <v>NA</v>
          </cell>
          <cell r="T115" t="str">
            <v>NA</v>
          </cell>
          <cell r="U115" t="str">
            <v>Gnd</v>
          </cell>
          <cell r="V115">
            <v>850</v>
          </cell>
          <cell r="W115" t="str">
            <v>BEU</v>
          </cell>
          <cell r="X115" t="str">
            <v>H</v>
          </cell>
          <cell r="Y115" t="str">
            <v>N</v>
          </cell>
          <cell r="Z115" t="str">
            <v>N</v>
          </cell>
          <cell r="AA115" t="str">
            <v>N</v>
          </cell>
          <cell r="AB115" t="str">
            <v>III</v>
          </cell>
          <cell r="AC115" t="str">
            <v>IV</v>
          </cell>
          <cell r="AD115" t="str">
            <v>IV</v>
          </cell>
          <cell r="AE115" t="str">
            <v>IV</v>
          </cell>
          <cell r="AF115" t="str">
            <v xml:space="preserve">Nuclear criticality safety administrative controls ensure that only safe quantities of fissile material are placed in waste packages.   </v>
          </cell>
          <cell r="AG115" t="str">
            <v>• PSRs for fissile material storage container specifications</v>
          </cell>
          <cell r="AH115" t="str">
            <v>•  None</v>
          </cell>
          <cell r="AI115" t="str">
            <v>• PSR limits on container fissile mass
• PSR for fissile material storage containers</v>
          </cell>
          <cell r="AJ115" t="str">
            <v xml:space="preserve">•  Radiological Protection Program
•  Nuclear Criticality Safety Program
•  Quality Assurance Program
•  Performance Based Training Program
•  Conduct of Operations
•  Waste Management Program </v>
          </cell>
          <cell r="AK115" t="str">
            <v>•  None</v>
          </cell>
          <cell r="AL115" t="str">
            <v>•  None</v>
          </cell>
          <cell r="AM115" t="str">
            <v>•  None</v>
          </cell>
          <cell r="AN115" t="str">
            <v>•  Radiological Protection Program
•  Nuclear Criticality Safety Program
•  Emergency Response Program
•  Performance Based Training Program
•  Conduct of Operations</v>
          </cell>
        </row>
        <row r="116">
          <cell r="A116" t="str">
            <v>OUT</v>
          </cell>
          <cell r="B116">
            <v>11</v>
          </cell>
          <cell r="C116" t="str">
            <v>Aircraft impact with fire</v>
          </cell>
          <cell r="D116" t="str">
            <v>Small general aviation aircraft or helicopter crashes and a fire ensues</v>
          </cell>
          <cell r="E116">
            <v>2100</v>
          </cell>
          <cell r="F116" t="str">
            <v>E15</v>
          </cell>
          <cell r="G116">
            <v>1</v>
          </cell>
          <cell r="H116" t="str">
            <v>Gnd</v>
          </cell>
          <cell r="I116">
            <v>850</v>
          </cell>
          <cell r="J116" t="str">
            <v>BEU</v>
          </cell>
          <cell r="K116" t="str">
            <v>H</v>
          </cell>
          <cell r="L116" t="str">
            <v>H</v>
          </cell>
          <cell r="M116" t="str">
            <v>N</v>
          </cell>
          <cell r="N116" t="str">
            <v>N</v>
          </cell>
          <cell r="O116" t="str">
            <v>III</v>
          </cell>
          <cell r="P116" t="str">
            <v>III</v>
          </cell>
          <cell r="Q116" t="str">
            <v>IV</v>
          </cell>
          <cell r="R116" t="str">
            <v>IV</v>
          </cell>
          <cell r="S116" t="str">
            <v>E15</v>
          </cell>
          <cell r="T116">
            <v>1</v>
          </cell>
          <cell r="U116" t="str">
            <v>Gnd</v>
          </cell>
          <cell r="V116">
            <v>850</v>
          </cell>
          <cell r="W116" t="str">
            <v>BEU</v>
          </cell>
          <cell r="X116" t="str">
            <v>H</v>
          </cell>
          <cell r="Y116" t="str">
            <v>H</v>
          </cell>
          <cell r="Z116" t="str">
            <v>N</v>
          </cell>
          <cell r="AA116" t="str">
            <v>N</v>
          </cell>
          <cell r="AB116" t="str">
            <v>III</v>
          </cell>
          <cell r="AC116" t="str">
            <v>III</v>
          </cell>
          <cell r="AD116" t="str">
            <v>IV</v>
          </cell>
          <cell r="AE116" t="str">
            <v>IV</v>
          </cell>
          <cell r="AF116" t="str">
            <v xml:space="preserve">Event assumes waste containers breach in a manner similar to external vehicle accident event. Event BEU per WVNS-CAL-388. MAR is entire inventory of radioactive material in WVDP packaged waste (exclusive of HLW) (Ref.WVNS-CAL-397, Table C-1, Lag Storage).  </v>
          </cell>
          <cell r="AG116" t="str">
            <v>•  None</v>
          </cell>
          <cell r="AH116" t="str">
            <v>•  None</v>
          </cell>
          <cell r="AI116" t="str">
            <v>•  None</v>
          </cell>
          <cell r="AJ116" t="str">
            <v>•  None</v>
          </cell>
          <cell r="AK116" t="str">
            <v>•   APPROVED CONTAINERS used for TRU waste storage
•   TSR-compliant packaging for high activity TRU waste</v>
          </cell>
          <cell r="AL116" t="str">
            <v>•  None</v>
          </cell>
          <cell r="AM116" t="str">
            <v>• SAC for APPROVED CONTAINER use
• SAC for TRU WASTE AREAS</v>
          </cell>
          <cell r="AN116" t="str">
            <v>•  Radiological Protection Program
•  Emergency Response Program
•  Fire Protection Program
•  Performance Based Training Program
•  Conduct of Operations</v>
          </cell>
        </row>
        <row r="117">
          <cell r="A117" t="str">
            <v>OUT</v>
          </cell>
          <cell r="B117">
            <v>12</v>
          </cell>
          <cell r="C117" t="str">
            <v>External vehicle accident</v>
          </cell>
          <cell r="D117" t="str">
            <v>Impact of waste on hardstand by vehicle having a speed that can't be reasonably assumed to be &lt;~10 mph</v>
          </cell>
          <cell r="E117">
            <v>2100</v>
          </cell>
          <cell r="F117" t="str">
            <v>E16</v>
          </cell>
          <cell r="G117">
            <v>0.1</v>
          </cell>
          <cell r="H117" t="str">
            <v>Gnd</v>
          </cell>
          <cell r="I117">
            <v>850</v>
          </cell>
          <cell r="J117" t="str">
            <v>A</v>
          </cell>
          <cell r="K117" t="str">
            <v>H</v>
          </cell>
          <cell r="L117" t="str">
            <v>H</v>
          </cell>
          <cell r="M117" t="str">
            <v>N</v>
          </cell>
          <cell r="N117" t="str">
            <v>N</v>
          </cell>
          <cell r="O117" t="str">
            <v>I</v>
          </cell>
          <cell r="P117" t="str">
            <v>I</v>
          </cell>
          <cell r="Q117" t="str">
            <v>IV</v>
          </cell>
          <cell r="R117" t="str">
            <v>IV</v>
          </cell>
          <cell r="S117" t="str">
            <v>E16</v>
          </cell>
          <cell r="T117">
            <v>0.1</v>
          </cell>
          <cell r="U117" t="str">
            <v>Gnd</v>
          </cell>
          <cell r="V117">
            <v>850</v>
          </cell>
          <cell r="W117" t="str">
            <v>BEU</v>
          </cell>
          <cell r="X117" t="str">
            <v>H</v>
          </cell>
          <cell r="Y117" t="str">
            <v>H</v>
          </cell>
          <cell r="Z117" t="str">
            <v>N</v>
          </cell>
          <cell r="AA117" t="str">
            <v>N</v>
          </cell>
          <cell r="AB117" t="str">
            <v>III</v>
          </cell>
          <cell r="AC117" t="str">
            <v>III</v>
          </cell>
          <cell r="AD117" t="str">
            <v>IV</v>
          </cell>
          <cell r="AE117" t="str">
            <v>IV</v>
          </cell>
          <cell r="AF117" t="str">
            <v xml:space="preserve">Impact by vehicle having a speed that can't be reasonably assumed to be &lt;~10 mph (e.g., plow truck, vendor/subcontractor vehicle, etc.).  Physical protection SAC is implemented if greater than 10 PE Ci in an outdoor area. Probability of event assessed to be BEU when physical protection SAC is in place. MAR is entire inventory of radioactive material in WVDP packaged waste (exclusive of HLW) (Ref.WVNS-CAL-397, Table C-1, Lag Storage).  </v>
          </cell>
          <cell r="AG117" t="str">
            <v>•  None</v>
          </cell>
          <cell r="AH117" t="str">
            <v>•  Physical barriers such as Jersey barriers to protect from vehicle impacts</v>
          </cell>
          <cell r="AI117" t="str">
            <v>• SAC for TRU waste drum fire protection
• SAC for TRU waste container physical protection</v>
          </cell>
          <cell r="AJ117" t="str">
            <v xml:space="preserve">•  Quality Assurance Program
•  Performance Based Training Program
•  Waste Management Program </v>
          </cell>
          <cell r="AK117" t="str">
            <v>•   TSR-compliant packaging for high activity TRU waste</v>
          </cell>
          <cell r="AL117" t="str">
            <v>•  None</v>
          </cell>
          <cell r="AM117" t="str">
            <v>• SAC for TRU WASTE AREAS</v>
          </cell>
          <cell r="AN117" t="str">
            <v>•  Emergency Response Program
•  Radiological Protection Program</v>
          </cell>
        </row>
        <row r="118">
          <cell r="A118" t="str">
            <v>OUT</v>
          </cell>
          <cell r="B118">
            <v>13</v>
          </cell>
          <cell r="C118" t="str">
            <v>External vehicle accident with fire</v>
          </cell>
          <cell r="D118" t="str">
            <v>Impact of waste on hardstand by vehicle having a speed that can't be reasonably assumed to be &lt;~10 mph accompanied by fire</v>
          </cell>
          <cell r="E118">
            <v>2100</v>
          </cell>
          <cell r="F118" t="str">
            <v>E17</v>
          </cell>
          <cell r="G118">
            <v>1</v>
          </cell>
          <cell r="H118" t="str">
            <v>Gnd</v>
          </cell>
          <cell r="I118">
            <v>850</v>
          </cell>
          <cell r="J118" t="str">
            <v>U</v>
          </cell>
          <cell r="K118" t="str">
            <v>H</v>
          </cell>
          <cell r="L118" t="str">
            <v>H</v>
          </cell>
          <cell r="M118" t="str">
            <v>N</v>
          </cell>
          <cell r="N118" t="str">
            <v>N</v>
          </cell>
          <cell r="O118" t="str">
            <v>I</v>
          </cell>
          <cell r="P118" t="str">
            <v>I</v>
          </cell>
          <cell r="Q118" t="str">
            <v>IV</v>
          </cell>
          <cell r="R118" t="str">
            <v>IV</v>
          </cell>
          <cell r="S118" t="str">
            <v>E17</v>
          </cell>
          <cell r="T118">
            <v>1</v>
          </cell>
          <cell r="U118" t="str">
            <v>Gnd</v>
          </cell>
          <cell r="V118">
            <v>850</v>
          </cell>
          <cell r="W118" t="str">
            <v>BEU</v>
          </cell>
          <cell r="X118" t="str">
            <v>H</v>
          </cell>
          <cell r="Y118" t="str">
            <v>H</v>
          </cell>
          <cell r="Z118" t="str">
            <v>N</v>
          </cell>
          <cell r="AA118" t="str">
            <v>N</v>
          </cell>
          <cell r="AB118" t="str">
            <v>III</v>
          </cell>
          <cell r="AC118" t="str">
            <v>III</v>
          </cell>
          <cell r="AD118" t="str">
            <v>IV</v>
          </cell>
          <cell r="AE118" t="str">
            <v>IV</v>
          </cell>
          <cell r="AF118" t="str">
            <v xml:space="preserve">Impact by vehicle having a speed that can't be reasonably assumed to be &lt;~10 mph (e.g., plow truck, vendor/subcontractor vehicle, etc.).  Physical protection SAC is implemented if greater than 10 PE Ci in an outdoor area. Probability of event assessed to be BEU when physical protection SAC is in place. MAR is entire inventory of radioactive material in WVDP packaged waste (exclusive of HLW) (Ref.WVNS-CAL-397, Table C-1, Lag Storage).  </v>
          </cell>
          <cell r="AG118" t="str">
            <v>•  None</v>
          </cell>
          <cell r="AH118" t="str">
            <v>•  Physical barriers such as Jersey barriers to protect from vehicle impacts</v>
          </cell>
          <cell r="AI118" t="str">
            <v>• SAC for TRU waste drum fire protection
• SAC for TRU waste container physical protection</v>
          </cell>
          <cell r="AJ118" t="str">
            <v xml:space="preserve">•  Quality Assurance Program
•  Performance Based Training Program
•  Waste Management Program </v>
          </cell>
          <cell r="AK118" t="str">
            <v>•   APPROVED CONTAINERS used for TRU waste storage
•   TSR-compliant packaging for high activity TRU waste</v>
          </cell>
          <cell r="AL118" t="str">
            <v>•  None</v>
          </cell>
          <cell r="AM118" t="str">
            <v>• SAC for APPROVED CONTAINER use</v>
          </cell>
          <cell r="AN118" t="str">
            <v>•  Radiological Protection Program
•  Emergency Response Program
•  Fire Protection Program
•  Performance Based Training Program
•  Conduct of Operations</v>
          </cell>
        </row>
        <row r="119">
          <cell r="A119" t="str">
            <v>OUT</v>
          </cell>
          <cell r="B119">
            <v>14</v>
          </cell>
          <cell r="C119" t="str">
            <v>External explosion</v>
          </cell>
          <cell r="D119" t="str">
            <v>Explosion involving failure of equipment not directly related to facility operations (e.g. natural gas line rupture) with possible missiles generated</v>
          </cell>
          <cell r="E119">
            <v>360</v>
          </cell>
          <cell r="F119" t="str">
            <v>E18</v>
          </cell>
          <cell r="G119">
            <v>1</v>
          </cell>
          <cell r="H119" t="str">
            <v>Gnd</v>
          </cell>
          <cell r="I119">
            <v>850</v>
          </cell>
          <cell r="J119" t="str">
            <v>U</v>
          </cell>
          <cell r="K119" t="str">
            <v>M</v>
          </cell>
          <cell r="L119" t="str">
            <v>M</v>
          </cell>
          <cell r="M119" t="str">
            <v>N</v>
          </cell>
          <cell r="N119" t="str">
            <v>N</v>
          </cell>
          <cell r="O119" t="str">
            <v>II</v>
          </cell>
          <cell r="P119" t="str">
            <v>II</v>
          </cell>
          <cell r="Q119" t="str">
            <v>IV</v>
          </cell>
          <cell r="R119" t="str">
            <v>IV</v>
          </cell>
          <cell r="S119" t="str">
            <v>E18</v>
          </cell>
          <cell r="T119">
            <v>1</v>
          </cell>
          <cell r="U119" t="str">
            <v>Gnd</v>
          </cell>
          <cell r="V119">
            <v>850</v>
          </cell>
          <cell r="W119" t="str">
            <v>EU</v>
          </cell>
          <cell r="X119" t="str">
            <v>M</v>
          </cell>
          <cell r="Y119" t="str">
            <v>M</v>
          </cell>
          <cell r="Z119" t="str">
            <v>N</v>
          </cell>
          <cell r="AA119" t="str">
            <v>N</v>
          </cell>
          <cell r="AB119" t="str">
            <v>III</v>
          </cell>
          <cell r="AC119" t="str">
            <v>III</v>
          </cell>
          <cell r="AD119" t="str">
            <v>IV</v>
          </cell>
          <cell r="AE119" t="str">
            <v>IV</v>
          </cell>
          <cell r="AF119" t="str">
            <v xml:space="preserve">Event assumed to be due to explosion of passing (onsite) vehicle payload (e.g., bottled gas, flammable liquids, etc.).  MAR is activity in maximally loaded 2-drum Interim Storage Container (Ref. WVNS-CAL-397, Table A-2).  </v>
          </cell>
          <cell r="AG119" t="str">
            <v>•  None</v>
          </cell>
          <cell r="AH119" t="str">
            <v>•  None</v>
          </cell>
          <cell r="AI119" t="str">
            <v>• SAC for TRU waste container physical protection</v>
          </cell>
          <cell r="AJ119" t="str">
            <v>•  Quality Assurance Program
•  Performance Based Training Program
•  Maintenance Program</v>
          </cell>
          <cell r="AK119" t="str">
            <v>•   APPROVED CONTAINERS used for TRU waste storage
•   TSR-compliant packaging for high activity TRU waste</v>
          </cell>
          <cell r="AL119" t="str">
            <v>•  None</v>
          </cell>
          <cell r="AM119" t="str">
            <v>• SAC for APPROVED CONTAINER use</v>
          </cell>
          <cell r="AN119" t="str">
            <v>•  Radiological Protection Program
•  Emergency Response Program
•  Fire Protection Program
•  Performance Based Training Program
•  Conduct of Operations</v>
          </cell>
        </row>
        <row r="120">
          <cell r="A120" t="str">
            <v>OUT</v>
          </cell>
          <cell r="B120">
            <v>15</v>
          </cell>
          <cell r="C120" t="str">
            <v>External fire</v>
          </cell>
          <cell r="D120" t="str">
            <v>A fire begins away from an outdoor waste staging or storage area and propagates to a staging or storage area. The external fire could be from a wildland fire, other facility, or another fire source.</v>
          </cell>
          <cell r="E120">
            <v>2100</v>
          </cell>
          <cell r="F120" t="str">
            <v>E19</v>
          </cell>
          <cell r="G120">
            <v>0.5</v>
          </cell>
          <cell r="H120" t="str">
            <v>Gnd</v>
          </cell>
          <cell r="I120">
            <v>850</v>
          </cell>
          <cell r="J120" t="str">
            <v>U</v>
          </cell>
          <cell r="K120" t="str">
            <v>H</v>
          </cell>
          <cell r="L120" t="str">
            <v>H</v>
          </cell>
          <cell r="M120" t="str">
            <v>N</v>
          </cell>
          <cell r="N120" t="str">
            <v>N</v>
          </cell>
          <cell r="O120" t="str">
            <v>I</v>
          </cell>
          <cell r="P120" t="str">
            <v>I</v>
          </cell>
          <cell r="Q120" t="str">
            <v>IV</v>
          </cell>
          <cell r="R120" t="str">
            <v>IV</v>
          </cell>
          <cell r="S120" t="str">
            <v>E19</v>
          </cell>
          <cell r="T120">
            <v>0.05</v>
          </cell>
          <cell r="U120" t="str">
            <v>Gnd</v>
          </cell>
          <cell r="V120">
            <v>850</v>
          </cell>
          <cell r="W120" t="str">
            <v>EU</v>
          </cell>
          <cell r="X120" t="str">
            <v>M</v>
          </cell>
          <cell r="Y120" t="str">
            <v>M</v>
          </cell>
          <cell r="Z120" t="str">
            <v>N</v>
          </cell>
          <cell r="AA120" t="str">
            <v>N</v>
          </cell>
          <cell r="AB120" t="str">
            <v>III</v>
          </cell>
          <cell r="AC120" t="str">
            <v>III</v>
          </cell>
          <cell r="AD120" t="str">
            <v>IV</v>
          </cell>
          <cell r="AE120" t="str">
            <v>IV</v>
          </cell>
          <cell r="AF120" t="str">
            <v>Use of APPROVED CONTAINERS recognized as mitigating consequences of event. Fire Protection Program recognized as mitigating probability of event.  MAR is entire inventory of radioactive material in WVDP packaged waste (exclusive of HLW) (Ref.WVNS-CAL-397, Table C-1, Lag Storage).  DR assumes that 10% of array is exposed to critical heat flux.</v>
          </cell>
          <cell r="AG120" t="str">
            <v>•  None</v>
          </cell>
          <cell r="AH120" t="str">
            <v>•  None</v>
          </cell>
          <cell r="AI120" t="str">
            <v>• SAC for TRU waste container physical protection</v>
          </cell>
          <cell r="AJ120" t="str">
            <v>•  Fire Protection Program
•  Maintenance Program</v>
          </cell>
          <cell r="AK120" t="str">
            <v>•   APPROVED CONTAINERS used for TRU waste storage
•   TSR-compliant packaging for high activity TRU waste</v>
          </cell>
          <cell r="AL120" t="str">
            <v>•  Non-combustible facility sheathing/ exterior</v>
          </cell>
          <cell r="AM120" t="str">
            <v>• SAC for APPROVED CONTAINER use</v>
          </cell>
          <cell r="AN120" t="str">
            <v>•  Emergency Response Program
•  Fire Protection Program
•  Radiological Protection Program</v>
          </cell>
        </row>
        <row r="121">
          <cell r="A121" t="str">
            <v>OUT</v>
          </cell>
          <cell r="B121">
            <v>16</v>
          </cell>
          <cell r="C121" t="str">
            <v>Lightning</v>
          </cell>
          <cell r="D121" t="str">
            <v>Lightning strikes a storage container</v>
          </cell>
          <cell r="E121">
            <v>360</v>
          </cell>
          <cell r="F121" t="str">
            <v>E20</v>
          </cell>
          <cell r="G121">
            <v>1</v>
          </cell>
          <cell r="H121" t="str">
            <v>Gnd</v>
          </cell>
          <cell r="I121">
            <v>850</v>
          </cell>
          <cell r="J121" t="str">
            <v>U</v>
          </cell>
          <cell r="K121" t="str">
            <v>M</v>
          </cell>
          <cell r="L121" t="str">
            <v>M</v>
          </cell>
          <cell r="M121" t="str">
            <v>N</v>
          </cell>
          <cell r="N121" t="str">
            <v>N</v>
          </cell>
          <cell r="O121" t="str">
            <v>II</v>
          </cell>
          <cell r="P121" t="str">
            <v>II</v>
          </cell>
          <cell r="Q121" t="str">
            <v>IV</v>
          </cell>
          <cell r="R121" t="str">
            <v>IV</v>
          </cell>
          <cell r="S121" t="str">
            <v>E20</v>
          </cell>
          <cell r="T121">
            <v>2.8000000000000001E-2</v>
          </cell>
          <cell r="U121" t="str">
            <v>Gnd</v>
          </cell>
          <cell r="V121">
            <v>850</v>
          </cell>
          <cell r="W121" t="str">
            <v>U</v>
          </cell>
          <cell r="X121" t="str">
            <v>L</v>
          </cell>
          <cell r="Y121" t="str">
            <v>L</v>
          </cell>
          <cell r="Z121" t="str">
            <v>N</v>
          </cell>
          <cell r="AA121" t="str">
            <v>N</v>
          </cell>
          <cell r="AB121" t="str">
            <v>III</v>
          </cell>
          <cell r="AC121" t="str">
            <v>III</v>
          </cell>
          <cell r="AD121" t="str">
            <v>IV</v>
          </cell>
          <cell r="AE121" t="str">
            <v>IV</v>
          </cell>
          <cell r="AF121" t="str">
            <v>Rapid heating of waste container could induce seal/lid failure with ejected waste.  MAR is activity in maximally loaded 2-drum Interim Storage Container (Ref. WVNS-CAL-397, Table A-2).  DR credits SAC that requires TRU waste containing &gt;10 PE-Ci be in containers capable of meeting SAC physical protection functional requirements.</v>
          </cell>
          <cell r="AG121" t="str">
            <v>•  None</v>
          </cell>
          <cell r="AH121" t="str">
            <v>•  None</v>
          </cell>
          <cell r="AI121" t="str">
            <v>•  None</v>
          </cell>
          <cell r="AJ121" t="str">
            <v xml:space="preserve">•  Quality Assurance Program
•  Waste Management Program </v>
          </cell>
          <cell r="AK121" t="str">
            <v>•  None</v>
          </cell>
          <cell r="AL121" t="str">
            <v>•  None</v>
          </cell>
          <cell r="AM121" t="str">
            <v>•  None</v>
          </cell>
          <cell r="AN121" t="str">
            <v>•  Radiological Protection Program
•  Emergency Response Program
•  Fire Protection Program
•  Performance Based Training Program
•  Conduct of Operations</v>
          </cell>
        </row>
        <row r="122">
          <cell r="A122" t="str">
            <v>OUT</v>
          </cell>
          <cell r="B122">
            <v>17</v>
          </cell>
          <cell r="C122" t="str">
            <v>High wind</v>
          </cell>
          <cell r="D122" t="str">
            <v>High winds cause impacts to outdoor waste containers via falling objects or flipping of waste containers. The falling objects may be cranes or parts from a nearby facility structure.</v>
          </cell>
          <cell r="E122">
            <v>2100</v>
          </cell>
          <cell r="F122" t="str">
            <v>E21</v>
          </cell>
          <cell r="G122">
            <v>0.01</v>
          </cell>
          <cell r="H122" t="str">
            <v>Gnd</v>
          </cell>
          <cell r="I122">
            <v>850</v>
          </cell>
          <cell r="J122" t="str">
            <v>A</v>
          </cell>
          <cell r="K122" t="str">
            <v>L</v>
          </cell>
          <cell r="L122" t="str">
            <v>L</v>
          </cell>
          <cell r="M122" t="str">
            <v>N</v>
          </cell>
          <cell r="N122" t="str">
            <v>N</v>
          </cell>
          <cell r="O122" t="str">
            <v>III</v>
          </cell>
          <cell r="P122" t="str">
            <v>III</v>
          </cell>
          <cell r="Q122" t="str">
            <v>IV</v>
          </cell>
          <cell r="R122" t="str">
            <v>IV</v>
          </cell>
          <cell r="S122" t="str">
            <v>E21</v>
          </cell>
          <cell r="T122">
            <v>0.01</v>
          </cell>
          <cell r="U122" t="str">
            <v>Gnd</v>
          </cell>
          <cell r="V122">
            <v>850</v>
          </cell>
          <cell r="W122" t="str">
            <v>U</v>
          </cell>
          <cell r="X122" t="str">
            <v>L</v>
          </cell>
          <cell r="Y122" t="str">
            <v>L</v>
          </cell>
          <cell r="Z122" t="str">
            <v>N</v>
          </cell>
          <cell r="AA122" t="str">
            <v>N</v>
          </cell>
          <cell r="AB122" t="str">
            <v>III</v>
          </cell>
          <cell r="AC122" t="str">
            <v>III</v>
          </cell>
          <cell r="AD122" t="str">
            <v>IV</v>
          </cell>
          <cell r="AE122" t="str">
            <v>IV</v>
          </cell>
          <cell r="AF122" t="str">
            <v xml:space="preserve">Stored waste containers potentially affected by blown objects. High wind conditions would disperse any release material in a manner significantly greater than 95% meteorological condition assumptions.  MAR is entire inventory of radioactive material in WVDP packaged waste (exclusive of HLW) (Ref.WVNS-CAL-397, Table C-1, Lag Storage).  </v>
          </cell>
          <cell r="AG122" t="str">
            <v>•  None</v>
          </cell>
          <cell r="AH122" t="str">
            <v>•  None</v>
          </cell>
          <cell r="AI122" t="str">
            <v>•  None</v>
          </cell>
          <cell r="AJ122" t="str">
            <v xml:space="preserve">•  Quality Assurance Program
•  Performance Based Training Program
•  Waste Management Program </v>
          </cell>
          <cell r="AK122" t="str">
            <v>•   TSR-compliant packaging for high activity TRU waste</v>
          </cell>
          <cell r="AL122" t="str">
            <v>•  None</v>
          </cell>
          <cell r="AM122" t="str">
            <v>•  None</v>
          </cell>
          <cell r="AN122" t="str">
            <v>•  Radiological Protection Program
•  Emergency Response Program
•  Performance Based Training Program
•  Conduct of Operations</v>
          </cell>
        </row>
        <row r="123">
          <cell r="A123" t="str">
            <v>OUT</v>
          </cell>
          <cell r="B123">
            <v>18</v>
          </cell>
          <cell r="C123" t="str">
            <v>Tornado</v>
          </cell>
          <cell r="D123" t="str">
            <v>Direct effects of tornado winds, falling objects, or tornado-produced missiles causing impacts to the facility.</v>
          </cell>
          <cell r="E123">
            <v>2100</v>
          </cell>
          <cell r="F123" t="str">
            <v>E22</v>
          </cell>
          <cell r="G123">
            <v>1</v>
          </cell>
          <cell r="H123" t="str">
            <v>Gnd</v>
          </cell>
          <cell r="I123">
            <v>850</v>
          </cell>
          <cell r="J123" t="str">
            <v>U</v>
          </cell>
          <cell r="K123" t="str">
            <v>H</v>
          </cell>
          <cell r="L123" t="str">
            <v>M</v>
          </cell>
          <cell r="M123" t="str">
            <v>N</v>
          </cell>
          <cell r="N123" t="str">
            <v>N</v>
          </cell>
          <cell r="O123" t="str">
            <v>I</v>
          </cell>
          <cell r="P123" t="str">
            <v>II</v>
          </cell>
          <cell r="Q123" t="str">
            <v>IV</v>
          </cell>
          <cell r="R123" t="str">
            <v>IV</v>
          </cell>
          <cell r="S123" t="str">
            <v>E22</v>
          </cell>
          <cell r="T123">
            <v>0.18</v>
          </cell>
          <cell r="U123" t="str">
            <v>Gnd</v>
          </cell>
          <cell r="V123">
            <v>850</v>
          </cell>
          <cell r="W123" t="str">
            <v>EU</v>
          </cell>
          <cell r="X123" t="str">
            <v>M</v>
          </cell>
          <cell r="Y123" t="str">
            <v>M</v>
          </cell>
          <cell r="Z123" t="str">
            <v>N</v>
          </cell>
          <cell r="AA123" t="str">
            <v>N</v>
          </cell>
          <cell r="AB123" t="str">
            <v>III</v>
          </cell>
          <cell r="AC123" t="str">
            <v>III</v>
          </cell>
          <cell r="AD123" t="str">
            <v>IV</v>
          </cell>
          <cell r="AE123" t="str">
            <v>IV</v>
          </cell>
          <cell r="AF123" t="str">
            <v>High wind conditions would disperse any released material in a manner significantly greater than 95% meteorological condition assumptions.  MAR is entire inventory of radioactive material in WVDP packaged waste (exclusive of HLW) (Ref.WVNS-CAL-397, Table C-1, Lag Storage).  Tornado borne missiles assumed to impact four TRU waste drums: max container and three at 99th percentile.</v>
          </cell>
          <cell r="AG123" t="str">
            <v>•  None</v>
          </cell>
          <cell r="AH123" t="str">
            <v>•  None</v>
          </cell>
          <cell r="AI123" t="str">
            <v>•  None</v>
          </cell>
          <cell r="AJ123" t="str">
            <v>•  None</v>
          </cell>
          <cell r="AK123" t="str">
            <v>•   TSR-compliant packaging for high activity TRU waste</v>
          </cell>
          <cell r="AL123" t="str">
            <v>•  None</v>
          </cell>
          <cell r="AM123" t="str">
            <v>•  None</v>
          </cell>
          <cell r="AN123" t="str">
            <v>•  Radiological Protection Program
•  Emergency Response Program
•  Performance Based Training Program
•  Conduct of Operations</v>
          </cell>
        </row>
        <row r="124">
          <cell r="A124" t="str">
            <v>OUT</v>
          </cell>
          <cell r="B124">
            <v>19</v>
          </cell>
          <cell r="C124" t="str">
            <v>Snow and/or ice buildup</v>
          </cell>
          <cell r="D124" t="str">
            <v>Snow and/or ice buildup causes failure of stored waste container</v>
          </cell>
          <cell r="E124">
            <v>2100</v>
          </cell>
          <cell r="F124" t="str">
            <v>E23</v>
          </cell>
          <cell r="G124">
            <v>1E-3</v>
          </cell>
          <cell r="H124" t="str">
            <v>Gnd</v>
          </cell>
          <cell r="I124">
            <v>850</v>
          </cell>
          <cell r="J124" t="str">
            <v>U</v>
          </cell>
          <cell r="K124" t="str">
            <v>N</v>
          </cell>
          <cell r="L124" t="str">
            <v>L</v>
          </cell>
          <cell r="M124" t="str">
            <v>N</v>
          </cell>
          <cell r="N124" t="str">
            <v>N</v>
          </cell>
          <cell r="O124" t="str">
            <v>IV</v>
          </cell>
          <cell r="P124" t="str">
            <v>III</v>
          </cell>
          <cell r="Q124" t="str">
            <v>IV</v>
          </cell>
          <cell r="R124" t="str">
            <v>IV</v>
          </cell>
          <cell r="S124" t="str">
            <v>E23</v>
          </cell>
          <cell r="T124">
            <v>1E-3</v>
          </cell>
          <cell r="U124" t="str">
            <v>Gnd</v>
          </cell>
          <cell r="V124">
            <v>850</v>
          </cell>
          <cell r="W124" t="str">
            <v>U</v>
          </cell>
          <cell r="X124" t="str">
            <v>N</v>
          </cell>
          <cell r="Y124" t="str">
            <v>L</v>
          </cell>
          <cell r="Z124" t="str">
            <v>N</v>
          </cell>
          <cell r="AA124" t="str">
            <v>N</v>
          </cell>
          <cell r="AB124" t="str">
            <v>IV</v>
          </cell>
          <cell r="AC124" t="str">
            <v>III</v>
          </cell>
          <cell r="AD124" t="str">
            <v>IV</v>
          </cell>
          <cell r="AE124" t="str">
            <v>IV</v>
          </cell>
          <cell r="AF124" t="str">
            <v xml:space="preserve">Construction of waste storage containers more than adequate to support anticipated snow/ice loadings.  MAR is entire inventory of radioactive material in WVDP packaged waste (exclusive of HLW) (Ref.WVNS-CAL-397, Table C-1, Lag Storage).  </v>
          </cell>
          <cell r="AG124" t="str">
            <v>•  None</v>
          </cell>
          <cell r="AH124" t="str">
            <v>•  None</v>
          </cell>
          <cell r="AI124" t="str">
            <v>•  None</v>
          </cell>
          <cell r="AJ124" t="str">
            <v xml:space="preserve">•  Quality Assurance Program
•  Performance Based Training Program
•  Waste Management Program </v>
          </cell>
          <cell r="AK124" t="str">
            <v>•  None</v>
          </cell>
          <cell r="AL124" t="str">
            <v>•  None</v>
          </cell>
          <cell r="AM124" t="str">
            <v>•  None</v>
          </cell>
          <cell r="AN124" t="str">
            <v>•  Radiological Protection Program
•  Performance Based Training Program
•  Conduct of Operations</v>
          </cell>
        </row>
        <row r="125">
          <cell r="A125" t="str">
            <v>OUT</v>
          </cell>
          <cell r="B125">
            <v>20</v>
          </cell>
          <cell r="C125" t="str">
            <v>Seismic event</v>
          </cell>
          <cell r="D125" t="str">
            <v>Seismic event causes toppling of outdoor waste containers.</v>
          </cell>
          <cell r="E125">
            <v>2100</v>
          </cell>
          <cell r="F125" t="str">
            <v>E24</v>
          </cell>
          <cell r="G125">
            <v>0.01</v>
          </cell>
          <cell r="H125" t="str">
            <v>Gnd</v>
          </cell>
          <cell r="I125">
            <v>850</v>
          </cell>
          <cell r="J125" t="str">
            <v>U</v>
          </cell>
          <cell r="K125" t="str">
            <v>L</v>
          </cell>
          <cell r="L125" t="str">
            <v>L</v>
          </cell>
          <cell r="M125" t="str">
            <v>N</v>
          </cell>
          <cell r="N125" t="str">
            <v>N</v>
          </cell>
          <cell r="O125" t="str">
            <v>III</v>
          </cell>
          <cell r="P125" t="str">
            <v>III</v>
          </cell>
          <cell r="Q125" t="str">
            <v>IV</v>
          </cell>
          <cell r="R125" t="str">
            <v>IV</v>
          </cell>
          <cell r="S125" t="str">
            <v>E24</v>
          </cell>
          <cell r="T125">
            <v>0.01</v>
          </cell>
          <cell r="U125" t="str">
            <v>Gnd</v>
          </cell>
          <cell r="V125">
            <v>850</v>
          </cell>
          <cell r="W125" t="str">
            <v>U</v>
          </cell>
          <cell r="X125" t="str">
            <v>L</v>
          </cell>
          <cell r="Y125" t="str">
            <v>L</v>
          </cell>
          <cell r="Z125" t="str">
            <v>N</v>
          </cell>
          <cell r="AA125" t="str">
            <v>N</v>
          </cell>
          <cell r="AB125" t="str">
            <v>III</v>
          </cell>
          <cell r="AC125" t="str">
            <v>III</v>
          </cell>
          <cell r="AD125" t="str">
            <v>IV</v>
          </cell>
          <cell r="AE125" t="str">
            <v>IV</v>
          </cell>
          <cell r="AF125" t="str">
            <v xml:space="preserve"> MAR is entire inventory of radioactive material in WVDP packaged waste (exclusive of HLW) (Ref.WVNS-CAL-397, Table C-1, Lag Storage).  </v>
          </cell>
          <cell r="AG125" t="str">
            <v>•  None</v>
          </cell>
          <cell r="AH125" t="str">
            <v>•  None</v>
          </cell>
          <cell r="AI125" t="str">
            <v>•  None</v>
          </cell>
          <cell r="AJ125" t="str">
            <v>•  None</v>
          </cell>
          <cell r="AK125" t="str">
            <v>•   APPROVED CONTAINERS used for TRU waste storage
•   TSR-compliant packaging for high activity TRU waste</v>
          </cell>
          <cell r="AL125" t="str">
            <v>•  None</v>
          </cell>
          <cell r="AM125" t="str">
            <v>•  None</v>
          </cell>
          <cell r="AN125" t="str">
            <v>•  Radiological Protection Program
•  Emergency Response Program
•  Performance Based Training Program
•  Conduct of Operations</v>
          </cell>
        </row>
        <row r="126">
          <cell r="A126" t="str">
            <v>OUT</v>
          </cell>
          <cell r="B126">
            <v>21</v>
          </cell>
          <cell r="C126" t="str">
            <v>Loss of liquid contamination confinement</v>
          </cell>
          <cell r="D126" t="str">
            <v>Waste container containing residual liquids fails, resulting in loss of liquid contamination to the environment</v>
          </cell>
          <cell r="E126">
            <v>1</v>
          </cell>
          <cell r="F126" t="str">
            <v>FFS</v>
          </cell>
          <cell r="G126">
            <v>0.5</v>
          </cell>
          <cell r="H126" t="str">
            <v>Gnd</v>
          </cell>
          <cell r="I126">
            <v>850</v>
          </cell>
          <cell r="J126" t="str">
            <v>A</v>
          </cell>
          <cell r="K126" t="str">
            <v>N</v>
          </cell>
          <cell r="L126" t="str">
            <v>N</v>
          </cell>
          <cell r="M126" t="str">
            <v>N</v>
          </cell>
          <cell r="N126" t="str">
            <v>N</v>
          </cell>
          <cell r="O126" t="str">
            <v>IV</v>
          </cell>
          <cell r="P126" t="str">
            <v>IV</v>
          </cell>
          <cell r="Q126" t="str">
            <v>IV</v>
          </cell>
          <cell r="R126" t="str">
            <v>IV</v>
          </cell>
          <cell r="S126" t="str">
            <v>FFS</v>
          </cell>
          <cell r="T126">
            <v>0.5</v>
          </cell>
          <cell r="U126" t="str">
            <v>Gnd</v>
          </cell>
          <cell r="V126">
            <v>850</v>
          </cell>
          <cell r="W126" t="str">
            <v>A</v>
          </cell>
          <cell r="X126" t="str">
            <v>N</v>
          </cell>
          <cell r="Y126" t="str">
            <v>N</v>
          </cell>
          <cell r="Z126" t="str">
            <v>N</v>
          </cell>
          <cell r="AA126" t="str">
            <v>N</v>
          </cell>
          <cell r="AB126" t="str">
            <v>IV</v>
          </cell>
          <cell r="AC126" t="str">
            <v>IV</v>
          </cell>
          <cell r="AD126" t="str">
            <v>IV</v>
          </cell>
          <cell r="AE126" t="str">
            <v>IV</v>
          </cell>
          <cell r="AF126" t="str">
            <v xml:space="preserve">None.  </v>
          </cell>
          <cell r="AG126" t="str">
            <v>•  None</v>
          </cell>
          <cell r="AH126" t="str">
            <v>•  Cell liners/sumps and/or area berms</v>
          </cell>
          <cell r="AI126" t="str">
            <v>•  None</v>
          </cell>
          <cell r="AJ126" t="str">
            <v xml:space="preserve">•  Quality Assurance Program
•  Performance Based Training Program
•  Maintenance Program
•  Conduct of Operations
•  Waste Management Program </v>
          </cell>
          <cell r="AK126" t="str">
            <v>•  None</v>
          </cell>
          <cell r="AL126" t="str">
            <v>•  None</v>
          </cell>
          <cell r="AM126" t="str">
            <v>•  None</v>
          </cell>
          <cell r="AN126" t="str">
            <v>•  Radiological Protection Program
•  Performance Based Training Program
•  Conduct of Operations</v>
          </cell>
        </row>
        <row r="127">
          <cell r="A127" t="str">
            <v>OUT</v>
          </cell>
          <cell r="B127">
            <v>22</v>
          </cell>
          <cell r="C127" t="str">
            <v>Flood</v>
          </cell>
          <cell r="D127" t="str">
            <v>A greater than 100-yr  rain event results in sheet flow that floods the storage area. Flooding may be exacerbated by plugged drainage channels or culverts.</v>
          </cell>
          <cell r="E127">
            <v>2100</v>
          </cell>
          <cell r="F127" t="str">
            <v>NA</v>
          </cell>
          <cell r="G127" t="str">
            <v>NA</v>
          </cell>
          <cell r="H127" t="str">
            <v>Gnd</v>
          </cell>
          <cell r="I127">
            <v>850</v>
          </cell>
          <cell r="J127" t="str">
            <v>U</v>
          </cell>
          <cell r="K127" t="str">
            <v>N</v>
          </cell>
          <cell r="L127" t="str">
            <v>N</v>
          </cell>
          <cell r="M127" t="str">
            <v>N</v>
          </cell>
          <cell r="N127" t="str">
            <v>N</v>
          </cell>
          <cell r="O127" t="str">
            <v>IV</v>
          </cell>
          <cell r="P127" t="str">
            <v>IV</v>
          </cell>
          <cell r="Q127" t="str">
            <v>IV</v>
          </cell>
          <cell r="R127" t="str">
            <v>IV</v>
          </cell>
          <cell r="S127" t="str">
            <v>NA</v>
          </cell>
          <cell r="T127" t="str">
            <v>NA</v>
          </cell>
          <cell r="U127" t="str">
            <v>Gnd</v>
          </cell>
          <cell r="V127">
            <v>850</v>
          </cell>
          <cell r="W127" t="str">
            <v>U</v>
          </cell>
          <cell r="X127" t="str">
            <v>N</v>
          </cell>
          <cell r="Y127" t="str">
            <v>N</v>
          </cell>
          <cell r="Z127" t="str">
            <v>N</v>
          </cell>
          <cell r="AA127" t="str">
            <v>N</v>
          </cell>
          <cell r="AB127" t="str">
            <v>IV</v>
          </cell>
          <cell r="AC127" t="str">
            <v>IV</v>
          </cell>
          <cell r="AD127" t="str">
            <v>IV</v>
          </cell>
          <cell r="AE127" t="str">
            <v>IV</v>
          </cell>
          <cell r="AF127" t="str">
            <v xml:space="preserve">Site topography places facility outside area vulnerable to flooding (ref. Figure 1.4-6).  MAR is entire inventory of radioactive material in WVDP packaged waste (exclusive of HLW) (Ref.WVNS-CAL-397, Table C-1, Lag Storage).  </v>
          </cell>
          <cell r="AG127" t="str">
            <v>•  None</v>
          </cell>
          <cell r="AH127" t="str">
            <v>•  Siting of storage array in area away from areas of anticipated flooding</v>
          </cell>
          <cell r="AI127" t="str">
            <v>•  None</v>
          </cell>
          <cell r="AJ127" t="str">
            <v>•  None</v>
          </cell>
          <cell r="AK127" t="str">
            <v>•  None</v>
          </cell>
          <cell r="AL127" t="str">
            <v>•  None</v>
          </cell>
          <cell r="AM127" t="str">
            <v>•  None</v>
          </cell>
          <cell r="AN127" t="str">
            <v>•  Radiological Protection Program
•  Performance Based Training Program
•  Conduct of Operations</v>
          </cell>
        </row>
        <row r="128">
          <cell r="A128" t="str">
            <v>RH</v>
          </cell>
          <cell r="B128">
            <v>1</v>
          </cell>
          <cell r="C128" t="str">
            <v>Localized flammable liquid pool fire</v>
          </cell>
          <cell r="D128" t="str">
            <v>Fuel or other flammable fluid pool fire resulting from leaking equipment or vehicle.  An unspecified ignition source ignites the fuel and a fire ensues that is of sufficient duration and intensity to lead to a release of radioactive material from containerized waste.</v>
          </cell>
          <cell r="E128">
            <v>1000</v>
          </cell>
          <cell r="F128" t="str">
            <v>E01</v>
          </cell>
          <cell r="G128">
            <v>1</v>
          </cell>
          <cell r="H128" t="str">
            <v>20m</v>
          </cell>
          <cell r="I128">
            <v>850</v>
          </cell>
          <cell r="J128" t="str">
            <v>EU</v>
          </cell>
          <cell r="K128" t="str">
            <v>N</v>
          </cell>
          <cell r="L128" t="str">
            <v>M</v>
          </cell>
          <cell r="M128" t="str">
            <v>N</v>
          </cell>
          <cell r="N128" t="str">
            <v>N</v>
          </cell>
          <cell r="O128" t="str">
            <v>IV</v>
          </cell>
          <cell r="P128" t="str">
            <v>III</v>
          </cell>
          <cell r="Q128" t="str">
            <v>IV</v>
          </cell>
          <cell r="R128" t="str">
            <v>IV</v>
          </cell>
          <cell r="S128" t="str">
            <v>E01</v>
          </cell>
          <cell r="T128">
            <v>0.01</v>
          </cell>
          <cell r="U128" t="str">
            <v>20m</v>
          </cell>
          <cell r="V128">
            <v>850</v>
          </cell>
          <cell r="W128" t="str">
            <v>EU</v>
          </cell>
          <cell r="X128" t="str">
            <v>N</v>
          </cell>
          <cell r="Y128" t="str">
            <v>L</v>
          </cell>
          <cell r="Z128" t="str">
            <v>N</v>
          </cell>
          <cell r="AA128" t="str">
            <v>N</v>
          </cell>
          <cell r="AB128" t="str">
            <v>IV</v>
          </cell>
          <cell r="AC128" t="str">
            <v>IV</v>
          </cell>
          <cell r="AD128" t="str">
            <v>IV</v>
          </cell>
          <cell r="AE128" t="str">
            <v>IV</v>
          </cell>
          <cell r="AF128" t="str">
            <v>Event credible only for ICA areas of RHWF due to lack of accessibility to in-cell areas by equipment that represents a risk for pool fires. Failure of shield windows under conditions considered in the FHA could contribute flammable liquid to the cell under highly unlikely fire conditions; however, these conditions differ from those of the event described in STD-5506. The contribution of shield window mineral oil to an in-cell fire was considered under Large Fire for the RHWF. MAR is all waste originating from the HECs (Ref. WVNS-CAL-397, Table A-2, HC Gen Area = "HEC" or "PBS") plus ICA inventory limit.  DR reflects TSR to protect arrays of TRU waste containing greater than 10 PE-Ci from spills of flammable/ combustible liquids</v>
          </cell>
          <cell r="AG128" t="str">
            <v>•  None</v>
          </cell>
          <cell r="AH128" t="str">
            <v>•  None</v>
          </cell>
          <cell r="AI128" t="str">
            <v>•  SAC for TRU waste drum fire protection
•  SAC for TRU waste container physical protection</v>
          </cell>
          <cell r="AJ128" t="str">
            <v xml:space="preserve">•  Quality Assurance Program
•  Fire Protection Program
•  Performance Based Training Program
•  Maintenance Program
•  Conduct of Operations
•  Waste Management Program </v>
          </cell>
          <cell r="AK128" t="str">
            <v>•  APPROVED CONTAINERS used for TRU waste storage
•  TSR-compliant packaging for high activity TRU waste</v>
          </cell>
          <cell r="AL128" t="str">
            <v xml:space="preserve">•  Steel-deck pallets that limit direct flame impingement on TRU containers
•  Wet pipe sprinkler system in Receiving Area and Load Out
</v>
          </cell>
          <cell r="AM128" t="str">
            <v>•  SAC for APPROVED CONTAINER use
•  SAC for facility inventory control</v>
          </cell>
          <cell r="AN128" t="str">
            <v>•  Radiological Protection Program
•  Emergency Response Program
•  Fire Protection Program
•  Performance Based Training Program
•  Conduct of Operations</v>
          </cell>
        </row>
        <row r="129">
          <cell r="A129" t="str">
            <v>RH</v>
          </cell>
          <cell r="B129">
            <v>2</v>
          </cell>
          <cell r="C129" t="str">
            <v>Small combustible material fire</v>
          </cell>
          <cell r="D129" t="str">
            <v>Fire occurs in a contaminated facility area. Includes accidents initiated due to pyrophoric reactions or reactions involving incompatible materials.</v>
          </cell>
          <cell r="E129">
            <v>360</v>
          </cell>
          <cell r="F129" t="str">
            <v>E02</v>
          </cell>
          <cell r="G129">
            <v>1</v>
          </cell>
          <cell r="H129" t="str">
            <v>20m</v>
          </cell>
          <cell r="I129">
            <v>850</v>
          </cell>
          <cell r="J129" t="str">
            <v>A</v>
          </cell>
          <cell r="K129" t="str">
            <v>N</v>
          </cell>
          <cell r="L129" t="str">
            <v>M</v>
          </cell>
          <cell r="M129" t="str">
            <v>N</v>
          </cell>
          <cell r="N129" t="str">
            <v>N</v>
          </cell>
          <cell r="O129" t="str">
            <v>IV</v>
          </cell>
          <cell r="P129" t="str">
            <v>I</v>
          </cell>
          <cell r="Q129" t="str">
            <v>IV</v>
          </cell>
          <cell r="R129" t="str">
            <v>IV</v>
          </cell>
          <cell r="S129" t="str">
            <v>CWF</v>
          </cell>
          <cell r="T129">
            <v>1</v>
          </cell>
          <cell r="U129" t="str">
            <v>20m</v>
          </cell>
          <cell r="V129">
            <v>850</v>
          </cell>
          <cell r="W129" t="str">
            <v>U</v>
          </cell>
          <cell r="X129" t="str">
            <v>N</v>
          </cell>
          <cell r="Y129" t="str">
            <v>L</v>
          </cell>
          <cell r="Z129" t="str">
            <v>N</v>
          </cell>
          <cell r="AA129" t="str">
            <v>N</v>
          </cell>
          <cell r="AB129" t="str">
            <v>IV</v>
          </cell>
          <cell r="AC129" t="str">
            <v>III</v>
          </cell>
          <cell r="AD129" t="str">
            <v>IV</v>
          </cell>
          <cell r="AE129" t="str">
            <v>IV</v>
          </cell>
          <cell r="AF129" t="str">
            <v xml:space="preserve">Releases are assumed to be through facility stack, even under loss of active ventilation, via stack chimney effect. Credit taken for Fire Protection Program controls in assuming mitigated event progresses as contained waste fire.  MAR is activity in maximally loaded 2-drum Interim Storage Container (Ref. WVNS-CAL-397, Table A-2).  </v>
          </cell>
          <cell r="AG129" t="str">
            <v>•  None</v>
          </cell>
          <cell r="AH129" t="str">
            <v>•  None</v>
          </cell>
          <cell r="AI129" t="str">
            <v>•  None</v>
          </cell>
          <cell r="AJ129" t="str">
            <v xml:space="preserve">•  Quality Assurance Program
•  Fire Protection Program
-   “Hot work” controls
-   Combustible material control program
•  Performance Based Training Program
•  Maintenance Program
•  Conduct of Operations
•  Waste Management Program </v>
          </cell>
          <cell r="AK129" t="str">
            <v>•  None</v>
          </cell>
          <cell r="AL129" t="str">
            <v>•  Wet pipe sprinkler system in Receiving Area and Load Out/Truck Bay</v>
          </cell>
          <cell r="AM129" t="str">
            <v>•  SAC for APPROVED CONTAINER use
•  SAC for facility inventory control</v>
          </cell>
          <cell r="AN129" t="str">
            <v>•  Radiological Protection Program
•  Emergency Response Program
•  Fire Protection Program
•  Performance Based Training Program
•  Conduct of Operations</v>
          </cell>
        </row>
        <row r="130">
          <cell r="A130" t="str">
            <v>RH</v>
          </cell>
          <cell r="B130">
            <v>3</v>
          </cell>
          <cell r="C130" t="str">
            <v>Large fire</v>
          </cell>
          <cell r="D130" t="str">
            <v>Large cell fire. Expected to be bounded by combustion of shield window mineral oil following window failure. Fire may initiate due to ignition of combustible or pyrophoric material in cell.</v>
          </cell>
          <cell r="E130">
            <v>1000</v>
          </cell>
          <cell r="F130" t="str">
            <v>E04</v>
          </cell>
          <cell r="G130">
            <v>0.5</v>
          </cell>
          <cell r="H130" t="str">
            <v>20m</v>
          </cell>
          <cell r="I130">
            <v>850</v>
          </cell>
          <cell r="J130" t="str">
            <v>U</v>
          </cell>
          <cell r="K130" t="str">
            <v>N</v>
          </cell>
          <cell r="L130" t="str">
            <v>L</v>
          </cell>
          <cell r="M130" t="str">
            <v>N</v>
          </cell>
          <cell r="N130" t="str">
            <v>N</v>
          </cell>
          <cell r="O130" t="str">
            <v>IV</v>
          </cell>
          <cell r="P130" t="str">
            <v>III</v>
          </cell>
          <cell r="Q130" t="str">
            <v>IV</v>
          </cell>
          <cell r="R130" t="str">
            <v>IV</v>
          </cell>
          <cell r="S130" t="str">
            <v>E04</v>
          </cell>
          <cell r="T130">
            <v>0.5</v>
          </cell>
          <cell r="U130" t="str">
            <v>20m</v>
          </cell>
          <cell r="V130">
            <v>850</v>
          </cell>
          <cell r="W130" t="str">
            <v>EU</v>
          </cell>
          <cell r="X130" t="str">
            <v>N</v>
          </cell>
          <cell r="Y130" t="str">
            <v>L</v>
          </cell>
          <cell r="Z130" t="str">
            <v>N</v>
          </cell>
          <cell r="AA130" t="str">
            <v>N</v>
          </cell>
          <cell r="AB130" t="str">
            <v>IV</v>
          </cell>
          <cell r="AC130" t="str">
            <v>IV</v>
          </cell>
          <cell r="AD130" t="str">
            <v>IV</v>
          </cell>
          <cell r="AE130" t="str">
            <v>IV</v>
          </cell>
          <cell r="AF130" t="str">
            <v xml:space="preserve">Releases are assumed to be through facility stack, even under loss of active ventilation, via stack chimney effect. MAR is all waste originating from the HECs (Ref. WVNS-CAL-397, Table A-2, HC Gen Area = "HEC" or "PBS") plus ICA inventory limit.  </v>
          </cell>
          <cell r="AG130" t="str">
            <v>•  None</v>
          </cell>
          <cell r="AH130" t="str">
            <v>•  None</v>
          </cell>
          <cell r="AI130" t="str">
            <v>•  None</v>
          </cell>
          <cell r="AJ130" t="str">
            <v xml:space="preserve">•  Quality Assurance Program
•  Fire Protection Program
-   “Hot work” controls
-   Combustible material control program
•  Performance Based Training Program
•  Maintenance Program
•  Waste Management Program </v>
          </cell>
          <cell r="AK130" t="str">
            <v>•  None</v>
          </cell>
          <cell r="AL130" t="str">
            <v>•  Fire rated cell walls and shield doors</v>
          </cell>
          <cell r="AM130" t="str">
            <v>•  SAC for APPROVED CONTAINER use
•  SAC for facility inventory control</v>
          </cell>
          <cell r="AN130" t="str">
            <v>•  Radiological Protection Program
•  Emergency Response Program
•  Fire Protection Program
•  Performance Based Training Program
•  Conduct of Operations</v>
          </cell>
        </row>
        <row r="131">
          <cell r="A131" t="str">
            <v>RH</v>
          </cell>
          <cell r="B131">
            <v>4</v>
          </cell>
          <cell r="C131" t="str">
            <v>Localized explosion external to container</v>
          </cell>
          <cell r="D131" t="str">
            <v xml:space="preserve">This event is assumed to be caused by an explosion involving a forktruck propane cylinder or other cylinder containing flammable gas (e.g. acetylene) that is associated with facility operations. In addition to explosion overpressures, an explosion could produce missiles that could impact MAR. </v>
          </cell>
          <cell r="E131">
            <v>360</v>
          </cell>
          <cell r="F131" t="str">
            <v>E05</v>
          </cell>
          <cell r="G131">
            <v>1</v>
          </cell>
          <cell r="H131" t="str">
            <v>20m</v>
          </cell>
          <cell r="I131">
            <v>850</v>
          </cell>
          <cell r="J131" t="str">
            <v>A</v>
          </cell>
          <cell r="K131" t="str">
            <v>N</v>
          </cell>
          <cell r="L131" t="str">
            <v>L</v>
          </cell>
          <cell r="M131" t="str">
            <v>N</v>
          </cell>
          <cell r="N131" t="str">
            <v>N</v>
          </cell>
          <cell r="O131" t="str">
            <v>IV</v>
          </cell>
          <cell r="P131" t="str">
            <v>III</v>
          </cell>
          <cell r="Q131" t="str">
            <v>IV</v>
          </cell>
          <cell r="R131" t="str">
            <v>IV</v>
          </cell>
          <cell r="S131" t="str">
            <v>E05</v>
          </cell>
          <cell r="T131">
            <v>2.8000000000000001E-2</v>
          </cell>
          <cell r="U131" t="str">
            <v>20m</v>
          </cell>
          <cell r="V131">
            <v>850</v>
          </cell>
          <cell r="W131" t="str">
            <v>U</v>
          </cell>
          <cell r="X131" t="str">
            <v>N</v>
          </cell>
          <cell r="Y131" t="str">
            <v>L</v>
          </cell>
          <cell r="Z131" t="str">
            <v>N</v>
          </cell>
          <cell r="AA131" t="str">
            <v>N</v>
          </cell>
          <cell r="AB131" t="str">
            <v>IV</v>
          </cell>
          <cell r="AC131" t="str">
            <v>III</v>
          </cell>
          <cell r="AD131" t="str">
            <v>IV</v>
          </cell>
          <cell r="AE131" t="str">
            <v>IV</v>
          </cell>
          <cell r="AF131" t="str">
            <v>Event only applicable to ICA areas of MPPB due to lack of accessibility to in-cell areas by equipment that represents a risk for this type of equipment-based explosion. In-facility explosions considered under event "Localized explosion within facility." APPROVED CONTAINERS credited with mitigating consequences. MAR is activity in maximally loaded 2-drum Interim Storage Container (Ref. WVNS-CAL-397, Table A-2).  DR credits SAC that requires TRU waste containing &gt;10 PE-Ci be in containers capable of meeting SAC physical protection functional requirements.</v>
          </cell>
          <cell r="AG131" t="str">
            <v>•  None</v>
          </cell>
          <cell r="AH131" t="str">
            <v>•  None</v>
          </cell>
          <cell r="AI131" t="str">
            <v>•  None</v>
          </cell>
          <cell r="AJ131" t="str">
            <v xml:space="preserve">•  Quality Assurance Program
•  Fire Protection Program
•  Performance Based Training Program
•  Maintenance Program
•  Waste Management Program </v>
          </cell>
          <cell r="AK131" t="str">
            <v>•   APPROVED CONTAINERS used for TRU waste storage
•   TSR-compliant packaging for high activity TRU waste</v>
          </cell>
          <cell r="AL131" t="str">
            <v>•  None</v>
          </cell>
          <cell r="AM131" t="str">
            <v>•  None</v>
          </cell>
          <cell r="AN131" t="str">
            <v>•  Radiological Protection Program
•  Emergency Response Program
•  Fire Protection Program
•  Performance Based Training Program
•  Conduct of Operations</v>
          </cell>
        </row>
        <row r="132">
          <cell r="A132" t="str">
            <v>RH</v>
          </cell>
          <cell r="B132">
            <v>5</v>
          </cell>
          <cell r="C132" t="str">
            <v>Localized explosion within facility</v>
          </cell>
          <cell r="D132" t="str">
            <v>Localized explosion within facility.</v>
          </cell>
          <cell r="E132">
            <v>360</v>
          </cell>
          <cell r="F132" t="str">
            <v>ES</v>
          </cell>
          <cell r="G132">
            <v>1</v>
          </cell>
          <cell r="H132" t="str">
            <v>20m</v>
          </cell>
          <cell r="I132">
            <v>850</v>
          </cell>
          <cell r="J132" t="str">
            <v>U</v>
          </cell>
          <cell r="K132" t="str">
            <v>N</v>
          </cell>
          <cell r="L132" t="str">
            <v>L</v>
          </cell>
          <cell r="M132" t="str">
            <v>N</v>
          </cell>
          <cell r="N132" t="str">
            <v>N</v>
          </cell>
          <cell r="O132" t="str">
            <v>IV</v>
          </cell>
          <cell r="P132" t="str">
            <v>III</v>
          </cell>
          <cell r="Q132" t="str">
            <v>IV</v>
          </cell>
          <cell r="R132" t="str">
            <v>IV</v>
          </cell>
          <cell r="S132" t="str">
            <v>ES</v>
          </cell>
          <cell r="T132">
            <v>1</v>
          </cell>
          <cell r="U132" t="str">
            <v>20m</v>
          </cell>
          <cell r="V132">
            <v>850</v>
          </cell>
          <cell r="W132" t="str">
            <v>U</v>
          </cell>
          <cell r="X132" t="str">
            <v>N</v>
          </cell>
          <cell r="Y132" t="str">
            <v>L</v>
          </cell>
          <cell r="Z132" t="str">
            <v>N</v>
          </cell>
          <cell r="AA132" t="str">
            <v>N</v>
          </cell>
          <cell r="AB132" t="str">
            <v>IV</v>
          </cell>
          <cell r="AC132" t="str">
            <v>III</v>
          </cell>
          <cell r="AD132" t="str">
            <v>IV</v>
          </cell>
          <cell r="AE132" t="str">
            <v>IV</v>
          </cell>
          <cell r="AF132" t="str">
            <v xml:space="preserve">Event is assumed to be due to ignition of flammable gas associated with D&amp;D activities (e.g., cutting gases, pressurized decontamination gases, etc.).  MAR is activity in maximally loaded 2-drum Interim Storage Container (Ref. WVNS-CAL-397, Table A-2).  </v>
          </cell>
          <cell r="AG132" t="str">
            <v>•  None</v>
          </cell>
          <cell r="AH132" t="str">
            <v>•  None</v>
          </cell>
          <cell r="AI132" t="str">
            <v>•  None</v>
          </cell>
          <cell r="AJ132" t="str">
            <v>•  Quality Assurance Program
•  Fire Protection Program
•  Performance Based Training Program
•  Maintenance Program
•  Conduct of Operations</v>
          </cell>
          <cell r="AK132" t="str">
            <v>•  None</v>
          </cell>
          <cell r="AL132" t="str">
            <v>•  Reinforced concrete shield walls</v>
          </cell>
          <cell r="AM132" t="str">
            <v>•  None</v>
          </cell>
          <cell r="AN132" t="str">
            <v>•  Radiological Protection Program
•  Emergency Response Program
•  Fire Protection Program
•  Performance Based Training Program
•  Conduct of Operations</v>
          </cell>
        </row>
        <row r="133">
          <cell r="A133" t="str">
            <v>RH</v>
          </cell>
          <cell r="B133">
            <v>6</v>
          </cell>
          <cell r="C133" t="str">
            <v>Waste container deflagration</v>
          </cell>
          <cell r="D133" t="str">
            <v>Hydrogen or other flammable/explosive gases inside a container is ignited.</v>
          </cell>
          <cell r="E133">
            <v>360</v>
          </cell>
          <cell r="F133" t="str">
            <v>E06</v>
          </cell>
          <cell r="G133">
            <v>1</v>
          </cell>
          <cell r="H133" t="str">
            <v>20m</v>
          </cell>
          <cell r="I133">
            <v>850</v>
          </cell>
          <cell r="J133" t="str">
            <v>U</v>
          </cell>
          <cell r="K133" t="str">
            <v>N</v>
          </cell>
          <cell r="L133" t="str">
            <v>L</v>
          </cell>
          <cell r="M133" t="str">
            <v>N</v>
          </cell>
          <cell r="N133" t="str">
            <v>N</v>
          </cell>
          <cell r="O133" t="str">
            <v>IV</v>
          </cell>
          <cell r="P133" t="str">
            <v>III</v>
          </cell>
          <cell r="Q133" t="str">
            <v>IV</v>
          </cell>
          <cell r="R133" t="str">
            <v>IV</v>
          </cell>
          <cell r="S133" t="str">
            <v>E06</v>
          </cell>
          <cell r="T133">
            <v>1</v>
          </cell>
          <cell r="U133" t="str">
            <v>20m</v>
          </cell>
          <cell r="V133">
            <v>850</v>
          </cell>
          <cell r="W133" t="str">
            <v>EU</v>
          </cell>
          <cell r="X133" t="str">
            <v>N</v>
          </cell>
          <cell r="Y133" t="str">
            <v>L</v>
          </cell>
          <cell r="Z133" t="str">
            <v>N</v>
          </cell>
          <cell r="AA133" t="str">
            <v>N</v>
          </cell>
          <cell r="AB133" t="str">
            <v>IV</v>
          </cell>
          <cell r="AC133" t="str">
            <v>IV</v>
          </cell>
          <cell r="AD133" t="str">
            <v>IV</v>
          </cell>
          <cell r="AE133" t="str">
            <v>IV</v>
          </cell>
          <cell r="AF133" t="str">
            <v xml:space="preserve">Waste form and waste package vent filters contribute to low probability of this event. Event is assumed to occur within shielded process cell.  MAR is activity in maximally loaded 2-drum Interim Storage Container (Ref. WVNS-CAL-397, Table A-2).  </v>
          </cell>
          <cell r="AG133" t="str">
            <v>•  None</v>
          </cell>
          <cell r="AH133" t="str">
            <v>•  HEPA filter vents on waste containers
•  Non-sparking tools for containers suspected of containing high concentrations of flammable gas</v>
          </cell>
          <cell r="AI133" t="str">
            <v>•  None</v>
          </cell>
          <cell r="AJ133" t="str">
            <v xml:space="preserve">•  Quality Assurance Program
•  Fire Protection Program
•  Performance Based Training Program
•  Maintenance Program
•  Waste Management Program </v>
          </cell>
          <cell r="AK133" t="str">
            <v>•   TSR-compliant packaging for high activity TRU waste</v>
          </cell>
          <cell r="AL133" t="str">
            <v>•  Confinement capability of cell structure
•  Fire rated cell walls and shield doors</v>
          </cell>
          <cell r="AM133" t="str">
            <v>•  None</v>
          </cell>
          <cell r="AN133" t="str">
            <v>•  Radiological Protection Program
•  Emergency Response Program
•  Fire Protection Program
•  Performance Based Training Program
•  Conduct of Operations</v>
          </cell>
        </row>
        <row r="134">
          <cell r="A134" t="str">
            <v>RH</v>
          </cell>
          <cell r="B134">
            <v>7</v>
          </cell>
          <cell r="C134" t="str">
            <v>Vehicle/equipment impacts waste/waste containers</v>
          </cell>
          <cell r="D134" t="str">
            <v>A mishap associated with the operation of vehicles at low speed (&lt;10 mph) or impact with handling equipment. Event assumed to result in loss of airborne contamination confinement due to puncture by forklift tines;  stacked drum array falling; or other similar causes.</v>
          </cell>
          <cell r="E134">
            <v>360</v>
          </cell>
          <cell r="F134" t="str">
            <v>E09</v>
          </cell>
          <cell r="G134">
            <v>0.01</v>
          </cell>
          <cell r="H134" t="str">
            <v>20m</v>
          </cell>
          <cell r="I134">
            <v>850</v>
          </cell>
          <cell r="J134" t="str">
            <v>A</v>
          </cell>
          <cell r="K134" t="str">
            <v>N</v>
          </cell>
          <cell r="L134" t="str">
            <v>N</v>
          </cell>
          <cell r="M134" t="str">
            <v>N</v>
          </cell>
          <cell r="N134" t="str">
            <v>N</v>
          </cell>
          <cell r="O134" t="str">
            <v>IV</v>
          </cell>
          <cell r="P134" t="str">
            <v>IV</v>
          </cell>
          <cell r="Q134" t="str">
            <v>IV</v>
          </cell>
          <cell r="R134" t="str">
            <v>IV</v>
          </cell>
          <cell r="S134" t="str">
            <v>E09</v>
          </cell>
          <cell r="T134">
            <v>0.01</v>
          </cell>
          <cell r="U134" t="str">
            <v>20m</v>
          </cell>
          <cell r="V134">
            <v>850</v>
          </cell>
          <cell r="W134" t="str">
            <v>A</v>
          </cell>
          <cell r="X134" t="str">
            <v>N</v>
          </cell>
          <cell r="Y134" t="str">
            <v>N</v>
          </cell>
          <cell r="Z134" t="str">
            <v>N</v>
          </cell>
          <cell r="AA134" t="str">
            <v>N</v>
          </cell>
          <cell r="AB134" t="str">
            <v>IV</v>
          </cell>
          <cell r="AC134" t="str">
            <v>IV</v>
          </cell>
          <cell r="AD134" t="str">
            <v>IV</v>
          </cell>
          <cell r="AE134" t="str">
            <v>IV</v>
          </cell>
          <cell r="AF134" t="str">
            <v xml:space="preserve">Wastes in Receiving Area or WPA/LO could potentially be affected by this event. Containers assumed to be impacted by handling equipment travelling &lt;10 mph.  MAR is activity in maximally loaded 2-drum Interim Storage Container (Ref. WVNS-CAL-397, Table A-2).  </v>
          </cell>
          <cell r="AG134" t="str">
            <v>•  None</v>
          </cell>
          <cell r="AH134" t="str">
            <v>•  Physical barriers such as Jersey barriers or facility structure that protects waste containers from vehicle impacts</v>
          </cell>
          <cell r="AI134" t="str">
            <v>•  None</v>
          </cell>
          <cell r="AJ134" t="str">
            <v xml:space="preserve">•  Quality Assurance Program
•  Performance Based Training Program
•  Maintenance Program
•  Conduct of Operations
•  Waste Management Program </v>
          </cell>
          <cell r="AK134" t="str">
            <v>•   TSR-compliant packaging for high activity TRU waste</v>
          </cell>
          <cell r="AL134" t="str">
            <v>•  None</v>
          </cell>
          <cell r="AM134" t="str">
            <v>•  None</v>
          </cell>
          <cell r="AN134" t="str">
            <v>•  Radiological Protection Program
•  Emergency Response Program
•  Performance Based Training Program
•  Conduct of Operations</v>
          </cell>
        </row>
        <row r="135">
          <cell r="A135" t="str">
            <v>RH</v>
          </cell>
          <cell r="B135">
            <v>8</v>
          </cell>
          <cell r="C135" t="str">
            <v>Drop/impact/spill</v>
          </cell>
          <cell r="D135" t="str">
            <v>This event is due to mishandling of containers; or to drops/impacts caused by equipment failure; or leaks caused by corrosion, construction defect, or improper closure.</v>
          </cell>
          <cell r="E135">
            <v>360</v>
          </cell>
          <cell r="F135" t="str">
            <v>E10</v>
          </cell>
          <cell r="G135">
            <v>0.1</v>
          </cell>
          <cell r="H135" t="str">
            <v>20m</v>
          </cell>
          <cell r="I135">
            <v>850</v>
          </cell>
          <cell r="J135" t="str">
            <v>A</v>
          </cell>
          <cell r="K135" t="str">
            <v>N</v>
          </cell>
          <cell r="L135" t="str">
            <v>N</v>
          </cell>
          <cell r="M135" t="str">
            <v>N</v>
          </cell>
          <cell r="N135" t="str">
            <v>N</v>
          </cell>
          <cell r="O135" t="str">
            <v>IV</v>
          </cell>
          <cell r="P135" t="str">
            <v>IV</v>
          </cell>
          <cell r="Q135" t="str">
            <v>IV</v>
          </cell>
          <cell r="R135" t="str">
            <v>IV</v>
          </cell>
          <cell r="S135" t="str">
            <v>E10</v>
          </cell>
          <cell r="T135">
            <v>0.1</v>
          </cell>
          <cell r="U135" t="str">
            <v>20m</v>
          </cell>
          <cell r="V135">
            <v>850</v>
          </cell>
          <cell r="W135" t="str">
            <v>U</v>
          </cell>
          <cell r="X135" t="str">
            <v>N</v>
          </cell>
          <cell r="Y135" t="str">
            <v>N</v>
          </cell>
          <cell r="Z135" t="str">
            <v>N</v>
          </cell>
          <cell r="AA135" t="str">
            <v>N</v>
          </cell>
          <cell r="AB135" t="str">
            <v>IV</v>
          </cell>
          <cell r="AC135" t="str">
            <v>IV</v>
          </cell>
          <cell r="AD135" t="str">
            <v>IV</v>
          </cell>
          <cell r="AE135" t="str">
            <v>IV</v>
          </cell>
          <cell r="AF135" t="str">
            <v xml:space="preserve">Event is a low energy breach of container confinement (e.g. tine puncture or container drop).  MAR is activity in maximally loaded 2-drum Interim Storage Container (Ref. WVNS-CAL-397, Table A-2).  </v>
          </cell>
          <cell r="AG135" t="str">
            <v>•  None</v>
          </cell>
          <cell r="AH135" t="str">
            <v>•  None</v>
          </cell>
          <cell r="AI135" t="str">
            <v>•  None</v>
          </cell>
          <cell r="AJ135" t="str">
            <v xml:space="preserve">•  Quality Assurance Program
•  Performance Based Training Program
•  Maintenance Program
•  Conduct of Operations
•  Waste Management Program </v>
          </cell>
          <cell r="AK135" t="str">
            <v>•   TSR-compliant packaging for high activity TRU waste</v>
          </cell>
          <cell r="AL135" t="str">
            <v>•  Confinement capability of cell structure</v>
          </cell>
          <cell r="AM135" t="str">
            <v>•  None</v>
          </cell>
          <cell r="AN135" t="str">
            <v>•  Radiological Protection Program
•  Emergency Response Program
•  Performance Based Training Program
•  Conduct of Operations</v>
          </cell>
        </row>
        <row r="136">
          <cell r="A136" t="str">
            <v>RH</v>
          </cell>
          <cell r="B136">
            <v>9</v>
          </cell>
          <cell r="C136" t="str">
            <v>Waste container over-pressurization</v>
          </cell>
          <cell r="D136" t="str">
            <v>Container failure occurs due to pressure buildup, possibly due to radiolysis of water or other hydrogenous material, thermal expansion of material/gases inside the container, or chemical reactions inside the container.</v>
          </cell>
          <cell r="E136">
            <v>360</v>
          </cell>
          <cell r="F136" t="str">
            <v>E12</v>
          </cell>
          <cell r="G136">
            <v>1</v>
          </cell>
          <cell r="H136" t="str">
            <v>20m</v>
          </cell>
          <cell r="I136">
            <v>850</v>
          </cell>
          <cell r="J136" t="str">
            <v>A</v>
          </cell>
          <cell r="K136" t="str">
            <v>N</v>
          </cell>
          <cell r="L136" t="str">
            <v>L</v>
          </cell>
          <cell r="M136" t="str">
            <v>N</v>
          </cell>
          <cell r="N136" t="str">
            <v>N</v>
          </cell>
          <cell r="O136" t="str">
            <v>IV</v>
          </cell>
          <cell r="P136" t="str">
            <v>III</v>
          </cell>
          <cell r="Q136" t="str">
            <v>IV</v>
          </cell>
          <cell r="R136" t="str">
            <v>IV</v>
          </cell>
          <cell r="S136" t="str">
            <v>E12</v>
          </cell>
          <cell r="T136">
            <v>1</v>
          </cell>
          <cell r="U136" t="str">
            <v>20m</v>
          </cell>
          <cell r="V136">
            <v>850</v>
          </cell>
          <cell r="W136" t="str">
            <v>A</v>
          </cell>
          <cell r="X136" t="str">
            <v>N</v>
          </cell>
          <cell r="Y136" t="str">
            <v>L</v>
          </cell>
          <cell r="Z136" t="str">
            <v>N</v>
          </cell>
          <cell r="AA136" t="str">
            <v>N</v>
          </cell>
          <cell r="AB136" t="str">
            <v>IV</v>
          </cell>
          <cell r="AC136" t="str">
            <v>III</v>
          </cell>
          <cell r="AD136" t="str">
            <v>IV</v>
          </cell>
          <cell r="AE136" t="str">
            <v>IV</v>
          </cell>
          <cell r="AF136" t="str">
            <v xml:space="preserve">Waste form and waste package vent filters contribute to reducing the probability of this event. Event is assumed to occur within shielded process cell.  MAR is activity in maximally loaded 2-drum Interim Storage Container (Ref. WVNS-CAL-397, Table A-2).  </v>
          </cell>
          <cell r="AG136" t="str">
            <v>•  None</v>
          </cell>
          <cell r="AH136" t="str">
            <v>•  HEPA filter vents on waste containers</v>
          </cell>
          <cell r="AI136" t="str">
            <v>•  None</v>
          </cell>
          <cell r="AJ136" t="str">
            <v xml:space="preserve">•  Quality Assurance Program
•  Performance Based Training Program
•  Waste Management Program </v>
          </cell>
          <cell r="AK136" t="str">
            <v>•  None</v>
          </cell>
          <cell r="AL136" t="str">
            <v>•  Lid restraining devices for bulging drums</v>
          </cell>
          <cell r="AM136" t="str">
            <v>•  None</v>
          </cell>
          <cell r="AN136" t="str">
            <v>•  Radiological Protection Program
•  Emergency Response Program
•  Performance Based Training Program
•  Conduct of Operations</v>
          </cell>
        </row>
        <row r="137">
          <cell r="A137" t="str">
            <v>RH</v>
          </cell>
          <cell r="B137">
            <v>10</v>
          </cell>
          <cell r="C137" t="str">
            <v>Direct exposure to radiation</v>
          </cell>
          <cell r="D137" t="str">
            <v>Exposure to ionizing radiation from the waste, possibly due to loss of proper shielding within a container or instrument miscalibration</v>
          </cell>
          <cell r="E137" t="str">
            <v>Not applicable.</v>
          </cell>
          <cell r="F137" t="str">
            <v>NA</v>
          </cell>
          <cell r="G137" t="str">
            <v>NA</v>
          </cell>
          <cell r="H137" t="str">
            <v>20m</v>
          </cell>
          <cell r="I137">
            <v>850</v>
          </cell>
          <cell r="J137" t="str">
            <v>A</v>
          </cell>
          <cell r="K137" t="str">
            <v>M</v>
          </cell>
          <cell r="L137" t="str">
            <v>N</v>
          </cell>
          <cell r="M137" t="str">
            <v>N</v>
          </cell>
          <cell r="N137" t="str">
            <v>N</v>
          </cell>
          <cell r="O137" t="str">
            <v>I</v>
          </cell>
          <cell r="P137" t="str">
            <v>IV</v>
          </cell>
          <cell r="Q137" t="str">
            <v>IV</v>
          </cell>
          <cell r="R137" t="str">
            <v>IV</v>
          </cell>
          <cell r="S137" t="str">
            <v>NA</v>
          </cell>
          <cell r="T137" t="str">
            <v>NA</v>
          </cell>
          <cell r="U137" t="str">
            <v>20m</v>
          </cell>
          <cell r="V137">
            <v>850</v>
          </cell>
          <cell r="W137" t="str">
            <v>U</v>
          </cell>
          <cell r="X137" t="str">
            <v>L</v>
          </cell>
          <cell r="Y137" t="str">
            <v>N</v>
          </cell>
          <cell r="Z137" t="str">
            <v>N</v>
          </cell>
          <cell r="AA137" t="str">
            <v>N</v>
          </cell>
          <cell r="AB137" t="str">
            <v>III</v>
          </cell>
          <cell r="AC137" t="str">
            <v>IV</v>
          </cell>
          <cell r="AD137" t="str">
            <v>IV</v>
          </cell>
          <cell r="AE137" t="str">
            <v>IV</v>
          </cell>
          <cell r="AF137" t="str">
            <v xml:space="preserve">None.  </v>
          </cell>
          <cell r="AG137" t="str">
            <v>•  None</v>
          </cell>
          <cell r="AH137" t="str">
            <v>•  Engineered radiation shielding on high dose rate waste containers</v>
          </cell>
          <cell r="AI137" t="str">
            <v>•  None</v>
          </cell>
          <cell r="AJ137" t="str">
            <v xml:space="preserve">•  Radiological Protection Program
•  Quality Assurance Program
•  Performance Based Training Program
•  Conduct of Operations
•  Waste Management Program </v>
          </cell>
          <cell r="AK137" t="str">
            <v>•  None</v>
          </cell>
          <cell r="AL137" t="str">
            <v>•  None</v>
          </cell>
          <cell r="AM137" t="str">
            <v>•  None</v>
          </cell>
          <cell r="AN137" t="str">
            <v>•  Radiological Protection Program
•  Performance Based Training Program
•  Conduct of Operations</v>
          </cell>
        </row>
        <row r="138">
          <cell r="A138" t="str">
            <v>RH</v>
          </cell>
          <cell r="B138">
            <v>11</v>
          </cell>
          <cell r="C138" t="str">
            <v>Criticality</v>
          </cell>
          <cell r="D138" t="str">
            <v>Inadvertent criticality occurs due to multiple independent failures and/or highly improbable circumstances</v>
          </cell>
          <cell r="E138" t="str">
            <v>&gt;450 FGE
Pu-239</v>
          </cell>
          <cell r="F138" t="str">
            <v>NA</v>
          </cell>
          <cell r="G138" t="str">
            <v>NA</v>
          </cell>
          <cell r="H138" t="str">
            <v>20m</v>
          </cell>
          <cell r="I138">
            <v>850</v>
          </cell>
          <cell r="J138" t="str">
            <v>BEU</v>
          </cell>
          <cell r="K138" t="str">
            <v>H</v>
          </cell>
          <cell r="L138" t="str">
            <v>N</v>
          </cell>
          <cell r="M138" t="str">
            <v>N</v>
          </cell>
          <cell r="N138" t="str">
            <v>N</v>
          </cell>
          <cell r="O138" t="str">
            <v>III</v>
          </cell>
          <cell r="P138" t="str">
            <v>IV</v>
          </cell>
          <cell r="Q138" t="str">
            <v>IV</v>
          </cell>
          <cell r="R138" t="str">
            <v>IV</v>
          </cell>
          <cell r="S138" t="str">
            <v>NA</v>
          </cell>
          <cell r="T138" t="str">
            <v>NA</v>
          </cell>
          <cell r="U138" t="str">
            <v>20m</v>
          </cell>
          <cell r="V138">
            <v>850</v>
          </cell>
          <cell r="W138" t="str">
            <v>BEU</v>
          </cell>
          <cell r="X138" t="str">
            <v>H</v>
          </cell>
          <cell r="Y138" t="str">
            <v>N</v>
          </cell>
          <cell r="Z138" t="str">
            <v>N</v>
          </cell>
          <cell r="AA138" t="str">
            <v>N</v>
          </cell>
          <cell r="AB138" t="str">
            <v>III</v>
          </cell>
          <cell r="AC138" t="str">
            <v>IV</v>
          </cell>
          <cell r="AD138" t="str">
            <v>IV</v>
          </cell>
          <cell r="AE138" t="str">
            <v>IV</v>
          </cell>
          <cell r="AF138" t="str">
            <v xml:space="preserve">Nuclear criticality safety administrative controls ensure criticality safety for all D&amp;D operations and waste packaging activities involving greater than a significant quantity of fissile material.   </v>
          </cell>
          <cell r="AG138" t="str">
            <v>• PSRs for fissile material storage container specifications</v>
          </cell>
          <cell r="AH138" t="str">
            <v>•  None</v>
          </cell>
          <cell r="AI138" t="str">
            <v>• PSR limits on container fissile mass
• PSR for fissile material storage containers</v>
          </cell>
          <cell r="AJ138" t="str">
            <v xml:space="preserve">•  Radiological Protection Program
•  Nuclear Criticality Safety Program
•  Quality Assurance Program
•  Performance Based Training Program
•  Conduct of Operations
•  Waste Management Program </v>
          </cell>
          <cell r="AK138" t="str">
            <v>•  None</v>
          </cell>
          <cell r="AL138" t="str">
            <v>•  None</v>
          </cell>
          <cell r="AM138" t="str">
            <v>•  None</v>
          </cell>
          <cell r="AN138" t="str">
            <v>•  Radiological Protection Program
•  Nuclear Criticality Safety Program
•  Emergency Response Program
•  Performance Based Training Program
•  Conduct of Operations</v>
          </cell>
        </row>
        <row r="139">
          <cell r="A139" t="str">
            <v>RH</v>
          </cell>
          <cell r="B139">
            <v>12</v>
          </cell>
          <cell r="C139" t="str">
            <v>Aircraft impact with fire</v>
          </cell>
          <cell r="D139" t="str">
            <v>Small general aviation aircraft or helicopter crashes and a fire ensues</v>
          </cell>
          <cell r="E139">
            <v>1000</v>
          </cell>
          <cell r="F139" t="str">
            <v>E15</v>
          </cell>
          <cell r="G139">
            <v>1</v>
          </cell>
          <cell r="H139" t="str">
            <v>20m</v>
          </cell>
          <cell r="I139">
            <v>850</v>
          </cell>
          <cell r="J139" t="str">
            <v>BEU</v>
          </cell>
          <cell r="K139" t="str">
            <v>N</v>
          </cell>
          <cell r="L139" t="str">
            <v>M</v>
          </cell>
          <cell r="M139" t="str">
            <v>N</v>
          </cell>
          <cell r="N139" t="str">
            <v>N</v>
          </cell>
          <cell r="O139" t="str">
            <v>IV</v>
          </cell>
          <cell r="P139" t="str">
            <v>IV</v>
          </cell>
          <cell r="Q139" t="str">
            <v>IV</v>
          </cell>
          <cell r="R139" t="str">
            <v>IV</v>
          </cell>
          <cell r="S139" t="str">
            <v>E15</v>
          </cell>
          <cell r="T139">
            <v>1</v>
          </cell>
          <cell r="U139" t="str">
            <v>20m</v>
          </cell>
          <cell r="V139">
            <v>850</v>
          </cell>
          <cell r="W139" t="str">
            <v>BEU</v>
          </cell>
          <cell r="X139" t="str">
            <v>N</v>
          </cell>
          <cell r="Y139" t="str">
            <v>M</v>
          </cell>
          <cell r="Z139" t="str">
            <v>N</v>
          </cell>
          <cell r="AA139" t="str">
            <v>N</v>
          </cell>
          <cell r="AB139" t="str">
            <v>IV</v>
          </cell>
          <cell r="AC139" t="str">
            <v>IV</v>
          </cell>
          <cell r="AD139" t="str">
            <v>IV</v>
          </cell>
          <cell r="AE139" t="str">
            <v>IV</v>
          </cell>
          <cell r="AF139" t="str">
            <v xml:space="preserve">Event not expected to impact radioactive materials within heavily shielded cells. Only activity in ventilation system would be expected to be affected. Event BEU per WVNS-CAL-388. MAR is all waste originating from the HECs (Ref. WVNS-CAL-397, Table A-2, HC Gen Area = "HEC" or "PBS") plus ICA inventory limit.  </v>
          </cell>
          <cell r="AG139" t="str">
            <v>•  None</v>
          </cell>
          <cell r="AH139" t="str">
            <v>•  None</v>
          </cell>
          <cell r="AI139" t="str">
            <v>•  None</v>
          </cell>
          <cell r="AJ139" t="str">
            <v>•  None</v>
          </cell>
          <cell r="AK139" t="str">
            <v>•  None</v>
          </cell>
          <cell r="AL139" t="str">
            <v>•  None</v>
          </cell>
          <cell r="AM139" t="str">
            <v>• SAC for APPROVED CONTAINER use</v>
          </cell>
          <cell r="AN139" t="str">
            <v>•  Radiological Protection Program
•  Emergency Response Program
•  Fire Protection Program
•  Performance Based Training Program
•  Conduct of Operations</v>
          </cell>
        </row>
        <row r="140">
          <cell r="A140" t="str">
            <v>RH</v>
          </cell>
          <cell r="B140">
            <v>13</v>
          </cell>
          <cell r="C140" t="str">
            <v>External explosion</v>
          </cell>
          <cell r="D140" t="str">
            <v>Explosion involving failure of equipment not directly related to facility operations (e.g. natural gas line rupture) with possible missiles generated.</v>
          </cell>
          <cell r="E140">
            <v>360</v>
          </cell>
          <cell r="F140" t="str">
            <v>E18</v>
          </cell>
          <cell r="G140">
            <v>1</v>
          </cell>
          <cell r="H140" t="str">
            <v>20m</v>
          </cell>
          <cell r="I140">
            <v>850</v>
          </cell>
          <cell r="J140" t="str">
            <v>U</v>
          </cell>
          <cell r="K140" t="str">
            <v>N</v>
          </cell>
          <cell r="L140" t="str">
            <v>L</v>
          </cell>
          <cell r="M140" t="str">
            <v>N</v>
          </cell>
          <cell r="N140" t="str">
            <v>N</v>
          </cell>
          <cell r="O140" t="str">
            <v>IV</v>
          </cell>
          <cell r="P140" t="str">
            <v>III</v>
          </cell>
          <cell r="Q140" t="str">
            <v>IV</v>
          </cell>
          <cell r="R140" t="str">
            <v>IV</v>
          </cell>
          <cell r="S140" t="str">
            <v>E18</v>
          </cell>
          <cell r="T140">
            <v>1</v>
          </cell>
          <cell r="U140" t="str">
            <v>20m</v>
          </cell>
          <cell r="V140">
            <v>850</v>
          </cell>
          <cell r="W140" t="str">
            <v>U</v>
          </cell>
          <cell r="X140" t="str">
            <v>N</v>
          </cell>
          <cell r="Y140" t="str">
            <v>L</v>
          </cell>
          <cell r="Z140" t="str">
            <v>N</v>
          </cell>
          <cell r="AA140" t="str">
            <v>N</v>
          </cell>
          <cell r="AB140" t="str">
            <v>IV</v>
          </cell>
          <cell r="AC140" t="str">
            <v>III</v>
          </cell>
          <cell r="AD140" t="str">
            <v>IV</v>
          </cell>
          <cell r="AE140" t="str">
            <v>IV</v>
          </cell>
          <cell r="AF140" t="str">
            <v xml:space="preserve">Explosion assumed to be due to detonation of accumulated flammable gas associated with facility natural gas heaters.  MAR is activity in maximally loaded 2-drum Interim Storage Container (Ref. WVNS-CAL-397, Table A-2).  </v>
          </cell>
          <cell r="AG140" t="str">
            <v>•  None</v>
          </cell>
          <cell r="AH140" t="str">
            <v>•  None</v>
          </cell>
          <cell r="AI140" t="str">
            <v>• SAC for TRU waste container physical protection</v>
          </cell>
          <cell r="AJ140" t="str">
            <v>•  Quality Assurance Program
•  Performance Based Training Program
•  Maintenance Program</v>
          </cell>
          <cell r="AK140" t="str">
            <v>•   APPROVED CONTAINERS used for TRU waste storage
•   TSR-compliant packaging for high activity TRU waste</v>
          </cell>
          <cell r="AL140" t="str">
            <v>•  None</v>
          </cell>
          <cell r="AM140" t="str">
            <v>• SAC for APPROVED CONTAINER use</v>
          </cell>
          <cell r="AN140" t="str">
            <v>•  Radiological Protection Program
•  Emergency Response Program
•  Fire Protection Program
•  Performance Based Training Program
•  Conduct of Operations</v>
          </cell>
        </row>
        <row r="141">
          <cell r="A141" t="str">
            <v>RH</v>
          </cell>
          <cell r="B141">
            <v>14</v>
          </cell>
          <cell r="C141" t="str">
            <v>External fire</v>
          </cell>
          <cell r="D141" t="str">
            <v>A fire begins outside of the RHWF and propagates to an area in the RHWF where waste is present. The external fire could be from a wildland fire, other facility, or another fire source.</v>
          </cell>
          <cell r="E141">
            <v>1000</v>
          </cell>
          <cell r="F141" t="str">
            <v>E19</v>
          </cell>
          <cell r="G141">
            <v>0.5</v>
          </cell>
          <cell r="H141" t="str">
            <v>20m</v>
          </cell>
          <cell r="I141">
            <v>850</v>
          </cell>
          <cell r="J141" t="str">
            <v>U</v>
          </cell>
          <cell r="K141" t="str">
            <v>N</v>
          </cell>
          <cell r="L141" t="str">
            <v>L</v>
          </cell>
          <cell r="M141" t="str">
            <v>N</v>
          </cell>
          <cell r="N141" t="str">
            <v>N</v>
          </cell>
          <cell r="O141" t="str">
            <v>IV</v>
          </cell>
          <cell r="P141" t="str">
            <v>III</v>
          </cell>
          <cell r="Q141" t="str">
            <v>IV</v>
          </cell>
          <cell r="R141" t="str">
            <v>IV</v>
          </cell>
          <cell r="S141" t="str">
            <v>E19</v>
          </cell>
          <cell r="T141">
            <v>0.05</v>
          </cell>
          <cell r="U141" t="str">
            <v>20m</v>
          </cell>
          <cell r="V141">
            <v>850</v>
          </cell>
          <cell r="W141" t="str">
            <v>EU</v>
          </cell>
          <cell r="X141" t="str">
            <v>N</v>
          </cell>
          <cell r="Y141" t="str">
            <v>L</v>
          </cell>
          <cell r="Z141" t="str">
            <v>N</v>
          </cell>
          <cell r="AA141" t="str">
            <v>N</v>
          </cell>
          <cell r="AB141" t="str">
            <v>IV</v>
          </cell>
          <cell r="AC141" t="str">
            <v>IV</v>
          </cell>
          <cell r="AD141" t="str">
            <v>IV</v>
          </cell>
          <cell r="AE141" t="str">
            <v>IV</v>
          </cell>
          <cell r="AF141" t="str">
            <v>Unmitigated frequency very conservative since no exposure fire risks per WVNS-FHA-014. Even under EU wildland fire conditions virtually no waste would be exposed to critical heat flux due to facility construction.  MAR is all waste originating from the HECs (Ref. WVNS-CAL-397, Table A-2, HC Gen Area = "HEC" or "PBS") plus ICA inventory limit.  DR assumes that 10% of array is exposed to critical heat flux.</v>
          </cell>
          <cell r="AG141" t="str">
            <v>•  None</v>
          </cell>
          <cell r="AH141" t="str">
            <v>•  None</v>
          </cell>
          <cell r="AI141" t="str">
            <v>• SAC for TRU waste container physical protection</v>
          </cell>
          <cell r="AJ141" t="str">
            <v>•  Fire Protection Program
•  Maintenance Program</v>
          </cell>
          <cell r="AK141" t="str">
            <v>•   APPROVED CONTAINERS used for TRU waste storage
•   TSR-compliant packaging for high activity TRU waste</v>
          </cell>
          <cell r="AL141" t="str">
            <v>•  Non-combustible facility sheathing/ exterior</v>
          </cell>
          <cell r="AM141" t="str">
            <v>• SAC for APPROVED CONTAINER use</v>
          </cell>
          <cell r="AN141" t="str">
            <v>•  Emergency Response Program
•  Fire Protection Program
•  Radiological Protection Program</v>
          </cell>
        </row>
        <row r="142">
          <cell r="A142" t="str">
            <v>RH</v>
          </cell>
          <cell r="B142">
            <v>15</v>
          </cell>
          <cell r="C142" t="str">
            <v>Tornado</v>
          </cell>
          <cell r="D142" t="str">
            <v>Direct effects of tornado winds, falling objects, or tornado-produced missiles causing impacts to the facility. Event includes loss of contamination confinement resulting from abnormal facility differential pressures (backflow).</v>
          </cell>
          <cell r="E142">
            <v>360</v>
          </cell>
          <cell r="F142" t="str">
            <v>IS</v>
          </cell>
          <cell r="G142">
            <v>1</v>
          </cell>
          <cell r="H142" t="str">
            <v>20m</v>
          </cell>
          <cell r="I142">
            <v>850</v>
          </cell>
          <cell r="J142" t="str">
            <v>U</v>
          </cell>
          <cell r="K142" t="str">
            <v>N</v>
          </cell>
          <cell r="L142" t="str">
            <v>L</v>
          </cell>
          <cell r="M142" t="str">
            <v>N</v>
          </cell>
          <cell r="N142" t="str">
            <v>N</v>
          </cell>
          <cell r="O142" t="str">
            <v>IV</v>
          </cell>
          <cell r="P142" t="str">
            <v>III</v>
          </cell>
          <cell r="Q142" t="str">
            <v>IV</v>
          </cell>
          <cell r="R142" t="str">
            <v>IV</v>
          </cell>
          <cell r="S142" t="str">
            <v>IS</v>
          </cell>
          <cell r="T142">
            <v>1</v>
          </cell>
          <cell r="U142" t="str">
            <v>20m</v>
          </cell>
          <cell r="V142">
            <v>850</v>
          </cell>
          <cell r="W142" t="str">
            <v>U</v>
          </cell>
          <cell r="X142" t="str">
            <v>N</v>
          </cell>
          <cell r="Y142" t="str">
            <v>L</v>
          </cell>
          <cell r="Z142" t="str">
            <v>N</v>
          </cell>
          <cell r="AA142" t="str">
            <v>N</v>
          </cell>
          <cell r="AB142" t="str">
            <v>IV</v>
          </cell>
          <cell r="AC142" t="str">
            <v>III</v>
          </cell>
          <cell r="AD142" t="str">
            <v>IV</v>
          </cell>
          <cell r="AE142" t="str">
            <v>IV</v>
          </cell>
          <cell r="AF142" t="str">
            <v xml:space="preserve">Source term for event expected to be limited to airborne contamination affected by large negative pressure associated with direct strike by a tornado. Facility confinement not expected to be affected by missiles of EBE.  MAR is activity in maximally loaded 2-drum Interim Storage Container (Ref. WVNS-CAL-397, Table A-2).  </v>
          </cell>
          <cell r="AG142" t="str">
            <v>•  None</v>
          </cell>
          <cell r="AH142" t="str">
            <v>•  None</v>
          </cell>
          <cell r="AI142" t="str">
            <v>•  None</v>
          </cell>
          <cell r="AJ142" t="str">
            <v>•  None</v>
          </cell>
          <cell r="AK142" t="str">
            <v>•  None</v>
          </cell>
          <cell r="AL142" t="str">
            <v>•  Facility design capable of maintaining confinement integrity following design basis events</v>
          </cell>
          <cell r="AM142" t="str">
            <v>•  None</v>
          </cell>
          <cell r="AN142" t="str">
            <v>•  Radiological Protection Program
•  Emergency Response Program
•  Performance Based Training Program
•  Conduct of Operations</v>
          </cell>
        </row>
        <row r="143">
          <cell r="A143" t="str">
            <v>RH</v>
          </cell>
          <cell r="B143">
            <v>16</v>
          </cell>
          <cell r="C143" t="str">
            <v>Seismic event</v>
          </cell>
          <cell r="D143" t="str">
            <v>Seismic event causes failure of equipment or structure which impacts facility contamination and/or seismic event disturbs loose surface contamination. Confinement boundaries are expected to remain intact.</v>
          </cell>
          <cell r="E143">
            <v>1000</v>
          </cell>
          <cell r="F143" t="str">
            <v>EQ</v>
          </cell>
          <cell r="G143">
            <v>0.1</v>
          </cell>
          <cell r="H143" t="str">
            <v>20m</v>
          </cell>
          <cell r="I143">
            <v>850</v>
          </cell>
          <cell r="J143" t="str">
            <v>U</v>
          </cell>
          <cell r="K143" t="str">
            <v>N</v>
          </cell>
          <cell r="L143" t="str">
            <v>L</v>
          </cell>
          <cell r="M143" t="str">
            <v>N</v>
          </cell>
          <cell r="N143" t="str">
            <v>N</v>
          </cell>
          <cell r="O143" t="str">
            <v>IV</v>
          </cell>
          <cell r="P143" t="str">
            <v>III</v>
          </cell>
          <cell r="Q143" t="str">
            <v>IV</v>
          </cell>
          <cell r="R143" t="str">
            <v>IV</v>
          </cell>
          <cell r="S143" t="str">
            <v>EQ</v>
          </cell>
          <cell r="T143">
            <v>0.1</v>
          </cell>
          <cell r="U143" t="str">
            <v>20m</v>
          </cell>
          <cell r="V143">
            <v>850</v>
          </cell>
          <cell r="W143" t="str">
            <v>U</v>
          </cell>
          <cell r="X143" t="str">
            <v>N</v>
          </cell>
          <cell r="Y143" t="str">
            <v>L</v>
          </cell>
          <cell r="Z143" t="str">
            <v>N</v>
          </cell>
          <cell r="AA143" t="str">
            <v>N</v>
          </cell>
          <cell r="AB143" t="str">
            <v>IV</v>
          </cell>
          <cell r="AC143" t="str">
            <v>III</v>
          </cell>
          <cell r="AD143" t="str">
            <v>IV</v>
          </cell>
          <cell r="AE143" t="str">
            <v>IV</v>
          </cell>
          <cell r="AF143" t="str">
            <v xml:space="preserve">Facility confinement boundaries expected to remain intact following EBE.  MAR is all waste originating from the HECs (Ref. WVNS-CAL-397, Table A-2, HC Gen Area = "HEC" or "PBS") plus ICA inventory limit.  </v>
          </cell>
          <cell r="AG143" t="str">
            <v>•  None</v>
          </cell>
          <cell r="AH143" t="str">
            <v>•  None</v>
          </cell>
          <cell r="AI143" t="str">
            <v>•  None</v>
          </cell>
          <cell r="AJ143" t="str">
            <v>•  None</v>
          </cell>
          <cell r="AK143" t="str">
            <v>•  None</v>
          </cell>
          <cell r="AL143" t="str">
            <v>•  Facility design capable of maintaining confinement integrity following design basis events</v>
          </cell>
          <cell r="AM143" t="str">
            <v>•  None</v>
          </cell>
          <cell r="AN143" t="str">
            <v>•  Radiological Protection Program
•  Emergency Response Program
•  Performance Based Training Program
•  Conduct of Operations</v>
          </cell>
        </row>
        <row r="144">
          <cell r="A144" t="str">
            <v>RH</v>
          </cell>
          <cell r="B144">
            <v>17</v>
          </cell>
          <cell r="C144" t="str">
            <v>HEPA filter fire</v>
          </cell>
          <cell r="D144" t="str">
            <v>In-cell fire propagates to HEPA filter bank</v>
          </cell>
          <cell r="E144">
            <v>1</v>
          </cell>
          <cell r="F144" t="str">
            <v>HF</v>
          </cell>
          <cell r="G144">
            <v>1</v>
          </cell>
          <cell r="H144" t="str">
            <v>20m</v>
          </cell>
          <cell r="I144">
            <v>850</v>
          </cell>
          <cell r="J144" t="str">
            <v>A</v>
          </cell>
          <cell r="K144" t="str">
            <v>N</v>
          </cell>
          <cell r="L144" t="str">
            <v>N</v>
          </cell>
          <cell r="M144" t="str">
            <v>N</v>
          </cell>
          <cell r="N144" t="str">
            <v>N</v>
          </cell>
          <cell r="O144" t="str">
            <v>IV</v>
          </cell>
          <cell r="P144" t="str">
            <v>IV</v>
          </cell>
          <cell r="Q144" t="str">
            <v>IV</v>
          </cell>
          <cell r="R144" t="str">
            <v>IV</v>
          </cell>
          <cell r="S144" t="str">
            <v>HF</v>
          </cell>
          <cell r="T144">
            <v>1</v>
          </cell>
          <cell r="U144" t="str">
            <v>20m</v>
          </cell>
          <cell r="V144">
            <v>850</v>
          </cell>
          <cell r="W144" t="str">
            <v>U</v>
          </cell>
          <cell r="X144" t="str">
            <v>N</v>
          </cell>
          <cell r="Y144" t="str">
            <v>N</v>
          </cell>
          <cell r="Z144" t="str">
            <v>N</v>
          </cell>
          <cell r="AA144" t="str">
            <v>N</v>
          </cell>
          <cell r="AB144" t="str">
            <v>IV</v>
          </cell>
          <cell r="AC144" t="str">
            <v>IV</v>
          </cell>
          <cell r="AD144" t="str">
            <v>IV</v>
          </cell>
          <cell r="AE144" t="str">
            <v>IV</v>
          </cell>
          <cell r="AF144" t="str">
            <v xml:space="preserve"> 10% of MPPB ventilation system MAR bounding for facility HEPA filters based on system environmental emission data </v>
          </cell>
          <cell r="AG144" t="str">
            <v>•  None</v>
          </cell>
          <cell r="AH144" t="str">
            <v>•  None</v>
          </cell>
          <cell r="AI144" t="str">
            <v>•  None</v>
          </cell>
          <cell r="AJ144" t="str">
            <v>•  Quality Assurance Program
•  Fire Protection Program
•  Performance Based Training Program
•  Maintenance Program
•  Conduct of Operations</v>
          </cell>
          <cell r="AK144" t="str">
            <v>•  None</v>
          </cell>
          <cell r="AL144" t="str">
            <v>•  Redundant ventilation system filter trains and blowers</v>
          </cell>
          <cell r="AM144" t="str">
            <v>•  None</v>
          </cell>
          <cell r="AN144" t="str">
            <v>•  Radiological Protection Program
•  Emergency Response Program
•  Fire Protection Program
•  Performance Based Training Program
•  Conduct of Operations</v>
          </cell>
        </row>
        <row r="145">
          <cell r="A145" t="str">
            <v>RH</v>
          </cell>
          <cell r="B145">
            <v>18</v>
          </cell>
          <cell r="C145" t="str">
            <v>HEPA filter failure</v>
          </cell>
          <cell r="D145" t="str">
            <v>Excess moisture or particulate on filters or area pressure excursion causes high filter differential pressure, resulting in filter failure</v>
          </cell>
          <cell r="E145">
            <v>1</v>
          </cell>
          <cell r="F145" t="str">
            <v>HB</v>
          </cell>
          <cell r="G145">
            <v>1</v>
          </cell>
          <cell r="H145" t="str">
            <v>20m</v>
          </cell>
          <cell r="I145">
            <v>850</v>
          </cell>
          <cell r="J145" t="str">
            <v>A</v>
          </cell>
          <cell r="K145" t="str">
            <v>N</v>
          </cell>
          <cell r="L145" t="str">
            <v>L</v>
          </cell>
          <cell r="M145" t="str">
            <v>N</v>
          </cell>
          <cell r="N145" t="str">
            <v>N</v>
          </cell>
          <cell r="O145" t="str">
            <v>IV</v>
          </cell>
          <cell r="P145" t="str">
            <v>III</v>
          </cell>
          <cell r="Q145" t="str">
            <v>IV</v>
          </cell>
          <cell r="R145" t="str">
            <v>IV</v>
          </cell>
          <cell r="S145" t="str">
            <v>HB</v>
          </cell>
          <cell r="T145">
            <v>1</v>
          </cell>
          <cell r="U145" t="str">
            <v>20m</v>
          </cell>
          <cell r="V145">
            <v>850</v>
          </cell>
          <cell r="W145" t="str">
            <v>U</v>
          </cell>
          <cell r="X145" t="str">
            <v>N</v>
          </cell>
          <cell r="Y145" t="str">
            <v>L</v>
          </cell>
          <cell r="Z145" t="str">
            <v>N</v>
          </cell>
          <cell r="AA145" t="str">
            <v>N</v>
          </cell>
          <cell r="AB145" t="str">
            <v>IV</v>
          </cell>
          <cell r="AC145" t="str">
            <v>III</v>
          </cell>
          <cell r="AD145" t="str">
            <v>IV</v>
          </cell>
          <cell r="AE145" t="str">
            <v>IV</v>
          </cell>
          <cell r="AF145" t="str">
            <v xml:space="preserve"> 10% of MPPB ventilation system MAR bounding for facility HEPA filters based on system environmental emission data </v>
          </cell>
          <cell r="AG145" t="str">
            <v>•  None</v>
          </cell>
          <cell r="AH145" t="str">
            <v>•  Instrumentation and controls to switch trains on high differential pressure
•  Instrumentation and controls to provide backup ventilation blower capability</v>
          </cell>
          <cell r="AI145" t="str">
            <v>•  None</v>
          </cell>
          <cell r="AJ145" t="str">
            <v>•  Quality Assurance Program
•  Fire Protection Program
•  Performance Based Training Program
•  Maintenance Program
•  Conduct of Operations</v>
          </cell>
          <cell r="AK145" t="str">
            <v>•  None</v>
          </cell>
          <cell r="AL145" t="str">
            <v>•  Redundant ventilation system filter trains and blowers</v>
          </cell>
          <cell r="AM145" t="str">
            <v>•  None</v>
          </cell>
          <cell r="AN145" t="str">
            <v>•  Radiological Protection Program
•  Emergency Response Program
•  Performance Based Training Program
•  Conduct of Operations</v>
          </cell>
        </row>
        <row r="146">
          <cell r="A146" t="str">
            <v>RH</v>
          </cell>
          <cell r="B146">
            <v>19</v>
          </cell>
          <cell r="C146" t="str">
            <v>Loss of airborne contamination confinement</v>
          </cell>
          <cell r="D146" t="str">
            <v>Loss of power/redundancy resulting in loss of exhaust blower operability or other upset condition resulting in loss of airborne contamination confinement.</v>
          </cell>
          <cell r="E146">
            <v>1000</v>
          </cell>
          <cell r="F146" t="str">
            <v>AER</v>
          </cell>
          <cell r="G146">
            <v>1</v>
          </cell>
          <cell r="H146" t="str">
            <v>20m</v>
          </cell>
          <cell r="I146">
            <v>850</v>
          </cell>
          <cell r="J146" t="str">
            <v>A</v>
          </cell>
          <cell r="K146" t="str">
            <v>N</v>
          </cell>
          <cell r="L146" t="str">
            <v>L</v>
          </cell>
          <cell r="M146" t="str">
            <v>N</v>
          </cell>
          <cell r="N146" t="str">
            <v>N</v>
          </cell>
          <cell r="O146" t="str">
            <v>IV</v>
          </cell>
          <cell r="P146" t="str">
            <v>III</v>
          </cell>
          <cell r="Q146" t="str">
            <v>IV</v>
          </cell>
          <cell r="R146" t="str">
            <v>IV</v>
          </cell>
          <cell r="S146" t="str">
            <v>AER</v>
          </cell>
          <cell r="T146">
            <v>1</v>
          </cell>
          <cell r="U146" t="str">
            <v>20m</v>
          </cell>
          <cell r="V146">
            <v>850</v>
          </cell>
          <cell r="W146" t="str">
            <v>A</v>
          </cell>
          <cell r="X146" t="str">
            <v>N</v>
          </cell>
          <cell r="Y146" t="str">
            <v>L</v>
          </cell>
          <cell r="Z146" t="str">
            <v>N</v>
          </cell>
          <cell r="AA146" t="str">
            <v>N</v>
          </cell>
          <cell r="AB146" t="str">
            <v>IV</v>
          </cell>
          <cell r="AC146" t="str">
            <v>III</v>
          </cell>
          <cell r="AD146" t="str">
            <v>IV</v>
          </cell>
          <cell r="AE146" t="str">
            <v>IV</v>
          </cell>
          <cell r="AF146" t="str">
            <v xml:space="preserve">Contamination assumed to migrate from confinement boundary penetrations through aerodynamic entrainment and resuspension under static facility conditions. MAR is all waste originating from the HECs (Ref. WVNS-CAL-397, Table A-2, HC Gen Area = "HEC" or "PBS") plus ICA inventory limit.  </v>
          </cell>
          <cell r="AG146" t="str">
            <v>•  None</v>
          </cell>
          <cell r="AH146" t="str">
            <v>•  Facility ventilation exhaust stack which continues to provide nominal facility negative via chimney effect</v>
          </cell>
          <cell r="AI146" t="str">
            <v>•  None</v>
          </cell>
          <cell r="AJ146" t="str">
            <v>•  Quality Assurance Program
•  Fire Protection Program
•  Performance Based Training Program
•  Maintenance Program
•  Conduct of Operations</v>
          </cell>
          <cell r="AK146" t="str">
            <v>•  None</v>
          </cell>
          <cell r="AL146" t="str">
            <v>•  Confinement capability of facility envelope
•  Nominal facility negative maintained on facility even under loss of active ventilation through stack "chimney effect"</v>
          </cell>
          <cell r="AM146" t="str">
            <v>•  None</v>
          </cell>
          <cell r="AN146" t="str">
            <v>•  Radiological Protection Program
•  Performance Based Training Program
•  Conduct of Operations</v>
          </cell>
        </row>
        <row r="147">
          <cell r="A147" t="str">
            <v>RH</v>
          </cell>
          <cell r="B147">
            <v>20</v>
          </cell>
          <cell r="C147" t="str">
            <v>Loss of liquid contamination confinement</v>
          </cell>
          <cell r="D147" t="str">
            <v>Vessel/line failure; sump overflow; roof leak; or other loss of contaminated liquid to an operating area or to the environment</v>
          </cell>
          <cell r="E147">
            <v>1</v>
          </cell>
          <cell r="F147" t="str">
            <v>FFS</v>
          </cell>
          <cell r="G147">
            <v>0.5</v>
          </cell>
          <cell r="H147" t="str">
            <v>20m</v>
          </cell>
          <cell r="I147">
            <v>850</v>
          </cell>
          <cell r="J147" t="str">
            <v>A</v>
          </cell>
          <cell r="K147" t="str">
            <v>N</v>
          </cell>
          <cell r="L147" t="str">
            <v>N</v>
          </cell>
          <cell r="M147" t="str">
            <v>N</v>
          </cell>
          <cell r="N147" t="str">
            <v>N</v>
          </cell>
          <cell r="O147" t="str">
            <v>IV</v>
          </cell>
          <cell r="P147" t="str">
            <v>IV</v>
          </cell>
          <cell r="Q147" t="str">
            <v>IV</v>
          </cell>
          <cell r="R147" t="str">
            <v>IV</v>
          </cell>
          <cell r="S147" t="str">
            <v>FFS</v>
          </cell>
          <cell r="T147">
            <v>0.5</v>
          </cell>
          <cell r="U147" t="str">
            <v>20m</v>
          </cell>
          <cell r="V147">
            <v>850</v>
          </cell>
          <cell r="W147" t="str">
            <v>A</v>
          </cell>
          <cell r="X147" t="str">
            <v>N</v>
          </cell>
          <cell r="Y147" t="str">
            <v>N</v>
          </cell>
          <cell r="Z147" t="str">
            <v>N</v>
          </cell>
          <cell r="AA147" t="str">
            <v>N</v>
          </cell>
          <cell r="AB147" t="str">
            <v>IV</v>
          </cell>
          <cell r="AC147" t="str">
            <v>IV</v>
          </cell>
          <cell r="AD147" t="str">
            <v>IV</v>
          </cell>
          <cell r="AE147" t="str">
            <v>IV</v>
          </cell>
          <cell r="AF147" t="str">
            <v xml:space="preserve">None.  </v>
          </cell>
          <cell r="AG147" t="str">
            <v>•  None</v>
          </cell>
          <cell r="AH147" t="str">
            <v>•  Cell liners/sumps and/or area berms</v>
          </cell>
          <cell r="AI147" t="str">
            <v>•  None</v>
          </cell>
          <cell r="AJ147" t="str">
            <v xml:space="preserve">•  Quality Assurance Program
•  Performance Based Training Program
•  Maintenance Program
•  Conduct of Operations
•  Waste Management Program </v>
          </cell>
          <cell r="AK147" t="str">
            <v>•  None</v>
          </cell>
          <cell r="AL147" t="str">
            <v>•  Cell sumps/liners</v>
          </cell>
          <cell r="AM147" t="str">
            <v>•  None</v>
          </cell>
          <cell r="AN147" t="str">
            <v>•  Radiological Protection Program
•  Performance Based Training Program
•  Conduct of Operations</v>
          </cell>
        </row>
        <row r="148">
          <cell r="A148" t="str">
            <v>RH</v>
          </cell>
          <cell r="B148">
            <v>21</v>
          </cell>
          <cell r="C148" t="str">
            <v>Flood</v>
          </cell>
          <cell r="D148" t="str">
            <v>A greater than 100-yr  rain event results in sheet flow that floods the storage area. Flooding may be exacerbated by plugged drainage channels or culverts.</v>
          </cell>
          <cell r="E148">
            <v>1000</v>
          </cell>
          <cell r="F148" t="str">
            <v>NA</v>
          </cell>
          <cell r="G148" t="str">
            <v>NA</v>
          </cell>
          <cell r="H148" t="str">
            <v>20m</v>
          </cell>
          <cell r="I148">
            <v>850</v>
          </cell>
          <cell r="J148" t="str">
            <v>U</v>
          </cell>
          <cell r="K148" t="str">
            <v>N</v>
          </cell>
          <cell r="L148" t="str">
            <v>N</v>
          </cell>
          <cell r="M148" t="str">
            <v>N</v>
          </cell>
          <cell r="N148" t="str">
            <v>N</v>
          </cell>
          <cell r="O148" t="str">
            <v>IV</v>
          </cell>
          <cell r="P148" t="str">
            <v>IV</v>
          </cell>
          <cell r="Q148" t="str">
            <v>IV</v>
          </cell>
          <cell r="R148" t="str">
            <v>IV</v>
          </cell>
          <cell r="S148" t="str">
            <v>NA</v>
          </cell>
          <cell r="T148" t="str">
            <v>NA</v>
          </cell>
          <cell r="U148" t="str">
            <v>20m</v>
          </cell>
          <cell r="V148">
            <v>850</v>
          </cell>
          <cell r="W148" t="str">
            <v>U</v>
          </cell>
          <cell r="X148" t="str">
            <v>N</v>
          </cell>
          <cell r="Y148" t="str">
            <v>N</v>
          </cell>
          <cell r="Z148" t="str">
            <v>N</v>
          </cell>
          <cell r="AA148" t="str">
            <v>N</v>
          </cell>
          <cell r="AB148" t="str">
            <v>IV</v>
          </cell>
          <cell r="AC148" t="str">
            <v>IV</v>
          </cell>
          <cell r="AD148" t="str">
            <v>IV</v>
          </cell>
          <cell r="AE148" t="str">
            <v>IV</v>
          </cell>
          <cell r="AF148" t="str">
            <v xml:space="preserve">Site topography places facility outside area vulnerable to flooding (ref. Figure 1.4-6).  MAR is all waste originating from the HECs (Ref. WVNS-CAL-397, Table A-2, HC Gen Area = "HEC" or "PBS") plus ICA inventory limit.  </v>
          </cell>
          <cell r="AG148" t="str">
            <v>•  None</v>
          </cell>
          <cell r="AH148" t="str">
            <v>•  Siting of storage array in area away from areas of anticipated flooding</v>
          </cell>
          <cell r="AI148" t="str">
            <v>•  None</v>
          </cell>
          <cell r="AJ148" t="str">
            <v>•  None</v>
          </cell>
          <cell r="AK148" t="str">
            <v>•  None</v>
          </cell>
          <cell r="AL148" t="str">
            <v>•  None</v>
          </cell>
          <cell r="AM148" t="str">
            <v>•  None</v>
          </cell>
          <cell r="AN148" t="str">
            <v>•  Radiological Protection Program
•  Performance Based Training Program
•  Conduct of Operations</v>
          </cell>
        </row>
        <row r="149">
          <cell r="A149" t="str">
            <v>TRN</v>
          </cell>
          <cell r="B149">
            <v>1</v>
          </cell>
          <cell r="C149" t="str">
            <v>Localized flammable liquid pool fire</v>
          </cell>
          <cell r="D149" t="str">
            <v>Fire or waste container(s) breach with fire ensuing while in transport, resulting in an uncontrolled release of hazardous material. Causes of breach include vehicle accident, container(s) improperly secured to vehicle, and lids(s) not secured adequately. Includes transport with trucks and powered industrial trucks.</v>
          </cell>
          <cell r="E149">
            <v>360</v>
          </cell>
          <cell r="F149" t="str">
            <v>E01</v>
          </cell>
          <cell r="G149">
            <v>1</v>
          </cell>
          <cell r="H149" t="str">
            <v>Gnd</v>
          </cell>
          <cell r="I149">
            <v>850</v>
          </cell>
          <cell r="J149" t="str">
            <v>EU</v>
          </cell>
          <cell r="K149" t="str">
            <v>H</v>
          </cell>
          <cell r="L149" t="str">
            <v>H</v>
          </cell>
          <cell r="M149" t="str">
            <v>N</v>
          </cell>
          <cell r="N149" t="str">
            <v>N</v>
          </cell>
          <cell r="O149" t="str">
            <v>II</v>
          </cell>
          <cell r="P149" t="str">
            <v>II</v>
          </cell>
          <cell r="Q149" t="str">
            <v>IV</v>
          </cell>
          <cell r="R149" t="str">
            <v>IV</v>
          </cell>
          <cell r="S149" t="str">
            <v>E01</v>
          </cell>
          <cell r="T149">
            <v>2.8000000000000001E-2</v>
          </cell>
          <cell r="U149" t="str">
            <v>Gnd</v>
          </cell>
          <cell r="V149">
            <v>850</v>
          </cell>
          <cell r="W149" t="str">
            <v>EU</v>
          </cell>
          <cell r="X149" t="str">
            <v>L</v>
          </cell>
          <cell r="Y149" t="str">
            <v>L</v>
          </cell>
          <cell r="Z149" t="str">
            <v>N</v>
          </cell>
          <cell r="AA149" t="str">
            <v>N</v>
          </cell>
          <cell r="AB149" t="str">
            <v>IV</v>
          </cell>
          <cell r="AC149" t="str">
            <v>IV</v>
          </cell>
          <cell r="AD149" t="str">
            <v>IV</v>
          </cell>
          <cell r="AE149" t="str">
            <v>IV</v>
          </cell>
          <cell r="AF149" t="str">
            <v>SAC for transportation of high activity waste recognized as for providing protection under accident conditions.  MAR is activity in maximally loaded 2-drum Interim Storage Container (Ref. WVNS-CAL-397, Table A-2).  DR reflects TSR to protect TRU waste containing greater than 10 PE-Ci from spills of flammable/ combustible liquids</v>
          </cell>
          <cell r="AG149" t="str">
            <v>•  None</v>
          </cell>
          <cell r="AH149" t="str">
            <v>•  None</v>
          </cell>
          <cell r="AI149" t="str">
            <v>• SAC for TRU waste transportation</v>
          </cell>
          <cell r="AJ149" t="str">
            <v xml:space="preserve">•  Quality Assurance Program
•  Fire Protection Program
•  Performance Based Training Program
•  Maintenance Program
•  Conduct of Operations
•  Waste Management Program </v>
          </cell>
          <cell r="AK149" t="str">
            <v>•  APPROVED CONTAINERS used for TRU waste storage
•  TSR-compliant packaging for high activity TRU waste</v>
          </cell>
          <cell r="AL149" t="str">
            <v>•  Steel-deck pallets that limit direct flame impingement on TRU containers</v>
          </cell>
          <cell r="AM149" t="str">
            <v>•  SAC for APPROVED CONTAINER use
•  SAC for facility inventory control</v>
          </cell>
          <cell r="AN149" t="str">
            <v>•  Radiological Protection Program
•  Emergency Response Program
•  Fire Protection Program
•  Performance Based Training Program
•  Conduct of Operations</v>
          </cell>
        </row>
        <row r="150">
          <cell r="A150" t="str">
            <v>TRN</v>
          </cell>
          <cell r="B150">
            <v>2</v>
          </cell>
          <cell r="C150" t="str">
            <v>Small combustible material fire</v>
          </cell>
          <cell r="D150" t="str">
            <v>Fire impacts TRU waste during transport, possibly due to impact. Includes accidents initiated due to pyrophoric reactions or reactions involving incompatible wastes.</v>
          </cell>
          <cell r="E150">
            <v>360</v>
          </cell>
          <cell r="F150" t="str">
            <v>E02</v>
          </cell>
          <cell r="G150">
            <v>1</v>
          </cell>
          <cell r="H150" t="str">
            <v>Gnd</v>
          </cell>
          <cell r="I150">
            <v>850</v>
          </cell>
          <cell r="J150" t="str">
            <v>U</v>
          </cell>
          <cell r="K150" t="str">
            <v>H</v>
          </cell>
          <cell r="L150" t="str">
            <v>H</v>
          </cell>
          <cell r="M150" t="str">
            <v>N</v>
          </cell>
          <cell r="N150" t="str">
            <v>N</v>
          </cell>
          <cell r="O150" t="str">
            <v>I</v>
          </cell>
          <cell r="P150" t="str">
            <v>I</v>
          </cell>
          <cell r="Q150" t="str">
            <v>IV</v>
          </cell>
          <cell r="R150" t="str">
            <v>IV</v>
          </cell>
          <cell r="S150" t="str">
            <v>E02</v>
          </cell>
          <cell r="T150">
            <v>2.8E-3</v>
          </cell>
          <cell r="U150" t="str">
            <v>Gnd</v>
          </cell>
          <cell r="V150">
            <v>850</v>
          </cell>
          <cell r="W150" t="str">
            <v>U</v>
          </cell>
          <cell r="X150" t="str">
            <v>L</v>
          </cell>
          <cell r="Y150" t="str">
            <v>L</v>
          </cell>
          <cell r="Z150" t="str">
            <v>N</v>
          </cell>
          <cell r="AA150" t="str">
            <v>N</v>
          </cell>
          <cell r="AB150" t="str">
            <v>III</v>
          </cell>
          <cell r="AC150" t="str">
            <v>III</v>
          </cell>
          <cell r="AD150" t="str">
            <v>IV</v>
          </cell>
          <cell r="AE150" t="str">
            <v>IV</v>
          </cell>
          <cell r="AF150" t="str">
            <v xml:space="preserve"> MAR is activity in maximally loaded 2-drum Interim Storage Container (Ref. WVNS-CAL-397, Table A-2).  DR reflects TSR that limits the amount of TRU waste that may be outside of an APPROVED CONTAINER to 1.0 PE-Ci.</v>
          </cell>
          <cell r="AG150" t="str">
            <v>•  None</v>
          </cell>
          <cell r="AH150" t="str">
            <v>•  None</v>
          </cell>
          <cell r="AI150" t="str">
            <v>•  None</v>
          </cell>
          <cell r="AJ150" t="str">
            <v xml:space="preserve">•  Quality Assurance Program
•  Performance Based Training Program
•  Waste Management Program </v>
          </cell>
          <cell r="AK150" t="str">
            <v>•  APPROVED CONTAINERS used for TRU waste storage
•  TSR-compliant packaging for high activity TRU waste</v>
          </cell>
          <cell r="AL150" t="str">
            <v>•  None</v>
          </cell>
          <cell r="AM150" t="str">
            <v>•  SAC for APPROVED CONTAINER use
•  SAC for facility inventory control</v>
          </cell>
          <cell r="AN150" t="str">
            <v>•  Radiological Protection Program
•  Emergency Response Program
•  Fire Protection Program
•  Performance Based Training Program
•  Conduct of Operations</v>
          </cell>
        </row>
        <row r="151">
          <cell r="A151" t="str">
            <v>TRN</v>
          </cell>
          <cell r="B151">
            <v>3</v>
          </cell>
          <cell r="C151" t="str">
            <v>Localized explosion external to container</v>
          </cell>
          <cell r="D151" t="str">
            <v xml:space="preserve">This event is assumed to be caused by an explosion involving a forktruck propane cylinder or other cylinder containing flammable gas (e.g. acetylene) that is associated with facility operations. In addition to explosion overpressures, an explosion could produce missiles that could impact MAR. </v>
          </cell>
          <cell r="E151">
            <v>360</v>
          </cell>
          <cell r="F151" t="str">
            <v>E05</v>
          </cell>
          <cell r="G151">
            <v>1</v>
          </cell>
          <cell r="H151" t="str">
            <v>Gnd</v>
          </cell>
          <cell r="I151">
            <v>850</v>
          </cell>
          <cell r="J151" t="str">
            <v>A</v>
          </cell>
          <cell r="K151" t="str">
            <v>H</v>
          </cell>
          <cell r="L151" t="str">
            <v>M</v>
          </cell>
          <cell r="M151" t="str">
            <v>N</v>
          </cell>
          <cell r="N151" t="str">
            <v>N</v>
          </cell>
          <cell r="O151" t="str">
            <v>I</v>
          </cell>
          <cell r="P151" t="str">
            <v>I</v>
          </cell>
          <cell r="Q151" t="str">
            <v>IV</v>
          </cell>
          <cell r="R151" t="str">
            <v>IV</v>
          </cell>
          <cell r="S151" t="str">
            <v>E05</v>
          </cell>
          <cell r="T151">
            <v>2.8000000000000001E-2</v>
          </cell>
          <cell r="U151" t="str">
            <v>Gnd</v>
          </cell>
          <cell r="V151">
            <v>850</v>
          </cell>
          <cell r="W151" t="str">
            <v>U</v>
          </cell>
          <cell r="X151" t="str">
            <v>L</v>
          </cell>
          <cell r="Y151" t="str">
            <v>L</v>
          </cell>
          <cell r="Z151" t="str">
            <v>N</v>
          </cell>
          <cell r="AA151" t="str">
            <v>N</v>
          </cell>
          <cell r="AB151" t="str">
            <v>III</v>
          </cell>
          <cell r="AC151" t="str">
            <v>III</v>
          </cell>
          <cell r="AD151" t="str">
            <v>IV</v>
          </cell>
          <cell r="AE151" t="str">
            <v>IV</v>
          </cell>
          <cell r="AF151" t="str">
            <v>APPROVED CONTAINERS credited with mitigating consequences. MAR is activity in maximally loaded 2-drum Interim Storage Container (Ref. WVNS-CAL-397, Table A-2).  DR credits SAC that requires TRU waste containing &gt;10 PE-Ci be in containers capable of meeting SAC physical protection functional requirements.</v>
          </cell>
          <cell r="AG151" t="str">
            <v>•  None</v>
          </cell>
          <cell r="AH151" t="str">
            <v>•  None</v>
          </cell>
          <cell r="AI151" t="str">
            <v>•  None</v>
          </cell>
          <cell r="AJ151" t="str">
            <v xml:space="preserve">•  Quality Assurance Program
•  Fire Protection Program
•  Performance Based Training Program
•  Maintenance Program
•  Waste Management Program </v>
          </cell>
          <cell r="AK151" t="str">
            <v>•   APPROVED CONTAINERS used for TRU waste storage
•   TSR-compliant packaging for high activity TRU waste</v>
          </cell>
          <cell r="AL151" t="str">
            <v>•  None</v>
          </cell>
          <cell r="AM151" t="str">
            <v>•  SAC for APPROVED CONTAINER use
•  SAC for facility inventory control</v>
          </cell>
          <cell r="AN151" t="str">
            <v>•  Radiological Protection Program
•  Emergency Response Program
•  Fire Protection Program
•  Performance Based Training Program
•  Conduct of Operations</v>
          </cell>
        </row>
        <row r="152">
          <cell r="A152" t="str">
            <v>TRN</v>
          </cell>
          <cell r="B152">
            <v>4</v>
          </cell>
          <cell r="C152" t="str">
            <v>Vehicle/equipment impacts waste/waste containers</v>
          </cell>
          <cell r="D152" t="str">
            <v>A mishap associated with the operation of vehicles at low speed (&lt;10 mph) or impact with handling equipment. Event assumed to result in loss of airborne contamination confinement due to puncture by forklift tines;  stacked drum array falling; or other similar causes.</v>
          </cell>
          <cell r="E152">
            <v>360</v>
          </cell>
          <cell r="F152" t="str">
            <v>E09</v>
          </cell>
          <cell r="G152">
            <v>0.01</v>
          </cell>
          <cell r="H152" t="str">
            <v>Gnd</v>
          </cell>
          <cell r="I152">
            <v>850</v>
          </cell>
          <cell r="J152" t="str">
            <v>A</v>
          </cell>
          <cell r="K152" t="str">
            <v>N</v>
          </cell>
          <cell r="L152" t="str">
            <v>L</v>
          </cell>
          <cell r="M152" t="str">
            <v>N</v>
          </cell>
          <cell r="N152" t="str">
            <v>N</v>
          </cell>
          <cell r="O152" t="str">
            <v>IV</v>
          </cell>
          <cell r="P152" t="str">
            <v>III</v>
          </cell>
          <cell r="Q152" t="str">
            <v>IV</v>
          </cell>
          <cell r="R152" t="str">
            <v>IV</v>
          </cell>
          <cell r="S152" t="str">
            <v>E09</v>
          </cell>
          <cell r="T152">
            <v>0.01</v>
          </cell>
          <cell r="U152" t="str">
            <v>Gnd</v>
          </cell>
          <cell r="V152">
            <v>850</v>
          </cell>
          <cell r="W152" t="str">
            <v>A</v>
          </cell>
          <cell r="X152" t="str">
            <v>N</v>
          </cell>
          <cell r="Y152" t="str">
            <v>L</v>
          </cell>
          <cell r="Z152" t="str">
            <v>N</v>
          </cell>
          <cell r="AA152" t="str">
            <v>N</v>
          </cell>
          <cell r="AB152" t="str">
            <v>IV</v>
          </cell>
          <cell r="AC152" t="str">
            <v>III</v>
          </cell>
          <cell r="AD152" t="str">
            <v>IV</v>
          </cell>
          <cell r="AE152" t="str">
            <v>IV</v>
          </cell>
          <cell r="AF152" t="str">
            <v xml:space="preserve">Containers assumed to be impacted by handling equipment travelling &lt;10 mph.  MAR is activity in maximally loaded 2-drum Interim Storage Container (Ref. WVNS-CAL-397, Table A-2).  </v>
          </cell>
          <cell r="AG152" t="str">
            <v>•  None</v>
          </cell>
          <cell r="AH152" t="str">
            <v>•  Physical barriers such as Jersey barriers or facility structure that protects waste containers from vehicle impacts</v>
          </cell>
          <cell r="AI152" t="str">
            <v>• SAC for TRU waste transportation</v>
          </cell>
          <cell r="AJ152" t="str">
            <v xml:space="preserve">•  Quality Assurance Program
•  Performance Based Training Program
•  Maintenance Program
•  Conduct of Operations
•  Waste Management Program </v>
          </cell>
          <cell r="AK152" t="str">
            <v>•   TSR-compliant packaging for high activity TRU waste</v>
          </cell>
          <cell r="AL152" t="str">
            <v>•  None</v>
          </cell>
          <cell r="AM152" t="str">
            <v>•  None</v>
          </cell>
          <cell r="AN152" t="str">
            <v>•  Radiological Protection Program
•  Emergency Response Program
•  Performance Based Training Program
•  Conduct of Operations</v>
          </cell>
        </row>
        <row r="153">
          <cell r="A153" t="str">
            <v>TRN</v>
          </cell>
          <cell r="B153">
            <v>5</v>
          </cell>
          <cell r="C153" t="str">
            <v>Drop/impact/spill</v>
          </cell>
          <cell r="D153" t="str">
            <v>This event is due to mishandling of containers; or to drops/impacts caused by equipment failure; or leaks caused by corrosion, construction defect, or improper closure. Causes of breach include vehicle accident; container improperly secured to vehicle; and lids not secured adequately. Includes crane drops.</v>
          </cell>
          <cell r="E153">
            <v>360</v>
          </cell>
          <cell r="F153" t="str">
            <v>E10</v>
          </cell>
          <cell r="G153">
            <v>0.1</v>
          </cell>
          <cell r="H153" t="str">
            <v>Gnd</v>
          </cell>
          <cell r="I153">
            <v>850</v>
          </cell>
          <cell r="J153" t="str">
            <v>A</v>
          </cell>
          <cell r="K153" t="str">
            <v>L</v>
          </cell>
          <cell r="L153" t="str">
            <v>L</v>
          </cell>
          <cell r="M153" t="str">
            <v>N</v>
          </cell>
          <cell r="N153" t="str">
            <v>N</v>
          </cell>
          <cell r="O153" t="str">
            <v>III</v>
          </cell>
          <cell r="P153" t="str">
            <v>III</v>
          </cell>
          <cell r="Q153" t="str">
            <v>IV</v>
          </cell>
          <cell r="R153" t="str">
            <v>IV</v>
          </cell>
          <cell r="S153" t="str">
            <v>E10</v>
          </cell>
          <cell r="T153">
            <v>0.1</v>
          </cell>
          <cell r="U153" t="str">
            <v>Gnd</v>
          </cell>
          <cell r="V153">
            <v>850</v>
          </cell>
          <cell r="W153" t="str">
            <v>U</v>
          </cell>
          <cell r="X153" t="str">
            <v>L</v>
          </cell>
          <cell r="Y153" t="str">
            <v>L</v>
          </cell>
          <cell r="Z153" t="str">
            <v>N</v>
          </cell>
          <cell r="AA153" t="str">
            <v>N</v>
          </cell>
          <cell r="AB153" t="str">
            <v>III</v>
          </cell>
          <cell r="AC153" t="str">
            <v>III</v>
          </cell>
          <cell r="AD153" t="str">
            <v>IV</v>
          </cell>
          <cell r="AE153" t="str">
            <v>IV</v>
          </cell>
          <cell r="AF153" t="str">
            <v xml:space="preserve">Event is a low energy breach of container confinement (e.g. tine puncture or container drop).  MAR is activity in maximally loaded 2-drum Interim Storage Container (Ref. WVNS-CAL-397, Table A-2).  </v>
          </cell>
          <cell r="AG153" t="str">
            <v>•  None</v>
          </cell>
          <cell r="AH153" t="str">
            <v>•  None</v>
          </cell>
          <cell r="AI153" t="str">
            <v>•  None</v>
          </cell>
          <cell r="AJ153" t="str">
            <v xml:space="preserve">•  Quality Assurance Program
•  Performance Based Training Program
•  Maintenance Program
•  Conduct of Operations
•  Waste Management Program </v>
          </cell>
          <cell r="AK153" t="str">
            <v>•   TSR-compliant packaging for high activity TRU waste</v>
          </cell>
          <cell r="AL153" t="str">
            <v>•  None</v>
          </cell>
          <cell r="AM153" t="str">
            <v>•  None</v>
          </cell>
          <cell r="AN153" t="str">
            <v>•  Radiological Protection Program
•  Emergency Response Program
•  Performance Based Training Program
•  Conduct of Operations</v>
          </cell>
        </row>
        <row r="154">
          <cell r="A154" t="str">
            <v>TRN</v>
          </cell>
          <cell r="B154">
            <v>6</v>
          </cell>
          <cell r="C154" t="str">
            <v>Criticality</v>
          </cell>
          <cell r="D154" t="str">
            <v>Inadvertent criticality occurs due to multiple independent failures and/or highly improbable circumstances</v>
          </cell>
          <cell r="E154" t="str">
            <v>&gt;450 FGE
Pu-239</v>
          </cell>
          <cell r="F154" t="str">
            <v>NA</v>
          </cell>
          <cell r="G154" t="str">
            <v>NA</v>
          </cell>
          <cell r="H154" t="str">
            <v>Gnd</v>
          </cell>
          <cell r="I154">
            <v>850</v>
          </cell>
          <cell r="J154" t="str">
            <v>BEU</v>
          </cell>
          <cell r="K154" t="str">
            <v>H</v>
          </cell>
          <cell r="L154" t="str">
            <v>N</v>
          </cell>
          <cell r="M154" t="str">
            <v>N</v>
          </cell>
          <cell r="N154" t="str">
            <v>N</v>
          </cell>
          <cell r="O154" t="str">
            <v>III</v>
          </cell>
          <cell r="P154" t="str">
            <v>IV</v>
          </cell>
          <cell r="Q154" t="str">
            <v>IV</v>
          </cell>
          <cell r="R154" t="str">
            <v>IV</v>
          </cell>
          <cell r="S154" t="str">
            <v>NA</v>
          </cell>
          <cell r="T154" t="str">
            <v>NA</v>
          </cell>
          <cell r="U154" t="str">
            <v>Gnd</v>
          </cell>
          <cell r="V154">
            <v>850</v>
          </cell>
          <cell r="W154" t="str">
            <v>BEU</v>
          </cell>
          <cell r="X154" t="str">
            <v>H</v>
          </cell>
          <cell r="Y154" t="str">
            <v>N</v>
          </cell>
          <cell r="Z154" t="str">
            <v>N</v>
          </cell>
          <cell r="AA154" t="str">
            <v>N</v>
          </cell>
          <cell r="AB154" t="str">
            <v>III</v>
          </cell>
          <cell r="AC154" t="str">
            <v>IV</v>
          </cell>
          <cell r="AD154" t="str">
            <v>IV</v>
          </cell>
          <cell r="AE154" t="str">
            <v>IV</v>
          </cell>
          <cell r="AF154" t="str">
            <v xml:space="preserve">Wastes containing significant quantities of fissile material transported in TSR-compliant containers which would ensure that container spacing is maintained in the event of credible accident conditions.  </v>
          </cell>
          <cell r="AG154" t="str">
            <v>• PSRs for fissile material storage container specifications</v>
          </cell>
          <cell r="AH154" t="str">
            <v>•  None</v>
          </cell>
          <cell r="AI154" t="str">
            <v>• PSR limits on container fissile mass
• PSR for fissile material storage containers</v>
          </cell>
          <cell r="AJ154" t="str">
            <v xml:space="preserve">•  Radiological Protection Program
•  Nuclear Criticality Safety Program
•  Quality Assurance Program
•  Performance Based Training Program
•  Conduct of Operations
•  Waste Management Program </v>
          </cell>
          <cell r="AK154" t="str">
            <v>•  None</v>
          </cell>
          <cell r="AL154" t="str">
            <v>•  None</v>
          </cell>
          <cell r="AM154" t="str">
            <v>•  None</v>
          </cell>
          <cell r="AN154" t="str">
            <v>•  Radiological Protection Program
•  Nuclear Criticality Safety Program
•  Emergency Response Program
•  Performance Based Training Program
•  Conduct of Operations</v>
          </cell>
        </row>
        <row r="155">
          <cell r="A155" t="str">
            <v>TRN</v>
          </cell>
          <cell r="B155">
            <v>7</v>
          </cell>
          <cell r="C155" t="str">
            <v>Direct exposure to radiation</v>
          </cell>
          <cell r="D155" t="str">
            <v>Vehicle accident while transporting waste container(s) results in container damage/shielding reconfiguration such that dose to worker(s) on the order of tens of rem potentially occurs.</v>
          </cell>
          <cell r="E155" t="str">
            <v>Not applicable.</v>
          </cell>
          <cell r="F155" t="str">
            <v>NA</v>
          </cell>
          <cell r="G155" t="str">
            <v>NA</v>
          </cell>
          <cell r="H155" t="str">
            <v>Gnd</v>
          </cell>
          <cell r="I155">
            <v>850</v>
          </cell>
          <cell r="J155" t="str">
            <v>A</v>
          </cell>
          <cell r="K155" t="str">
            <v>M</v>
          </cell>
          <cell r="L155" t="str">
            <v>N</v>
          </cell>
          <cell r="M155" t="str">
            <v>N</v>
          </cell>
          <cell r="N155" t="str">
            <v>N</v>
          </cell>
          <cell r="O155" t="str">
            <v>I</v>
          </cell>
          <cell r="P155" t="str">
            <v>IV</v>
          </cell>
          <cell r="Q155" t="str">
            <v>IV</v>
          </cell>
          <cell r="R155" t="str">
            <v>IV</v>
          </cell>
          <cell r="S155" t="str">
            <v>NA</v>
          </cell>
          <cell r="T155" t="str">
            <v>NA</v>
          </cell>
          <cell r="U155" t="str">
            <v>Gnd</v>
          </cell>
          <cell r="V155">
            <v>850</v>
          </cell>
          <cell r="W155" t="str">
            <v>U</v>
          </cell>
          <cell r="X155" t="str">
            <v>L</v>
          </cell>
          <cell r="Y155" t="str">
            <v>N</v>
          </cell>
          <cell r="Z155" t="str">
            <v>N</v>
          </cell>
          <cell r="AA155" t="str">
            <v>N</v>
          </cell>
          <cell r="AB155" t="str">
            <v>III</v>
          </cell>
          <cell r="AC155" t="str">
            <v>IV</v>
          </cell>
          <cell r="AD155" t="str">
            <v>IV</v>
          </cell>
          <cell r="AE155" t="str">
            <v>IV</v>
          </cell>
          <cell r="AF155" t="str">
            <v xml:space="preserve">Radiation Protection Program credited with ensuring that personnel exposures are within DOE accepted guidelines.   </v>
          </cell>
          <cell r="AG155" t="str">
            <v>•  None</v>
          </cell>
          <cell r="AH155" t="str">
            <v>•  Engineered radiation shielding on high dose rate waste containers</v>
          </cell>
          <cell r="AI155" t="str">
            <v>•  None</v>
          </cell>
          <cell r="AJ155" t="str">
            <v xml:space="preserve">•  Radiological Protection Program
•  Quality Assurance Program
•  Performance Based Training Program
•  Conduct of Operations
•  Waste Management Program </v>
          </cell>
          <cell r="AK155" t="str">
            <v>•  None</v>
          </cell>
          <cell r="AL155" t="str">
            <v>•  None</v>
          </cell>
          <cell r="AM155" t="str">
            <v>•  None</v>
          </cell>
          <cell r="AN155" t="str">
            <v>•  Radiological Protection Program
•  Performance Based Training Program
•  Conduct of Operations</v>
          </cell>
        </row>
        <row r="156">
          <cell r="A156" t="str">
            <v>TRN</v>
          </cell>
          <cell r="B156">
            <v>8</v>
          </cell>
          <cell r="C156" t="str">
            <v>Loss of liquid contamination confinement</v>
          </cell>
          <cell r="D156" t="str">
            <v>Waste container containing residual liquids fails, resulting in loss of liquid contamination to the environment</v>
          </cell>
          <cell r="E156">
            <v>1</v>
          </cell>
          <cell r="F156" t="str">
            <v>FFS</v>
          </cell>
          <cell r="G156">
            <v>0.5</v>
          </cell>
          <cell r="H156" t="str">
            <v>Gnd</v>
          </cell>
          <cell r="I156">
            <v>850</v>
          </cell>
          <cell r="J156" t="str">
            <v>A</v>
          </cell>
          <cell r="K156" t="str">
            <v>N</v>
          </cell>
          <cell r="L156" t="str">
            <v>N</v>
          </cell>
          <cell r="M156" t="str">
            <v>N</v>
          </cell>
          <cell r="N156" t="str">
            <v>N</v>
          </cell>
          <cell r="O156" t="str">
            <v>IV</v>
          </cell>
          <cell r="P156" t="str">
            <v>IV</v>
          </cell>
          <cell r="Q156" t="str">
            <v>IV</v>
          </cell>
          <cell r="R156" t="str">
            <v>IV</v>
          </cell>
          <cell r="S156" t="str">
            <v>FFS</v>
          </cell>
          <cell r="T156">
            <v>0.5</v>
          </cell>
          <cell r="U156" t="str">
            <v>Gnd</v>
          </cell>
          <cell r="V156">
            <v>850</v>
          </cell>
          <cell r="W156" t="str">
            <v>A</v>
          </cell>
          <cell r="X156" t="str">
            <v>N</v>
          </cell>
          <cell r="Y156" t="str">
            <v>N</v>
          </cell>
          <cell r="Z156" t="str">
            <v>N</v>
          </cell>
          <cell r="AA156" t="str">
            <v>N</v>
          </cell>
          <cell r="AB156" t="str">
            <v>IV</v>
          </cell>
          <cell r="AC156" t="str">
            <v>IV</v>
          </cell>
          <cell r="AD156" t="str">
            <v>IV</v>
          </cell>
          <cell r="AE156" t="str">
            <v>IV</v>
          </cell>
          <cell r="AF156" t="str">
            <v xml:space="preserve">None.  </v>
          </cell>
          <cell r="AG156" t="str">
            <v>•  None</v>
          </cell>
          <cell r="AH156" t="str">
            <v>•  Cell liners/sumps and/or area berms</v>
          </cell>
          <cell r="AI156" t="str">
            <v>•  None</v>
          </cell>
          <cell r="AJ156" t="str">
            <v xml:space="preserve">•  Quality Assurance Program
•  Performance Based Training Program
•  Maintenance Program
•  Conduct of Operations
•  Waste Management Program </v>
          </cell>
          <cell r="AK156" t="str">
            <v>•  None</v>
          </cell>
          <cell r="AL156" t="str">
            <v>•  None</v>
          </cell>
          <cell r="AM156" t="str">
            <v>•  None</v>
          </cell>
          <cell r="AN156" t="str">
            <v>•  Radiological Protection Program
•  Performance Based Training Program
•  Conduct of Operations</v>
          </cell>
        </row>
        <row r="157">
          <cell r="A157" t="str">
            <v>VF</v>
          </cell>
          <cell r="B157">
            <v>1</v>
          </cell>
          <cell r="C157" t="str">
            <v>Small combustible material fire</v>
          </cell>
          <cell r="D157" t="str">
            <v>Fire occurs in a contaminated facility area. Includes accidents initiated due to pyrophoric reactions or reactions involving incompatible materials.</v>
          </cell>
          <cell r="E157">
            <v>360</v>
          </cell>
          <cell r="F157" t="str">
            <v>E02</v>
          </cell>
          <cell r="G157">
            <v>1</v>
          </cell>
          <cell r="H157" t="str">
            <v>20m</v>
          </cell>
          <cell r="I157">
            <v>850</v>
          </cell>
          <cell r="J157" t="str">
            <v>A</v>
          </cell>
          <cell r="K157" t="str">
            <v>N</v>
          </cell>
          <cell r="L157" t="str">
            <v>M</v>
          </cell>
          <cell r="M157" t="str">
            <v>N</v>
          </cell>
          <cell r="N157" t="str">
            <v>N</v>
          </cell>
          <cell r="O157" t="str">
            <v>IV</v>
          </cell>
          <cell r="P157" t="str">
            <v>I</v>
          </cell>
          <cell r="Q157" t="str">
            <v>IV</v>
          </cell>
          <cell r="R157" t="str">
            <v>IV</v>
          </cell>
          <cell r="S157" t="str">
            <v>CWF</v>
          </cell>
          <cell r="T157">
            <v>1</v>
          </cell>
          <cell r="U157" t="str">
            <v>20m</v>
          </cell>
          <cell r="V157">
            <v>850</v>
          </cell>
          <cell r="W157" t="str">
            <v>U</v>
          </cell>
          <cell r="X157" t="str">
            <v>N</v>
          </cell>
          <cell r="Y157" t="str">
            <v>L</v>
          </cell>
          <cell r="Z157" t="str">
            <v>N</v>
          </cell>
          <cell r="AA157" t="str">
            <v>N</v>
          </cell>
          <cell r="AB157" t="str">
            <v>IV</v>
          </cell>
          <cell r="AC157" t="str">
            <v>III</v>
          </cell>
          <cell r="AD157" t="str">
            <v>IV</v>
          </cell>
          <cell r="AE157" t="str">
            <v>IV</v>
          </cell>
          <cell r="AF157" t="str">
            <v xml:space="preserve">Releases are assumed to be through facility stack, even under loss of active ventilation, via stack chimney effect.  Credit taken for Fire Protection Program controls in assuming mitigated event progresses as contained waste fire.  MAR is activity in maximally loaded 2-drum Interim Storage Container (Ref. WVNS-CAL-397, Table A-2).  </v>
          </cell>
          <cell r="AG157" t="str">
            <v>•  None</v>
          </cell>
          <cell r="AH157" t="str">
            <v>•  None</v>
          </cell>
          <cell r="AI157" t="str">
            <v>•  None</v>
          </cell>
          <cell r="AJ157" t="str">
            <v xml:space="preserve">•  Quality Assurance Program
•  Fire Protection Program
-   “Hot work” controls
-   Combustible material control program
•  Performance Based Training Program
•  Maintenance Program
•  Conduct of Operations
•  Waste Management Program </v>
          </cell>
          <cell r="AK157" t="str">
            <v>•  None</v>
          </cell>
          <cell r="AL157" t="str">
            <v>•  Fire rated cell walls and shield doors</v>
          </cell>
          <cell r="AM157" t="str">
            <v>•  None</v>
          </cell>
          <cell r="AN157" t="str">
            <v>•  Radiological Protection Program
•  Emergency Response Program
•  Fire Protection Program
•  Performance Based Training Program
•  Conduct of Operations</v>
          </cell>
        </row>
        <row r="158">
          <cell r="A158" t="str">
            <v>VF</v>
          </cell>
          <cell r="B158">
            <v>2</v>
          </cell>
          <cell r="C158" t="str">
            <v>Large fire</v>
          </cell>
          <cell r="D158" t="str">
            <v>Large cell fire. Expected to be bounded by combustion of shield window mineral oil following window failure. Fire may initiate due to ignition of combustible or pyrophoric material in cell.</v>
          </cell>
          <cell r="E158">
            <v>1500</v>
          </cell>
          <cell r="F158" t="str">
            <v>E04</v>
          </cell>
          <cell r="G158">
            <v>0.5</v>
          </cell>
          <cell r="H158" t="str">
            <v>20m</v>
          </cell>
          <cell r="I158">
            <v>850</v>
          </cell>
          <cell r="J158" t="str">
            <v>U</v>
          </cell>
          <cell r="K158" t="str">
            <v>N</v>
          </cell>
          <cell r="L158" t="str">
            <v>L</v>
          </cell>
          <cell r="M158" t="str">
            <v>N</v>
          </cell>
          <cell r="N158" t="str">
            <v>N</v>
          </cell>
          <cell r="O158" t="str">
            <v>IV</v>
          </cell>
          <cell r="P158" t="str">
            <v>III</v>
          </cell>
          <cell r="Q158" t="str">
            <v>IV</v>
          </cell>
          <cell r="R158" t="str">
            <v>IV</v>
          </cell>
          <cell r="S158" t="str">
            <v>E04</v>
          </cell>
          <cell r="T158">
            <v>0.5</v>
          </cell>
          <cell r="U158" t="str">
            <v>20m</v>
          </cell>
          <cell r="V158">
            <v>850</v>
          </cell>
          <cell r="W158" t="str">
            <v>EU</v>
          </cell>
          <cell r="X158" t="str">
            <v>N</v>
          </cell>
          <cell r="Y158" t="str">
            <v>L</v>
          </cell>
          <cell r="Z158" t="str">
            <v>N</v>
          </cell>
          <cell r="AA158" t="str">
            <v>N</v>
          </cell>
          <cell r="AB158" t="str">
            <v>IV</v>
          </cell>
          <cell r="AC158" t="str">
            <v>IV</v>
          </cell>
          <cell r="AD158" t="str">
            <v>IV</v>
          </cell>
          <cell r="AE158" t="str">
            <v>IV</v>
          </cell>
          <cell r="AF158" t="str">
            <v xml:space="preserve">Release bounds any potential releases associated with handling HLW in Vit Cell. Releases are assumed to be through facility stack, even under loss of active ventilation, via stack chimney effect. MAR is entire inventory of radioactive material in the Vitrification Facility (Ref. WVNS-CAL-397, Table C-1).  </v>
          </cell>
          <cell r="AG158" t="str">
            <v>•  None</v>
          </cell>
          <cell r="AH158" t="str">
            <v>•  None</v>
          </cell>
          <cell r="AI158" t="str">
            <v>•  None</v>
          </cell>
          <cell r="AJ158" t="str">
            <v xml:space="preserve">•  Quality Assurance Program
•  Fire Protection Program
-   “Hot work” controls
-   Combustible material control program
•  Performance Based Training Program
•  Maintenance Program
•  Waste Management Program </v>
          </cell>
          <cell r="AK158" t="str">
            <v>•  None</v>
          </cell>
          <cell r="AL158" t="str">
            <v>•  Fire rated cell walls and shield doors</v>
          </cell>
          <cell r="AM158" t="str">
            <v>•  None</v>
          </cell>
          <cell r="AN158" t="str">
            <v>•  Radiological Protection Program
•  Emergency Response Program
•  Fire Protection Program
•  Performance Based Training Program
•  Conduct of Operations</v>
          </cell>
        </row>
        <row r="159">
          <cell r="A159" t="str">
            <v>VF</v>
          </cell>
          <cell r="B159">
            <v>3</v>
          </cell>
          <cell r="C159" t="str">
            <v>Localized explosion within facility</v>
          </cell>
          <cell r="D159" t="str">
            <v>Localized explosion within facility.</v>
          </cell>
          <cell r="E159">
            <v>360</v>
          </cell>
          <cell r="F159" t="str">
            <v>ES</v>
          </cell>
          <cell r="G159">
            <v>1</v>
          </cell>
          <cell r="H159" t="str">
            <v>20m</v>
          </cell>
          <cell r="I159">
            <v>850</v>
          </cell>
          <cell r="J159" t="str">
            <v>U</v>
          </cell>
          <cell r="K159" t="str">
            <v>N</v>
          </cell>
          <cell r="L159" t="str">
            <v>L</v>
          </cell>
          <cell r="M159" t="str">
            <v>N</v>
          </cell>
          <cell r="N159" t="str">
            <v>N</v>
          </cell>
          <cell r="O159" t="str">
            <v>IV</v>
          </cell>
          <cell r="P159" t="str">
            <v>III</v>
          </cell>
          <cell r="Q159" t="str">
            <v>IV</v>
          </cell>
          <cell r="R159" t="str">
            <v>IV</v>
          </cell>
          <cell r="S159" t="str">
            <v>ES</v>
          </cell>
          <cell r="T159">
            <v>1</v>
          </cell>
          <cell r="U159" t="str">
            <v>20m</v>
          </cell>
          <cell r="V159">
            <v>850</v>
          </cell>
          <cell r="W159" t="str">
            <v>U</v>
          </cell>
          <cell r="X159" t="str">
            <v>N</v>
          </cell>
          <cell r="Y159" t="str">
            <v>L</v>
          </cell>
          <cell r="Z159" t="str">
            <v>N</v>
          </cell>
          <cell r="AA159" t="str">
            <v>N</v>
          </cell>
          <cell r="AB159" t="str">
            <v>IV</v>
          </cell>
          <cell r="AC159" t="str">
            <v>III</v>
          </cell>
          <cell r="AD159" t="str">
            <v>IV</v>
          </cell>
          <cell r="AE159" t="str">
            <v>IV</v>
          </cell>
          <cell r="AF159" t="str">
            <v xml:space="preserve">Event is assumed to be due to ignition of flammable gas associated with D&amp;D activities (e.g., cutting gases, pressurized decontamination gases, etc.).  MAR is activity in maximally loaded 2-drum Interim Storage Container (Ref. WVNS-CAL-397, Table A-2).  </v>
          </cell>
          <cell r="AG159" t="str">
            <v>•  None</v>
          </cell>
          <cell r="AH159" t="str">
            <v>•  None</v>
          </cell>
          <cell r="AI159" t="str">
            <v>•  None</v>
          </cell>
          <cell r="AJ159" t="str">
            <v>•  Quality Assurance Program
•  Fire Protection Program
•  Performance Based Training Program
•  Maintenance Program
•  Conduct of Operations</v>
          </cell>
          <cell r="AK159" t="str">
            <v>•  None</v>
          </cell>
          <cell r="AL159" t="str">
            <v>•  Reinforced concrete shield walls</v>
          </cell>
          <cell r="AM159" t="str">
            <v>•  None</v>
          </cell>
          <cell r="AN159" t="str">
            <v>•  Radiological Protection Program
•  Emergency Response Program
•  Fire Protection Program
•  Performance Based Training Program
•  Conduct of Operations</v>
          </cell>
        </row>
        <row r="160">
          <cell r="A160" t="str">
            <v>VF</v>
          </cell>
          <cell r="B160">
            <v>4</v>
          </cell>
          <cell r="C160" t="str">
            <v>Drop/impact/spill</v>
          </cell>
          <cell r="D160" t="str">
            <v>This event is due to mishandling of containers; or to drops/impacts caused by equipment failure; or leaks caused by corrosion, construction defect, or improper closure. Analysis includes impacts affecting vitrified waste canisters.</v>
          </cell>
          <cell r="E160">
            <v>360</v>
          </cell>
          <cell r="F160" t="str">
            <v>E10</v>
          </cell>
          <cell r="G160">
            <v>0.1</v>
          </cell>
          <cell r="H160" t="str">
            <v>20m</v>
          </cell>
          <cell r="I160">
            <v>850</v>
          </cell>
          <cell r="J160" t="str">
            <v>A</v>
          </cell>
          <cell r="K160" t="str">
            <v>N</v>
          </cell>
          <cell r="L160" t="str">
            <v>N</v>
          </cell>
          <cell r="M160" t="str">
            <v>N</v>
          </cell>
          <cell r="N160" t="str">
            <v>N</v>
          </cell>
          <cell r="O160" t="str">
            <v>IV</v>
          </cell>
          <cell r="P160" t="str">
            <v>IV</v>
          </cell>
          <cell r="Q160" t="str">
            <v>IV</v>
          </cell>
          <cell r="R160" t="str">
            <v>IV</v>
          </cell>
          <cell r="S160" t="str">
            <v>E10</v>
          </cell>
          <cell r="T160">
            <v>0.1</v>
          </cell>
          <cell r="U160" t="str">
            <v>20m</v>
          </cell>
          <cell r="V160">
            <v>850</v>
          </cell>
          <cell r="W160" t="str">
            <v>U</v>
          </cell>
          <cell r="X160" t="str">
            <v>N</v>
          </cell>
          <cell r="Y160" t="str">
            <v>N</v>
          </cell>
          <cell r="Z160" t="str">
            <v>N</v>
          </cell>
          <cell r="AA160" t="str">
            <v>N</v>
          </cell>
          <cell r="AB160" t="str">
            <v>IV</v>
          </cell>
          <cell r="AC160" t="str">
            <v>IV</v>
          </cell>
          <cell r="AD160" t="str">
            <v>IV</v>
          </cell>
          <cell r="AE160" t="str">
            <v>IV</v>
          </cell>
          <cell r="AF160" t="str">
            <v xml:space="preserve">Assumed to be bounded by one high activity TRU waste container dropped on another high activity TRU waste container.  No releases from HLW canister expected for this event.  MAR is activity in maximally loaded 2-drum Interim Storage Container (Ref. WVNS-CAL-397, Table A-2).  </v>
          </cell>
          <cell r="AG160" t="str">
            <v>•  None</v>
          </cell>
          <cell r="AH160" t="str">
            <v>•  None</v>
          </cell>
          <cell r="AI160" t="str">
            <v>•  None</v>
          </cell>
          <cell r="AJ160" t="str">
            <v xml:space="preserve">•  Quality Assurance Program
•  Performance Based Training Program
•  Maintenance Program
•  Conduct of Operations
•  Waste Management Program </v>
          </cell>
          <cell r="AK160" t="str">
            <v>•  None</v>
          </cell>
          <cell r="AL160" t="str">
            <v>•  Confinement capability of cell structure</v>
          </cell>
          <cell r="AM160" t="str">
            <v>•  None</v>
          </cell>
          <cell r="AN160" t="str">
            <v>•  Radiological Protection Program
•  Emergency Response Program
•  Performance Based Training Program
•  Conduct of Operations</v>
          </cell>
        </row>
        <row r="161">
          <cell r="A161" t="str">
            <v>VF</v>
          </cell>
          <cell r="B161">
            <v>5</v>
          </cell>
          <cell r="C161" t="str">
            <v>Waste container deflagration</v>
          </cell>
          <cell r="D161" t="str">
            <v>Hydrogen or other flammable/explosive gases inside a container is ignited.</v>
          </cell>
          <cell r="E161">
            <v>360</v>
          </cell>
          <cell r="F161" t="str">
            <v>E06</v>
          </cell>
          <cell r="G161">
            <v>1</v>
          </cell>
          <cell r="H161" t="str">
            <v>20m</v>
          </cell>
          <cell r="I161">
            <v>850</v>
          </cell>
          <cell r="J161" t="str">
            <v>U</v>
          </cell>
          <cell r="K161" t="str">
            <v>N</v>
          </cell>
          <cell r="L161" t="str">
            <v>L</v>
          </cell>
          <cell r="M161" t="str">
            <v>N</v>
          </cell>
          <cell r="N161" t="str">
            <v>N</v>
          </cell>
          <cell r="O161" t="str">
            <v>IV</v>
          </cell>
          <cell r="P161" t="str">
            <v>III</v>
          </cell>
          <cell r="Q161" t="str">
            <v>IV</v>
          </cell>
          <cell r="R161" t="str">
            <v>IV</v>
          </cell>
          <cell r="S161" t="str">
            <v>E06</v>
          </cell>
          <cell r="T161">
            <v>1</v>
          </cell>
          <cell r="U161" t="str">
            <v>20m</v>
          </cell>
          <cell r="V161">
            <v>850</v>
          </cell>
          <cell r="W161" t="str">
            <v>EU</v>
          </cell>
          <cell r="X161" t="str">
            <v>N</v>
          </cell>
          <cell r="Y161" t="str">
            <v>L</v>
          </cell>
          <cell r="Z161" t="str">
            <v>N</v>
          </cell>
          <cell r="AA161" t="str">
            <v>N</v>
          </cell>
          <cell r="AB161" t="str">
            <v>IV</v>
          </cell>
          <cell r="AC161" t="str">
            <v>IV</v>
          </cell>
          <cell r="AD161" t="str">
            <v>IV</v>
          </cell>
          <cell r="AE161" t="str">
            <v>IV</v>
          </cell>
          <cell r="AF161" t="str">
            <v xml:space="preserve">Waste form and waste package vent filters contribute to low probability of this event. Event is assumed to occur within shielded process cell.  MAR is activity in maximally loaded 2-drum Interim Storage Container (Ref. WVNS-CAL-397, Table A-2).  </v>
          </cell>
          <cell r="AG161" t="str">
            <v>•  None</v>
          </cell>
          <cell r="AH161" t="str">
            <v>•  HEPA filter vents on waste containers
•  Non-sparking tools for containers suspected of containing high concentrations of flammable gas</v>
          </cell>
          <cell r="AI161" t="str">
            <v>•  None</v>
          </cell>
          <cell r="AJ161" t="str">
            <v xml:space="preserve">•  Quality Assurance Program
•  Fire Protection Program
•  Performance Based Training Program
•  Maintenance Program
•  Waste Management Program </v>
          </cell>
          <cell r="AK161" t="str">
            <v>•   TSR-compliant packaging for high activity TRU waste</v>
          </cell>
          <cell r="AL161" t="str">
            <v>•  Confinement capability of cell structure
•  Fire rated cell walls and shield doors</v>
          </cell>
          <cell r="AM161" t="str">
            <v>•  None</v>
          </cell>
          <cell r="AN161" t="str">
            <v>•  Radiological Protection Program
•  Emergency Response Program
•  Fire Protection Program
•  Performance Based Training Program
•  Conduct of Operations</v>
          </cell>
        </row>
        <row r="162">
          <cell r="A162" t="str">
            <v>VF</v>
          </cell>
          <cell r="B162">
            <v>6</v>
          </cell>
          <cell r="C162" t="str">
            <v>Waste container over-pressurization</v>
          </cell>
          <cell r="D162" t="str">
            <v>Container failure occurs due to pressure buildup, possibly due to radiolysis of water or other hydrogenous material, thermal expansion of material/gases inside the container, or chemical reactions inside the container.</v>
          </cell>
          <cell r="E162">
            <v>360</v>
          </cell>
          <cell r="F162" t="str">
            <v>E12</v>
          </cell>
          <cell r="G162">
            <v>1</v>
          </cell>
          <cell r="H162" t="str">
            <v>20m</v>
          </cell>
          <cell r="I162">
            <v>850</v>
          </cell>
          <cell r="J162" t="str">
            <v>A</v>
          </cell>
          <cell r="K162" t="str">
            <v>N</v>
          </cell>
          <cell r="L162" t="str">
            <v>L</v>
          </cell>
          <cell r="M162" t="str">
            <v>N</v>
          </cell>
          <cell r="N162" t="str">
            <v>N</v>
          </cell>
          <cell r="O162" t="str">
            <v>IV</v>
          </cell>
          <cell r="P162" t="str">
            <v>III</v>
          </cell>
          <cell r="Q162" t="str">
            <v>IV</v>
          </cell>
          <cell r="R162" t="str">
            <v>IV</v>
          </cell>
          <cell r="S162" t="str">
            <v>E12</v>
          </cell>
          <cell r="T162">
            <v>1</v>
          </cell>
          <cell r="U162" t="str">
            <v>20m</v>
          </cell>
          <cell r="V162">
            <v>850</v>
          </cell>
          <cell r="W162" t="str">
            <v>A</v>
          </cell>
          <cell r="X162" t="str">
            <v>N</v>
          </cell>
          <cell r="Y162" t="str">
            <v>L</v>
          </cell>
          <cell r="Z162" t="str">
            <v>N</v>
          </cell>
          <cell r="AA162" t="str">
            <v>N</v>
          </cell>
          <cell r="AB162" t="str">
            <v>IV</v>
          </cell>
          <cell r="AC162" t="str">
            <v>III</v>
          </cell>
          <cell r="AD162" t="str">
            <v>IV</v>
          </cell>
          <cell r="AE162" t="str">
            <v>IV</v>
          </cell>
          <cell r="AF162" t="str">
            <v xml:space="preserve">Waste form and waste package vent filters contribute to reducing the probability of this event. Event is assumed to occur within shielded process cell.  MAR is activity in maximally loaded 2-drum Interim Storage Container (Ref. WVNS-CAL-397, Table A-2).  </v>
          </cell>
          <cell r="AG162" t="str">
            <v>•  None</v>
          </cell>
          <cell r="AH162" t="str">
            <v>•  HEPA filter vents on waste containers</v>
          </cell>
          <cell r="AI162" t="str">
            <v>•  None</v>
          </cell>
          <cell r="AJ162" t="str">
            <v xml:space="preserve">•  Quality Assurance Program
•  Performance Based Training Program
•  Waste Management Program </v>
          </cell>
          <cell r="AK162" t="str">
            <v>•  None</v>
          </cell>
          <cell r="AL162" t="str">
            <v>•  None</v>
          </cell>
          <cell r="AM162" t="str">
            <v>•  None</v>
          </cell>
          <cell r="AN162" t="str">
            <v>•  Radiological Protection Program
•  Emergency Response Program
•  Performance Based Training Program
•  Conduct of Operations</v>
          </cell>
        </row>
        <row r="163">
          <cell r="A163" t="str">
            <v>VF</v>
          </cell>
          <cell r="B163">
            <v>7</v>
          </cell>
          <cell r="C163" t="str">
            <v>Direct exposure to radiation</v>
          </cell>
          <cell r="D163" t="str">
            <v>Exposure to ionizing radiation from the waste, possibly due to a defective Vitrification Cell penetration or instrument miscalibration</v>
          </cell>
          <cell r="E163" t="str">
            <v>Not applicable.</v>
          </cell>
          <cell r="F163" t="str">
            <v>NA</v>
          </cell>
          <cell r="G163" t="str">
            <v>NA</v>
          </cell>
          <cell r="H163" t="str">
            <v>20m</v>
          </cell>
          <cell r="I163">
            <v>850</v>
          </cell>
          <cell r="J163" t="str">
            <v>A</v>
          </cell>
          <cell r="K163" t="str">
            <v>M</v>
          </cell>
          <cell r="L163" t="str">
            <v>N</v>
          </cell>
          <cell r="M163" t="str">
            <v>N</v>
          </cell>
          <cell r="N163" t="str">
            <v>N</v>
          </cell>
          <cell r="O163" t="str">
            <v>I</v>
          </cell>
          <cell r="P163" t="str">
            <v>IV</v>
          </cell>
          <cell r="Q163" t="str">
            <v>IV</v>
          </cell>
          <cell r="R163" t="str">
            <v>IV</v>
          </cell>
          <cell r="S163" t="str">
            <v>NA</v>
          </cell>
          <cell r="T163" t="str">
            <v>NA</v>
          </cell>
          <cell r="U163" t="str">
            <v>20m</v>
          </cell>
          <cell r="V163">
            <v>850</v>
          </cell>
          <cell r="W163" t="str">
            <v>U</v>
          </cell>
          <cell r="X163" t="str">
            <v>L</v>
          </cell>
          <cell r="Y163" t="str">
            <v>N</v>
          </cell>
          <cell r="Z163" t="str">
            <v>N</v>
          </cell>
          <cell r="AA163" t="str">
            <v>N</v>
          </cell>
          <cell r="AB163" t="str">
            <v>III</v>
          </cell>
          <cell r="AC163" t="str">
            <v>IV</v>
          </cell>
          <cell r="AD163" t="str">
            <v>IV</v>
          </cell>
          <cell r="AE163" t="str">
            <v>IV</v>
          </cell>
          <cell r="AF163" t="str">
            <v xml:space="preserve">None.  </v>
          </cell>
          <cell r="AG163" t="str">
            <v>•  None</v>
          </cell>
          <cell r="AH163" t="str">
            <v>•  Engineered radiation shielding on high dose rate waste containers</v>
          </cell>
          <cell r="AI163" t="str">
            <v>•  None</v>
          </cell>
          <cell r="AJ163" t="str">
            <v xml:space="preserve">•  Radiological Protection Program
•  Quality Assurance Program
•  Performance Based Training Program
•  Conduct of Operations
•  Waste Management Program </v>
          </cell>
          <cell r="AK163" t="str">
            <v>•  None</v>
          </cell>
          <cell r="AL163" t="str">
            <v>•  None</v>
          </cell>
          <cell r="AM163" t="str">
            <v>•  None</v>
          </cell>
          <cell r="AN163" t="str">
            <v>•  Radiological Protection Program
•  Performance Based Training Program
•  Conduct of Operations</v>
          </cell>
        </row>
        <row r="164">
          <cell r="A164" t="str">
            <v>VF</v>
          </cell>
          <cell r="B164">
            <v>8</v>
          </cell>
          <cell r="C164" t="str">
            <v>Criticality</v>
          </cell>
          <cell r="D164" t="str">
            <v>Inadvertent criticality occurs due to multiple independent failures and/or highly improbable circumstances</v>
          </cell>
          <cell r="E164" t="str">
            <v>&gt;450 FGE
Pu-239</v>
          </cell>
          <cell r="F164" t="str">
            <v>NA</v>
          </cell>
          <cell r="G164" t="str">
            <v>NA</v>
          </cell>
          <cell r="H164" t="str">
            <v>20m</v>
          </cell>
          <cell r="I164">
            <v>850</v>
          </cell>
          <cell r="J164" t="str">
            <v>BEU</v>
          </cell>
          <cell r="K164" t="str">
            <v>L</v>
          </cell>
          <cell r="L164" t="str">
            <v>N</v>
          </cell>
          <cell r="M164" t="str">
            <v>N</v>
          </cell>
          <cell r="N164" t="str">
            <v>N</v>
          </cell>
          <cell r="O164" t="str">
            <v>IV</v>
          </cell>
          <cell r="P164" t="str">
            <v>IV</v>
          </cell>
          <cell r="Q164" t="str">
            <v>IV</v>
          </cell>
          <cell r="R164" t="str">
            <v>IV</v>
          </cell>
          <cell r="S164" t="str">
            <v>NA</v>
          </cell>
          <cell r="T164" t="str">
            <v>NA</v>
          </cell>
          <cell r="U164" t="str">
            <v>20m</v>
          </cell>
          <cell r="V164">
            <v>850</v>
          </cell>
          <cell r="W164" t="str">
            <v>BEU</v>
          </cell>
          <cell r="X164" t="str">
            <v>L</v>
          </cell>
          <cell r="Y164" t="str">
            <v>N</v>
          </cell>
          <cell r="Z164" t="str">
            <v>N</v>
          </cell>
          <cell r="AA164" t="str">
            <v>N</v>
          </cell>
          <cell r="AB164" t="str">
            <v>IV</v>
          </cell>
          <cell r="AC164" t="str">
            <v>IV</v>
          </cell>
          <cell r="AD164" t="str">
            <v>IV</v>
          </cell>
          <cell r="AE164" t="str">
            <v>IV</v>
          </cell>
          <cell r="AF164" t="str">
            <v xml:space="preserve">Nuclear criticality safety administrative controls ensure criticality safety for all D&amp;D operations and waste packaging activities involving greater than a significant quantity of fissile material.   </v>
          </cell>
          <cell r="AG164" t="str">
            <v>• PSRs for fissile material storage container specifications</v>
          </cell>
          <cell r="AH164" t="str">
            <v>•  None</v>
          </cell>
          <cell r="AI164" t="str">
            <v>• PSR limits on container fissile mass
• PSR for fissile material storage containers</v>
          </cell>
          <cell r="AJ164" t="str">
            <v xml:space="preserve">•  Radiological Protection Program
•  Nuclear Criticality Safety Program
•  Quality Assurance Program
•  Performance Based Training Program
•  Conduct of Operations
•  Waste Management Program </v>
          </cell>
          <cell r="AK164" t="str">
            <v>•  None</v>
          </cell>
          <cell r="AL164" t="str">
            <v>•  None</v>
          </cell>
          <cell r="AM164" t="str">
            <v>•  None</v>
          </cell>
          <cell r="AN164" t="str">
            <v>•  Radiological Protection Program
•  Nuclear Criticality Safety Program
•  Emergency Response Program
•  Performance Based Training Program
•  Conduct of Operations</v>
          </cell>
        </row>
        <row r="165">
          <cell r="A165" t="str">
            <v>VF</v>
          </cell>
          <cell r="B165">
            <v>9</v>
          </cell>
          <cell r="C165" t="str">
            <v>Aircraft impact with fire</v>
          </cell>
          <cell r="D165" t="str">
            <v>Small general aviation aircraft or helicopter crashes and a fire ensues</v>
          </cell>
          <cell r="E165">
            <v>1</v>
          </cell>
          <cell r="F165" t="str">
            <v>HF</v>
          </cell>
          <cell r="G165">
            <v>1</v>
          </cell>
          <cell r="H165" t="str">
            <v>20m</v>
          </cell>
          <cell r="I165">
            <v>850</v>
          </cell>
          <cell r="J165" t="str">
            <v>BEU</v>
          </cell>
          <cell r="K165" t="str">
            <v>N</v>
          </cell>
          <cell r="L165" t="str">
            <v>N</v>
          </cell>
          <cell r="M165" t="str">
            <v>N</v>
          </cell>
          <cell r="N165" t="str">
            <v>N</v>
          </cell>
          <cell r="O165" t="str">
            <v>IV</v>
          </cell>
          <cell r="P165" t="str">
            <v>IV</v>
          </cell>
          <cell r="Q165" t="str">
            <v>IV</v>
          </cell>
          <cell r="R165" t="str">
            <v>IV</v>
          </cell>
          <cell r="S165" t="str">
            <v>HF</v>
          </cell>
          <cell r="T165">
            <v>1</v>
          </cell>
          <cell r="U165" t="str">
            <v>20m</v>
          </cell>
          <cell r="V165">
            <v>850</v>
          </cell>
          <cell r="W165" t="str">
            <v>BEU</v>
          </cell>
          <cell r="X165" t="str">
            <v>N</v>
          </cell>
          <cell r="Y165" t="str">
            <v>N</v>
          </cell>
          <cell r="Z165" t="str">
            <v>N</v>
          </cell>
          <cell r="AA165" t="str">
            <v>N</v>
          </cell>
          <cell r="AB165" t="str">
            <v>IV</v>
          </cell>
          <cell r="AC165" t="str">
            <v>IV</v>
          </cell>
          <cell r="AD165" t="str">
            <v>IV</v>
          </cell>
          <cell r="AE165" t="str">
            <v>IV</v>
          </cell>
          <cell r="AF165" t="str">
            <v xml:space="preserve">Event not expected to impact radioactive materials within heavily shielded cells. Only activity in ventilation system would be expected to be affected. Event BEU per WVNS-CAL-388. Only facility ventilation system vulnerable to event. MAR is bounded by 10% of MPPB ventilation system MAR based on system environmental emission data. </v>
          </cell>
          <cell r="AG165" t="str">
            <v>•  None</v>
          </cell>
          <cell r="AH165" t="str">
            <v>•  None</v>
          </cell>
          <cell r="AI165" t="str">
            <v>•  None</v>
          </cell>
          <cell r="AJ165" t="str">
            <v>•  None</v>
          </cell>
          <cell r="AK165" t="str">
            <v>•  None</v>
          </cell>
          <cell r="AL165" t="str">
            <v>•  None</v>
          </cell>
          <cell r="AM165" t="str">
            <v>• SAC for APPROVED CONTAINER use</v>
          </cell>
          <cell r="AN165" t="str">
            <v>•  Radiological Protection Program
•  Emergency Response Program
•  Fire Protection Program
•  Performance Based Training Program
•  Conduct of Operations</v>
          </cell>
        </row>
        <row r="166">
          <cell r="A166" t="str">
            <v>VF</v>
          </cell>
          <cell r="B166">
            <v>10</v>
          </cell>
          <cell r="C166" t="str">
            <v>Tornado</v>
          </cell>
          <cell r="D166" t="str">
            <v>Direct effects of tornado winds, falling objects, or tornado-produced missiles causing impacts to the facility. Event includes loss of contamination confinement resulting from abnormal facility differential pressures (backflow).</v>
          </cell>
          <cell r="E166">
            <v>1500</v>
          </cell>
          <cell r="F166" t="str">
            <v>IS</v>
          </cell>
          <cell r="G166">
            <v>1</v>
          </cell>
          <cell r="H166" t="str">
            <v>20m</v>
          </cell>
          <cell r="I166">
            <v>850</v>
          </cell>
          <cell r="J166" t="str">
            <v>U</v>
          </cell>
          <cell r="K166" t="str">
            <v>N</v>
          </cell>
          <cell r="L166" t="str">
            <v>L</v>
          </cell>
          <cell r="M166" t="str">
            <v>N</v>
          </cell>
          <cell r="N166" t="str">
            <v>N</v>
          </cell>
          <cell r="O166" t="str">
            <v>IV</v>
          </cell>
          <cell r="P166" t="str">
            <v>III</v>
          </cell>
          <cell r="Q166" t="str">
            <v>IV</v>
          </cell>
          <cell r="R166" t="str">
            <v>IV</v>
          </cell>
          <cell r="S166" t="str">
            <v>IS</v>
          </cell>
          <cell r="T166">
            <v>1</v>
          </cell>
          <cell r="U166" t="str">
            <v>20m</v>
          </cell>
          <cell r="V166">
            <v>850</v>
          </cell>
          <cell r="W166" t="str">
            <v>U</v>
          </cell>
          <cell r="X166" t="str">
            <v>N</v>
          </cell>
          <cell r="Y166" t="str">
            <v>L</v>
          </cell>
          <cell r="Z166" t="str">
            <v>N</v>
          </cell>
          <cell r="AA166" t="str">
            <v>N</v>
          </cell>
          <cell r="AB166" t="str">
            <v>IV</v>
          </cell>
          <cell r="AC166" t="str">
            <v>III</v>
          </cell>
          <cell r="AD166" t="str">
            <v>IV</v>
          </cell>
          <cell r="AE166" t="str">
            <v>IV</v>
          </cell>
          <cell r="AF166" t="str">
            <v xml:space="preserve">Source term for event expected to be limited to airborne contamination affected by large negative pressure associated with direct strike by a tornado. Facility confinement not expected to be affected by missiles of EBE.  MAR is entire inventory of radioactive material in the Vitrification Facility (Ref. WVNS-CAL-397, Table C-1).  </v>
          </cell>
          <cell r="AG166" t="str">
            <v>•  None</v>
          </cell>
          <cell r="AH166" t="str">
            <v>•  None</v>
          </cell>
          <cell r="AI166" t="str">
            <v>•  None</v>
          </cell>
          <cell r="AJ166" t="str">
            <v>•  None</v>
          </cell>
          <cell r="AK166" t="str">
            <v>•  None</v>
          </cell>
          <cell r="AL166" t="str">
            <v>•  Facility design capable of maintaining confinement integrity following design basis events</v>
          </cell>
          <cell r="AM166" t="str">
            <v>•  None</v>
          </cell>
          <cell r="AN166" t="str">
            <v>•  Radiological Protection Program
•  Emergency Response Program
•  Performance Based Training Program
•  Conduct of Operations</v>
          </cell>
        </row>
        <row r="167">
          <cell r="A167" t="str">
            <v>VF</v>
          </cell>
          <cell r="B167">
            <v>11</v>
          </cell>
          <cell r="C167" t="str">
            <v>Seismic event</v>
          </cell>
          <cell r="D167" t="str">
            <v>Seismic event causes failure of equipment or structure which impacts facility contamination and/or seismic event disturbs loose surface contamination. Confinement boundaries are expected to remain intact.</v>
          </cell>
          <cell r="E167">
            <v>1500</v>
          </cell>
          <cell r="F167" t="str">
            <v>EQ</v>
          </cell>
          <cell r="G167">
            <v>0.1</v>
          </cell>
          <cell r="H167" t="str">
            <v>20m</v>
          </cell>
          <cell r="I167">
            <v>850</v>
          </cell>
          <cell r="J167" t="str">
            <v>U</v>
          </cell>
          <cell r="K167" t="str">
            <v>N</v>
          </cell>
          <cell r="L167" t="str">
            <v>L</v>
          </cell>
          <cell r="M167" t="str">
            <v>N</v>
          </cell>
          <cell r="N167" t="str">
            <v>N</v>
          </cell>
          <cell r="O167" t="str">
            <v>IV</v>
          </cell>
          <cell r="P167" t="str">
            <v>III</v>
          </cell>
          <cell r="Q167" t="str">
            <v>IV</v>
          </cell>
          <cell r="R167" t="str">
            <v>IV</v>
          </cell>
          <cell r="S167" t="str">
            <v>EQ</v>
          </cell>
          <cell r="T167">
            <v>0.1</v>
          </cell>
          <cell r="U167" t="str">
            <v>20m</v>
          </cell>
          <cell r="V167">
            <v>850</v>
          </cell>
          <cell r="W167" t="str">
            <v>U</v>
          </cell>
          <cell r="X167" t="str">
            <v>N</v>
          </cell>
          <cell r="Y167" t="str">
            <v>L</v>
          </cell>
          <cell r="Z167" t="str">
            <v>N</v>
          </cell>
          <cell r="AA167" t="str">
            <v>N</v>
          </cell>
          <cell r="AB167" t="str">
            <v>IV</v>
          </cell>
          <cell r="AC167" t="str">
            <v>III</v>
          </cell>
          <cell r="AD167" t="str">
            <v>IV</v>
          </cell>
          <cell r="AE167" t="str">
            <v>IV</v>
          </cell>
          <cell r="AF167" t="str">
            <v xml:space="preserve">Facility confinement boundaries expected to remain intact following EBE.  MAR is entire inventory of radioactive material in the Vitrification Facility (Ref. WVNS-CAL-397, Table C-1).  </v>
          </cell>
          <cell r="AG167" t="str">
            <v>•  None</v>
          </cell>
          <cell r="AH167" t="str">
            <v>•  None</v>
          </cell>
          <cell r="AI167" t="str">
            <v>•  None</v>
          </cell>
          <cell r="AJ167" t="str">
            <v>•  None</v>
          </cell>
          <cell r="AK167" t="str">
            <v>•  None</v>
          </cell>
          <cell r="AL167" t="str">
            <v>•  Facility design capable of maintaining confinement integrity following design basis events</v>
          </cell>
          <cell r="AM167" t="str">
            <v>•  None</v>
          </cell>
          <cell r="AN167" t="str">
            <v>•  Radiological Protection Program
•  Emergency Response Program
•  Performance Based Training Program
•  Conduct of Operations</v>
          </cell>
        </row>
        <row r="168">
          <cell r="A168" t="str">
            <v>VF</v>
          </cell>
          <cell r="B168">
            <v>12</v>
          </cell>
          <cell r="C168" t="str">
            <v>HEPA filter fire</v>
          </cell>
          <cell r="D168" t="str">
            <v>In-cell fire propagates to HEPA filter bank</v>
          </cell>
          <cell r="E168">
            <v>1</v>
          </cell>
          <cell r="F168" t="str">
            <v>HF</v>
          </cell>
          <cell r="G168">
            <v>1</v>
          </cell>
          <cell r="H168" t="str">
            <v>20m</v>
          </cell>
          <cell r="I168">
            <v>850</v>
          </cell>
          <cell r="J168" t="str">
            <v>A</v>
          </cell>
          <cell r="K168" t="str">
            <v>N</v>
          </cell>
          <cell r="L168" t="str">
            <v>N</v>
          </cell>
          <cell r="M168" t="str">
            <v>N</v>
          </cell>
          <cell r="N168" t="str">
            <v>N</v>
          </cell>
          <cell r="O168" t="str">
            <v>IV</v>
          </cell>
          <cell r="P168" t="str">
            <v>IV</v>
          </cell>
          <cell r="Q168" t="str">
            <v>IV</v>
          </cell>
          <cell r="R168" t="str">
            <v>IV</v>
          </cell>
          <cell r="S168" t="str">
            <v>HF</v>
          </cell>
          <cell r="T168">
            <v>1</v>
          </cell>
          <cell r="U168" t="str">
            <v>20m</v>
          </cell>
          <cell r="V168">
            <v>850</v>
          </cell>
          <cell r="W168" t="str">
            <v>U</v>
          </cell>
          <cell r="X168" t="str">
            <v>N</v>
          </cell>
          <cell r="Y168" t="str">
            <v>N</v>
          </cell>
          <cell r="Z168" t="str">
            <v>N</v>
          </cell>
          <cell r="AA168" t="str">
            <v>N</v>
          </cell>
          <cell r="AB168" t="str">
            <v>IV</v>
          </cell>
          <cell r="AC168" t="str">
            <v>IV</v>
          </cell>
          <cell r="AD168" t="str">
            <v>IV</v>
          </cell>
          <cell r="AE168" t="str">
            <v>IV</v>
          </cell>
          <cell r="AF168" t="str">
            <v xml:space="preserve"> 10% of MPPB ventilation system MAR bounding for facility HEPA filters based on system environmental emission data </v>
          </cell>
          <cell r="AG168" t="str">
            <v>•  None</v>
          </cell>
          <cell r="AH168" t="str">
            <v>•  Spark arrestors on in-cell filters</v>
          </cell>
          <cell r="AI168" t="str">
            <v>•  None</v>
          </cell>
          <cell r="AJ168" t="str">
            <v>•  Quality Assurance Program
•  Fire Protection Program
•  Performance Based Training Program
•  Maintenance Program
•  Conduct of Operations</v>
          </cell>
          <cell r="AK168" t="str">
            <v>•  None</v>
          </cell>
          <cell r="AL168" t="str">
            <v>•  Redundant ventilation system filter trains and blowers</v>
          </cell>
          <cell r="AM168" t="str">
            <v>•  None</v>
          </cell>
          <cell r="AN168" t="str">
            <v>•  Radiological Protection Program
•  Emergency Response Program
•  Fire Protection Program
•  Performance Based Training Program
•  Conduct of Operations</v>
          </cell>
        </row>
        <row r="169">
          <cell r="A169" t="str">
            <v>VF</v>
          </cell>
          <cell r="B169">
            <v>13</v>
          </cell>
          <cell r="C169" t="str">
            <v>HEPA filter failure</v>
          </cell>
          <cell r="D169" t="str">
            <v>Excess moisture or particulate on filters or area pressure excursion causes high filter differential pressure, resulting in filter failure</v>
          </cell>
          <cell r="E169">
            <v>1</v>
          </cell>
          <cell r="F169" t="str">
            <v>HB</v>
          </cell>
          <cell r="G169">
            <v>1</v>
          </cell>
          <cell r="H169" t="str">
            <v>20m</v>
          </cell>
          <cell r="I169">
            <v>850</v>
          </cell>
          <cell r="J169" t="str">
            <v>A</v>
          </cell>
          <cell r="K169" t="str">
            <v>N</v>
          </cell>
          <cell r="L169" t="str">
            <v>L</v>
          </cell>
          <cell r="M169" t="str">
            <v>N</v>
          </cell>
          <cell r="N169" t="str">
            <v>N</v>
          </cell>
          <cell r="O169" t="str">
            <v>IV</v>
          </cell>
          <cell r="P169" t="str">
            <v>III</v>
          </cell>
          <cell r="Q169" t="str">
            <v>IV</v>
          </cell>
          <cell r="R169" t="str">
            <v>IV</v>
          </cell>
          <cell r="S169" t="str">
            <v>HB</v>
          </cell>
          <cell r="T169">
            <v>1</v>
          </cell>
          <cell r="U169" t="str">
            <v>20m</v>
          </cell>
          <cell r="V169">
            <v>850</v>
          </cell>
          <cell r="W169" t="str">
            <v>U</v>
          </cell>
          <cell r="X169" t="str">
            <v>N</v>
          </cell>
          <cell r="Y169" t="str">
            <v>L</v>
          </cell>
          <cell r="Z169" t="str">
            <v>N</v>
          </cell>
          <cell r="AA169" t="str">
            <v>N</v>
          </cell>
          <cell r="AB169" t="str">
            <v>IV</v>
          </cell>
          <cell r="AC169" t="str">
            <v>III</v>
          </cell>
          <cell r="AD169" t="str">
            <v>IV</v>
          </cell>
          <cell r="AE169" t="str">
            <v>IV</v>
          </cell>
          <cell r="AF169" t="str">
            <v xml:space="preserve"> 10% of MPPB ventilation system MAR bounding for facility HEPA filters based on system environmental emission data </v>
          </cell>
          <cell r="AG169" t="str">
            <v>•  None</v>
          </cell>
          <cell r="AH169" t="str">
            <v>•  Instrumentation and controls to switch trains on high differential pressure
•  Instrumentation and controls to provide backup ventilation blower capability</v>
          </cell>
          <cell r="AI169" t="str">
            <v>•  None</v>
          </cell>
          <cell r="AJ169" t="str">
            <v>•  Quality Assurance Program
•  Fire Protection Program
•  Performance Based Training Program
•  Maintenance Program
•  Conduct of Operations</v>
          </cell>
          <cell r="AK169" t="str">
            <v>•  None</v>
          </cell>
          <cell r="AL169" t="str">
            <v>•  Redundant ventilation system filter trains and blowers</v>
          </cell>
          <cell r="AM169" t="str">
            <v>•  None</v>
          </cell>
          <cell r="AN169" t="str">
            <v>•  Radiological Protection Program
•  Emergency Response Program
•  Performance Based Training Program
•  Conduct of Operations</v>
          </cell>
        </row>
        <row r="170">
          <cell r="A170" t="str">
            <v>VF</v>
          </cell>
          <cell r="B170">
            <v>14</v>
          </cell>
          <cell r="C170" t="str">
            <v>Loss of airborne contamination confinement</v>
          </cell>
          <cell r="D170" t="str">
            <v>Loss of power/redundancy resulting in loss of exhaust blower operability or other upset condition resulting in loss of airborne contamination confinement.</v>
          </cell>
          <cell r="E170">
            <v>1500</v>
          </cell>
          <cell r="F170" t="str">
            <v>AER</v>
          </cell>
          <cell r="G170">
            <v>1</v>
          </cell>
          <cell r="H170" t="str">
            <v>20m</v>
          </cell>
          <cell r="I170">
            <v>850</v>
          </cell>
          <cell r="J170" t="str">
            <v>A</v>
          </cell>
          <cell r="K170" t="str">
            <v>N</v>
          </cell>
          <cell r="L170" t="str">
            <v>L</v>
          </cell>
          <cell r="M170" t="str">
            <v>N</v>
          </cell>
          <cell r="N170" t="str">
            <v>N</v>
          </cell>
          <cell r="O170" t="str">
            <v>IV</v>
          </cell>
          <cell r="P170" t="str">
            <v>III</v>
          </cell>
          <cell r="Q170" t="str">
            <v>IV</v>
          </cell>
          <cell r="R170" t="str">
            <v>IV</v>
          </cell>
          <cell r="S170" t="str">
            <v>AER</v>
          </cell>
          <cell r="T170">
            <v>1</v>
          </cell>
          <cell r="U170" t="str">
            <v>20m</v>
          </cell>
          <cell r="V170">
            <v>850</v>
          </cell>
          <cell r="W170" t="str">
            <v>A</v>
          </cell>
          <cell r="X170" t="str">
            <v>N</v>
          </cell>
          <cell r="Y170" t="str">
            <v>L</v>
          </cell>
          <cell r="Z170" t="str">
            <v>N</v>
          </cell>
          <cell r="AA170" t="str">
            <v>N</v>
          </cell>
          <cell r="AB170" t="str">
            <v>IV</v>
          </cell>
          <cell r="AC170" t="str">
            <v>III</v>
          </cell>
          <cell r="AD170" t="str">
            <v>IV</v>
          </cell>
          <cell r="AE170" t="str">
            <v>IV</v>
          </cell>
          <cell r="AF170" t="str">
            <v xml:space="preserve">Contamination assumed to migrate from confinement boundary penetrations through aerodynamic entrainment and resuspension under static facility conditions. MAR is entire inventory of radioactive material in the Vitrification Facility (Ref. WVNS-CAL-397, Table C-1).  </v>
          </cell>
          <cell r="AG170" t="str">
            <v>•  None</v>
          </cell>
          <cell r="AH170" t="str">
            <v>•  Facility ventilation exhaust stack which continues to provide nominal facility negative via chimney effect</v>
          </cell>
          <cell r="AI170" t="str">
            <v>•  None</v>
          </cell>
          <cell r="AJ170" t="str">
            <v>•  Quality Assurance Program
•  Fire Protection Program
•  Performance Based Training Program
•  Maintenance Program
•  Conduct of Operations</v>
          </cell>
          <cell r="AK170" t="str">
            <v>•  None</v>
          </cell>
          <cell r="AL170" t="str">
            <v>•  Confinement capability of facility envelope
•  Nominal facility negative maintained on facility even under loss of active ventilation through stack "chimney effect"</v>
          </cell>
          <cell r="AM170" t="str">
            <v>•  None</v>
          </cell>
          <cell r="AN170" t="str">
            <v>•  Radiological Protection Program
•  Performance Based Training Program
•  Conduct of Operations</v>
          </cell>
        </row>
        <row r="171">
          <cell r="A171" t="str">
            <v>VF</v>
          </cell>
          <cell r="B171">
            <v>15</v>
          </cell>
          <cell r="C171" t="str">
            <v>Loss of liquid contamination confinement</v>
          </cell>
          <cell r="D171" t="str">
            <v>Vessel/line failure; sump overflow; roof leak; or other loss of contaminated liquid to an operating area or to the environment</v>
          </cell>
          <cell r="E171">
            <v>1</v>
          </cell>
          <cell r="F171" t="str">
            <v>FFS</v>
          </cell>
          <cell r="G171">
            <v>0.5</v>
          </cell>
          <cell r="H171" t="str">
            <v>20m</v>
          </cell>
          <cell r="I171">
            <v>850</v>
          </cell>
          <cell r="J171" t="str">
            <v>A</v>
          </cell>
          <cell r="K171" t="str">
            <v>N</v>
          </cell>
          <cell r="L171" t="str">
            <v>N</v>
          </cell>
          <cell r="M171" t="str">
            <v>N</v>
          </cell>
          <cell r="N171" t="str">
            <v>N</v>
          </cell>
          <cell r="O171" t="str">
            <v>IV</v>
          </cell>
          <cell r="P171" t="str">
            <v>IV</v>
          </cell>
          <cell r="Q171" t="str">
            <v>IV</v>
          </cell>
          <cell r="R171" t="str">
            <v>IV</v>
          </cell>
          <cell r="S171" t="str">
            <v>FFS</v>
          </cell>
          <cell r="T171">
            <v>0.5</v>
          </cell>
          <cell r="U171" t="str">
            <v>20m</v>
          </cell>
          <cell r="V171">
            <v>850</v>
          </cell>
          <cell r="W171" t="str">
            <v>A</v>
          </cell>
          <cell r="X171" t="str">
            <v>N</v>
          </cell>
          <cell r="Y171" t="str">
            <v>N</v>
          </cell>
          <cell r="Z171" t="str">
            <v>N</v>
          </cell>
          <cell r="AA171" t="str">
            <v>N</v>
          </cell>
          <cell r="AB171" t="str">
            <v>IV</v>
          </cell>
          <cell r="AC171" t="str">
            <v>IV</v>
          </cell>
          <cell r="AD171" t="str">
            <v>IV</v>
          </cell>
          <cell r="AE171" t="str">
            <v>IV</v>
          </cell>
          <cell r="AF171" t="str">
            <v xml:space="preserve">None.  </v>
          </cell>
          <cell r="AG171" t="str">
            <v>•  None</v>
          </cell>
          <cell r="AH171" t="str">
            <v>•  Cell liners/sumps and/or area berms</v>
          </cell>
          <cell r="AI171" t="str">
            <v>•  None</v>
          </cell>
          <cell r="AJ171" t="str">
            <v xml:space="preserve">•  Quality Assurance Program
•  Performance Based Training Program
•  Maintenance Program
•  Conduct of Operations
•  Waste Management Program </v>
          </cell>
          <cell r="AK171" t="str">
            <v>•  None</v>
          </cell>
          <cell r="AL171" t="str">
            <v>•  Cell sumps/liners</v>
          </cell>
          <cell r="AM171" t="str">
            <v>•  None</v>
          </cell>
          <cell r="AN171" t="str">
            <v>•  Radiological Protection Program
•  Performance Based Training Program
•  Conduct of Operations</v>
          </cell>
        </row>
        <row r="172">
          <cell r="A172" t="str">
            <v>VF</v>
          </cell>
          <cell r="B172">
            <v>16</v>
          </cell>
          <cell r="C172" t="str">
            <v>Flood</v>
          </cell>
          <cell r="D172" t="str">
            <v>A greater than 100-yr  rain event results in sheet flow that floods the storage area. Flooding may be exacerbated by plugged drainage channels or culverts.</v>
          </cell>
          <cell r="E172">
            <v>1500</v>
          </cell>
          <cell r="F172" t="str">
            <v>NA</v>
          </cell>
          <cell r="G172" t="str">
            <v>NA</v>
          </cell>
          <cell r="H172" t="str">
            <v>20m</v>
          </cell>
          <cell r="I172">
            <v>850</v>
          </cell>
          <cell r="J172" t="str">
            <v>U</v>
          </cell>
          <cell r="K172" t="str">
            <v>N</v>
          </cell>
          <cell r="L172" t="str">
            <v>N</v>
          </cell>
          <cell r="M172" t="str">
            <v>N</v>
          </cell>
          <cell r="N172" t="str">
            <v>N</v>
          </cell>
          <cell r="O172" t="str">
            <v>IV</v>
          </cell>
          <cell r="P172" t="str">
            <v>IV</v>
          </cell>
          <cell r="Q172" t="str">
            <v>IV</v>
          </cell>
          <cell r="R172" t="str">
            <v>IV</v>
          </cell>
          <cell r="S172" t="str">
            <v>NA</v>
          </cell>
          <cell r="T172" t="str">
            <v>NA</v>
          </cell>
          <cell r="U172" t="str">
            <v>20m</v>
          </cell>
          <cell r="V172">
            <v>850</v>
          </cell>
          <cell r="W172" t="str">
            <v>U</v>
          </cell>
          <cell r="X172" t="str">
            <v>N</v>
          </cell>
          <cell r="Y172" t="str">
            <v>N</v>
          </cell>
          <cell r="Z172" t="str">
            <v>N</v>
          </cell>
          <cell r="AA172" t="str">
            <v>N</v>
          </cell>
          <cell r="AB172" t="str">
            <v>IV</v>
          </cell>
          <cell r="AC172" t="str">
            <v>IV</v>
          </cell>
          <cell r="AD172" t="str">
            <v>IV</v>
          </cell>
          <cell r="AE172" t="str">
            <v>IV</v>
          </cell>
          <cell r="AF172" t="str">
            <v xml:space="preserve">Site topography places facility outside area vulnerable to flooding (ref. Figure 1.4-6).  MAR is entire inventory of radioactive material in the Vitrification Facility (Ref. WVNS-CAL-397, Table C-1).  </v>
          </cell>
          <cell r="AG172" t="str">
            <v>•  None</v>
          </cell>
          <cell r="AH172" t="str">
            <v>•  Siting of storage array in area away from areas of anticipated flooding</v>
          </cell>
          <cell r="AI172" t="str">
            <v>•  None</v>
          </cell>
          <cell r="AJ172" t="str">
            <v>•  None</v>
          </cell>
          <cell r="AK172" t="str">
            <v>•  None</v>
          </cell>
          <cell r="AL172" t="str">
            <v>•  None</v>
          </cell>
          <cell r="AM172" t="str">
            <v>•  None</v>
          </cell>
          <cell r="AN172" t="str">
            <v>•  Radiological Protection Program
•  Performance Based Training Program
•  Conduct of Operations</v>
          </cell>
        </row>
        <row r="173">
          <cell r="A173" t="str">
            <v>WTF</v>
          </cell>
          <cell r="B173">
            <v>1</v>
          </cell>
          <cell r="C173" t="str">
            <v>Small combustible material fire</v>
          </cell>
          <cell r="D173" t="str">
            <v>Fire occurs in a contaminated facility area. Includes accidents initiated due to pyrophoric reactions or reactions involving incompatible materials.</v>
          </cell>
          <cell r="E173">
            <v>850</v>
          </cell>
          <cell r="F173" t="str">
            <v>E02</v>
          </cell>
          <cell r="G173">
            <v>1</v>
          </cell>
          <cell r="H173" t="str">
            <v>Gnd</v>
          </cell>
          <cell r="I173">
            <v>850</v>
          </cell>
          <cell r="J173" t="str">
            <v>U</v>
          </cell>
          <cell r="K173" t="str">
            <v>H</v>
          </cell>
          <cell r="L173" t="str">
            <v>H</v>
          </cell>
          <cell r="M173" t="str">
            <v>N</v>
          </cell>
          <cell r="N173" t="str">
            <v>N</v>
          </cell>
          <cell r="O173" t="str">
            <v>I</v>
          </cell>
          <cell r="P173" t="str">
            <v>I</v>
          </cell>
          <cell r="Q173" t="str">
            <v>IV</v>
          </cell>
          <cell r="R173" t="str">
            <v>IV</v>
          </cell>
          <cell r="S173" t="str">
            <v>E02</v>
          </cell>
          <cell r="T173">
            <v>1.1999999999999999E-3</v>
          </cell>
          <cell r="U173" t="str">
            <v>Gnd</v>
          </cell>
          <cell r="V173">
            <v>850</v>
          </cell>
          <cell r="W173" t="str">
            <v>U</v>
          </cell>
          <cell r="X173" t="str">
            <v>L</v>
          </cell>
          <cell r="Y173" t="str">
            <v>L</v>
          </cell>
          <cell r="Z173" t="str">
            <v>N</v>
          </cell>
          <cell r="AA173" t="str">
            <v>N</v>
          </cell>
          <cell r="AB173" t="str">
            <v>III</v>
          </cell>
          <cell r="AC173" t="str">
            <v>III</v>
          </cell>
          <cell r="AD173" t="str">
            <v>IV</v>
          </cell>
          <cell r="AE173" t="str">
            <v>IV</v>
          </cell>
          <cell r="AF173" t="str">
            <v xml:space="preserve"> MAR is total inventory of activity in the WTF (Ref. WVNS-CAL-397, Table C-1).  DR reflects the fact that only MAR equal to that associated with facility ventilation system would be expected to be involved in event.</v>
          </cell>
          <cell r="AG173" t="str">
            <v>•  None</v>
          </cell>
          <cell r="AH173" t="str">
            <v>•  None</v>
          </cell>
          <cell r="AI173" t="str">
            <v>•  None</v>
          </cell>
          <cell r="AJ173" t="str">
            <v xml:space="preserve">•  Quality Assurance Program
•  Fire Protection Program
-   “Hot work” controls
-   Combustible material control program
•  Performance Based Training Program
•  Maintenance Program
•  Conduct of Operations
•  Waste Management Program </v>
          </cell>
          <cell r="AK173" t="str">
            <v>•  APPROVED CONTAINERS used for TRU waste storage
•  TSR-compliant packaging for high activity TRU waste</v>
          </cell>
          <cell r="AL173" t="str">
            <v>•  Wet pipe sprinkler system in PVS Building
•  Dry pipe sprinkler system in STS Support Building</v>
          </cell>
          <cell r="AM173" t="str">
            <v>•  None</v>
          </cell>
          <cell r="AN173" t="str">
            <v>•  Radiological Protection Program
•  Emergency Response Program
•  Fire Protection Program
•  Performance Based Training Program
•  Conduct of Operations</v>
          </cell>
        </row>
        <row r="174">
          <cell r="A174" t="str">
            <v>WTF</v>
          </cell>
          <cell r="B174">
            <v>2</v>
          </cell>
          <cell r="C174" t="str">
            <v>Seismic event</v>
          </cell>
          <cell r="D174" t="str">
            <v>Seismic event causes failure of equipment or structure which impacts facility contamination and/or seismic event disturbs loose surface contamination. Confinement boundaries are expected to remain intact.</v>
          </cell>
          <cell r="E174">
            <v>850</v>
          </cell>
          <cell r="F174" t="str">
            <v>EQ</v>
          </cell>
          <cell r="G174">
            <v>0.1</v>
          </cell>
          <cell r="H174" t="str">
            <v>Gnd</v>
          </cell>
          <cell r="I174">
            <v>850</v>
          </cell>
          <cell r="J174" t="str">
            <v>U</v>
          </cell>
          <cell r="K174" t="str">
            <v>H</v>
          </cell>
          <cell r="L174" t="str">
            <v>M</v>
          </cell>
          <cell r="M174" t="str">
            <v>N</v>
          </cell>
          <cell r="N174" t="str">
            <v>N</v>
          </cell>
          <cell r="O174" t="str">
            <v>I</v>
          </cell>
          <cell r="P174" t="str">
            <v>II</v>
          </cell>
          <cell r="Q174" t="str">
            <v>IV</v>
          </cell>
          <cell r="R174" t="str">
            <v>IV</v>
          </cell>
          <cell r="S174" t="str">
            <v>EQ</v>
          </cell>
          <cell r="T174">
            <v>1.2E-5</v>
          </cell>
          <cell r="U174" t="str">
            <v>Gnd</v>
          </cell>
          <cell r="V174">
            <v>850</v>
          </cell>
          <cell r="W174" t="str">
            <v>U</v>
          </cell>
          <cell r="X174" t="str">
            <v>N</v>
          </cell>
          <cell r="Y174" t="str">
            <v>N</v>
          </cell>
          <cell r="Z174" t="str">
            <v>N</v>
          </cell>
          <cell r="AA174" t="str">
            <v>N</v>
          </cell>
          <cell r="AB174" t="str">
            <v>IV</v>
          </cell>
          <cell r="AC174" t="str">
            <v>IV</v>
          </cell>
          <cell r="AD174" t="str">
            <v>IV</v>
          </cell>
          <cell r="AE174" t="str">
            <v>IV</v>
          </cell>
          <cell r="AF174" t="str">
            <v xml:space="preserve">Facility confinement boundaries expected to remain intact following EBE.  MAR is total inventory of activity in the WTF (Ref. WVNS-CAL-397, Table C-1).  DR reflects very low release rate expected for this event. (Estimated unmitigated source term from system &lt;1E-6 PE-Ci/day due to ACTIVE ventilation based on environmental release data and assumed HEPA filter efficiency of 99.99%.) </v>
          </cell>
          <cell r="AG174" t="str">
            <v>•  None</v>
          </cell>
          <cell r="AH174" t="str">
            <v>•  None</v>
          </cell>
          <cell r="AI174" t="str">
            <v>•  None</v>
          </cell>
          <cell r="AJ174" t="str">
            <v>•  None</v>
          </cell>
          <cell r="AK174" t="str">
            <v>•  None</v>
          </cell>
          <cell r="AL174" t="str">
            <v>•  Facility design capable of maintaining confinement integrity following design basis events</v>
          </cell>
          <cell r="AM174" t="str">
            <v>•  None</v>
          </cell>
          <cell r="AN174" t="str">
            <v>•  Radiological Protection Program
•  Emergency Response Program
•  Performance Based Training Program
•  Conduct of Operations</v>
          </cell>
        </row>
        <row r="175">
          <cell r="A175" t="str">
            <v>WTF</v>
          </cell>
          <cell r="B175">
            <v>3</v>
          </cell>
          <cell r="C175" t="str">
            <v>Drop/impact/spill</v>
          </cell>
          <cell r="D175" t="str">
            <v>Upset during maintenance, tank sampling, deactivation, or D&amp;D (including the WTF Equipment Shelter); tank leak; or other uncontrolled release of contaminated liquid.</v>
          </cell>
          <cell r="E175">
            <v>1</v>
          </cell>
          <cell r="F175" t="str">
            <v>IS</v>
          </cell>
          <cell r="G175">
            <v>1</v>
          </cell>
          <cell r="H175" t="str">
            <v>Gnd</v>
          </cell>
          <cell r="I175">
            <v>850</v>
          </cell>
          <cell r="J175" t="str">
            <v>A</v>
          </cell>
          <cell r="K175" t="str">
            <v>N</v>
          </cell>
          <cell r="L175" t="str">
            <v>N</v>
          </cell>
          <cell r="M175" t="str">
            <v>N</v>
          </cell>
          <cell r="N175" t="str">
            <v>N</v>
          </cell>
          <cell r="O175" t="str">
            <v>IV</v>
          </cell>
          <cell r="P175" t="str">
            <v>IV</v>
          </cell>
          <cell r="Q175" t="str">
            <v>IV</v>
          </cell>
          <cell r="R175" t="str">
            <v>IV</v>
          </cell>
          <cell r="S175" t="str">
            <v>IS</v>
          </cell>
          <cell r="T175">
            <v>1</v>
          </cell>
          <cell r="U175" t="str">
            <v>Gnd</v>
          </cell>
          <cell r="V175">
            <v>850</v>
          </cell>
          <cell r="W175" t="str">
            <v>U</v>
          </cell>
          <cell r="X175" t="str">
            <v>N</v>
          </cell>
          <cell r="Y175" t="str">
            <v>N</v>
          </cell>
          <cell r="Z175" t="str">
            <v>N</v>
          </cell>
          <cell r="AA175" t="str">
            <v>N</v>
          </cell>
          <cell r="AB175" t="str">
            <v>IV</v>
          </cell>
          <cell r="AC175" t="str">
            <v>IV</v>
          </cell>
          <cell r="AD175" t="str">
            <v>IV</v>
          </cell>
          <cell r="AE175" t="str">
            <v>IV</v>
          </cell>
          <cell r="AF175" t="str">
            <v xml:space="preserve">Event is assumed to involve drop of HEPA filter during changeout. This event would bound any releases associated with drop of equipment internal to a waste tank (e.g. sampling component).  10% of MPPB ventilation system MAR bounding for facility HEPA filters based on system environmental emission data </v>
          </cell>
          <cell r="AG175" t="str">
            <v>•  None</v>
          </cell>
          <cell r="AH175" t="str">
            <v>•  None</v>
          </cell>
          <cell r="AI175" t="str">
            <v>•  None</v>
          </cell>
          <cell r="AJ175" t="str">
            <v xml:space="preserve">•  Quality Assurance Program
•  Performance Based Training Program
•  Maintenance Program
•  Conduct of Operations
•  Waste Management Program </v>
          </cell>
          <cell r="AK175" t="str">
            <v>•  None</v>
          </cell>
          <cell r="AL175" t="str">
            <v>•  Confinement capability of tank/vault structure</v>
          </cell>
          <cell r="AM175" t="str">
            <v>•  None</v>
          </cell>
          <cell r="AN175" t="str">
            <v>•  Radiological Protection Program
•  Emergency Response Program
•  Performance Based Training Program
•  Conduct of Operations</v>
          </cell>
        </row>
        <row r="176">
          <cell r="A176" t="str">
            <v>WTF</v>
          </cell>
          <cell r="B176">
            <v>4</v>
          </cell>
          <cell r="C176" t="str">
            <v>Direct exposure to radiation</v>
          </cell>
          <cell r="D176" t="str">
            <v>Gamma dose rate substantially understated by instrumentation, shielding reconfigured in undesired manner, or human error resulting in dose to worker(s) on the order of tens of rem.</v>
          </cell>
          <cell r="E176" t="str">
            <v>Not applicable.</v>
          </cell>
          <cell r="F176" t="str">
            <v>NA</v>
          </cell>
          <cell r="G176" t="str">
            <v>NA</v>
          </cell>
          <cell r="H176" t="str">
            <v>Gnd</v>
          </cell>
          <cell r="I176">
            <v>850</v>
          </cell>
          <cell r="J176" t="str">
            <v>A</v>
          </cell>
          <cell r="K176" t="str">
            <v>M</v>
          </cell>
          <cell r="L176" t="str">
            <v>N</v>
          </cell>
          <cell r="M176" t="str">
            <v>N</v>
          </cell>
          <cell r="N176" t="str">
            <v>N</v>
          </cell>
          <cell r="O176" t="str">
            <v>I</v>
          </cell>
          <cell r="P176" t="str">
            <v>IV</v>
          </cell>
          <cell r="Q176" t="str">
            <v>IV</v>
          </cell>
          <cell r="R176" t="str">
            <v>IV</v>
          </cell>
          <cell r="S176" t="str">
            <v>NA</v>
          </cell>
          <cell r="T176" t="str">
            <v>NA</v>
          </cell>
          <cell r="U176" t="str">
            <v>Gnd</v>
          </cell>
          <cell r="V176">
            <v>850</v>
          </cell>
          <cell r="W176" t="str">
            <v>U</v>
          </cell>
          <cell r="X176" t="str">
            <v>L</v>
          </cell>
          <cell r="Y176" t="str">
            <v>N</v>
          </cell>
          <cell r="Z176" t="str">
            <v>N</v>
          </cell>
          <cell r="AA176" t="str">
            <v>N</v>
          </cell>
          <cell r="AB176" t="str">
            <v>III</v>
          </cell>
          <cell r="AC176" t="str">
            <v>IV</v>
          </cell>
          <cell r="AD176" t="str">
            <v>IV</v>
          </cell>
          <cell r="AE176" t="str">
            <v>IV</v>
          </cell>
          <cell r="AF176" t="str">
            <v xml:space="preserve">Radiation Protection Program credited with ensuring that personnel exposures are within DOE accepted guidelines.   </v>
          </cell>
          <cell r="AG176" t="str">
            <v>•  None</v>
          </cell>
          <cell r="AH176" t="str">
            <v>•  Engineered radiation shielding on high dose rate waste containers</v>
          </cell>
          <cell r="AI176" t="str">
            <v>•  None</v>
          </cell>
          <cell r="AJ176" t="str">
            <v xml:space="preserve">•  Radiological Protection Program
•  Quality Assurance Program
•  Performance Based Training Program
•  Conduct of Operations
•  Waste Management Program </v>
          </cell>
          <cell r="AK176" t="str">
            <v>•  None</v>
          </cell>
          <cell r="AL176" t="str">
            <v>•  None</v>
          </cell>
          <cell r="AM176" t="str">
            <v>•  None</v>
          </cell>
          <cell r="AN176" t="str">
            <v>•  Radiological Protection Program
•  Performance Based Training Program
•  Conduct of Operations</v>
          </cell>
        </row>
        <row r="177">
          <cell r="A177" t="str">
            <v>WTF</v>
          </cell>
          <cell r="B177">
            <v>5</v>
          </cell>
          <cell r="C177" t="str">
            <v>Criticality</v>
          </cell>
          <cell r="D177" t="str">
            <v>Inadvertent criticality occurs due to multiple independent failures and/or highly improbable circumstances</v>
          </cell>
          <cell r="E177" t="str">
            <v>&gt;450 FGE
Pu-239</v>
          </cell>
          <cell r="F177" t="str">
            <v>NA</v>
          </cell>
          <cell r="G177" t="str">
            <v>NA</v>
          </cell>
          <cell r="H177" t="str">
            <v>Gnd</v>
          </cell>
          <cell r="I177">
            <v>850</v>
          </cell>
          <cell r="J177" t="str">
            <v>BEU</v>
          </cell>
          <cell r="K177" t="str">
            <v>L</v>
          </cell>
          <cell r="L177" t="str">
            <v>N</v>
          </cell>
          <cell r="M177" t="str">
            <v>N</v>
          </cell>
          <cell r="N177" t="str">
            <v>N</v>
          </cell>
          <cell r="O177" t="str">
            <v>IV</v>
          </cell>
          <cell r="P177" t="str">
            <v>IV</v>
          </cell>
          <cell r="Q177" t="str">
            <v>IV</v>
          </cell>
          <cell r="R177" t="str">
            <v>IV</v>
          </cell>
          <cell r="S177" t="str">
            <v>NA</v>
          </cell>
          <cell r="T177" t="str">
            <v>NA</v>
          </cell>
          <cell r="U177" t="str">
            <v>Gnd</v>
          </cell>
          <cell r="V177">
            <v>850</v>
          </cell>
          <cell r="W177" t="str">
            <v>BEU</v>
          </cell>
          <cell r="X177" t="str">
            <v>L</v>
          </cell>
          <cell r="Y177" t="str">
            <v>N</v>
          </cell>
          <cell r="Z177" t="str">
            <v>N</v>
          </cell>
          <cell r="AA177" t="str">
            <v>N</v>
          </cell>
          <cell r="AB177" t="str">
            <v>IV</v>
          </cell>
          <cell r="AC177" t="str">
            <v>IV</v>
          </cell>
          <cell r="AD177" t="str">
            <v>IV</v>
          </cell>
          <cell r="AE177" t="str">
            <v>IV</v>
          </cell>
          <cell r="AF177" t="str">
            <v xml:space="preserve">WTF estimated to contain approximately 3,200 FGE Pu-239 per WVNS-CAL-397, R0. Only tanks 8D-1 and 8D-2 believed to contain greater than a safe mass of fissile material. Areal concentration of fissile material significantly below safe concentrations as specified in ANSI/ANS-8.1. No credible means to concentrate materials within the tank.   </v>
          </cell>
          <cell r="AG177" t="str">
            <v>•  None</v>
          </cell>
          <cell r="AH177" t="str">
            <v>•  None</v>
          </cell>
          <cell r="AI177" t="str">
            <v>• PSR limits on container fissile mass
• PSR for fissile material storage containers</v>
          </cell>
          <cell r="AJ177" t="str">
            <v xml:space="preserve">•  Radiological Protection Program
•  Nuclear Criticality Safety Program
•  Quality Assurance Program
•  Performance Based Training Program
•  Conduct of Operations
•  Waste Management Program </v>
          </cell>
          <cell r="AK177" t="str">
            <v>•  None</v>
          </cell>
          <cell r="AL177" t="str">
            <v>•  None</v>
          </cell>
          <cell r="AM177" t="str">
            <v>•  None</v>
          </cell>
          <cell r="AN177" t="str">
            <v>•  Radiological Protection Program
•  Nuclear Criticality Safety Program
•  Emergency Response Program
•  Performance Based Training Program
•  Conduct of Operations</v>
          </cell>
        </row>
        <row r="178">
          <cell r="A178" t="str">
            <v>WTF</v>
          </cell>
          <cell r="B178">
            <v>6</v>
          </cell>
          <cell r="C178" t="str">
            <v>Aircraft impact with fire</v>
          </cell>
          <cell r="D178" t="str">
            <v>Small general aviation aircraft or helicopter crashes and a fire ensues</v>
          </cell>
          <cell r="E178">
            <v>1</v>
          </cell>
          <cell r="F178" t="str">
            <v>HF</v>
          </cell>
          <cell r="G178">
            <v>1</v>
          </cell>
          <cell r="H178" t="str">
            <v>Gnd</v>
          </cell>
          <cell r="I178">
            <v>850</v>
          </cell>
          <cell r="J178" t="str">
            <v>BEU</v>
          </cell>
          <cell r="K178" t="str">
            <v>N</v>
          </cell>
          <cell r="L178" t="str">
            <v>N</v>
          </cell>
          <cell r="M178" t="str">
            <v>N</v>
          </cell>
          <cell r="N178" t="str">
            <v>N</v>
          </cell>
          <cell r="O178" t="str">
            <v>IV</v>
          </cell>
          <cell r="P178" t="str">
            <v>IV</v>
          </cell>
          <cell r="Q178" t="str">
            <v>IV</v>
          </cell>
          <cell r="R178" t="str">
            <v>IV</v>
          </cell>
          <cell r="S178" t="str">
            <v>HF</v>
          </cell>
          <cell r="T178">
            <v>1</v>
          </cell>
          <cell r="U178" t="str">
            <v>Gnd</v>
          </cell>
          <cell r="V178">
            <v>850</v>
          </cell>
          <cell r="W178" t="str">
            <v>BEU</v>
          </cell>
          <cell r="X178" t="str">
            <v>N</v>
          </cell>
          <cell r="Y178" t="str">
            <v>N</v>
          </cell>
          <cell r="Z178" t="str">
            <v>N</v>
          </cell>
          <cell r="AA178" t="str">
            <v>N</v>
          </cell>
          <cell r="AB178" t="str">
            <v>IV</v>
          </cell>
          <cell r="AC178" t="str">
            <v>IV</v>
          </cell>
          <cell r="AD178" t="str">
            <v>IV</v>
          </cell>
          <cell r="AE178" t="str">
            <v>IV</v>
          </cell>
          <cell r="AF178" t="str">
            <v xml:space="preserve">Event not expected to impact radioactive materials within HLW tanks. Only activity in ventilation system would be expected to be affected. Event BEU per WVNS-CAL-388. Only facility ventilation system vulnerable to event. MAR is bounded by 10% of MPPB ventilation system MAR based on system environmental emission data. </v>
          </cell>
          <cell r="AG178" t="str">
            <v>•  None</v>
          </cell>
          <cell r="AH178" t="str">
            <v>•  None</v>
          </cell>
          <cell r="AI178" t="str">
            <v>•  None</v>
          </cell>
          <cell r="AJ178" t="str">
            <v>•  None</v>
          </cell>
          <cell r="AK178" t="str">
            <v>•  None</v>
          </cell>
          <cell r="AL178" t="str">
            <v>•  None</v>
          </cell>
          <cell r="AM178" t="str">
            <v>•  None</v>
          </cell>
          <cell r="AN178" t="str">
            <v>•  None</v>
          </cell>
        </row>
        <row r="179">
          <cell r="A179" t="str">
            <v>WTF</v>
          </cell>
          <cell r="B179">
            <v>7</v>
          </cell>
          <cell r="C179" t="str">
            <v>HEPA filter fire</v>
          </cell>
          <cell r="D179" t="str">
            <v>Area fire propagates to HEPA filter bank</v>
          </cell>
          <cell r="E179">
            <v>1</v>
          </cell>
          <cell r="F179" t="str">
            <v>HF</v>
          </cell>
          <cell r="G179">
            <v>1</v>
          </cell>
          <cell r="H179" t="str">
            <v>Gnd</v>
          </cell>
          <cell r="I179">
            <v>850</v>
          </cell>
          <cell r="J179" t="str">
            <v>U</v>
          </cell>
          <cell r="K179" t="str">
            <v>N</v>
          </cell>
          <cell r="L179" t="str">
            <v>N</v>
          </cell>
          <cell r="M179" t="str">
            <v>N</v>
          </cell>
          <cell r="N179" t="str">
            <v>N</v>
          </cell>
          <cell r="O179" t="str">
            <v>IV</v>
          </cell>
          <cell r="P179" t="str">
            <v>IV</v>
          </cell>
          <cell r="Q179" t="str">
            <v>IV</v>
          </cell>
          <cell r="R179" t="str">
            <v>IV</v>
          </cell>
          <cell r="S179" t="str">
            <v>HF</v>
          </cell>
          <cell r="T179">
            <v>1</v>
          </cell>
          <cell r="U179" t="str">
            <v>Gnd</v>
          </cell>
          <cell r="V179">
            <v>850</v>
          </cell>
          <cell r="W179" t="str">
            <v>U</v>
          </cell>
          <cell r="X179" t="str">
            <v>N</v>
          </cell>
          <cell r="Y179" t="str">
            <v>N</v>
          </cell>
          <cell r="Z179" t="str">
            <v>N</v>
          </cell>
          <cell r="AA179" t="str">
            <v>N</v>
          </cell>
          <cell r="AB179" t="str">
            <v>IV</v>
          </cell>
          <cell r="AC179" t="str">
            <v>IV</v>
          </cell>
          <cell r="AD179" t="str">
            <v>IV</v>
          </cell>
          <cell r="AE179" t="str">
            <v>IV</v>
          </cell>
          <cell r="AF179" t="str">
            <v xml:space="preserve"> 10% of MPPB ventilation system MAR bounding for facility HEPA filters based on system environmental emission data </v>
          </cell>
          <cell r="AG179" t="str">
            <v>•  None</v>
          </cell>
          <cell r="AH179" t="str">
            <v>•  None</v>
          </cell>
          <cell r="AI179" t="str">
            <v>•  None</v>
          </cell>
          <cell r="AJ179" t="str">
            <v>•  Quality Assurance Program
•  Fire Protection Program
•  Performance Based Training Program
•  Maintenance Program
•  Conduct of Operations</v>
          </cell>
          <cell r="AK179" t="str">
            <v>•  None</v>
          </cell>
          <cell r="AL179" t="str">
            <v>•  Redundant ventilation system filter trains and blowers</v>
          </cell>
          <cell r="AM179" t="str">
            <v>•  None</v>
          </cell>
          <cell r="AN179" t="str">
            <v>•  Radiological Protection Program
•  Emergency Response Program
•  Fire Protection Program
•  Performance Based Training Program
•  Conduct of Operations</v>
          </cell>
        </row>
        <row r="180">
          <cell r="A180" t="str">
            <v>WTF</v>
          </cell>
          <cell r="B180">
            <v>8</v>
          </cell>
          <cell r="C180" t="str">
            <v>HEPA filter failure</v>
          </cell>
          <cell r="D180" t="str">
            <v>Excess moisture or particulate on filters or area pressure excursion causes high filter differential pressure, resulting in filter failure</v>
          </cell>
          <cell r="E180">
            <v>1</v>
          </cell>
          <cell r="F180" t="str">
            <v>HB</v>
          </cell>
          <cell r="G180">
            <v>1</v>
          </cell>
          <cell r="H180" t="str">
            <v>Gnd</v>
          </cell>
          <cell r="I180">
            <v>850</v>
          </cell>
          <cell r="J180" t="str">
            <v>A</v>
          </cell>
          <cell r="K180" t="str">
            <v>L</v>
          </cell>
          <cell r="L180" t="str">
            <v>L</v>
          </cell>
          <cell r="M180" t="str">
            <v>N</v>
          </cell>
          <cell r="N180" t="str">
            <v>N</v>
          </cell>
          <cell r="O180" t="str">
            <v>III</v>
          </cell>
          <cell r="P180" t="str">
            <v>III</v>
          </cell>
          <cell r="Q180" t="str">
            <v>IV</v>
          </cell>
          <cell r="R180" t="str">
            <v>IV</v>
          </cell>
          <cell r="S180" t="str">
            <v>HB</v>
          </cell>
          <cell r="T180">
            <v>1</v>
          </cell>
          <cell r="U180" t="str">
            <v>Gnd</v>
          </cell>
          <cell r="V180">
            <v>850</v>
          </cell>
          <cell r="W180" t="str">
            <v>U</v>
          </cell>
          <cell r="X180" t="str">
            <v>L</v>
          </cell>
          <cell r="Y180" t="str">
            <v>L</v>
          </cell>
          <cell r="Z180" t="str">
            <v>N</v>
          </cell>
          <cell r="AA180" t="str">
            <v>N</v>
          </cell>
          <cell r="AB180" t="str">
            <v>III</v>
          </cell>
          <cell r="AC180" t="str">
            <v>III</v>
          </cell>
          <cell r="AD180" t="str">
            <v>IV</v>
          </cell>
          <cell r="AE180" t="str">
            <v>IV</v>
          </cell>
          <cell r="AF180" t="str">
            <v xml:space="preserve"> 10% of MPPB ventilation system MAR bounding for facility HEPA filters based on system environmental emission data </v>
          </cell>
          <cell r="AG180" t="str">
            <v>•  None</v>
          </cell>
          <cell r="AH180" t="str">
            <v>•  Instrumentation and controls to switch trains on high differential pressure
•  Instrumentation and controls to provide backup ventilation blower capability</v>
          </cell>
          <cell r="AI180" t="str">
            <v>•  None</v>
          </cell>
          <cell r="AJ180" t="str">
            <v>•  Quality Assurance Program
•  Fire Protection Program
•  Performance Based Training Program
•  Maintenance Program
•  Conduct of Operations</v>
          </cell>
          <cell r="AK180" t="str">
            <v>•  None</v>
          </cell>
          <cell r="AL180" t="str">
            <v>•  Redundant ventilation system filter trains and blowers</v>
          </cell>
          <cell r="AM180" t="str">
            <v>•  None</v>
          </cell>
          <cell r="AN180" t="str">
            <v>•  Radiological Protection Program
•  Emergency Response Program
•  Performance Based Training Program
•  Conduct of Operations</v>
          </cell>
        </row>
        <row r="181">
          <cell r="A181" t="str">
            <v>WTF</v>
          </cell>
          <cell r="B181">
            <v>9</v>
          </cell>
          <cell r="C181" t="str">
            <v>Loss of airborne contamination confinement</v>
          </cell>
          <cell r="D181" t="str">
            <v>Loss of power/redundancy resulting in loss of exhaust blower operability or other upset condition resulting in loss of airborne contamination confinement.</v>
          </cell>
          <cell r="E181">
            <v>850</v>
          </cell>
          <cell r="F181" t="str">
            <v>AER</v>
          </cell>
          <cell r="G181">
            <v>1</v>
          </cell>
          <cell r="H181" t="str">
            <v>Gnd</v>
          </cell>
          <cell r="I181">
            <v>850</v>
          </cell>
          <cell r="J181" t="str">
            <v>A</v>
          </cell>
          <cell r="K181" t="str">
            <v>L</v>
          </cell>
          <cell r="L181" t="str">
            <v>L</v>
          </cell>
          <cell r="M181" t="str">
            <v>N</v>
          </cell>
          <cell r="N181" t="str">
            <v>N</v>
          </cell>
          <cell r="O181" t="str">
            <v>III</v>
          </cell>
          <cell r="P181" t="str">
            <v>III</v>
          </cell>
          <cell r="Q181" t="str">
            <v>IV</v>
          </cell>
          <cell r="R181" t="str">
            <v>IV</v>
          </cell>
          <cell r="S181" t="str">
            <v>AER</v>
          </cell>
          <cell r="T181">
            <v>1.2E-4</v>
          </cell>
          <cell r="U181" t="str">
            <v>Gnd</v>
          </cell>
          <cell r="V181">
            <v>850</v>
          </cell>
          <cell r="W181" t="str">
            <v>A</v>
          </cell>
          <cell r="X181" t="str">
            <v>N</v>
          </cell>
          <cell r="Y181" t="str">
            <v>N</v>
          </cell>
          <cell r="Z181" t="str">
            <v>N</v>
          </cell>
          <cell r="AA181" t="str">
            <v>N</v>
          </cell>
          <cell r="AB181" t="str">
            <v>IV</v>
          </cell>
          <cell r="AC181" t="str">
            <v>IV</v>
          </cell>
          <cell r="AD181" t="str">
            <v>IV</v>
          </cell>
          <cell r="AE181" t="str">
            <v>IV</v>
          </cell>
          <cell r="AF181" t="str">
            <v xml:space="preserve">Contamination assumed to migrate from confinement boundary penetrations through aerodynamic entrainment and resuspension under static facility conditions. MAR is total inventory of activity in the WTF (Ref. WVNS-CAL-397, Table C-1).  DR reflects very low release rate expected for this event. (Estimated unmitigated source term from system &lt;1E-6 PE-Ci/day due to ACTIVE ventilation based on environmental release data and assumed HEPA filter efficiency of 99.99%.) </v>
          </cell>
          <cell r="AG181" t="str">
            <v>•  None</v>
          </cell>
          <cell r="AH181" t="str">
            <v>•  Facility ventilation exhaust stack which continues to provide nominal facility negative via chimney effect</v>
          </cell>
          <cell r="AI181" t="str">
            <v>•  None</v>
          </cell>
          <cell r="AJ181" t="str">
            <v>•  Quality Assurance Program
•  Fire Protection Program
•  Performance Based Training Program
•  Maintenance Program
•  Conduct of Operations</v>
          </cell>
          <cell r="AK181" t="str">
            <v>•  None</v>
          </cell>
          <cell r="AL181" t="str">
            <v>•  Confinement capability of facility envelope
•  Nominal facility negative maintained on facility even under loss of active ventilation through stack "chimney effect"</v>
          </cell>
          <cell r="AM181" t="str">
            <v>•  None</v>
          </cell>
          <cell r="AN181" t="str">
            <v>•  Radiological Protection Program
•  Performance Based Training Program
•  Conduct of Operations</v>
          </cell>
        </row>
        <row r="182">
          <cell r="A182" t="str">
            <v>WTF</v>
          </cell>
          <cell r="B182">
            <v>10</v>
          </cell>
          <cell r="C182" t="str">
            <v>Loss of liquid contamination confinement</v>
          </cell>
          <cell r="D182" t="str">
            <v>Vessel/line/sampler failure; operational upset</v>
          </cell>
          <cell r="E182">
            <v>1</v>
          </cell>
          <cell r="F182" t="str">
            <v>FFS</v>
          </cell>
          <cell r="G182">
            <v>0.5</v>
          </cell>
          <cell r="H182" t="str">
            <v>Gnd</v>
          </cell>
          <cell r="I182">
            <v>850</v>
          </cell>
          <cell r="J182" t="str">
            <v>A</v>
          </cell>
          <cell r="K182" t="str">
            <v>N</v>
          </cell>
          <cell r="L182" t="str">
            <v>N</v>
          </cell>
          <cell r="M182" t="str">
            <v>N</v>
          </cell>
          <cell r="N182" t="str">
            <v>N</v>
          </cell>
          <cell r="O182" t="str">
            <v>IV</v>
          </cell>
          <cell r="P182" t="str">
            <v>IV</v>
          </cell>
          <cell r="Q182" t="str">
            <v>IV</v>
          </cell>
          <cell r="R182" t="str">
            <v>IV</v>
          </cell>
          <cell r="S182" t="str">
            <v>FFS</v>
          </cell>
          <cell r="T182">
            <v>0.5</v>
          </cell>
          <cell r="U182" t="str">
            <v>Gnd</v>
          </cell>
          <cell r="V182">
            <v>850</v>
          </cell>
          <cell r="W182" t="str">
            <v>A</v>
          </cell>
          <cell r="X182" t="str">
            <v>N</v>
          </cell>
          <cell r="Y182" t="str">
            <v>N</v>
          </cell>
          <cell r="Z182" t="str">
            <v>N</v>
          </cell>
          <cell r="AA182" t="str">
            <v>N</v>
          </cell>
          <cell r="AB182" t="str">
            <v>IV</v>
          </cell>
          <cell r="AC182" t="str">
            <v>IV</v>
          </cell>
          <cell r="AD182" t="str">
            <v>IV</v>
          </cell>
          <cell r="AE182" t="str">
            <v>IV</v>
          </cell>
          <cell r="AF182" t="str">
            <v xml:space="preserve">None.  </v>
          </cell>
          <cell r="AG182" t="str">
            <v>•  None</v>
          </cell>
          <cell r="AH182" t="str">
            <v>•  Cell liners/sumps and/or area berms</v>
          </cell>
          <cell r="AI182" t="str">
            <v>•  None</v>
          </cell>
          <cell r="AJ182" t="str">
            <v xml:space="preserve">•  Quality Assurance Program
•  Performance Based Training Program
•  Maintenance Program
•  Conduct of Operations
•  Waste Management Program </v>
          </cell>
          <cell r="AK182" t="str">
            <v>•  None</v>
          </cell>
          <cell r="AL182" t="str">
            <v>•  Tank pans/vault liners</v>
          </cell>
          <cell r="AM182" t="str">
            <v>•  None</v>
          </cell>
          <cell r="AN182" t="str">
            <v>•  Radiological Protection Program
•  Performance Based Training Program
•  Conduct of Operations</v>
          </cell>
        </row>
        <row r="183">
          <cell r="A183" t="str">
            <v>WTF</v>
          </cell>
          <cell r="B183">
            <v>11</v>
          </cell>
          <cell r="C183" t="str">
            <v>Tornado</v>
          </cell>
          <cell r="D183" t="str">
            <v>Direct effects of tornado winds, falling objects, or tornado-produced missiles causing impacts to the facility. Event includes loss of contamination confinement resulting from abnormal facility differential pressures (backflow).</v>
          </cell>
          <cell r="E183">
            <v>850</v>
          </cell>
          <cell r="F183" t="str">
            <v>AER</v>
          </cell>
          <cell r="G183">
            <v>0.1</v>
          </cell>
          <cell r="H183" t="str">
            <v>Gnd</v>
          </cell>
          <cell r="I183">
            <v>850</v>
          </cell>
          <cell r="J183" t="str">
            <v>U</v>
          </cell>
          <cell r="K183" t="str">
            <v>N</v>
          </cell>
          <cell r="L183" t="str">
            <v>L</v>
          </cell>
          <cell r="M183" t="str">
            <v>N</v>
          </cell>
          <cell r="N183" t="str">
            <v>N</v>
          </cell>
          <cell r="O183" t="str">
            <v>IV</v>
          </cell>
          <cell r="P183" t="str">
            <v>III</v>
          </cell>
          <cell r="Q183" t="str">
            <v>IV</v>
          </cell>
          <cell r="R183" t="str">
            <v>IV</v>
          </cell>
          <cell r="S183" t="str">
            <v>AER</v>
          </cell>
          <cell r="T183">
            <v>1.2E-4</v>
          </cell>
          <cell r="U183" t="str">
            <v>Gnd</v>
          </cell>
          <cell r="V183">
            <v>850</v>
          </cell>
          <cell r="W183" t="str">
            <v>U</v>
          </cell>
          <cell r="X183" t="str">
            <v>N</v>
          </cell>
          <cell r="Y183" t="str">
            <v>N</v>
          </cell>
          <cell r="Z183" t="str">
            <v>N</v>
          </cell>
          <cell r="AA183" t="str">
            <v>N</v>
          </cell>
          <cell r="AB183" t="str">
            <v>IV</v>
          </cell>
          <cell r="AC183" t="str">
            <v>IV</v>
          </cell>
          <cell r="AD183" t="str">
            <v>IV</v>
          </cell>
          <cell r="AE183" t="str">
            <v>IV</v>
          </cell>
          <cell r="AF183" t="str">
            <v xml:space="preserve">Source term for event expected to be limited to airborne contamination affected by large negative pressure associated with direct strike by a tornado. Facility confinement not expected to be affected by missiles of EBE.  MAR is total inventory of activity in the WTF (Ref. WVNS-CAL-397, Table C-1).  DR reflects very low release rate expected for this event. (Estimated unmitigated source term from system &lt;1E-6 PE-Ci/day due to ACTIVE ventilation based on environmental release data and assumed HEPA filter efficiency of 99.99%.) </v>
          </cell>
          <cell r="AG183" t="str">
            <v>•  None</v>
          </cell>
          <cell r="AH183" t="str">
            <v>•  None</v>
          </cell>
          <cell r="AI183" t="str">
            <v>•  None</v>
          </cell>
          <cell r="AJ183" t="str">
            <v>•  None</v>
          </cell>
          <cell r="AK183" t="str">
            <v>•  None</v>
          </cell>
          <cell r="AL183" t="str">
            <v>•  Facility design capable of maintaining confinement integrity following design basis events</v>
          </cell>
          <cell r="AM183" t="str">
            <v>•  None</v>
          </cell>
          <cell r="AN183" t="str">
            <v>•  Radiological Protection Program
•  Emergency Response Program
•  Performance Based Training Program
•  Conduct of Operations</v>
          </cell>
        </row>
        <row r="184">
          <cell r="A184" t="str">
            <v>WTF</v>
          </cell>
          <cell r="B184">
            <v>12</v>
          </cell>
          <cell r="C184" t="str">
            <v>Flood</v>
          </cell>
          <cell r="D184" t="str">
            <v>A greater than 100-yr  rain event results in sheet flow that floods the storage area. Flooding may be exacerbated by plugged drainage channels or culverts.</v>
          </cell>
          <cell r="E184">
            <v>850</v>
          </cell>
          <cell r="F184" t="str">
            <v>NA</v>
          </cell>
          <cell r="G184" t="str">
            <v>NA</v>
          </cell>
          <cell r="H184" t="str">
            <v>Gnd</v>
          </cell>
          <cell r="I184">
            <v>850</v>
          </cell>
          <cell r="J184" t="str">
            <v>U</v>
          </cell>
          <cell r="K184" t="str">
            <v>N</v>
          </cell>
          <cell r="L184" t="str">
            <v>N</v>
          </cell>
          <cell r="M184" t="str">
            <v>N</v>
          </cell>
          <cell r="N184" t="str">
            <v>N</v>
          </cell>
          <cell r="O184" t="str">
            <v>IV</v>
          </cell>
          <cell r="P184" t="str">
            <v>IV</v>
          </cell>
          <cell r="Q184" t="str">
            <v>IV</v>
          </cell>
          <cell r="R184" t="str">
            <v>IV</v>
          </cell>
          <cell r="S184" t="str">
            <v>NA</v>
          </cell>
          <cell r="T184" t="str">
            <v>NA</v>
          </cell>
          <cell r="U184" t="str">
            <v>Gnd</v>
          </cell>
          <cell r="V184">
            <v>850</v>
          </cell>
          <cell r="W184" t="str">
            <v>U</v>
          </cell>
          <cell r="X184" t="str">
            <v>N</v>
          </cell>
          <cell r="Y184" t="str">
            <v>N</v>
          </cell>
          <cell r="Z184" t="str">
            <v>N</v>
          </cell>
          <cell r="AA184" t="str">
            <v>N</v>
          </cell>
          <cell r="AB184" t="str">
            <v>IV</v>
          </cell>
          <cell r="AC184" t="str">
            <v>IV</v>
          </cell>
          <cell r="AD184" t="str">
            <v>IV</v>
          </cell>
          <cell r="AE184" t="str">
            <v>IV</v>
          </cell>
          <cell r="AF184" t="str">
            <v xml:space="preserve">Site topography places facility outside area vulnerable to flooding (ref. Figure 1.4-6).  MAR is total inventory of activity in the WTF (Ref. WVNS-CAL-397, Table C-1).  </v>
          </cell>
          <cell r="AG184" t="str">
            <v>•  None</v>
          </cell>
          <cell r="AH184" t="str">
            <v>•  None</v>
          </cell>
          <cell r="AI184" t="str">
            <v>•  None</v>
          </cell>
          <cell r="AJ184" t="str">
            <v>•  None</v>
          </cell>
          <cell r="AK184" t="str">
            <v>•  None</v>
          </cell>
          <cell r="AL184" t="str">
            <v>•  None</v>
          </cell>
          <cell r="AM184" t="str">
            <v>•  None</v>
          </cell>
          <cell r="AN184" t="str">
            <v>•  None</v>
          </cell>
        </row>
      </sheetData>
      <sheetData sheetId="1" refreshError="1"/>
      <sheetData sheetId="2" refreshError="1"/>
      <sheetData sheetId="3" refreshError="1"/>
      <sheetData sheetId="4">
        <row r="3">
          <cell r="C3">
            <v>3.3300000000000002E-4</v>
          </cell>
        </row>
        <row r="8">
          <cell r="A8" t="str">
            <v>DST</v>
          </cell>
          <cell r="B8">
            <v>100</v>
          </cell>
          <cell r="C8">
            <v>850</v>
          </cell>
          <cell r="D8">
            <v>1050</v>
          </cell>
        </row>
        <row r="9">
          <cell r="A9" t="str">
            <v>Gnd</v>
          </cell>
          <cell r="B9">
            <v>3.1099999999999999E-2</v>
          </cell>
          <cell r="C9">
            <v>1.1100000000000001E-3</v>
          </cell>
          <cell r="D9">
            <v>7.8299999999999995E-4</v>
          </cell>
        </row>
        <row r="10">
          <cell r="A10" t="str">
            <v>20m</v>
          </cell>
          <cell r="B10">
            <v>4.07E-6</v>
          </cell>
          <cell r="C10">
            <v>3.1600000000000002E-5</v>
          </cell>
          <cell r="D10">
            <v>2.4600000000000002E-5</v>
          </cell>
        </row>
        <row r="11">
          <cell r="A11" t="str">
            <v>60m</v>
          </cell>
          <cell r="B11">
            <v>0</v>
          </cell>
          <cell r="C11">
            <v>1.0200000000000001E-5</v>
          </cell>
          <cell r="D11">
            <v>1.2999999999999999E-5</v>
          </cell>
        </row>
        <row r="17">
          <cell r="A17" t="str">
            <v>E01</v>
          </cell>
          <cell r="B17">
            <v>1.2837500000000002E-3</v>
          </cell>
          <cell r="C17">
            <v>1</v>
          </cell>
        </row>
        <row r="18">
          <cell r="A18" t="str">
            <v>E02</v>
          </cell>
          <cell r="B18">
            <v>0.01</v>
          </cell>
          <cell r="C18">
            <v>1</v>
          </cell>
        </row>
        <row r="19">
          <cell r="A19" t="str">
            <v>E03</v>
          </cell>
          <cell r="B19" t="str">
            <v>NA</v>
          </cell>
          <cell r="C19" t="str">
            <v>NA</v>
          </cell>
        </row>
        <row r="20">
          <cell r="A20" t="str">
            <v>E04</v>
          </cell>
          <cell r="B20">
            <v>5.0000000000000001E-4</v>
          </cell>
          <cell r="C20">
            <v>0.5</v>
          </cell>
        </row>
        <row r="21">
          <cell r="A21" t="str">
            <v>E05</v>
          </cell>
          <cell r="B21">
            <v>1E-3</v>
          </cell>
          <cell r="C21">
            <v>1</v>
          </cell>
        </row>
        <row r="22">
          <cell r="A22" t="str">
            <v>E06</v>
          </cell>
          <cell r="B22">
            <v>5.4000000000000001E-4</v>
          </cell>
          <cell r="C22">
            <v>1</v>
          </cell>
        </row>
        <row r="23">
          <cell r="A23" t="str">
            <v>E07</v>
          </cell>
          <cell r="B23" t="str">
            <v>NA</v>
          </cell>
          <cell r="C23" t="str">
            <v>NA</v>
          </cell>
        </row>
        <row r="24">
          <cell r="A24" t="str">
            <v>E08</v>
          </cell>
          <cell r="B24" t="str">
            <v>NA</v>
          </cell>
          <cell r="C24" t="str">
            <v>NA</v>
          </cell>
        </row>
        <row r="25">
          <cell r="A25" t="str">
            <v>E09</v>
          </cell>
          <cell r="B25">
            <v>1E-4</v>
          </cell>
          <cell r="C25">
            <v>0.01</v>
          </cell>
        </row>
        <row r="26">
          <cell r="A26" t="str">
            <v>E10</v>
          </cell>
          <cell r="B26">
            <v>1E-4</v>
          </cell>
          <cell r="C26">
            <v>0.1</v>
          </cell>
        </row>
        <row r="27">
          <cell r="A27" t="str">
            <v>E11</v>
          </cell>
          <cell r="B27">
            <v>1E-4</v>
          </cell>
          <cell r="C27">
            <v>0.1</v>
          </cell>
        </row>
        <row r="28">
          <cell r="A28" t="str">
            <v>E12</v>
          </cell>
          <cell r="B28">
            <v>1E-4</v>
          </cell>
          <cell r="C28">
            <v>1</v>
          </cell>
        </row>
        <row r="29">
          <cell r="A29" t="str">
            <v>E13</v>
          </cell>
          <cell r="B29" t="str">
            <v>NA</v>
          </cell>
          <cell r="C29" t="str">
            <v>NA</v>
          </cell>
        </row>
        <row r="30">
          <cell r="A30" t="str">
            <v>E14</v>
          </cell>
          <cell r="B30" t="str">
            <v>NA</v>
          </cell>
          <cell r="C30" t="str">
            <v>NA</v>
          </cell>
        </row>
        <row r="31">
          <cell r="A31" t="str">
            <v>E15</v>
          </cell>
          <cell r="B31">
            <v>3.6350000000000002E-3</v>
          </cell>
          <cell r="C31">
            <v>1</v>
          </cell>
        </row>
        <row r="32">
          <cell r="A32" t="str">
            <v>E16</v>
          </cell>
          <cell r="B32">
            <v>2E-3</v>
          </cell>
          <cell r="C32">
            <v>0.1</v>
          </cell>
        </row>
        <row r="33">
          <cell r="A33" t="str">
            <v>E17</v>
          </cell>
          <cell r="B33">
            <v>1.2837500000000002E-3</v>
          </cell>
          <cell r="C33">
            <v>1</v>
          </cell>
        </row>
        <row r="34">
          <cell r="A34" t="str">
            <v>E18</v>
          </cell>
          <cell r="B34">
            <v>1E-4</v>
          </cell>
          <cell r="C34">
            <v>1</v>
          </cell>
        </row>
        <row r="35">
          <cell r="A35" t="str">
            <v>E19</v>
          </cell>
          <cell r="B35">
            <v>5.0000000000000001E-4</v>
          </cell>
          <cell r="C35">
            <v>0.5</v>
          </cell>
        </row>
        <row r="36">
          <cell r="A36" t="str">
            <v>E20</v>
          </cell>
          <cell r="B36">
            <v>1E-4</v>
          </cell>
          <cell r="C36">
            <v>1</v>
          </cell>
        </row>
        <row r="37">
          <cell r="A37" t="str">
            <v>E21</v>
          </cell>
          <cell r="B37">
            <v>1E-4</v>
          </cell>
          <cell r="C37">
            <v>0.01</v>
          </cell>
        </row>
        <row r="38">
          <cell r="A38" t="str">
            <v>E22</v>
          </cell>
          <cell r="B38">
            <v>1E-4</v>
          </cell>
          <cell r="C38">
            <v>1</v>
          </cell>
        </row>
        <row r="39">
          <cell r="A39" t="str">
            <v>E23</v>
          </cell>
          <cell r="B39">
            <v>1E-4</v>
          </cell>
          <cell r="C39">
            <v>1E-3</v>
          </cell>
        </row>
        <row r="40">
          <cell r="A40" t="str">
            <v>E24</v>
          </cell>
          <cell r="B40">
            <v>1E-4</v>
          </cell>
          <cell r="C40">
            <v>0.01</v>
          </cell>
        </row>
        <row r="41">
          <cell r="A41" t="str">
            <v>E25</v>
          </cell>
          <cell r="B41" t="str">
            <v>NA</v>
          </cell>
          <cell r="C41" t="str">
            <v>NA</v>
          </cell>
        </row>
        <row r="42">
          <cell r="A42" t="str">
            <v>HDBK-3010 Events</v>
          </cell>
        </row>
        <row r="43">
          <cell r="A43" t="str">
            <v>AER</v>
          </cell>
          <cell r="B43">
            <v>7.9999999999999996E-6</v>
          </cell>
          <cell r="C43">
            <v>1</v>
          </cell>
        </row>
        <row r="44">
          <cell r="A44" t="str">
            <v>CWF</v>
          </cell>
          <cell r="B44">
            <v>5.0000000000000001E-4</v>
          </cell>
          <cell r="C44">
            <v>1</v>
          </cell>
        </row>
        <row r="45">
          <cell r="A45" t="str">
            <v>EQ</v>
          </cell>
          <cell r="B45">
            <v>1E-3</v>
          </cell>
          <cell r="C45">
            <v>0.1</v>
          </cell>
        </row>
        <row r="46">
          <cell r="A46" t="str">
            <v>ES</v>
          </cell>
          <cell r="B46">
            <v>1E-3</v>
          </cell>
          <cell r="C46">
            <v>1</v>
          </cell>
        </row>
        <row r="47">
          <cell r="A47" t="str">
            <v>FFS</v>
          </cell>
          <cell r="B47">
            <v>2.0000000000000001E-4</v>
          </cell>
          <cell r="C47">
            <v>0.5</v>
          </cell>
        </row>
        <row r="48">
          <cell r="A48" t="str">
            <v>HB</v>
          </cell>
          <cell r="B48">
            <v>0.01</v>
          </cell>
          <cell r="C48">
            <v>1</v>
          </cell>
        </row>
        <row r="49">
          <cell r="A49" t="str">
            <v>HF</v>
          </cell>
          <cell r="B49">
            <v>1E-4</v>
          </cell>
          <cell r="C49">
            <v>1</v>
          </cell>
        </row>
        <row r="50">
          <cell r="A50" t="str">
            <v>IS</v>
          </cell>
          <cell r="B50">
            <v>1E-4</v>
          </cell>
          <cell r="C50">
            <v>1</v>
          </cell>
        </row>
        <row r="51">
          <cell r="A51" t="str">
            <v>NA</v>
          </cell>
          <cell r="B51" t="str">
            <v>NA</v>
          </cell>
          <cell r="C51" t="str">
            <v>NA</v>
          </cell>
        </row>
        <row r="52">
          <cell r="A52" t="str">
            <v>SS</v>
          </cell>
          <cell r="B52">
            <v>0</v>
          </cell>
          <cell r="C52">
            <v>0</v>
          </cell>
        </row>
      </sheetData>
      <sheetData sheetId="5">
        <row r="1">
          <cell r="C1" t="str">
            <v>CPCW</v>
          </cell>
          <cell r="D1" t="str">
            <v>HLWSS</v>
          </cell>
          <cell r="E1" t="str">
            <v>LSA</v>
          </cell>
          <cell r="F1" t="str">
            <v>MP</v>
          </cell>
          <cell r="G1" t="str">
            <v>MPA</v>
          </cell>
          <cell r="H1" t="str">
            <v>OUT</v>
          </cell>
          <cell r="I1" t="str">
            <v>RH</v>
          </cell>
          <cell r="J1" t="str">
            <v>TRN</v>
          </cell>
          <cell r="K1" t="str">
            <v>VF</v>
          </cell>
          <cell r="L1" t="str">
            <v>WTF</v>
          </cell>
        </row>
        <row r="2">
          <cell r="A2" t="str">
            <v>Localized flammable liquid pool fire</v>
          </cell>
          <cell r="B2" t="str">
            <v>E01</v>
          </cell>
          <cell r="C2" t="str">
            <v xml:space="preserve">Waste in CPC-WSA is primarily non-combustible vessels and equipment with internal contamination. Topography and soil conditions in outdoor hardstand areas limit the spatial extent of any fuel spilled in the area. </v>
          </cell>
          <cell r="E2" t="str">
            <v xml:space="preserve">APPROVED CONTAINERS credited with limiting the propagation of fire in a storage array. </v>
          </cell>
          <cell r="F2" t="str">
            <v>Event not credible for non-MPA areas of the Main Plant due to lack of accessibility to these areas by equipment that represents a risk for pool fires. Failure of shield windows under conditions considered in the FHA could contribute flammable liquid to the cell under highly unlikely fire conditions; however, these conditions differ from those of the event described in STD-5506. The contribution of shield window mineral oil to an in-cell fire was considered under Large Fire for the MPPB.</v>
          </cell>
          <cell r="G2" t="str">
            <v xml:space="preserve">Potentially affected areas are FRS or Vit LI/LO. </v>
          </cell>
          <cell r="H2" t="str">
            <v>Topography and soil conditions in outdoor hardstand areas limit the spatial extent of any fuel spill in the area.</v>
          </cell>
          <cell r="I2" t="str">
            <v>Event credible only for ICA areas of RHWF due to lack of accessibility to in-cell areas by equipment that represents a risk for pool fires. Failure of shield windows under conditions considered in the FHA could contribute flammable liquid to the cell under highly unlikely fire conditions; however, these conditions differ from those of the event described in STD-5506. The contribution of shield window mineral oil to an in-cell fire was considered under Large Fire for the RHWF.</v>
          </cell>
          <cell r="J2" t="str">
            <v xml:space="preserve">SAC for transportation of high activity waste recognized as for providing protection under accident conditions. </v>
          </cell>
          <cell r="K2" t="str">
            <v>Event not credible for VF due to lack of accessibility to these areas by equipment that represents a risk for pool fires. Failure of shield windows under conditions considered in the FHA could contribute flammable liquid to the cell under highly unlikely fire conditions; however, these conditions differ from those of the event described in STD-5506. The contribution of shield window mineral oil to an in-cell fire was considered under Large Fire for the VF.</v>
          </cell>
          <cell r="L2" t="str">
            <v>Event not credible for WTF due to lack of accessibility to areas containing radioactive materials by equipment that represents a risk for pool fires.</v>
          </cell>
        </row>
        <row r="3">
          <cell r="A3" t="str">
            <v>Small combustible material fire</v>
          </cell>
          <cell r="B3" t="str">
            <v>E02</v>
          </cell>
          <cell r="C3" t="str">
            <v xml:space="preserve">Contingency evaluation in the event of discovery of non-conforming waste container. Credit taken for storage of waste in APPROVED CONTAINERS in assuming mitigated event progresses as contained waste fire. </v>
          </cell>
          <cell r="D3" t="str">
            <v>Area does not require use of combustible materials for operations.</v>
          </cell>
          <cell r="E3" t="str">
            <v xml:space="preserve">Fire Protection (hot work controls), Radiation Protection, and Waste Management Programs credited with minimizing probability and consequences of fire event.  MAR assumes that waste is unconfined combustible. </v>
          </cell>
          <cell r="F3" t="str">
            <v xml:space="preserve">Releases are assumed to be through facility stack, even under loss of active ventilation, via stack chimney effect. Credit taken for Fire Protection Program controls in assuming mitigated event progresses as contained waste fire. </v>
          </cell>
          <cell r="G3" t="str">
            <v>MAR limit imposed on exposed waste operations. Fire Protection (hot work controls), Radiation Protection, and Waste Management Programs credited with minimizing probability and consequences of fire event.  MAR assumes that waste is unconfined combustible.</v>
          </cell>
          <cell r="H3" t="str">
            <v xml:space="preserve">Amount of combustible material in radiologically-controlled areas controlled by WVDP Fire Protection Program. Credit taken for storage of waste in APPROVED CONTAINERS in assuming mitigated event progresses as contained waste fire. </v>
          </cell>
          <cell r="I3" t="str">
            <v xml:space="preserve">Releases are assumed to be through facility stack, even under loss of active ventilation, via stack chimney effect. Credit taken for Fire Protection Program controls in assuming mitigated event progresses as contained waste fire. </v>
          </cell>
          <cell r="K3" t="str">
            <v xml:space="preserve">Releases are assumed to be through facility stack, even under loss of active ventilation, via stack chimney effect.  Credit taken for Fire Protection Program controls in assuming mitigated event progresses as contained waste fire. </v>
          </cell>
        </row>
        <row r="4">
          <cell r="A4" t="str">
            <v>Enclosure fire</v>
          </cell>
          <cell r="B4" t="str">
            <v>E03</v>
          </cell>
          <cell r="C4" t="str">
            <v>This type of activity not performed at the WVDP.</v>
          </cell>
          <cell r="D4" t="str">
            <v>This type of activity not performed at the WVDP.</v>
          </cell>
          <cell r="E4" t="str">
            <v>This type of activity not performed at the WVDP.</v>
          </cell>
          <cell r="F4" t="str">
            <v>This type of activity not performed at the WVDP.</v>
          </cell>
          <cell r="G4" t="str">
            <v>This type of activity not performed at the WVDP.</v>
          </cell>
          <cell r="H4" t="str">
            <v>This type of activity not performed at the WVDP.</v>
          </cell>
          <cell r="I4" t="str">
            <v>This type of activity not performed at the WVDP.</v>
          </cell>
          <cell r="J4" t="str">
            <v>This type of activity not performed at the WVDP.</v>
          </cell>
          <cell r="K4" t="str">
            <v>This type of activity not performed at the WVDP.</v>
          </cell>
          <cell r="L4" t="str">
            <v>This type of activity not performed at the WVDP.</v>
          </cell>
        </row>
        <row r="5">
          <cell r="A5" t="str">
            <v>Large fire</v>
          </cell>
          <cell r="B5" t="str">
            <v>E04</v>
          </cell>
          <cell r="C5" t="str">
            <v>Only small quantities of combustible material expected to be in area with little exposed material present. Facility constructed of fire resistant or fire retardant materials.</v>
          </cell>
          <cell r="D5" t="str">
            <v>Area does not require use of combustible materials for operations.</v>
          </cell>
          <cell r="E5" t="str">
            <v xml:space="preserve">Combustibles in area are minimized through site combustible material control requirements. APPROVED CONTAINERS credited with limiting the propagation of fire in a storage array. </v>
          </cell>
          <cell r="F5" t="str">
            <v xml:space="preserve">Releases are assumed to be through facility stack, even under loss of active ventilation, via stack chimney effect. </v>
          </cell>
          <cell r="G5" t="str">
            <v>Only small quantities of combustible material expected to be in area with little exposed material present. Facility constructed of fire resistant or fire retardant materials.</v>
          </cell>
          <cell r="H5" t="str">
            <v>Only small quantities of combustible material expected to be in area with little exposed material present.</v>
          </cell>
          <cell r="I5" t="str">
            <v>Releases are assumed to be through facility stack, even under loss of active ventilation, via stack chimney effect.</v>
          </cell>
          <cell r="J5" t="str">
            <v>Event not applicable to this type of activity.</v>
          </cell>
          <cell r="K5" t="str">
            <v>Release bounds any potential releases associated with handling HLW in Vit Cell. Releases are assumed to be through facility stack, even under loss of active ventilation, via stack chimney effect.</v>
          </cell>
          <cell r="L5" t="str">
            <v>Only small quantities of combustible material expected to be in area with little exposed material present. Facility constructed of fire resistant or fire retardant materials.</v>
          </cell>
        </row>
        <row r="6">
          <cell r="A6" t="str">
            <v>Localized explosion external to container</v>
          </cell>
          <cell r="B6" t="str">
            <v>E05</v>
          </cell>
          <cell r="C6" t="str">
            <v>APPROVED CONTAINERS credited with mitigating consequences.</v>
          </cell>
          <cell r="E6" t="str">
            <v>APPROVED CONTAINERS credited with mitigating consequences.</v>
          </cell>
          <cell r="F6" t="str">
            <v>Event not credible for non-MPA areas of the Main Plant due to lack of accessibility to these areas by equipment that represents a risk for this type of equipment-based explosion. In-facility explosions considered under event "Localized explosion within facility."</v>
          </cell>
          <cell r="G6" t="str">
            <v>APPROVED CONTAINERS recognized as mitigating consequences.</v>
          </cell>
          <cell r="H6" t="str">
            <v>APPROVED CONTAINERS credited with mitigating consequences.</v>
          </cell>
          <cell r="I6" t="str">
            <v>Event only applicable to ICA areas of MPPB due to lack of accessibility to in-cell areas by equipment that represents a risk for this type of equipment-based explosion. In-facility explosions considered under event "Localized explosion within facility." APPROVED CONTAINERS credited with mitigating consequences.</v>
          </cell>
          <cell r="J6" t="str">
            <v>APPROVED CONTAINERS credited with mitigating consequences.</v>
          </cell>
          <cell r="K6" t="str">
            <v>Event not credible for VF due to lack of accessibility to these areas by equipment that represents a risk for this type of equipment-based explosion. In-facility explosions considered under event "Localized explosion within facility."</v>
          </cell>
          <cell r="L6" t="str">
            <v>Event assumes impact to containerized waste. Event not credible due to the low combined probability of presence of MAR in area and occurrence of event.</v>
          </cell>
        </row>
        <row r="7">
          <cell r="A7" t="str">
            <v>Waste container deflagration</v>
          </cell>
          <cell r="B7" t="str">
            <v>E06</v>
          </cell>
          <cell r="C7" t="str">
            <v xml:space="preserve">Waste form and waste package vent filters contribute to low probability of this event. </v>
          </cell>
          <cell r="D7" t="str">
            <v>Explosive gases confirmed to not be present in WVDP HLW canisters in accordance with waste form qualification requirements.</v>
          </cell>
          <cell r="E7" t="str">
            <v xml:space="preserve">Waste form and waste package vent filters contribute to low probability of this event. </v>
          </cell>
          <cell r="F7" t="str">
            <v xml:space="preserve">Waste form and waste package vent filters contribute to low probability of this event. Event is assumed to occur within shielded process cell. </v>
          </cell>
          <cell r="G7" t="str">
            <v xml:space="preserve">Waste form and waste package vent filters contribute to low probability of this event. </v>
          </cell>
          <cell r="H7" t="str">
            <v xml:space="preserve">Waste form and waste package vent filters contribute to low probability of this event. </v>
          </cell>
          <cell r="I7" t="str">
            <v xml:space="preserve">Waste form and waste package vent filters contribute to low probability of this event. Event is assumed to occur within shielded process cell. </v>
          </cell>
          <cell r="J7" t="str">
            <v>Occurrence of event not incredible during the short period of time in which the material is in transit.</v>
          </cell>
          <cell r="K7" t="str">
            <v xml:space="preserve">Waste form and waste package vent filters contribute to low probability of this event. Event is assumed to occur within shielded process cell. </v>
          </cell>
          <cell r="L7" t="str">
            <v>Event requires the accumulation of an explosive concentration of flammable gases. Flammable gas generation rate of residual HLW; large volume of HLW tanks; and ventilation paths of tank headspace all contribute to incredibility of this event.</v>
          </cell>
        </row>
        <row r="8">
          <cell r="A8" t="str">
            <v>Multiple container deflagration</v>
          </cell>
          <cell r="B8" t="str">
            <v>E07</v>
          </cell>
          <cell r="C8" t="str">
            <v>Waste form and waste package vent filters contribute to low probability of event affecting single container. Event affecting multiple containers determined to be not credible</v>
          </cell>
          <cell r="D8" t="str">
            <v>Waste form and waste package vent filters contribute to low probability of event affecting single container. Event affecting multiple containers determined to be not credible</v>
          </cell>
          <cell r="E8" t="str">
            <v>Waste form and waste package vent filters contribute to low probability of event affecting single container. Event affecting multiple containers determined to be not credible</v>
          </cell>
          <cell r="F8" t="str">
            <v>Waste form and waste package vent filters contribute to low probability of event affecting single container. Event affecting multiple containers determined to be not credible</v>
          </cell>
          <cell r="G8" t="str">
            <v>Waste form and waste package vent filters contribute to low probability of event affecting single container. Event affecting multiple containers determined to be not credible</v>
          </cell>
          <cell r="H8" t="str">
            <v>Waste form and waste package vent filters contribute to low probability of event affecting single container. Event affecting multiple containers determined to be not credible</v>
          </cell>
          <cell r="I8" t="str">
            <v>Waste form and waste package vent filters contribute to low probability of event affecting single container. Event affecting multiple containers determined to be not credible</v>
          </cell>
          <cell r="J8" t="str">
            <v>Waste form and waste package vent filters contribute to low probability of event affecting single container. Event affecting multiple containers determined to be not credible</v>
          </cell>
          <cell r="K8" t="str">
            <v>Waste form and waste package vent filters contribute to low probability of event affecting single container. Event affecting multiple containers determined to be not credible</v>
          </cell>
          <cell r="L8" t="str">
            <v>Waste form and waste package vent filters contribute to low probability of event affecting single container. Event affecting multiple containers determined to be not credible</v>
          </cell>
        </row>
        <row r="9">
          <cell r="A9" t="str">
            <v>Enclosure deflagration</v>
          </cell>
          <cell r="B9" t="str">
            <v>E08</v>
          </cell>
          <cell r="C9" t="str">
            <v>This type of activity not performed at the WVDP.</v>
          </cell>
          <cell r="D9" t="str">
            <v>This type of activity not performed at the WVDP.</v>
          </cell>
          <cell r="E9" t="str">
            <v>This type of activity not performed at the WVDP.</v>
          </cell>
          <cell r="F9" t="str">
            <v>This type of activity not performed at the WVDP.</v>
          </cell>
          <cell r="G9" t="str">
            <v>This type of activity not performed at the WVDP.</v>
          </cell>
          <cell r="H9" t="str">
            <v>This type of activity not performed at the WVDP.</v>
          </cell>
          <cell r="I9" t="str">
            <v>This type of activity not performed at the WVDP.</v>
          </cell>
          <cell r="J9" t="str">
            <v>This type of activity not performed at the WVDP.</v>
          </cell>
          <cell r="K9" t="str">
            <v>This type of activity not performed at the WVDP.</v>
          </cell>
          <cell r="L9" t="str">
            <v>This type of activity not performed at the WVDP.</v>
          </cell>
        </row>
        <row r="10">
          <cell r="A10" t="str">
            <v>Vehicle/equipment impacts waste/waste containers</v>
          </cell>
          <cell r="B10" t="str">
            <v>E09</v>
          </cell>
          <cell r="C10" t="str">
            <v>Shielding and nature of waste associated with many of the containers in the facility expected to mitigate the consequences of this event.</v>
          </cell>
          <cell r="D10" t="str">
            <v xml:space="preserve">The maximum anticipated speed of the cask transporter enroute to the storage pad is approximately 2 mph.  </v>
          </cell>
          <cell r="F10" t="str">
            <v>Event not credible for non-MPA areas of the Main Plant due to lack of accessibility to these areas by equipment that represents a risk for this type of event.</v>
          </cell>
          <cell r="G10" t="str">
            <v xml:space="preserve">Containers assumed to be impacted by handling equipment travelling &lt;10 mph. </v>
          </cell>
          <cell r="H10" t="str">
            <v xml:space="preserve">Containers assumed to be impacted by handling equipment travelling &lt;10 mph. </v>
          </cell>
          <cell r="I10" t="str">
            <v xml:space="preserve">Wastes in Receiving Area or WPA/LO could potentially be affected by this event. Containers assumed to be impacted by handling equipment travelling &lt;10 mph. </v>
          </cell>
          <cell r="J10" t="str">
            <v xml:space="preserve">Containers assumed to be impacted by handling equipment travelling &lt;10 mph. </v>
          </cell>
          <cell r="K10" t="str">
            <v>Event not credible for VF due to lack of accessibility to areas by equipment that represents a risk for this type of event.</v>
          </cell>
          <cell r="L10" t="str">
            <v>Event assumes impact to containerized waste. Event not credible due to the low combined probability of presence of MAR in area and occurrence of event.</v>
          </cell>
        </row>
        <row r="11">
          <cell r="A11" t="str">
            <v>Drop/impact/spill</v>
          </cell>
          <cell r="B11" t="str">
            <v>E10</v>
          </cell>
          <cell r="C11" t="str">
            <v>Shielding and nature of waste associated with many of the containers in the facility expected to mitigate the consequences of this event.</v>
          </cell>
          <cell r="D11" t="str">
            <v>Cask transporters are designed with conservative safety factors. (Transporters load tested to 125% of nominal capacity.)</v>
          </cell>
          <cell r="E11" t="str">
            <v xml:space="preserve">Event is a low energy breach of container confinement (e.g. tine puncture or container drop). </v>
          </cell>
          <cell r="F11" t="str">
            <v xml:space="preserve">Assumed to be bounded by one high activity TRU waste container in HLWIS dropped on another high activity TRU waste container.  No releases from HLW canister expected for this event. </v>
          </cell>
          <cell r="G11" t="str">
            <v xml:space="preserve">Event is a low energy breach of container confinement (e.g. tine puncture or container drop). </v>
          </cell>
          <cell r="H11" t="str">
            <v xml:space="preserve">Event is a low energy breach of container confinement (e.g. tine puncture or container drop). </v>
          </cell>
          <cell r="I11" t="str">
            <v xml:space="preserve">Event is a low energy breach of container confinement (e.g. tine puncture or container drop). </v>
          </cell>
          <cell r="J11" t="str">
            <v xml:space="preserve">Event is a low energy breach of container confinement (e.g. tine puncture or container drop). </v>
          </cell>
          <cell r="K11" t="str">
            <v xml:space="preserve">Assumed to be bounded by one high activity TRU waste container dropped on another high activity TRU waste container.  No releases from HLW canister expected for this event. </v>
          </cell>
          <cell r="L11" t="str">
            <v xml:space="preserve">Event is assumed to involve drop of HEPA filter during changeout. This event would bound any releases associated with drop of equipment internal to a waste tank (e.g. sampling component). </v>
          </cell>
        </row>
        <row r="12">
          <cell r="A12" t="str">
            <v>Collapse of stacked containers</v>
          </cell>
          <cell r="B12" t="str">
            <v>E11</v>
          </cell>
          <cell r="C12" t="str">
            <v xml:space="preserve">Event applies only to containers above 2nd tier of a storage array since Type 17C containers designed to withstand 4' drop. </v>
          </cell>
          <cell r="D12" t="str">
            <v>Event applies only to failure of array possessing 3 or more tiers. This type of array not maintained in the area.</v>
          </cell>
          <cell r="E12" t="str">
            <v xml:space="preserve">Event applies only to containers above 2nd tier of a storage array since Type 17C containers designed to withstand 4' drop. </v>
          </cell>
          <cell r="F12" t="str">
            <v>Event applies only to failure of array possessing 3 or more tiers. This type of array not maintained in the area.</v>
          </cell>
          <cell r="G12" t="str">
            <v>Event applies only to failure of array possessing 3 or more tiers. This type of array not maintained in the area.</v>
          </cell>
          <cell r="I12" t="str">
            <v>Event applies only to failure of array possessing 3 or more tiers. This type of array not maintained in the area.</v>
          </cell>
          <cell r="J12" t="str">
            <v>Event applies only to failure of array possessing 3 or more tiers. Event therefore not applicable to this activity.</v>
          </cell>
          <cell r="K12" t="str">
            <v>Event applies only to failure of array possessing 3 or more tiers. This type of array not maintained in the area.</v>
          </cell>
          <cell r="L12" t="str">
            <v>Event applies only to failure of array possessing 3 or more tiers. This type of array not maintained in the area.</v>
          </cell>
        </row>
        <row r="13">
          <cell r="A13" t="str">
            <v>Waste container over-pressurization</v>
          </cell>
          <cell r="B13" t="str">
            <v>E12</v>
          </cell>
          <cell r="C13" t="str">
            <v xml:space="preserve">Waste form and waste package vent filters contribute to reducing the probability of this event. </v>
          </cell>
          <cell r="D13" t="str">
            <v>Generation rate of gas in WVDP HLW canisters determined to be insufficient to support this event in accordance with waste form qualification requirements.</v>
          </cell>
          <cell r="E13" t="str">
            <v xml:space="preserve">Waste form and waste package vent filters contribute to reducing the probability of this event. </v>
          </cell>
          <cell r="F13" t="str">
            <v xml:space="preserve">Waste form and waste package vent filters contribute to reducing the probability of this event. Event is assumed to occur within shielded process cell. </v>
          </cell>
          <cell r="G13" t="str">
            <v xml:space="preserve">Waste form and waste package vent filters contribute to reducing the probability of this event. </v>
          </cell>
          <cell r="H13" t="str">
            <v xml:space="preserve">Waste form and waste package vent filters contribute to reducing the probability of this event. </v>
          </cell>
          <cell r="I13" t="str">
            <v xml:space="preserve">Waste form and waste package vent filters contribute to reducing the probability of this event. Event is assumed to occur within shielded process cell. </v>
          </cell>
          <cell r="J13" t="str">
            <v>Occurrence of event assumed to be incredible during the short period of time in which the material is in transit.</v>
          </cell>
          <cell r="K13" t="str">
            <v xml:space="preserve">Waste form and waste package vent filters contribute to reducing the probability of this event. Event is assumed to occur within shielded process cell. </v>
          </cell>
          <cell r="L13" t="str">
            <v>Event applies to containerized waste. Event not credible due to the low combined probability of presence of MAR in area and occurrence of event.</v>
          </cell>
        </row>
        <row r="14">
          <cell r="A14" t="str">
            <v>Direct exposure to radiation</v>
          </cell>
          <cell r="B14" t="str">
            <v>E13</v>
          </cell>
          <cell r="C14" t="str">
            <v>None.</v>
          </cell>
          <cell r="D14" t="str">
            <v>Reduced shielding on cask/MPC bottom is a known source of potentially elevated radiation levels during cask transport. Exposure risk will be mitigated by maintaining a low ground clearance (6” or less) during transportation.</v>
          </cell>
          <cell r="E14" t="str">
            <v>None.</v>
          </cell>
          <cell r="F14" t="str">
            <v>None.</v>
          </cell>
          <cell r="G14" t="str">
            <v>None.</v>
          </cell>
          <cell r="H14" t="str">
            <v>None.</v>
          </cell>
          <cell r="I14" t="str">
            <v>None.</v>
          </cell>
          <cell r="J14" t="str">
            <v xml:space="preserve">Radiation Protection Program credited with ensuring that personnel exposures are within DOE accepted guidelines. </v>
          </cell>
          <cell r="K14" t="str">
            <v>None.</v>
          </cell>
          <cell r="L14" t="str">
            <v xml:space="preserve">Radiation Protection Program credited with ensuring that personnel exposures are within DOE accepted guidelines. </v>
          </cell>
        </row>
        <row r="15">
          <cell r="A15" t="str">
            <v>Criticality</v>
          </cell>
          <cell r="B15" t="str">
            <v>E14</v>
          </cell>
          <cell r="C15" t="str">
            <v xml:space="preserve">Nuclear criticality safety administrative controls ensure that only safe quantities of fissile material are placed in waste packages. </v>
          </cell>
          <cell r="D15" t="str">
            <v>Low fissile material concentration, waste matrix form and composition, and presence of significant quantity of neutron absorbing material (iron, boron, U-238, Pu-240) limits waste reactivity and potential for re-organization into critical configuration.</v>
          </cell>
          <cell r="E15" t="str">
            <v xml:space="preserve">Nuclear criticality safety administrative controls ensure that only safe quantities of fissile material are placed in waste packages. </v>
          </cell>
          <cell r="F15" t="str">
            <v xml:space="preserve">Nuclear criticality safety administrative controls ensure criticality safety for all D&amp;D operations and waste packaging activities involving greater than a significant quantity of fissile material. </v>
          </cell>
          <cell r="G15" t="str">
            <v xml:space="preserve">Nuclear criticality safety administrative controls ensure that only safe quantities of fissile material are placed in waste packages. </v>
          </cell>
          <cell r="H15" t="str">
            <v xml:space="preserve">Nuclear criticality safety administrative controls ensure that only safe quantities of fissile material are placed in waste packages. </v>
          </cell>
          <cell r="I15" t="str">
            <v xml:space="preserve">Nuclear criticality safety administrative controls ensure criticality safety for all D&amp;D operations and waste packaging activities involving greater than a significant quantity of fissile material. </v>
          </cell>
          <cell r="J15" t="str">
            <v>Wastes containing significant quantities of fissile material transported in TSR-compliant containers which would ensure that container spacing is maintained in the event of credible accident conditions.</v>
          </cell>
          <cell r="K15" t="str">
            <v xml:space="preserve">Nuclear criticality safety administrative controls ensure criticality safety for all D&amp;D operations and waste packaging activities involving greater than a significant quantity of fissile material. </v>
          </cell>
          <cell r="L15" t="str">
            <v xml:space="preserve">WTF estimated to contain approximately 3,200 FGE Pu-239 per WVNS-CAL-397, R0. Only tanks 8D-1 and 8D-2 believed to contain greater than a safe mass of fissile material. Areal concentration of fissile material significantly below safe concentrations as specified in ANSI/ANS-8.1. No credible means to concentrate materials within the tank. </v>
          </cell>
        </row>
        <row r="16">
          <cell r="A16" t="str">
            <v>Aircraft impact with fire</v>
          </cell>
          <cell r="B16" t="str">
            <v>E15</v>
          </cell>
          <cell r="C16" t="str">
            <v>Shielding and nature of waste associated with many of the containers in the facility expected to mitigate the consequences of this event. Event assumes waste containers breach in a manner similar to external vehicle accident event. Event BEU per WVNS-CAL-388</v>
          </cell>
          <cell r="E16" t="str">
            <v>Event assumes waste containers breach in a manner similar to external vehicle accident event. Event BEU per WVNS-CAL-388.</v>
          </cell>
          <cell r="F16" t="str">
            <v>Event not expected to impact radioactive materials within heavily shielded cells. Only activity in ventilation system would be expected to be affected. Event BEU per WVNS-CAL-388.</v>
          </cell>
          <cell r="G16" t="str">
            <v>Event assumes waste containers breach in a manner similar to external vehicle accident event. Event BEU per WVNS-CAL-388.</v>
          </cell>
          <cell r="H16" t="str">
            <v>Event assumes waste containers breach in a manner similar to external vehicle accident event. Event BEU per WVNS-CAL-388.</v>
          </cell>
          <cell r="I16" t="str">
            <v>Event not expected to impact radioactive materials within heavily shielded cells. Only activity in ventilation system would be expected to be affected. Event BEU per WVNS-CAL-388.</v>
          </cell>
          <cell r="J16" t="str">
            <v>Occurrence of event assumed to be incredible during the short period of time in which the material is in transit.</v>
          </cell>
          <cell r="K16" t="str">
            <v>Event not expected to impact radioactive materials within heavily shielded cells. Only activity in ventilation system would be expected to be affected. Event BEU per WVNS-CAL-388.</v>
          </cell>
          <cell r="L16" t="str">
            <v>Event not expected to impact radioactive materials within HLW tanks. Only activity in ventilation system would be expected to be affected. Event BEU per WVNS-CAL-388.</v>
          </cell>
        </row>
        <row r="17">
          <cell r="A17" t="str">
            <v>External vehicle accident</v>
          </cell>
          <cell r="B17" t="str">
            <v>E16</v>
          </cell>
          <cell r="C17" t="str">
            <v>Facility structure assumed sufficient to protect MAR from this event</v>
          </cell>
          <cell r="D17" t="str">
            <v xml:space="preserve">Impact by vehicle having a speed that can't be reasonably assumed to be &lt;~10 mph (e.g., plow truck, vendor/ subcontractor vehicle, etc.). </v>
          </cell>
          <cell r="E17" t="str">
            <v>Facility structure assumed sufficient to protect MAR from this event</v>
          </cell>
          <cell r="F17" t="str">
            <v>Facility structure assumed sufficient to protect MAR from this event</v>
          </cell>
          <cell r="G17" t="str">
            <v>Facility structure assumed sufficient to protect MAR from this event</v>
          </cell>
          <cell r="H17" t="str">
            <v>Impact by vehicle having a speed that can't be reasonably assumed to be &lt;~10 mph (e.g., plow truck, vendor/subcontractor vehicle, etc.).  Physical protection SAC is implemented if greater than 10 PE Ci in an outdoor area. Probability of event assessed to be BEU when physical protection SAC is in place.</v>
          </cell>
          <cell r="I17" t="str">
            <v>Facility structure assumed sufficient to protect MAR from this event</v>
          </cell>
          <cell r="J17" t="str">
            <v>Facility structure assumed sufficient to protect MAR from this event</v>
          </cell>
          <cell r="K17" t="str">
            <v>Facility structure assumed sufficient to protect MAR from this event</v>
          </cell>
          <cell r="L17" t="str">
            <v>Facility structure assumed sufficient to protect MAR from this event</v>
          </cell>
        </row>
        <row r="18">
          <cell r="A18" t="str">
            <v>External vehicle accident with fire</v>
          </cell>
          <cell r="B18" t="str">
            <v>E17</v>
          </cell>
          <cell r="C18" t="str">
            <v>Facility structure assumed sufficient to protect MAR from this event</v>
          </cell>
          <cell r="D18" t="str">
            <v xml:space="preserve">Impact by vehicle having a speed that can't be reasonably assumed to be &lt;~10 mph (e.g., plow truck, vendor/ subcontractor vehicle, etc.). </v>
          </cell>
          <cell r="E18" t="str">
            <v>Facility structure assumed sufficient to protect MAR from this event</v>
          </cell>
          <cell r="F18" t="str">
            <v>Facility structure assumed sufficient to protect MAR from this event</v>
          </cell>
          <cell r="G18" t="str">
            <v>Facility structure assumed sufficient to protect MAR from this event</v>
          </cell>
          <cell r="H18" t="str">
            <v>Impact by vehicle having a speed that can't be reasonably assumed to be &lt;~10 mph (e.g., plow truck, vendor/subcontractor vehicle, etc.).  Physical protection SAC is implemented if greater than 10 PE Ci in an outdoor area. Probability of event assessed to be BEU when physical protection SAC is in place.</v>
          </cell>
          <cell r="I18" t="str">
            <v>Facility structure assumed sufficient to protect MAR from this event</v>
          </cell>
          <cell r="J18" t="str">
            <v>Facility structure assumed sufficient to protect MAR from this event</v>
          </cell>
          <cell r="K18" t="str">
            <v>Facility structure assumed sufficient to protect MAR from this event</v>
          </cell>
          <cell r="L18" t="str">
            <v>Facility structure assumed sufficient to protect MAR from this event</v>
          </cell>
        </row>
        <row r="19">
          <cell r="A19" t="str">
            <v>External explosion</v>
          </cell>
          <cell r="B19" t="str">
            <v>E18</v>
          </cell>
          <cell r="C19" t="str">
            <v>No sources of flammable/explosive materials sufficient to breach facility envelope in vicinity of facility.</v>
          </cell>
          <cell r="D19" t="str">
            <v>No explosive material handling is required in vicinity of storage pad area. The storage pad is a minimum of 500 feet from public highways.</v>
          </cell>
          <cell r="E19" t="str">
            <v xml:space="preserve">Explosion assumed to be due to detonation of accumulated flammable gas associated with facility natural gas heaters. </v>
          </cell>
          <cell r="F19" t="str">
            <v xml:space="preserve">Explosion assumed to be due to detonation of accumulated flammable gas associated with utility room or related operations. </v>
          </cell>
          <cell r="G19" t="str">
            <v>No sources of flammable/explosive materials sufficient to breach facility envelope in vicinity of facility.</v>
          </cell>
          <cell r="H19" t="str">
            <v xml:space="preserve">Event assumed to be due to explosion of passing (onsite) vehicle payload (e.g., bottled gas, flammable liquids, etc.). </v>
          </cell>
          <cell r="I19" t="str">
            <v xml:space="preserve">Explosion assumed to be due to detonation of accumulated flammable gas associated with facility natural gas heaters. </v>
          </cell>
          <cell r="J19" t="str">
            <v>Occurrence of event assumed to be incredible during the short period of time in which the material is in transit.</v>
          </cell>
          <cell r="K19" t="str">
            <v>No sources of flammable/explosive materials sufficient to breach facility envelope in vicinity of facility.</v>
          </cell>
          <cell r="L19" t="str">
            <v>No sources of flammable/explosive materials sufficient to breach facility envelope in vicinity of facility.</v>
          </cell>
        </row>
        <row r="20">
          <cell r="A20" t="str">
            <v>External fire</v>
          </cell>
          <cell r="B20" t="str">
            <v>E19</v>
          </cell>
          <cell r="C20" t="str">
            <v xml:space="preserve">Unmitigated frequency very conservative since no exposure fire risks identified in WVNS-FHA-010, Rev. 2. Even under EU wildland fire conditions virtually no waste would be exposed to critical heat flux due to facility construction. </v>
          </cell>
          <cell r="D20" t="str">
            <v xml:space="preserve">Cask construction sufficient to protect storage canisters under credible wildland fire event. Fire Protection Program recognized as mitigating probability of event. </v>
          </cell>
          <cell r="E20" t="str">
            <v xml:space="preserve">Unmitigated frequency very conservative since no exposure fire risks identified in WVNS-FHA-015. Even under EU wildland fire conditions virtually no waste would be exposed to critical heat flux due to facility construction. </v>
          </cell>
          <cell r="F20" t="str">
            <v>Facility not vulnerable to exposure fires per FHA</v>
          </cell>
          <cell r="G20" t="str">
            <v>Facility not vulnerable to exposure fires per FHA</v>
          </cell>
          <cell r="H20" t="str">
            <v xml:space="preserve">Use of APPROVED CONTAINERS recognized as mitigating consequences of event. Fire Protection Program recognized as mitigating probability of event. </v>
          </cell>
          <cell r="I20" t="str">
            <v xml:space="preserve">Unmitigated frequency very conservative since no exposure fire risks per WVNS-FHA-014. Even under EU wildland fire conditions virtually no waste would be exposed to critical heat flux due to facility construction. </v>
          </cell>
          <cell r="J20" t="str">
            <v>Activity would not be conducted under event conditions.</v>
          </cell>
          <cell r="K20" t="str">
            <v>Facility not vulnerable to exposure fires per FHA</v>
          </cell>
          <cell r="L20" t="str">
            <v>Facility not vulnerable to exposure fires per FHA</v>
          </cell>
        </row>
        <row r="21">
          <cell r="A21" t="str">
            <v>Lightning</v>
          </cell>
          <cell r="B21" t="str">
            <v>E20</v>
          </cell>
          <cell r="C21" t="str">
            <v>Steel construction of facility protects waste within facility. Facility provided with lightning protection per NFPA 780.</v>
          </cell>
          <cell r="D21" t="str">
            <v xml:space="preserve">Waste protected by conductive shielding of cask interior. </v>
          </cell>
          <cell r="E21" t="str">
            <v>Steel construction of facility protects waste within facility.</v>
          </cell>
          <cell r="F21" t="str">
            <v>Per the guidance of NFPA 780, the Main Plant stack meets the criteria of a strike termination device and therefore provides a zone of protection for several facilities including the MPPB, VF, and STS/PVS.</v>
          </cell>
          <cell r="G21" t="str">
            <v>Per the guidance of NFPA 780, the Main Plant stack meets the criteria of a strike termination device and therefore provides a zone of protection for several facilities including the MPPB, VF, and STS/PVS.</v>
          </cell>
          <cell r="H21" t="str">
            <v xml:space="preserve">Rapid heating of waste container could induce seal/lid failure with ejected waste. </v>
          </cell>
          <cell r="I21" t="str">
            <v>Steel construction of facility protects waste within facility. Facility provided with lightning protection per NFPA 780.</v>
          </cell>
          <cell r="J21" t="str">
            <v>Activity would not be conducted under event conditions.</v>
          </cell>
          <cell r="K21" t="str">
            <v>Per the guidance of NFPA 780, the Main Plant stack meets the criteria of a strike termination device and therefore provides a zone of protection for several facilities including the MPPB, VF, and STS/PVS.</v>
          </cell>
          <cell r="L21" t="str">
            <v>Steel construction of PVS facility protects MAR within facility. Facility provided with lightning protection per NFPA 780. HLW tank MAR located below ground and therefore not vulnerable to lightning strike.</v>
          </cell>
        </row>
        <row r="22">
          <cell r="A22" t="str">
            <v>High wind</v>
          </cell>
          <cell r="B22" t="str">
            <v>E21</v>
          </cell>
          <cell r="C22" t="str">
            <v>WVDP facilities designed to withstand design wind loading</v>
          </cell>
          <cell r="D22" t="str">
            <v>VSC determined to be stable against tip-over and sliding during high wind conditions (ref. NAC Calculation 630087-2010, Revision 0, MPC-WVDP VSC Structural Evaluation).</v>
          </cell>
          <cell r="E22" t="str">
            <v>WVDP facilities designed to withstand design wind loading</v>
          </cell>
          <cell r="F22" t="str">
            <v>WVDP facilities designed to withstand design wind loading</v>
          </cell>
          <cell r="G22" t="str">
            <v>WVDP facilities designed to withstand design wind loading</v>
          </cell>
          <cell r="H22" t="str">
            <v xml:space="preserve">Stored waste containers potentially affected by blown objects. High wind conditions would disperse any release material in a manner significantly greater than 95% meteorological condition assumptions. </v>
          </cell>
          <cell r="I22" t="str">
            <v>WVDP facilities designed to withstand design wind loading</v>
          </cell>
          <cell r="J22" t="str">
            <v>Activity would not be conducted under event conditions.</v>
          </cell>
          <cell r="K22" t="str">
            <v>WVDP facilities designed to withstand design wind loading</v>
          </cell>
          <cell r="L22" t="str">
            <v>WVDP facilities designed to withstand design wind loading</v>
          </cell>
        </row>
        <row r="23">
          <cell r="A23" t="str">
            <v>Tornado</v>
          </cell>
          <cell r="B23" t="str">
            <v>E22</v>
          </cell>
          <cell r="C23" t="str">
            <v xml:space="preserve">Shielding and nature of waste associated with many of the containers in the facility expected to mitigate the consequences of this event. High wind conditions would disperse any released material in a manner significantly greater than 95% meteorological condition assumptions. </v>
          </cell>
          <cell r="D23" t="str">
            <v>Void space internal to cask and external to MPC expected to contain little to no removable surface contamination. In addition, surface contamination internal to MPC also expected to be maintained at low levels. Lack of passive vents in cask further inhibits release of any internal contamination. VSC capable of resisting effects of tornadic winds and tornado-borne missiles (ref. WVNS-CAL-391, Addendum 2).</v>
          </cell>
          <cell r="E23" t="str">
            <v xml:space="preserve">High wind conditions would disperse any released material in a manner significantly greater than 95% meteorological condition assumptions. </v>
          </cell>
          <cell r="F23" t="str">
            <v xml:space="preserve">Source term for event expected to be limited to airborne contamination affected by large negative pressure associated with direct strike by a tornado. Facility confinement not expected to be affected by missiles of EBE. </v>
          </cell>
          <cell r="H23" t="str">
            <v xml:space="preserve">High wind conditions would disperse any released material in a manner significantly greater than 95% meteorological condition assumptions. </v>
          </cell>
          <cell r="I23" t="str">
            <v xml:space="preserve">Source term for event expected to be limited to airborne contamination affected by large negative pressure associated with direct strike by a tornado. Facility confinement not expected to be affected by missiles of EBE. </v>
          </cell>
          <cell r="J23" t="str">
            <v>Activity would not be conducted under event conditions.</v>
          </cell>
          <cell r="K23" t="str">
            <v xml:space="preserve">Source term for event expected to be limited to airborne contamination affected by large negative pressure associated with direct strike by a tornado. Facility confinement not expected to be affected by missiles of EBE. </v>
          </cell>
          <cell r="L23" t="str">
            <v xml:space="preserve">Source term for event expected to be limited to airborne contamination affected by large negative pressure associated with direct strike by a tornado. Facility confinement not expected to be affected by missiles of EBE. </v>
          </cell>
        </row>
        <row r="24">
          <cell r="A24" t="str">
            <v>Snow and/or ice buildup</v>
          </cell>
          <cell r="B24" t="str">
            <v>E23</v>
          </cell>
          <cell r="C24" t="str">
            <v>WVDP facilities designed to withstand 40 psf snow loading</v>
          </cell>
          <cell r="D24" t="str">
            <v>WVDP facilities designed to withstand 40 psf snow loading</v>
          </cell>
          <cell r="E24" t="str">
            <v>WVDP facilities designed to withstand 40 psf snow loading</v>
          </cell>
          <cell r="F24" t="str">
            <v>WVDP facilities designed to withstand 40 psf snow loading</v>
          </cell>
          <cell r="G24" t="str">
            <v>WVDP facilities designed to withstand 40 psf snow loading</v>
          </cell>
          <cell r="H24" t="str">
            <v xml:space="preserve">Construction of waste storage containers more than adequate to support anticipated snow/ice loadings. </v>
          </cell>
          <cell r="I24" t="str">
            <v>WVDP facilities designed to withstand 40 psf snow loading</v>
          </cell>
          <cell r="J24" t="str">
            <v>WVDP facilities designed to withstand 40 psf snow loading</v>
          </cell>
          <cell r="K24" t="str">
            <v>WVDP facilities designed to withstand 40 psf snow loading</v>
          </cell>
          <cell r="L24" t="str">
            <v>WVDP facilities designed to withstand 40 psf snow loading</v>
          </cell>
        </row>
        <row r="25">
          <cell r="A25" t="str">
            <v>Seismic event</v>
          </cell>
          <cell r="B25" t="str">
            <v>E24</v>
          </cell>
          <cell r="C25" t="str">
            <v xml:space="preserve">Facility expected to remain intact following EBE. Toppling of storage array addressed under event "Collapse of Stacked Containers." </v>
          </cell>
          <cell r="E25" t="str">
            <v xml:space="preserve">Facility expected to remain intact following EBE. Toppling of storage array addressed under event "Collapse of Stacked Containers." </v>
          </cell>
          <cell r="F25" t="str">
            <v xml:space="preserve">Facility confinement boundaries expected to remain intact following EBE. </v>
          </cell>
          <cell r="G25" t="str">
            <v xml:space="preserve">Facility confinement boundaries expected to remain intact following EBE. </v>
          </cell>
          <cell r="I25" t="str">
            <v xml:space="preserve">Facility confinement boundaries expected to remain intact following EBE. </v>
          </cell>
          <cell r="J25" t="str">
            <v>Occurrence of event assumed to be incredible during the short period of time in which the material is in transit.</v>
          </cell>
          <cell r="K25" t="str">
            <v xml:space="preserve">Facility confinement boundaries expected to remain intact following EBE. </v>
          </cell>
          <cell r="L25" t="str">
            <v xml:space="preserve">Facility confinement boundaries expected to remain intact following EBE. </v>
          </cell>
        </row>
        <row r="26">
          <cell r="A26" t="str">
            <v>Loss of airborne contamination confinement</v>
          </cell>
          <cell r="B26" t="str">
            <v>AER</v>
          </cell>
          <cell r="C26" t="str">
            <v>Event applicable only to loss of confinement in areas maintaining active ventilation systems. Loss of airborne contamination confinement involving packaged wastes addressed in other events:
•  Vehicle/equipment impacts waste/ waste containers
•  Drop/impact/spill
•  Collapse of stacked containers
•  Waste container over-pressurization</v>
          </cell>
          <cell r="E26" t="str">
            <v>Contamination assumed to migrate from confinement boundary penetrations through aerodynamic entrainment and resuspension under static facility conditions.</v>
          </cell>
          <cell r="F26" t="str">
            <v>Contamination assumed to migrate from confinement boundary penetrations through aerodynamic entrainment and resuspension under static facility conditions.</v>
          </cell>
          <cell r="G26" t="str">
            <v>Contamination assumed to migrate from confinement boundary penetrations through aerodynamic entrainment and resuspension under static facility conditions.</v>
          </cell>
          <cell r="H26" t="str">
            <v>Event applicable only to loss of confinement in areas maintaining active ventilation systems. Loss of airborne contamination confinement involving packaged wastes addressed in other events:
•  Vehicle/equipment impacts waste/ waste containers
•  Drop/impact/spill
•  Collapse of stacked containers
•  Waste container over-pressurization</v>
          </cell>
          <cell r="I26" t="str">
            <v>Contamination assumed to migrate from confinement boundary penetrations through aerodynamic entrainment and resuspension under static facility conditions.</v>
          </cell>
          <cell r="J26" t="str">
            <v>Event applicable only to loss of confinement in areas maintaining active ventilation systems. Loss of airborne contamination confinement involving packaged wastes addressed in other events:
•  Vehicle/equipment impacts waste/ waste containers
•  Drop/impact/spill
•  Waste container over-pressurization</v>
          </cell>
          <cell r="K26" t="str">
            <v>Contamination assumed to migrate from confinement boundary penetrations through aerodynamic entrainment and resuspension under static facility conditions.</v>
          </cell>
          <cell r="L26" t="str">
            <v>Contamination assumed to migrate from confinement boundary penetrations through aerodynamic entrainment and resuspension under static facility conditions.</v>
          </cell>
        </row>
        <row r="27">
          <cell r="A27" t="str">
            <v>Localized explosion within facility</v>
          </cell>
          <cell r="B27" t="str">
            <v>ES</v>
          </cell>
          <cell r="C27" t="str">
            <v>Events involving explosions that have the potential to impact facility MAR addressed in event "Localized explosion external to container."</v>
          </cell>
          <cell r="D27" t="str">
            <v>Events involving explosions that have the potential to impact facility MAR addressed in event "Localized explosion external to container."</v>
          </cell>
          <cell r="E27" t="str">
            <v>Events involving explosions that have the potential to impact facility MAR addressed in event "Localized explosion external to container."</v>
          </cell>
          <cell r="F27" t="str">
            <v xml:space="preserve">Event is assumed to be due to ignition of flammable gas associated with D&amp;D activities (e.g., cutting gases, pressurized decontamination gases, etc.). </v>
          </cell>
          <cell r="G27" t="str">
            <v>Events involving explosions that have the potential to impact facility MAR addressed in event "Localized explosion external to container."</v>
          </cell>
          <cell r="H27" t="str">
            <v>Events involving explosions that have the potential to impact facility MAR addressed in event "Localized explosion external to container."</v>
          </cell>
          <cell r="I27" t="str">
            <v xml:space="preserve">Event is assumed to be due to ignition of flammable gas associated with D&amp;D activities (e.g., cutting gases, pressurized decontamination gases, etc.). </v>
          </cell>
          <cell r="J27" t="str">
            <v>Events involving explosions that have the potential to impact facility MAR addressed in event "Localized explosion external to container."</v>
          </cell>
          <cell r="K27" t="str">
            <v xml:space="preserve">Event is assumed to be due to ignition of flammable gas associated with D&amp;D activities (e.g., cutting gases, pressurized decontamination gases, etc.). </v>
          </cell>
          <cell r="L27" t="str">
            <v>Materials capable of initiating an explosion not required for operation of WTF areas.</v>
          </cell>
        </row>
        <row r="28">
          <cell r="A28" t="str">
            <v>Loss of liquid contamination confinement</v>
          </cell>
          <cell r="B28" t="str">
            <v>FFS</v>
          </cell>
          <cell r="C28" t="str">
            <v>None.</v>
          </cell>
          <cell r="D28" t="str">
            <v>Liquids excluded from WVDP HLW canisters in accordance with waste form qualification requirements.</v>
          </cell>
          <cell r="E28" t="str">
            <v>None.</v>
          </cell>
          <cell r="F28" t="str">
            <v>None.</v>
          </cell>
          <cell r="G28" t="str">
            <v>None.</v>
          </cell>
          <cell r="H28" t="str">
            <v>None.</v>
          </cell>
          <cell r="I28" t="str">
            <v>None.</v>
          </cell>
          <cell r="J28" t="str">
            <v>None.</v>
          </cell>
          <cell r="K28" t="str">
            <v>None.</v>
          </cell>
          <cell r="L28" t="str">
            <v>None.</v>
          </cell>
        </row>
        <row r="29">
          <cell r="A29" t="str">
            <v>Flood</v>
          </cell>
          <cell r="C29" t="str">
            <v xml:space="preserve">Site topography places facility outside area vulnerable to flooding (ref. Figure 1.4-6). </v>
          </cell>
          <cell r="D29" t="str">
            <v>Cask design provides isolation of stored waste from credible external water levels (ponding) due to flooding (i.e., no vent holes).</v>
          </cell>
          <cell r="E29" t="str">
            <v xml:space="preserve">Site topography places facility outside area vulnerable to flooding (ref. Figure 1.4-6). </v>
          </cell>
          <cell r="F29" t="str">
            <v xml:space="preserve">Site topography places facility outside area vulnerable to flooding (ref. Figure 1.4-6). </v>
          </cell>
          <cell r="G29" t="str">
            <v xml:space="preserve">Site topography places facility outside area vulnerable to flooding (ref. Figure 1.4-6). </v>
          </cell>
          <cell r="H29" t="str">
            <v xml:space="preserve">Site topography places facility outside area vulnerable to flooding (ref. Figure 1.4-6). </v>
          </cell>
          <cell r="I29" t="str">
            <v xml:space="preserve">Site topography places facility outside area vulnerable to flooding (ref. Figure 1.4-6). </v>
          </cell>
          <cell r="J29" t="str">
            <v>Activity would not be conducted under event conditions.</v>
          </cell>
          <cell r="K29" t="str">
            <v xml:space="preserve">Site topography places facility outside area vulnerable to flooding (ref. Figure 1.4-6). </v>
          </cell>
          <cell r="L29" t="str">
            <v xml:space="preserve">Site topography places facility outside area vulnerable to flooding (ref. Figure 1.4-6). </v>
          </cell>
        </row>
        <row r="30">
          <cell r="A30" t="str">
            <v>HEPA filter failure</v>
          </cell>
          <cell r="B30" t="str">
            <v>HB</v>
          </cell>
          <cell r="C30" t="str">
            <v>Facility does not possess HEPA-filtered ventilation system.</v>
          </cell>
          <cell r="D30" t="str">
            <v>Facility does not possess HEPA-filtered ventilation system.</v>
          </cell>
          <cell r="H30" t="str">
            <v>Facility does not possess HEPA-filtered ventilation system.</v>
          </cell>
          <cell r="J30" t="str">
            <v>Activity does not require HEPA-filtered ventilation system.</v>
          </cell>
        </row>
        <row r="31">
          <cell r="A31" t="str">
            <v>HEPA filter fire</v>
          </cell>
          <cell r="B31" t="str">
            <v>HF</v>
          </cell>
          <cell r="C31" t="str">
            <v>Facility does not possess HEPA-filtered ventilation system.</v>
          </cell>
          <cell r="D31" t="str">
            <v>Facility does not possess HEPA-filtered ventilation system.</v>
          </cell>
          <cell r="H31" t="str">
            <v>Facility does not possess HEPA-filtered ventilation system.</v>
          </cell>
          <cell r="J31" t="str">
            <v>Activity does not require HEPA-filtered ventilation system.</v>
          </cell>
        </row>
        <row r="32">
          <cell r="A32" t="str">
            <v>Stack failure</v>
          </cell>
          <cell r="B32" t="str">
            <v>IS</v>
          </cell>
          <cell r="C32" t="str">
            <v>Facility does not possess ventilation stack</v>
          </cell>
          <cell r="D32" t="str">
            <v>Facility does not possess ventilation stack</v>
          </cell>
          <cell r="E32" t="str">
            <v>Facility does not possess ventilation stack</v>
          </cell>
          <cell r="G32" t="str">
            <v>Area ventilation exhausts to Main Plant stack</v>
          </cell>
          <cell r="H32" t="str">
            <v>Facility does not possess ventilation stack</v>
          </cell>
          <cell r="I32" t="str">
            <v>Short stack with little potential to affect contaminated material in the facility.</v>
          </cell>
          <cell r="J32" t="str">
            <v>Facility does not possess ventilation stack</v>
          </cell>
          <cell r="K32" t="str">
            <v>Short stack with little potential to affect contaminated material in the facility.</v>
          </cell>
          <cell r="L32" t="str">
            <v>Short stack with little potential to affect contaminated material in the facility.</v>
          </cell>
        </row>
        <row r="33">
          <cell r="A33" t="str">
            <v>Corrosion</v>
          </cell>
          <cell r="C33" t="str">
            <v>Event unique to HLW storage.</v>
          </cell>
          <cell r="D33" t="str">
            <v>Carbon steel cask interior is coated to minimize corrosion. The overpack is stainless steel and rests on a stainless steel pad located on the bottom of the storage cask. The materials of construction and design limit the potential for corrosion of the canisters and canister overpack.</v>
          </cell>
          <cell r="E33" t="str">
            <v>Event unique to HLW storage.</v>
          </cell>
          <cell r="F33" t="str">
            <v>Event unique to HLW storage.</v>
          </cell>
          <cell r="G33" t="str">
            <v>Event unique to HLW storage.</v>
          </cell>
          <cell r="H33" t="str">
            <v>Event unique to HLW storage.</v>
          </cell>
          <cell r="I33" t="str">
            <v>Event unique to HLW storage.</v>
          </cell>
          <cell r="J33" t="str">
            <v>Event unique to HLW storage.</v>
          </cell>
          <cell r="K33" t="str">
            <v>Event unique to HLW storage.</v>
          </cell>
          <cell r="L33" t="str">
            <v>Event unique to HLW storage.</v>
          </cell>
        </row>
        <row r="34">
          <cell r="A34" t="str">
            <v>Locomotive/ loaded rail car impacts storage casks</v>
          </cell>
          <cell r="C34" t="str">
            <v>Event unique to HLW storage.</v>
          </cell>
          <cell r="D34" t="str">
            <v>The rail line adjacent to the storage pad is a spur that is wholly on the WVDP premises, precluding other commercial traffic.</v>
          </cell>
          <cell r="E34" t="str">
            <v>Event unique to HLW storage.</v>
          </cell>
          <cell r="F34" t="str">
            <v>Event unique to HLW storage.</v>
          </cell>
          <cell r="G34" t="str">
            <v>Event unique to HLW storage.</v>
          </cell>
          <cell r="H34" t="str">
            <v>Event unique to HLW storage.</v>
          </cell>
          <cell r="I34" t="str">
            <v>Event unique to HLW storage.</v>
          </cell>
          <cell r="J34" t="str">
            <v>Event unique to HLW storage.</v>
          </cell>
          <cell r="K34" t="str">
            <v>Event unique to HLW storage.</v>
          </cell>
          <cell r="L34" t="str">
            <v>Event unique to HLW storage.</v>
          </cell>
        </row>
        <row r="35">
          <cell r="A35" t="str">
            <v>Seismic event (tip over)</v>
          </cell>
          <cell r="C35" t="str">
            <v>Event unique to HLW storage.</v>
          </cell>
          <cell r="D35" t="str">
            <v>VSC determined to be stable against tip-over under conditions (ref. NAC Calculation 630087-2010, Revision 0, MPC-WVDP VSC Structural Evaluation).</v>
          </cell>
          <cell r="E35" t="str">
            <v>Event unique to HLW storage.</v>
          </cell>
          <cell r="F35" t="str">
            <v>Event unique to HLW storage.</v>
          </cell>
          <cell r="G35" t="str">
            <v>Event unique to HLW storage.</v>
          </cell>
          <cell r="H35" t="str">
            <v>Event unique to HLW storage.</v>
          </cell>
          <cell r="I35" t="str">
            <v>Event unique to HLW storage.</v>
          </cell>
          <cell r="J35" t="str">
            <v>Event unique to HLW storage.</v>
          </cell>
          <cell r="K35" t="str">
            <v>Event unique to HLW storage.</v>
          </cell>
          <cell r="L35" t="str">
            <v>Event unique to HLW storage.</v>
          </cell>
        </row>
        <row r="36">
          <cell r="A36" t="str">
            <v>Severe environmental conditions</v>
          </cell>
          <cell r="C36" t="str">
            <v>Event unique to HLW storage.</v>
          </cell>
          <cell r="E36" t="str">
            <v>Event unique to HLW storage.</v>
          </cell>
          <cell r="F36" t="str">
            <v>Event unique to HLW storage.</v>
          </cell>
          <cell r="G36" t="str">
            <v>Event unique to HLW storage.</v>
          </cell>
          <cell r="H36" t="str">
            <v>Event unique to HLW storage.</v>
          </cell>
          <cell r="I36" t="str">
            <v>Event unique to HLW storage.</v>
          </cell>
          <cell r="J36" t="str">
            <v>Event unique to HLW storage.</v>
          </cell>
          <cell r="K36" t="str">
            <v>Event unique to HLW storage.</v>
          </cell>
          <cell r="L36" t="str">
            <v>Event unique to HLW storage.</v>
          </cell>
        </row>
        <row r="37">
          <cell r="A37" t="str">
            <v>Storage cask tip-over due to transportation event</v>
          </cell>
          <cell r="C37" t="str">
            <v>Event unique to HLW storage.</v>
          </cell>
          <cell r="D37" t="str">
            <v>Haul path to be inspected and verified to be adequate prior to transportation.</v>
          </cell>
          <cell r="E37" t="str">
            <v>Event unique to HLW storage.</v>
          </cell>
          <cell r="F37" t="str">
            <v>Event unique to HLW storage.</v>
          </cell>
          <cell r="G37" t="str">
            <v>Event unique to HLW storage.</v>
          </cell>
          <cell r="H37" t="str">
            <v>Event unique to HLW storage.</v>
          </cell>
          <cell r="I37" t="str">
            <v>Event unique to HLW storage.</v>
          </cell>
          <cell r="J37" t="str">
            <v>Event unique to HLW storage.</v>
          </cell>
          <cell r="K37" t="str">
            <v>Event unique to HLW storage.</v>
          </cell>
          <cell r="L37" t="str">
            <v>Event unique to HLW storage.</v>
          </cell>
        </row>
      </sheetData>
      <sheetData sheetId="6">
        <row r="1">
          <cell r="C1" t="str">
            <v>CPCW</v>
          </cell>
          <cell r="D1" t="str">
            <v>HLWSS</v>
          </cell>
          <cell r="E1" t="str">
            <v>LSA</v>
          </cell>
          <cell r="F1" t="str">
            <v>MP</v>
          </cell>
          <cell r="G1" t="str">
            <v>MPA</v>
          </cell>
          <cell r="H1" t="str">
            <v>OUT</v>
          </cell>
          <cell r="I1" t="str">
            <v>RH</v>
          </cell>
          <cell r="J1" t="str">
            <v>TRN</v>
          </cell>
          <cell r="K1" t="str">
            <v>VF</v>
          </cell>
          <cell r="L1" t="str">
            <v>WTF</v>
          </cell>
        </row>
        <row r="2">
          <cell r="A2" t="str">
            <v>Max Facility MAR</v>
          </cell>
          <cell r="C2">
            <v>2100</v>
          </cell>
          <cell r="D2">
            <v>83000</v>
          </cell>
          <cell r="E2">
            <v>2100</v>
          </cell>
          <cell r="F2">
            <v>2300</v>
          </cell>
          <cell r="G2">
            <v>360</v>
          </cell>
          <cell r="H2">
            <v>2100</v>
          </cell>
          <cell r="I2">
            <v>1000</v>
          </cell>
          <cell r="J2">
            <v>360</v>
          </cell>
          <cell r="K2">
            <v>1500</v>
          </cell>
          <cell r="L2">
            <v>850</v>
          </cell>
        </row>
        <row r="3">
          <cell r="C3" t="str">
            <v xml:space="preserve">MAR is entire inventory of radioactive material in WVDP packaged waste (exclusive of HLW) (Ref.WVNS-CAL-397, Table C-1, Lag Storage). </v>
          </cell>
          <cell r="D3" t="str">
            <v xml:space="preserve">MAR is entire inventory of radioactive material in HLWSS (Ref.WVNS-CAL-397, Table C-1, HLWSS). </v>
          </cell>
          <cell r="E3" t="str">
            <v xml:space="preserve">MAR is entire inventory of radioactive material in WVDP packaged waste (exclusive of HLW) (Ref.WVNS-CAL-397, Table C-1). </v>
          </cell>
          <cell r="F3" t="str">
            <v xml:space="preserve">MAR is entire inventory of radioactive material in the MPPB  (exclusive of HLW) (Ref. WVNS-CAL-397, Table C-1). </v>
          </cell>
          <cell r="G3" t="str">
            <v xml:space="preserve">MAR is activity in maximally loaded 2-drum Interim Storage Container (Ref. WVNS-CAL-397, Table A-2). </v>
          </cell>
          <cell r="H3" t="str">
            <v xml:space="preserve">MAR is entire inventory of radioactive material in WVDP packaged waste (exclusive of HLW) (Ref.WVNS-CAL-397, Table C-1, Lag Storage). </v>
          </cell>
          <cell r="I3" t="str">
            <v xml:space="preserve">MAR is all waste originating from the HECs (Ref. WVNS-CAL-397, Table A-2, HC Gen Area = "HEC" or "PBS") plus ICA inventory limit. </v>
          </cell>
          <cell r="J3" t="str">
            <v xml:space="preserve">MAR is activity in maximally loaded 2-drum Interim Storage Container (Ref. WVNS-CAL-397, Table A-2). </v>
          </cell>
          <cell r="K3" t="str">
            <v xml:space="preserve">MAR is entire inventory of radioactive material in the Vitrification Facility (Ref. WVNS-CAL-397, Table C-1). </v>
          </cell>
          <cell r="L3" t="str">
            <v xml:space="preserve">MAR is total inventory of activity in the WTF (Ref. WVNS-CAL-397, Table C-1). </v>
          </cell>
        </row>
        <row r="4">
          <cell r="A4" t="str">
            <v>Max Cell/Array MAR</v>
          </cell>
          <cell r="F4">
            <v>850</v>
          </cell>
          <cell r="K4">
            <v>500</v>
          </cell>
        </row>
        <row r="5">
          <cell r="F5" t="str">
            <v>MAR is all surface contamination in MPPB cells (includes fixed contamination).
(Ref. WVNS-CAL-397, Table A-1, MPPB cell activity less "liquids" and CPC waste)</v>
          </cell>
          <cell r="K5" t="str">
            <v>MAR is all surface contamination in Vitrification Cell (includes fixed contamination) (Ref. WVNS-CAL-397, Table A-1, "surfaces")</v>
          </cell>
        </row>
        <row r="6">
          <cell r="A6" t="str">
            <v>Ventilation System MAR</v>
          </cell>
          <cell r="E6">
            <v>1</v>
          </cell>
          <cell r="F6">
            <v>10</v>
          </cell>
          <cell r="G6">
            <v>1</v>
          </cell>
          <cell r="I6">
            <v>1</v>
          </cell>
          <cell r="K6">
            <v>1</v>
          </cell>
          <cell r="L6">
            <v>1</v>
          </cell>
        </row>
        <row r="7">
          <cell r="E7" t="str">
            <v>10% of MPPB ventilation system MAR bounding for facility HEPA filters based on system environmental emission data</v>
          </cell>
          <cell r="F7" t="str">
            <v>MAR is inventory of radioactive material in bounding MPPB ventilation system (Ref. WVNS-CAL-397, Table A-1, "VEC").</v>
          </cell>
          <cell r="G7" t="str">
            <v>10% of MPPB ventilation system MAR bounding for facility HEPA filters based on system environmental emission data</v>
          </cell>
          <cell r="I7" t="str">
            <v>10% of MPPB ventilation system MAR bounding for facility HEPA filters based on system environmental emission data</v>
          </cell>
          <cell r="K7" t="str">
            <v>10% of MPPB ventilation system MAR bounding for facility HEPA filters based on system environmental emission data</v>
          </cell>
          <cell r="L7" t="str">
            <v>10% of MPPB ventilation system MAR bounding for facility HEPA filters based on system environmental emission data</v>
          </cell>
        </row>
        <row r="8">
          <cell r="A8" t="str">
            <v>Max individual container MAR</v>
          </cell>
          <cell r="C8">
            <v>360</v>
          </cell>
          <cell r="D8">
            <v>2500</v>
          </cell>
          <cell r="E8">
            <v>360</v>
          </cell>
          <cell r="F8">
            <v>360</v>
          </cell>
          <cell r="G8">
            <v>360</v>
          </cell>
          <cell r="H8">
            <v>360</v>
          </cell>
          <cell r="I8">
            <v>360</v>
          </cell>
          <cell r="J8">
            <v>360</v>
          </cell>
          <cell r="K8">
            <v>360</v>
          </cell>
        </row>
        <row r="9">
          <cell r="C9" t="str">
            <v xml:space="preserve">MAR is activity in maximally loaded 2-drum Interim Storage Container (Ref. WVNS-CAL-397, Table A-2). </v>
          </cell>
          <cell r="D9" t="str">
            <v xml:space="preserve">MAR is cask containing 5 HLW canisters each containing an amount of activity equal to the maximum HLW canister (Ref. WVNS-CAL-396). </v>
          </cell>
          <cell r="E9" t="str">
            <v xml:space="preserve">MAR is activity in maximally loaded 2-drum Interim Storage Container (Ref. WVNS-CAL-397, Table A-2). </v>
          </cell>
          <cell r="F9" t="str">
            <v xml:space="preserve">MAR is activity in maximally loaded 2-drum Interim Storage Container (Ref. WVNS-CAL-397, Table A-2). </v>
          </cell>
          <cell r="G9" t="str">
            <v xml:space="preserve">MAR is activity in maximally loaded 2-drum Interim Storage Container (Ref. WVNS-CAL-397, Table A-2). </v>
          </cell>
          <cell r="H9" t="str">
            <v xml:space="preserve">MAR is activity in maximally loaded 2-drum Interim Storage Container (Ref. WVNS-CAL-397, Table A-2). </v>
          </cell>
          <cell r="I9" t="str">
            <v xml:space="preserve">MAR is activity in maximally loaded 2-drum Interim Storage Container (Ref. WVNS-CAL-397, Table A-2). </v>
          </cell>
          <cell r="J9" t="str">
            <v xml:space="preserve">MAR is activity in maximally loaded 2-drum Interim Storage Container (Ref. WVNS-CAL-397, Table A-2). </v>
          </cell>
          <cell r="K9" t="str">
            <v xml:space="preserve">MAR is activity in maximally loaded 2-drum Interim Storage Container (Ref. WVNS-CAL-397, Table A-2). </v>
          </cell>
        </row>
        <row r="10">
          <cell r="A10" t="str">
            <v>Localized flammable liquid pool fire</v>
          </cell>
          <cell r="B10" t="str">
            <v>E01</v>
          </cell>
          <cell r="C10">
            <v>2100</v>
          </cell>
          <cell r="D10">
            <v>83000</v>
          </cell>
          <cell r="E10">
            <v>2100</v>
          </cell>
          <cell r="G10">
            <v>360</v>
          </cell>
          <cell r="H10">
            <v>2100</v>
          </cell>
          <cell r="I10">
            <v>1000</v>
          </cell>
          <cell r="J10">
            <v>360</v>
          </cell>
        </row>
        <row r="11">
          <cell r="C11" t="str">
            <v xml:space="preserve">MAR is entire inventory of radioactive material in WVDP packaged waste (exclusive of HLW) (Ref.WVNS-CAL-397, Table C-1, Lag Storage). </v>
          </cell>
          <cell r="D11" t="str">
            <v xml:space="preserve">MAR is entire inventory of radioactive material in HLWSS (Ref.WVNS-CAL-397, Table C-1, HLWSS). </v>
          </cell>
          <cell r="E11" t="str">
            <v xml:space="preserve">MAR is entire inventory of radioactive material in WVDP packaged waste (exclusive of HLW) (Ref.WVNS-CAL-397, Table C-1). </v>
          </cell>
          <cell r="G11" t="str">
            <v xml:space="preserve">MAR is activity in maximally loaded 2-drum Interim Storage Container (Ref. WVNS-CAL-397, Table A-2). </v>
          </cell>
          <cell r="H11" t="str">
            <v xml:space="preserve">MAR is entire inventory of radioactive material in WVDP packaged waste (exclusive of HLW) (Ref.WVNS-CAL-397, Table C-1, Lag Storage). </v>
          </cell>
          <cell r="I11" t="str">
            <v xml:space="preserve">MAR is all waste originating from the HECs (Ref. WVNS-CAL-397, Table A-2, HC Gen Area = "HEC" or "PBS") plus ICA inventory limit. </v>
          </cell>
          <cell r="J11" t="str">
            <v xml:space="preserve">MAR is activity in maximally loaded 2-drum Interim Storage Container (Ref. WVNS-CAL-397, Table A-2). </v>
          </cell>
        </row>
        <row r="12">
          <cell r="A12" t="str">
            <v>Small combustible material fire</v>
          </cell>
          <cell r="B12" t="str">
            <v>E02</v>
          </cell>
          <cell r="C12">
            <v>360</v>
          </cell>
          <cell r="E12">
            <v>360</v>
          </cell>
          <cell r="F12">
            <v>360</v>
          </cell>
          <cell r="G12">
            <v>360</v>
          </cell>
          <cell r="H12">
            <v>360</v>
          </cell>
          <cell r="I12">
            <v>360</v>
          </cell>
          <cell r="J12">
            <v>360</v>
          </cell>
          <cell r="K12">
            <v>360</v>
          </cell>
          <cell r="L12">
            <v>850</v>
          </cell>
        </row>
        <row r="13">
          <cell r="C13" t="str">
            <v xml:space="preserve">MAR is activity in maximally loaded 2-drum Interim Storage Container (Ref. WVNS-CAL-397, Table A-2). </v>
          </cell>
          <cell r="E13" t="str">
            <v xml:space="preserve">MAR is activity in maximally loaded 2-drum Interim Storage Container (Ref. WVNS-CAL-397, Table A-2). </v>
          </cell>
          <cell r="F13" t="str">
            <v xml:space="preserve">MAR is activity in maximally loaded 2-drum Interim Storage Container (Ref. WVNS-CAL-397, Table A-2). </v>
          </cell>
          <cell r="G13" t="str">
            <v xml:space="preserve">MAR is activity in maximally loaded 2-drum Interim Storage Container (Ref. WVNS-CAL-397, Table A-2). </v>
          </cell>
          <cell r="H13" t="str">
            <v xml:space="preserve">MAR is activity in maximally loaded 2-drum Interim Storage Container (Ref. WVNS-CAL-397, Table A-2). </v>
          </cell>
          <cell r="I13" t="str">
            <v xml:space="preserve">MAR is activity in maximally loaded 2-drum Interim Storage Container (Ref. WVNS-CAL-397, Table A-2). </v>
          </cell>
          <cell r="J13" t="str">
            <v xml:space="preserve">MAR is activity in maximally loaded 2-drum Interim Storage Container (Ref. WVNS-CAL-397, Table A-2). </v>
          </cell>
          <cell r="K13" t="str">
            <v xml:space="preserve">MAR is activity in maximally loaded 2-drum Interim Storage Container (Ref. WVNS-CAL-397, Table A-2). </v>
          </cell>
          <cell r="L13" t="str">
            <v xml:space="preserve">MAR is total inventory of activity in the WTF (Ref. WVNS-CAL-397, Table C-1). </v>
          </cell>
        </row>
        <row r="14">
          <cell r="A14" t="str">
            <v>Large fire</v>
          </cell>
          <cell r="B14" t="str">
            <v>E04</v>
          </cell>
          <cell r="E14">
            <v>2100</v>
          </cell>
          <cell r="F14">
            <v>2300</v>
          </cell>
          <cell r="I14">
            <v>1000</v>
          </cell>
          <cell r="K14">
            <v>1500</v>
          </cell>
        </row>
        <row r="15">
          <cell r="E15" t="str">
            <v xml:space="preserve">MAR is entire inventory of radioactive material in WVDP packaged waste (exclusive of HLW) (Ref.WVNS-CAL-397, Table C-1). </v>
          </cell>
          <cell r="F15" t="str">
            <v xml:space="preserve">MAR is entire inventory of radioactive material in the MPPB  (exclusive of HLW) (Ref. WVNS-CAL-397, Table C-1). </v>
          </cell>
          <cell r="I15" t="str">
            <v xml:space="preserve">MAR is all waste originating from the HECs (Ref. WVNS-CAL-397, Table A-2, HC Gen Area = "HEC" or "PBS") plus ICA inventory limit. </v>
          </cell>
          <cell r="K15" t="str">
            <v xml:space="preserve">MAR is entire inventory of radioactive material in the Vitrification Facility (Ref. WVNS-CAL-397, Table C-1). </v>
          </cell>
        </row>
        <row r="16">
          <cell r="A16" t="str">
            <v>Localized explosion external to container</v>
          </cell>
          <cell r="B16" t="str">
            <v>E05</v>
          </cell>
          <cell r="C16">
            <v>360</v>
          </cell>
          <cell r="D16">
            <v>2500</v>
          </cell>
          <cell r="E16">
            <v>360</v>
          </cell>
          <cell r="G16">
            <v>360</v>
          </cell>
          <cell r="H16">
            <v>360</v>
          </cell>
          <cell r="I16">
            <v>360</v>
          </cell>
          <cell r="J16">
            <v>360</v>
          </cell>
        </row>
        <row r="17">
          <cell r="C17" t="str">
            <v xml:space="preserve">MAR is activity in maximally loaded 2-drum Interim Storage Container (Ref. WVNS-CAL-397, Table A-2). </v>
          </cell>
          <cell r="D17" t="str">
            <v xml:space="preserve">MAR is cask containing 5 HLW canisters each containing an amount of activity equal to the maximum HLW canister (Ref. WVNS-CAL-396). </v>
          </cell>
          <cell r="E17" t="str">
            <v xml:space="preserve">MAR is activity in maximally loaded 2-drum Interim Storage Container (Ref. WVNS-CAL-397, Table A-2). </v>
          </cell>
          <cell r="G17" t="str">
            <v xml:space="preserve">MAR is activity in maximally loaded 2-drum Interim Storage Container (Ref. WVNS-CAL-397, Table A-2). </v>
          </cell>
          <cell r="H17" t="str">
            <v xml:space="preserve">MAR is activity in maximally loaded 2-drum Interim Storage Container (Ref. WVNS-CAL-397, Table A-2). </v>
          </cell>
          <cell r="I17" t="str">
            <v xml:space="preserve">MAR is activity in maximally loaded 2-drum Interim Storage Container (Ref. WVNS-CAL-397, Table A-2). </v>
          </cell>
          <cell r="J17" t="str">
            <v xml:space="preserve">MAR is activity in maximally loaded 2-drum Interim Storage Container (Ref. WVNS-CAL-397, Table A-2). </v>
          </cell>
        </row>
        <row r="18">
          <cell r="A18" t="str">
            <v>Waste container deflagration</v>
          </cell>
          <cell r="B18" t="str">
            <v>E06</v>
          </cell>
          <cell r="C18">
            <v>360</v>
          </cell>
          <cell r="E18">
            <v>360</v>
          </cell>
          <cell r="F18">
            <v>360</v>
          </cell>
          <cell r="G18">
            <v>360</v>
          </cell>
          <cell r="H18">
            <v>360</v>
          </cell>
          <cell r="I18">
            <v>360</v>
          </cell>
          <cell r="K18">
            <v>360</v>
          </cell>
        </row>
        <row r="19">
          <cell r="C19" t="str">
            <v xml:space="preserve">MAR is activity in maximally loaded 2-drum Interim Storage Container (Ref. WVNS-CAL-397, Table A-2). </v>
          </cell>
          <cell r="E19" t="str">
            <v xml:space="preserve">MAR is activity in maximally loaded 2-drum Interim Storage Container (Ref. WVNS-CAL-397, Table A-2). </v>
          </cell>
          <cell r="F19" t="str">
            <v xml:space="preserve">MAR is activity in maximally loaded 2-drum Interim Storage Container (Ref. WVNS-CAL-397, Table A-2). </v>
          </cell>
          <cell r="G19" t="str">
            <v xml:space="preserve">MAR is activity in maximally loaded 2-drum Interim Storage Container (Ref. WVNS-CAL-397, Table A-2). </v>
          </cell>
          <cell r="H19" t="str">
            <v xml:space="preserve">MAR is activity in maximally loaded 2-drum Interim Storage Container (Ref. WVNS-CAL-397, Table A-2). </v>
          </cell>
          <cell r="I19" t="str">
            <v xml:space="preserve">MAR is activity in maximally loaded 2-drum Interim Storage Container (Ref. WVNS-CAL-397, Table A-2). </v>
          </cell>
          <cell r="K19" t="str">
            <v xml:space="preserve">MAR is activity in maximally loaded 2-drum Interim Storage Container (Ref. WVNS-CAL-397, Table A-2). </v>
          </cell>
        </row>
        <row r="20">
          <cell r="A20" t="str">
            <v>Vehicle/equipment impacts waste/waste containers</v>
          </cell>
          <cell r="B20" t="str">
            <v>E09</v>
          </cell>
          <cell r="C20">
            <v>360</v>
          </cell>
          <cell r="D20">
            <v>2500</v>
          </cell>
          <cell r="E20">
            <v>360</v>
          </cell>
          <cell r="G20">
            <v>360</v>
          </cell>
          <cell r="H20">
            <v>360</v>
          </cell>
          <cell r="I20">
            <v>360</v>
          </cell>
          <cell r="J20">
            <v>360</v>
          </cell>
        </row>
        <row r="21">
          <cell r="C21" t="str">
            <v xml:space="preserve">MAR is activity in maximally loaded 2-drum Interim Storage Container (Ref. WVNS-CAL-397, Table A-2). </v>
          </cell>
          <cell r="D21" t="str">
            <v xml:space="preserve">MAR is cask containing 5 HLW canisters each containing an amount of activity equal to the maximum HLW canister (Ref. WVNS-CAL-396). </v>
          </cell>
          <cell r="E21" t="str">
            <v xml:space="preserve">MAR is activity in maximally loaded 2-drum Interim Storage Container (Ref. WVNS-CAL-397, Table A-2). </v>
          </cell>
          <cell r="G21" t="str">
            <v xml:space="preserve">MAR is activity in maximally loaded 2-drum Interim Storage Container (Ref. WVNS-CAL-397, Table A-2). </v>
          </cell>
          <cell r="H21" t="str">
            <v xml:space="preserve">MAR is activity in maximally loaded 2-drum Interim Storage Container (Ref. WVNS-CAL-397, Table A-2). </v>
          </cell>
          <cell r="I21" t="str">
            <v xml:space="preserve">MAR is activity in maximally loaded 2-drum Interim Storage Container (Ref. WVNS-CAL-397, Table A-2). </v>
          </cell>
          <cell r="J21" t="str">
            <v xml:space="preserve">MAR is activity in maximally loaded 2-drum Interim Storage Container (Ref. WVNS-CAL-397, Table A-2). </v>
          </cell>
        </row>
        <row r="22">
          <cell r="A22" t="str">
            <v>Drop/impact/spill</v>
          </cell>
          <cell r="B22" t="str">
            <v>E10</v>
          </cell>
          <cell r="C22">
            <v>360</v>
          </cell>
          <cell r="D22">
            <v>2500</v>
          </cell>
          <cell r="E22">
            <v>360</v>
          </cell>
          <cell r="F22">
            <v>360</v>
          </cell>
          <cell r="G22">
            <v>360</v>
          </cell>
          <cell r="H22">
            <v>360</v>
          </cell>
          <cell r="I22">
            <v>360</v>
          </cell>
          <cell r="J22">
            <v>360</v>
          </cell>
          <cell r="K22">
            <v>360</v>
          </cell>
          <cell r="L22">
            <v>1</v>
          </cell>
        </row>
        <row r="23">
          <cell r="C23" t="str">
            <v xml:space="preserve">MAR is activity in maximally loaded 2-drum Interim Storage Container (Ref. WVNS-CAL-397, Table A-2). </v>
          </cell>
          <cell r="D23" t="str">
            <v xml:space="preserve">MAR is cask containing 5 HLW canisters each containing an amount of activity equal to the maximum HLW canister (Ref. WVNS-CAL-396). </v>
          </cell>
          <cell r="E23" t="str">
            <v xml:space="preserve">MAR is activity in maximally loaded 2-drum Interim Storage Container (Ref. WVNS-CAL-397, Table A-2). </v>
          </cell>
          <cell r="F23" t="str">
            <v xml:space="preserve">MAR is activity in maximally loaded 2-drum Interim Storage Container (Ref. WVNS-CAL-397, Table A-2). </v>
          </cell>
          <cell r="G23" t="str">
            <v xml:space="preserve">MAR is activity in maximally loaded 2-drum Interim Storage Container (Ref. WVNS-CAL-397, Table A-2). </v>
          </cell>
          <cell r="H23" t="str">
            <v xml:space="preserve">MAR is activity in maximally loaded 2-drum Interim Storage Container (Ref. WVNS-CAL-397, Table A-2). </v>
          </cell>
          <cell r="I23" t="str">
            <v xml:space="preserve">MAR is activity in maximally loaded 2-drum Interim Storage Container (Ref. WVNS-CAL-397, Table A-2). </v>
          </cell>
          <cell r="J23" t="str">
            <v xml:space="preserve">MAR is activity in maximally loaded 2-drum Interim Storage Container (Ref. WVNS-CAL-397, Table A-2). </v>
          </cell>
          <cell r="K23" t="str">
            <v xml:space="preserve">MAR is activity in maximally loaded 2-drum Interim Storage Container (Ref. WVNS-CAL-397, Table A-2). </v>
          </cell>
          <cell r="L23" t="str">
            <v>10% of MPPB ventilation system MAR bounding for facility HEPA filters based on system environmental emission data</v>
          </cell>
        </row>
        <row r="24">
          <cell r="A24" t="str">
            <v>Collapse of stacked containers</v>
          </cell>
          <cell r="B24" t="str">
            <v>E11</v>
          </cell>
          <cell r="C24">
            <v>1050</v>
          </cell>
          <cell r="E24">
            <v>1050</v>
          </cell>
          <cell r="H24">
            <v>1050</v>
          </cell>
        </row>
        <row r="25">
          <cell r="C25" t="str">
            <v>MAR assumed to be half of activity in storage (i.e., activity in containers on 3rd and 4th tier of storage array (Ref. WVNS-CAL-397, Appendix A)</v>
          </cell>
          <cell r="E25" t="str">
            <v>MAR assumed to be half of activity in storage (i.e., activity in containers on 3rd and 4th tier of storage array (Ref. WVNS-CAL-397, Appendix A)</v>
          </cell>
          <cell r="H25" t="str">
            <v>MAR assumed to be half of activity in storage (i.e., activity in containers on 3rd and 4th tier of storage array (Ref. WVNS-CAL-397, Appendix A)</v>
          </cell>
        </row>
        <row r="26">
          <cell r="A26" t="str">
            <v>Waste container over-pressurization</v>
          </cell>
          <cell r="B26" t="str">
            <v>E12</v>
          </cell>
          <cell r="C26">
            <v>360</v>
          </cell>
          <cell r="E26">
            <v>360</v>
          </cell>
          <cell r="F26">
            <v>360</v>
          </cell>
          <cell r="G26">
            <v>360</v>
          </cell>
          <cell r="H26">
            <v>360</v>
          </cell>
          <cell r="I26">
            <v>360</v>
          </cell>
          <cell r="K26">
            <v>360</v>
          </cell>
        </row>
        <row r="27">
          <cell r="C27" t="str">
            <v xml:space="preserve">MAR is activity in maximally loaded 2-drum Interim Storage Container (Ref. WVNS-CAL-397, Table A-2). </v>
          </cell>
          <cell r="E27" t="str">
            <v xml:space="preserve">MAR is activity in maximally loaded 2-drum Interim Storage Container (Ref. WVNS-CAL-397, Table A-2). </v>
          </cell>
          <cell r="F27" t="str">
            <v xml:space="preserve">MAR is activity in maximally loaded 2-drum Interim Storage Container (Ref. WVNS-CAL-397, Table A-2). </v>
          </cell>
          <cell r="G27" t="str">
            <v xml:space="preserve">MAR is activity in maximally loaded 2-drum Interim Storage Container (Ref. WVNS-CAL-397, Table A-2). </v>
          </cell>
          <cell r="H27" t="str">
            <v xml:space="preserve">MAR is activity in maximally loaded 2-drum Interim Storage Container (Ref. WVNS-CAL-397, Table A-2). </v>
          </cell>
          <cell r="I27" t="str">
            <v xml:space="preserve">MAR is activity in maximally loaded 2-drum Interim Storage Container (Ref. WVNS-CAL-397, Table A-2). </v>
          </cell>
          <cell r="K27" t="str">
            <v xml:space="preserve">MAR is activity in maximally loaded 2-drum Interim Storage Container (Ref. WVNS-CAL-397, Table A-2). </v>
          </cell>
        </row>
        <row r="28">
          <cell r="A28" t="str">
            <v>Aircraft impact with fire</v>
          </cell>
          <cell r="B28" t="str">
            <v>E15</v>
          </cell>
          <cell r="C28">
            <v>2100</v>
          </cell>
          <cell r="D28">
            <v>83000</v>
          </cell>
          <cell r="E28">
            <v>2100</v>
          </cell>
          <cell r="F28">
            <v>10</v>
          </cell>
          <cell r="G28">
            <v>360</v>
          </cell>
          <cell r="H28">
            <v>2100</v>
          </cell>
          <cell r="I28">
            <v>1000</v>
          </cell>
          <cell r="K28">
            <v>1</v>
          </cell>
          <cell r="L28">
            <v>1</v>
          </cell>
        </row>
        <row r="29">
          <cell r="C29" t="str">
            <v xml:space="preserve">MAR is entire inventory of radioactive material in WVDP packaged waste (exclusive of HLW) (Ref.WVNS-CAL-397, Table C-1, Lag Storage). </v>
          </cell>
          <cell r="D29" t="str">
            <v xml:space="preserve">MAR is entire inventory of radioactive material in HLWSS (Ref.WVNS-CAL-397, Table C-1, HLWSS). </v>
          </cell>
          <cell r="E29" t="str">
            <v xml:space="preserve">MAR is entire inventory of radioactive material in WVDP packaged waste (exclusive of HLW) (Ref.WVNS-CAL-397, Table C-1). </v>
          </cell>
          <cell r="F29" t="str">
            <v>Only facility ventilation system vulnerable to event. MAR is inventory of radioactive material in bounding MPPB ventilation system 
(Ref. WVNS-CAL-397, Table A-1, "VEC")</v>
          </cell>
          <cell r="G29" t="str">
            <v xml:space="preserve">MAR is activity in maximally loaded 2-drum Interim Storage Container (Ref. WVNS-CAL-397, Table A-2). </v>
          </cell>
          <cell r="H29" t="str">
            <v xml:space="preserve">MAR is entire inventory of radioactive material in WVDP packaged waste (exclusive of HLW) (Ref.WVNS-CAL-397, Table C-1, Lag Storage). </v>
          </cell>
          <cell r="I29" t="str">
            <v xml:space="preserve">MAR is all waste originating from the HECs (Ref. WVNS-CAL-397, Table A-2, HC Gen Area = "HEC" or "PBS") plus ICA inventory limit. </v>
          </cell>
          <cell r="K29" t="str">
            <v>Only facility ventilation system vulnerable to event. MAR is bounded by 10% of MPPB ventilation system MAR based on system environmental emission data.</v>
          </cell>
          <cell r="L29" t="str">
            <v>Only facility ventilation system vulnerable to event. MAR is bounded by 10% of MPPB ventilation system MAR based on system environmental emission data.</v>
          </cell>
        </row>
        <row r="30">
          <cell r="A30" t="str">
            <v>External vehicle accident</v>
          </cell>
          <cell r="B30" t="str">
            <v>E16</v>
          </cell>
          <cell r="D30">
            <v>83000</v>
          </cell>
          <cell r="H30">
            <v>2100</v>
          </cell>
        </row>
        <row r="31">
          <cell r="D31" t="str">
            <v xml:space="preserve">MAR is entire inventory of radioactive material in HLWSS (Ref.WVNS-CAL-397, Table C-1, HLWSS). </v>
          </cell>
          <cell r="H31" t="str">
            <v xml:space="preserve">MAR is entire inventory of radioactive material in WVDP packaged waste (exclusive of HLW) (Ref.WVNS-CAL-397, Table C-1, Lag Storage). </v>
          </cell>
        </row>
        <row r="32">
          <cell r="A32" t="str">
            <v>External vehicle accident with fire</v>
          </cell>
          <cell r="B32" t="str">
            <v>E17</v>
          </cell>
          <cell r="D32">
            <v>83000</v>
          </cell>
          <cell r="H32">
            <v>2100</v>
          </cell>
        </row>
        <row r="33">
          <cell r="D33" t="str">
            <v xml:space="preserve">MAR is entire inventory of radioactive material in HLWSS (Ref.WVNS-CAL-397, Table C-1, HLWSS). </v>
          </cell>
          <cell r="H33" t="str">
            <v xml:space="preserve">MAR is entire inventory of radioactive material in WVDP packaged waste (exclusive of HLW) (Ref.WVNS-CAL-397, Table C-1, Lag Storage). </v>
          </cell>
        </row>
        <row r="34">
          <cell r="A34" t="str">
            <v>External explosion</v>
          </cell>
          <cell r="B34" t="str">
            <v>E18</v>
          </cell>
          <cell r="D34">
            <v>2500</v>
          </cell>
          <cell r="E34">
            <v>360</v>
          </cell>
          <cell r="F34">
            <v>2300</v>
          </cell>
          <cell r="H34">
            <v>360</v>
          </cell>
          <cell r="I34">
            <v>360</v>
          </cell>
        </row>
        <row r="35">
          <cell r="D35" t="str">
            <v xml:space="preserve">MAR is cask containing 5 HLW canisters each containing an amount of activity equal to the maximum HLW canister (Ref. WVNS-CAL-396). </v>
          </cell>
          <cell r="E35" t="str">
            <v xml:space="preserve">MAR is activity in maximally loaded 2-drum Interim Storage Container (Ref. WVNS-CAL-397, Table A-2). </v>
          </cell>
          <cell r="F35" t="str">
            <v xml:space="preserve">MAR is entire inventory of radioactive material in the MPPB  (exclusive of HLW) (Ref. WVNS-CAL-397, Table C-1). </v>
          </cell>
          <cell r="H35" t="str">
            <v xml:space="preserve">MAR is activity in maximally loaded 2-drum Interim Storage Container (Ref. WVNS-CAL-397, Table A-2). </v>
          </cell>
          <cell r="I35" t="str">
            <v xml:space="preserve">MAR is activity in maximally loaded 2-drum Interim Storage Container (Ref. WVNS-CAL-397, Table A-2). </v>
          </cell>
        </row>
        <row r="36">
          <cell r="A36" t="str">
            <v>External fire</v>
          </cell>
          <cell r="B36" t="str">
            <v>E19</v>
          </cell>
          <cell r="C36">
            <v>2100</v>
          </cell>
          <cell r="D36">
            <v>83000</v>
          </cell>
          <cell r="E36">
            <v>2100</v>
          </cell>
          <cell r="H36">
            <v>2100</v>
          </cell>
          <cell r="I36">
            <v>1000</v>
          </cell>
        </row>
        <row r="37">
          <cell r="C37" t="str">
            <v xml:space="preserve">MAR is entire inventory of radioactive material in WVDP packaged waste (exclusive of HLW). 
(Ref.WVNS-CAL-397, Table C-1, Lag Storage). </v>
          </cell>
          <cell r="D37" t="str">
            <v xml:space="preserve">MAR is entire inventory of radioactive material in HLWSS (Ref.WVNS-CAL-397, Table C-1, HLWSS). </v>
          </cell>
          <cell r="E37" t="str">
            <v xml:space="preserve">MAR is entire inventory of radioactive material in WVDP packaged waste (exclusive of HLW) (Ref.WVNS-CAL-397, Table C-1). </v>
          </cell>
          <cell r="H37" t="str">
            <v xml:space="preserve">MAR is entire inventory of radioactive material in WVDP packaged waste (exclusive of HLW) (Ref.WVNS-CAL-397, Table C-1, Lag Storage). </v>
          </cell>
          <cell r="I37" t="str">
            <v xml:space="preserve">MAR is all waste originating from the HECs (Ref. WVNS-CAL-397, Table A-2, HC Gen Area = "HEC" or "PBS") plus ICA inventory limit. </v>
          </cell>
        </row>
        <row r="38">
          <cell r="A38" t="str">
            <v>Lightning</v>
          </cell>
          <cell r="B38" t="str">
            <v>E20</v>
          </cell>
          <cell r="D38">
            <v>2500</v>
          </cell>
          <cell r="H38">
            <v>360</v>
          </cell>
        </row>
        <row r="39">
          <cell r="D39" t="str">
            <v xml:space="preserve">MAR is cask containing 5 HLW canisters each containing an amount of activity equal to the maximum HLW canister (Ref. WVNS-CAL-396). </v>
          </cell>
          <cell r="H39" t="str">
            <v xml:space="preserve">MAR is activity in maximally loaded 2-drum Interim Storage Container (Ref. WVNS-CAL-397, Table A-2). </v>
          </cell>
        </row>
        <row r="40">
          <cell r="A40" t="str">
            <v>High wind</v>
          </cell>
          <cell r="B40" t="str">
            <v>E21</v>
          </cell>
          <cell r="D40">
            <v>83000</v>
          </cell>
          <cell r="H40">
            <v>2100</v>
          </cell>
        </row>
        <row r="41">
          <cell r="D41" t="str">
            <v xml:space="preserve">MAR is entire inventory of radioactive material in HLWSS (Ref.WVNS-CAL-397, Table C-1, HLWSS). </v>
          </cell>
          <cell r="H41" t="str">
            <v xml:space="preserve">MAR is entire inventory of radioactive material in WVDP packaged waste (exclusive of HLW) (Ref.WVNS-CAL-397, Table C-1, Lag Storage). </v>
          </cell>
        </row>
        <row r="42">
          <cell r="A42" t="str">
            <v>Tornado</v>
          </cell>
          <cell r="B42" t="str">
            <v>E22</v>
          </cell>
          <cell r="C42">
            <v>2100</v>
          </cell>
          <cell r="D42">
            <v>83000</v>
          </cell>
          <cell r="E42">
            <v>2100</v>
          </cell>
          <cell r="F42">
            <v>2300</v>
          </cell>
          <cell r="G42">
            <v>360</v>
          </cell>
          <cell r="H42">
            <v>2100</v>
          </cell>
          <cell r="I42">
            <v>360</v>
          </cell>
          <cell r="K42">
            <v>1500</v>
          </cell>
          <cell r="L42">
            <v>850</v>
          </cell>
        </row>
        <row r="43">
          <cell r="C43" t="str">
            <v xml:space="preserve">MAR is entire inventory of radioactive material in WVDP packaged waste (exclusive of HLW) (Ref.WVNS-CAL-397, Table C-1, Lag Storage). </v>
          </cell>
          <cell r="D43" t="str">
            <v xml:space="preserve">MAR is entire inventory of radioactive material in HLWSS (Ref.WVNS-CAL-397, Table C-1, HLWSS). </v>
          </cell>
          <cell r="E43" t="str">
            <v xml:space="preserve">MAR is entire inventory of radioactive material in WVDP packaged waste (exclusive of HLW) (Ref.WVNS-CAL-397, Table C-1). </v>
          </cell>
          <cell r="F43" t="str">
            <v xml:space="preserve">MAR is entire inventory of radioactive material in the MPPB  (exclusive of HLW) (Ref. WVNS-CAL-397, Table C-1). </v>
          </cell>
          <cell r="G43" t="str">
            <v xml:space="preserve">MAR is activity in maximally loaded 2-drum Interim Storage Container (Ref. WVNS-CAL-397, Table A-2). </v>
          </cell>
          <cell r="H43" t="str">
            <v xml:space="preserve">MAR is entire inventory of radioactive material in WVDP packaged waste (exclusive of HLW) (Ref.WVNS-CAL-397, Table C-1, Lag Storage). </v>
          </cell>
          <cell r="I43" t="str">
            <v xml:space="preserve">MAR is activity in maximally loaded 2-drum Interim Storage Container (Ref. WVNS-CAL-397, Table A-2). </v>
          </cell>
          <cell r="K43" t="str">
            <v xml:space="preserve">MAR is entire inventory of radioactive material in the Vitrification Facility (Ref. WVNS-CAL-397, Table C-1). </v>
          </cell>
          <cell r="L43" t="str">
            <v xml:space="preserve">MAR is total inventory of activity in the WTF (Ref. WVNS-CAL-397, Table C-1). </v>
          </cell>
        </row>
        <row r="44">
          <cell r="A44" t="str">
            <v>Snow and/or ice buildup</v>
          </cell>
          <cell r="B44" t="str">
            <v>E23</v>
          </cell>
          <cell r="H44">
            <v>2100</v>
          </cell>
        </row>
        <row r="45">
          <cell r="H45" t="str">
            <v xml:space="preserve">MAR is entire inventory of radioactive material in WVDP packaged waste (exclusive of HLW) (Ref.WVNS-CAL-397, Table C-1, Lag Storage). </v>
          </cell>
        </row>
        <row r="46">
          <cell r="A46" t="str">
            <v>Seismic event</v>
          </cell>
          <cell r="B46" t="str">
            <v>E24</v>
          </cell>
          <cell r="C46">
            <v>2100</v>
          </cell>
          <cell r="D46">
            <v>83000</v>
          </cell>
          <cell r="E46">
            <v>2100</v>
          </cell>
          <cell r="F46">
            <v>2300</v>
          </cell>
          <cell r="G46">
            <v>360</v>
          </cell>
          <cell r="H46">
            <v>2100</v>
          </cell>
          <cell r="I46">
            <v>1000</v>
          </cell>
          <cell r="K46">
            <v>1500</v>
          </cell>
          <cell r="L46">
            <v>850</v>
          </cell>
        </row>
        <row r="47">
          <cell r="C47" t="str">
            <v xml:space="preserve">MAR is entire inventory of radioactive material in WVDP packaged waste (exclusive of HLW) (Ref.WVNS-CAL-397, Table C-1, Lag Storage). </v>
          </cell>
          <cell r="D47" t="str">
            <v xml:space="preserve">MAR is entire inventory of radioactive material in HLWSS (Ref.WVNS-CAL-397, Table C-1, HLWSS). </v>
          </cell>
          <cell r="E47" t="str">
            <v xml:space="preserve">MAR is entire inventory of radioactive material in WVDP packaged waste (exclusive of HLW) (Ref.WVNS-CAL-397, Table C-1). </v>
          </cell>
          <cell r="F47" t="str">
            <v xml:space="preserve">MAR is entire inventory of radioactive material in the MPPB  (exclusive of HLW) (Ref. WVNS-CAL-397, Table C-1). </v>
          </cell>
          <cell r="G47" t="str">
            <v xml:space="preserve">MAR is activity in maximally loaded 2-drum Interim Storage Container (Ref. WVNS-CAL-397, Table A-2). </v>
          </cell>
          <cell r="H47" t="str">
            <v xml:space="preserve">MAR is entire inventory of radioactive material in WVDP packaged waste (exclusive of HLW) (Ref.WVNS-CAL-397, Table C-1, Lag Storage). </v>
          </cell>
          <cell r="I47" t="str">
            <v xml:space="preserve">MAR is all waste originating from the HECs (Ref. WVNS-CAL-397, Table A-2, HC Gen Area = "HEC" or "PBS") plus ICA inventory limit. </v>
          </cell>
          <cell r="K47" t="str">
            <v xml:space="preserve">MAR is entire inventory of radioactive material in the Vitrification Facility (Ref. WVNS-CAL-397, Table C-1). </v>
          </cell>
          <cell r="L47" t="str">
            <v xml:space="preserve">MAR is total inventory of activity in the WTF (Ref. WVNS-CAL-397, Table C-1). </v>
          </cell>
        </row>
        <row r="48">
          <cell r="A48" t="str">
            <v>Loss of airborne contamination confinement</v>
          </cell>
          <cell r="B48" t="str">
            <v>AER</v>
          </cell>
          <cell r="D48">
            <v>2500</v>
          </cell>
          <cell r="E48">
            <v>360</v>
          </cell>
          <cell r="F48">
            <v>2300</v>
          </cell>
          <cell r="G48">
            <v>360</v>
          </cell>
          <cell r="I48">
            <v>1000</v>
          </cell>
          <cell r="K48">
            <v>1500</v>
          </cell>
          <cell r="L48">
            <v>850</v>
          </cell>
        </row>
        <row r="49">
          <cell r="D49" t="str">
            <v xml:space="preserve">MAR is cask containing 5 HLW canisters each containing an amount of activity equal to the maximum HLW canister (Ref. WVNS-CAL-396). </v>
          </cell>
          <cell r="E49" t="str">
            <v xml:space="preserve">MAR is activity in maximally loaded 2-drum Interim Storage Container (Ref. WVNS-CAL-397, Table A-2). </v>
          </cell>
          <cell r="F49" t="str">
            <v xml:space="preserve">MAR is entire inventory of radioactive material in the MPPB  (exclusive of HLW) (Ref. WVNS-CAL-397, Table C-1). </v>
          </cell>
          <cell r="G49" t="str">
            <v xml:space="preserve">MAR is activity in maximally loaded 2-drum Interim Storage Container (Ref. WVNS-CAL-397, Table A-2). </v>
          </cell>
          <cell r="I49" t="str">
            <v xml:space="preserve">MAR is all waste originating from the HECs (Ref. WVNS-CAL-397, Table A-2, HC Gen Area = "HEC" or "PBS") plus ICA inventory limit. </v>
          </cell>
          <cell r="K49" t="str">
            <v xml:space="preserve">MAR is entire inventory of radioactive material in the Vitrification Facility (Ref. WVNS-CAL-397, Table C-1). </v>
          </cell>
          <cell r="L49" t="str">
            <v xml:space="preserve">MAR is total inventory of activity in the WTF (Ref. WVNS-CAL-397, Table C-1). </v>
          </cell>
        </row>
        <row r="50">
          <cell r="A50" t="str">
            <v>Localized explosion within facility</v>
          </cell>
          <cell r="B50" t="str">
            <v>ES</v>
          </cell>
          <cell r="F50">
            <v>360</v>
          </cell>
          <cell r="I50">
            <v>360</v>
          </cell>
          <cell r="K50">
            <v>360</v>
          </cell>
        </row>
        <row r="51">
          <cell r="F51" t="str">
            <v xml:space="preserve">MAR is activity in maximally loaded 2-drum Interim Storage Container (Ref. WVNS-CAL-397, Table A-2). </v>
          </cell>
          <cell r="I51" t="str">
            <v xml:space="preserve">MAR is activity in maximally loaded 2-drum Interim Storage Container (Ref. WVNS-CAL-397, Table A-2). </v>
          </cell>
          <cell r="K51" t="str">
            <v xml:space="preserve">MAR is activity in maximally loaded 2-drum Interim Storage Container (Ref. WVNS-CAL-397, Table A-2). </v>
          </cell>
        </row>
        <row r="52">
          <cell r="A52" t="str">
            <v>Loss of liquid contamination confinement</v>
          </cell>
          <cell r="B52" t="str">
            <v>FFS</v>
          </cell>
          <cell r="C52">
            <v>1</v>
          </cell>
          <cell r="E52">
            <v>1</v>
          </cell>
          <cell r="F52">
            <v>1</v>
          </cell>
          <cell r="G52">
            <v>1</v>
          </cell>
          <cell r="H52">
            <v>1</v>
          </cell>
          <cell r="I52">
            <v>1</v>
          </cell>
          <cell r="J52">
            <v>1</v>
          </cell>
          <cell r="K52">
            <v>1</v>
          </cell>
          <cell r="L52">
            <v>1</v>
          </cell>
        </row>
        <row r="54">
          <cell r="A54" t="str">
            <v>Flood</v>
          </cell>
          <cell r="B54" t="str">
            <v>FLD</v>
          </cell>
          <cell r="C54">
            <v>2100</v>
          </cell>
          <cell r="D54">
            <v>83000</v>
          </cell>
          <cell r="E54">
            <v>2100</v>
          </cell>
          <cell r="F54">
            <v>2300</v>
          </cell>
          <cell r="G54">
            <v>360</v>
          </cell>
          <cell r="H54">
            <v>2100</v>
          </cell>
          <cell r="I54">
            <v>1000</v>
          </cell>
          <cell r="K54">
            <v>1500</v>
          </cell>
          <cell r="L54">
            <v>850</v>
          </cell>
        </row>
        <row r="55">
          <cell r="C55" t="str">
            <v xml:space="preserve">MAR is entire inventory of radioactive material in WVDP packaged waste (exclusive of HLW) (Ref.WVNS-CAL-397, Table C-1, Lag Storage). </v>
          </cell>
          <cell r="D55" t="str">
            <v xml:space="preserve">MAR is entire inventory of radioactive material in HLWSS (Ref.WVNS-CAL-397, Table C-1, HLWSS). </v>
          </cell>
          <cell r="E55" t="str">
            <v xml:space="preserve">MAR is entire inventory of radioactive material in WVDP packaged waste (exclusive of HLW) (Ref.WVNS-CAL-397, Table C-1). </v>
          </cell>
          <cell r="F55" t="str">
            <v xml:space="preserve">MAR is entire inventory of radioactive material in the MPPB  (exclusive of HLW) (Ref. WVNS-CAL-397, Table C-1). </v>
          </cell>
          <cell r="G55" t="str">
            <v xml:space="preserve">MAR is activity in maximally loaded 2-drum Interim Storage Container (Ref. WVNS-CAL-397, Table A-2). </v>
          </cell>
          <cell r="H55" t="str">
            <v xml:space="preserve">MAR is entire inventory of radioactive material in WVDP packaged waste (exclusive of HLW) (Ref.WVNS-CAL-397, Table C-1, Lag Storage). </v>
          </cell>
          <cell r="I55" t="str">
            <v xml:space="preserve">MAR is all waste originating from the HECs (Ref. WVNS-CAL-397, Table A-2, HC Gen Area = "HEC" or "PBS") plus ICA inventory limit. </v>
          </cell>
          <cell r="K55" t="str">
            <v xml:space="preserve">MAR is entire inventory of radioactive material in the Vitrification Facility (Ref. WVNS-CAL-397, Table C-1). </v>
          </cell>
          <cell r="L55" t="str">
            <v xml:space="preserve">MAR is total inventory of activity in the WTF (Ref. WVNS-CAL-397, Table C-1). </v>
          </cell>
        </row>
        <row r="56">
          <cell r="A56" t="str">
            <v>HEPA filter failure</v>
          </cell>
          <cell r="B56" t="str">
            <v>HB</v>
          </cell>
          <cell r="E56">
            <v>1</v>
          </cell>
          <cell r="F56">
            <v>10</v>
          </cell>
          <cell r="G56">
            <v>1</v>
          </cell>
          <cell r="I56">
            <v>1</v>
          </cell>
          <cell r="K56">
            <v>1</v>
          </cell>
          <cell r="L56">
            <v>1</v>
          </cell>
        </row>
        <row r="57">
          <cell r="E57" t="str">
            <v>10% of MPPB ventilation system MAR bounding for facility HEPA filters based on system environmental emission data</v>
          </cell>
          <cell r="F57" t="str">
            <v>MAR is inventory of radioactive material in bounding MPPB ventilation system (Ref. WVNS-CAL-397, Table A-1, "VEC").</v>
          </cell>
          <cell r="G57" t="str">
            <v>10% of MPPB ventilation system MAR bounding for facility HEPA filters based on system environmental emission data</v>
          </cell>
          <cell r="I57" t="str">
            <v>10% of MPPB ventilation system MAR bounding for facility HEPA filters based on system environmental emission data</v>
          </cell>
          <cell r="K57" t="str">
            <v>10% of MPPB ventilation system MAR bounding for facility HEPA filters based on system environmental emission data</v>
          </cell>
          <cell r="L57" t="str">
            <v>10% of MPPB ventilation system MAR bounding for facility HEPA filters based on system environmental emission data</v>
          </cell>
        </row>
        <row r="58">
          <cell r="A58" t="str">
            <v>HEPA filter fire</v>
          </cell>
          <cell r="B58" t="str">
            <v>HF</v>
          </cell>
          <cell r="E58">
            <v>1</v>
          </cell>
          <cell r="F58">
            <v>10</v>
          </cell>
          <cell r="G58">
            <v>1</v>
          </cell>
          <cell r="I58">
            <v>1</v>
          </cell>
          <cell r="K58">
            <v>1</v>
          </cell>
          <cell r="L58">
            <v>1</v>
          </cell>
        </row>
        <row r="59">
          <cell r="E59" t="str">
            <v>10% of MPPB ventilation system MAR bounding for facility HEPA filters based on system environmental emission data</v>
          </cell>
          <cell r="F59" t="str">
            <v>MAR is inventory of radioactive material in bounding MPPB ventilation system (Ref. WVNS-CAL-397, Table A-1, "VEC").</v>
          </cell>
          <cell r="G59" t="str">
            <v>10% of MPPB ventilation system MAR bounding for facility HEPA filters based on system environmental emission data</v>
          </cell>
          <cell r="I59" t="str">
            <v>10% of MPPB ventilation system MAR bounding for facility HEPA filters based on system environmental emission data</v>
          </cell>
          <cell r="K59" t="str">
            <v>10% of MPPB ventilation system MAR bounding for facility HEPA filters based on system environmental emission data</v>
          </cell>
          <cell r="L59" t="str">
            <v>10% of MPPB ventilation system MAR bounding for facility HEPA filters based on system environmental emission data</v>
          </cell>
        </row>
        <row r="60">
          <cell r="A60" t="str">
            <v>Stack failure</v>
          </cell>
          <cell r="B60" t="str">
            <v>IS</v>
          </cell>
          <cell r="F60">
            <v>10</v>
          </cell>
        </row>
        <row r="61">
          <cell r="F61" t="str">
            <v>MAR is activity in MPPB Stack 
(Ref. WVNS-CAL-397, Table A-1)</v>
          </cell>
        </row>
        <row r="62">
          <cell r="A62" t="str">
            <v>Corrosion</v>
          </cell>
          <cell r="B62" t="str">
            <v>HLW</v>
          </cell>
          <cell r="D62">
            <v>2500</v>
          </cell>
        </row>
        <row r="63">
          <cell r="D63" t="str">
            <v xml:space="preserve">MAR is cask containing 5 HLW canisters each containing an amount of activity equal to the maximum HLW canister (Ref. WVNS-CAL-396). </v>
          </cell>
        </row>
        <row r="64">
          <cell r="A64" t="str">
            <v>Locomotive/ loaded rail car impacts storage casks</v>
          </cell>
          <cell r="B64" t="str">
            <v>HLW</v>
          </cell>
          <cell r="D64">
            <v>83000</v>
          </cell>
        </row>
        <row r="65">
          <cell r="D65" t="str">
            <v xml:space="preserve">MAR is entire inventory of radioactive material in HLWSS (Ref.WVNS-CAL-397, Table C-1, HLWSS). </v>
          </cell>
        </row>
        <row r="66">
          <cell r="A66" t="str">
            <v>Seismic event (tip over)</v>
          </cell>
          <cell r="B66" t="str">
            <v>HLW</v>
          </cell>
          <cell r="D66">
            <v>2500</v>
          </cell>
        </row>
        <row r="67">
          <cell r="D67" t="str">
            <v xml:space="preserve">MAR is cask containing 5 HLW canisters each containing an amount of activity equal to the maximum HLW canister (Ref. WVNS-CAL-396). </v>
          </cell>
        </row>
        <row r="68">
          <cell r="A68" t="str">
            <v>Severe environmental conditions</v>
          </cell>
          <cell r="B68" t="str">
            <v>HLW</v>
          </cell>
          <cell r="D68">
            <v>2500</v>
          </cell>
        </row>
        <row r="69">
          <cell r="D69" t="str">
            <v xml:space="preserve">MAR is cask containing 5 HLW canisters each containing an amount of activity equal to the maximum HLW canister (Ref. WVNS-CAL-396). </v>
          </cell>
        </row>
        <row r="70">
          <cell r="A70" t="str">
            <v>Storage cask tip-over due to transportation event</v>
          </cell>
          <cell r="B70" t="str">
            <v>HLW</v>
          </cell>
          <cell r="D70">
            <v>2500</v>
          </cell>
        </row>
        <row r="71">
          <cell r="D71" t="str">
            <v xml:space="preserve">MAR is cask containing 5 HLW canisters each containing an amount of activity equal to the maximum HLW canister (Ref. WVNS-CAL-396). </v>
          </cell>
        </row>
      </sheetData>
      <sheetData sheetId="7">
        <row r="1">
          <cell r="C1" t="str">
            <v>CPCW</v>
          </cell>
          <cell r="D1" t="str">
            <v>HLWSS</v>
          </cell>
          <cell r="E1" t="str">
            <v>LSA</v>
          </cell>
          <cell r="F1" t="str">
            <v>MP</v>
          </cell>
          <cell r="G1" t="str">
            <v>MPA</v>
          </cell>
          <cell r="H1" t="str">
            <v>OUT</v>
          </cell>
          <cell r="I1" t="str">
            <v>RH</v>
          </cell>
          <cell r="J1" t="str">
            <v>TRN</v>
          </cell>
          <cell r="K1" t="str">
            <v>VF</v>
          </cell>
          <cell r="L1" t="str">
            <v>WTF</v>
          </cell>
        </row>
        <row r="2">
          <cell r="A2" t="str">
            <v>Localized flammable liquid pool fire</v>
          </cell>
          <cell r="B2" t="str">
            <v>E01</v>
          </cell>
          <cell r="C2">
            <v>4.7999999999999996E-3</v>
          </cell>
          <cell r="D2">
            <v>0</v>
          </cell>
          <cell r="E2">
            <v>4.7999999999999996E-3</v>
          </cell>
          <cell r="F2" t="str">
            <v/>
          </cell>
          <cell r="G2">
            <v>2.8000000000000001E-2</v>
          </cell>
          <cell r="H2">
            <v>4.7999999999999996E-3</v>
          </cell>
          <cell r="I2">
            <v>0.01</v>
          </cell>
          <cell r="J2">
            <v>2.8000000000000001E-2</v>
          </cell>
          <cell r="K2" t="str">
            <v/>
          </cell>
          <cell r="L2" t="str">
            <v/>
          </cell>
        </row>
        <row r="3">
          <cell r="A3" t="str">
            <v>Mitigated</v>
          </cell>
          <cell r="B3" t="str">
            <v>MAR</v>
          </cell>
          <cell r="C3">
            <v>10</v>
          </cell>
          <cell r="D3">
            <v>0</v>
          </cell>
          <cell r="E3">
            <v>10</v>
          </cell>
          <cell r="G3">
            <v>10</v>
          </cell>
          <cell r="H3">
            <v>10</v>
          </cell>
          <cell r="I3">
            <v>10</v>
          </cell>
          <cell r="J3">
            <v>10</v>
          </cell>
        </row>
        <row r="4">
          <cell r="A4" t="str">
            <v>Unmitigated</v>
          </cell>
          <cell r="B4" t="str">
            <v>MAR</v>
          </cell>
          <cell r="C4">
            <v>2100</v>
          </cell>
          <cell r="D4">
            <v>83000</v>
          </cell>
          <cell r="E4">
            <v>2100</v>
          </cell>
          <cell r="G4">
            <v>360</v>
          </cell>
          <cell r="H4">
            <v>2100</v>
          </cell>
          <cell r="I4">
            <v>1000</v>
          </cell>
          <cell r="J4">
            <v>360</v>
          </cell>
        </row>
        <row r="5">
          <cell r="C5" t="str">
            <v>DR reflects TSR to protect arrays of TRU waste containing greater than 10 PE-Ci from spills of flammable/ combustible liquids</v>
          </cell>
          <cell r="E5" t="str">
            <v>DR reflects TSR to protect arrays of TRU waste containing greater than 10 PE-Ci from spills of flammable/ combustible liquids</v>
          </cell>
          <cell r="G5" t="str">
            <v>DR reflects TSR to protect arrays of TRU waste containing greater than 10 PE-Ci from spills of flammable/ combustible liquids</v>
          </cell>
          <cell r="H5" t="str">
            <v>DR reflects TSR to protect arrays of TRU waste containing greater than 10 PE-Ci from spills of flammable/ combustible liquids</v>
          </cell>
          <cell r="I5" t="str">
            <v>DR reflects TSR to protect arrays of TRU waste containing greater than 10 PE-Ci from spills of flammable/ combustible liquids</v>
          </cell>
          <cell r="J5" t="str">
            <v>DR reflects TSR to protect TRU waste containing greater than 10 PE-Ci from spills of flammable/ combustible liquids</v>
          </cell>
        </row>
        <row r="6">
          <cell r="A6" t="str">
            <v>Small combustible material fire</v>
          </cell>
          <cell r="B6" t="str">
            <v>E02</v>
          </cell>
          <cell r="C6">
            <v>2.8E-3</v>
          </cell>
          <cell r="D6" t="str">
            <v/>
          </cell>
          <cell r="E6">
            <v>2.8E-3</v>
          </cell>
          <cell r="F6">
            <v>1</v>
          </cell>
          <cell r="G6">
            <v>2.8E-3</v>
          </cell>
          <cell r="H6">
            <v>2.8E-3</v>
          </cell>
          <cell r="I6">
            <v>1</v>
          </cell>
          <cell r="J6">
            <v>2.8E-3</v>
          </cell>
          <cell r="K6">
            <v>1</v>
          </cell>
          <cell r="L6">
            <v>1.1999999999999999E-3</v>
          </cell>
        </row>
        <row r="7">
          <cell r="A7" t="str">
            <v>Mitigated</v>
          </cell>
          <cell r="B7" t="str">
            <v>MAR</v>
          </cell>
          <cell r="C7">
            <v>1</v>
          </cell>
          <cell r="E7">
            <v>1</v>
          </cell>
          <cell r="F7">
            <v>360</v>
          </cell>
          <cell r="G7">
            <v>1</v>
          </cell>
          <cell r="H7">
            <v>1</v>
          </cell>
          <cell r="I7">
            <v>360</v>
          </cell>
          <cell r="J7">
            <v>1</v>
          </cell>
          <cell r="K7">
            <v>360</v>
          </cell>
          <cell r="L7">
            <v>1</v>
          </cell>
        </row>
        <row r="8">
          <cell r="A8" t="str">
            <v>Unmitigated</v>
          </cell>
          <cell r="B8" t="str">
            <v>MAR</v>
          </cell>
          <cell r="C8">
            <v>360</v>
          </cell>
          <cell r="E8">
            <v>360</v>
          </cell>
          <cell r="F8">
            <v>360</v>
          </cell>
          <cell r="G8">
            <v>360</v>
          </cell>
          <cell r="H8">
            <v>360</v>
          </cell>
          <cell r="I8">
            <v>360</v>
          </cell>
          <cell r="J8">
            <v>360</v>
          </cell>
          <cell r="K8">
            <v>360</v>
          </cell>
          <cell r="L8">
            <v>850</v>
          </cell>
        </row>
        <row r="9">
          <cell r="C9" t="str">
            <v>DR reflects TSR that limits the amount of TRU waste that may be outside of an APPROVED CONTAINER to 1.0 PE-Ci.</v>
          </cell>
          <cell r="E9" t="str">
            <v>DR reflects TSR that limits the amount of TRU waste that may be outside of an APPROVED CONTAINER to 1.0 PE-Ci.</v>
          </cell>
          <cell r="G9" t="str">
            <v>DR reflects TSR that limits the amount of TRU waste that may be outside of an APPROVED CONTAINER to 1.0 PE-Ci.</v>
          </cell>
          <cell r="H9" t="str">
            <v>DR reflects TSR that limits the amount of TRU waste that may be outside of an APPROVED CONTAINER to 1.0 PE-Ci.</v>
          </cell>
          <cell r="J9" t="str">
            <v>DR reflects TSR that limits the amount of TRU waste that may be outside of an APPROVED CONTAINER to 1.0 PE-Ci.</v>
          </cell>
          <cell r="L9" t="str">
            <v>DR reflects the fact that only MAR equal to that associated with facility ventilation system would be expected to be involved in event.</v>
          </cell>
        </row>
        <row r="10">
          <cell r="A10" t="str">
            <v>Large fire</v>
          </cell>
          <cell r="B10" t="str">
            <v>E04</v>
          </cell>
          <cell r="C10" t="str">
            <v/>
          </cell>
          <cell r="D10" t="str">
            <v/>
          </cell>
          <cell r="E10">
            <v>6.7000000000000004E-2</v>
          </cell>
          <cell r="F10">
            <v>1</v>
          </cell>
          <cell r="G10" t="str">
            <v/>
          </cell>
          <cell r="H10" t="str">
            <v/>
          </cell>
          <cell r="I10">
            <v>1</v>
          </cell>
          <cell r="J10" t="str">
            <v/>
          </cell>
          <cell r="K10">
            <v>1</v>
          </cell>
          <cell r="L10" t="str">
            <v/>
          </cell>
        </row>
        <row r="11">
          <cell r="A11" t="str">
            <v>Mitigated</v>
          </cell>
          <cell r="B11" t="str">
            <v>MAR</v>
          </cell>
          <cell r="E11">
            <v>140</v>
          </cell>
          <cell r="F11">
            <v>2300</v>
          </cell>
          <cell r="I11">
            <v>1000</v>
          </cell>
          <cell r="K11">
            <v>1500</v>
          </cell>
        </row>
        <row r="12">
          <cell r="A12" t="str">
            <v>Unmitigated</v>
          </cell>
          <cell r="B12" t="str">
            <v>MAR</v>
          </cell>
          <cell r="E12">
            <v>2100</v>
          </cell>
          <cell r="F12">
            <v>2300</v>
          </cell>
          <cell r="I12">
            <v>1000</v>
          </cell>
          <cell r="K12">
            <v>1500</v>
          </cell>
        </row>
        <row r="13">
          <cell r="E13" t="str">
            <v>DR assumes impacted material to be all drummed CH TRU waste (i.e., waste not in shielded overpacks) per Exhibit 1 of WVNS-CAL-397. MAR very conservative since release fraction applies only to drums exposed to critical heat flux.</v>
          </cell>
        </row>
        <row r="14">
          <cell r="A14" t="str">
            <v>Localized explosion external to container</v>
          </cell>
          <cell r="B14" t="str">
            <v>E05</v>
          </cell>
          <cell r="C14">
            <v>2.8000000000000001E-2</v>
          </cell>
          <cell r="D14">
            <v>0</v>
          </cell>
          <cell r="E14">
            <v>2.8000000000000001E-2</v>
          </cell>
          <cell r="F14" t="str">
            <v/>
          </cell>
          <cell r="G14">
            <v>2.8000000000000001E-2</v>
          </cell>
          <cell r="H14">
            <v>2.8000000000000001E-2</v>
          </cell>
          <cell r="I14">
            <v>2.8000000000000001E-2</v>
          </cell>
          <cell r="J14">
            <v>2.8000000000000001E-2</v>
          </cell>
          <cell r="K14" t="str">
            <v/>
          </cell>
          <cell r="L14" t="str">
            <v/>
          </cell>
        </row>
        <row r="15">
          <cell r="A15" t="str">
            <v>Mitigated</v>
          </cell>
          <cell r="B15" t="str">
            <v>MAR</v>
          </cell>
          <cell r="C15">
            <v>10</v>
          </cell>
          <cell r="D15">
            <v>0</v>
          </cell>
          <cell r="E15">
            <v>10</v>
          </cell>
          <cell r="G15">
            <v>10</v>
          </cell>
          <cell r="H15">
            <v>10</v>
          </cell>
          <cell r="I15">
            <v>10</v>
          </cell>
          <cell r="J15">
            <v>10</v>
          </cell>
        </row>
        <row r="16">
          <cell r="A16" t="str">
            <v>Unmitigated</v>
          </cell>
          <cell r="B16" t="str">
            <v>MAR</v>
          </cell>
          <cell r="C16">
            <v>360</v>
          </cell>
          <cell r="D16">
            <v>2500</v>
          </cell>
          <cell r="E16">
            <v>360</v>
          </cell>
          <cell r="G16">
            <v>360</v>
          </cell>
          <cell r="H16">
            <v>360</v>
          </cell>
          <cell r="I16">
            <v>360</v>
          </cell>
          <cell r="J16">
            <v>360</v>
          </cell>
        </row>
        <row r="17">
          <cell r="C17" t="str">
            <v>DR credits SAC that requires TRU waste containing &gt;10 PE-Ci be in containers capable of meeting SAC physical protection functional requirements.</v>
          </cell>
          <cell r="E17" t="str">
            <v>DR credits SAC that requires TRU waste containing &gt;10 PE-Ci be in containers capable of meeting SAC physical protection functional requirements.</v>
          </cell>
          <cell r="G17" t="str">
            <v>DR credits SAC that requires TRU waste containing &gt;10 PE-Ci be in containers capable of meeting SAC physical protection functional requirements.</v>
          </cell>
          <cell r="H17" t="str">
            <v>DR credits SAC that requires TRU waste containing &gt;10 PE-Ci be in containers capable of meeting SAC physical protection functional requirements.</v>
          </cell>
          <cell r="I17" t="str">
            <v>DR credits SAC that requires TRU waste containing &gt;10 PE-Ci be in containers capable of meeting SAC physical protection functional requirements.</v>
          </cell>
          <cell r="J17" t="str">
            <v>DR credits SAC that requires TRU waste containing &gt;10 PE-Ci be in containers capable of meeting SAC physical protection functional requirements.</v>
          </cell>
        </row>
        <row r="18">
          <cell r="A18" t="str">
            <v>Waste container deflagration</v>
          </cell>
          <cell r="B18" t="str">
            <v>E06</v>
          </cell>
          <cell r="C18">
            <v>0.25</v>
          </cell>
          <cell r="D18" t="str">
            <v/>
          </cell>
          <cell r="E18">
            <v>0.25</v>
          </cell>
          <cell r="F18">
            <v>1</v>
          </cell>
          <cell r="G18">
            <v>0.25</v>
          </cell>
          <cell r="H18">
            <v>0.25</v>
          </cell>
          <cell r="I18">
            <v>1</v>
          </cell>
          <cell r="J18" t="str">
            <v/>
          </cell>
          <cell r="K18">
            <v>1</v>
          </cell>
          <cell r="L18" t="str">
            <v/>
          </cell>
        </row>
        <row r="19">
          <cell r="A19" t="str">
            <v>Mitigated</v>
          </cell>
          <cell r="B19" t="str">
            <v>MAR</v>
          </cell>
          <cell r="C19">
            <v>90</v>
          </cell>
          <cell r="E19">
            <v>90</v>
          </cell>
          <cell r="F19">
            <v>360</v>
          </cell>
          <cell r="G19">
            <v>90</v>
          </cell>
          <cell r="H19">
            <v>90</v>
          </cell>
          <cell r="I19">
            <v>360</v>
          </cell>
          <cell r="K19">
            <v>360</v>
          </cell>
        </row>
        <row r="20">
          <cell r="A20" t="str">
            <v>Unmitigated</v>
          </cell>
          <cell r="B20" t="str">
            <v>MAR</v>
          </cell>
          <cell r="C20">
            <v>360</v>
          </cell>
          <cell r="E20">
            <v>360</v>
          </cell>
          <cell r="F20">
            <v>360</v>
          </cell>
          <cell r="G20">
            <v>360</v>
          </cell>
          <cell r="H20">
            <v>360</v>
          </cell>
          <cell r="I20">
            <v>360</v>
          </cell>
          <cell r="K20">
            <v>360</v>
          </cell>
        </row>
        <row r="21">
          <cell r="C21" t="str">
            <v>High PE-Ci waste is overpacked. DR reflects credit allowed per Section 4.4.2 of STD-5506. Resultant MAR bounds credible conservative non-overpacked MAR (10 PE-Ci)</v>
          </cell>
          <cell r="E21" t="str">
            <v>High PE-Ci waste is overpacked. DR reflects credit allowed per Section 4.4.2 of STD-5506. Resultant MAR bounds credible conservative non-overpacked MAR (10 PE-Ci)</v>
          </cell>
          <cell r="G21" t="str">
            <v>High PE-Ci waste is overpacked. DR reflects credit allowed per Section 4.4.2 of STD-5506. Resultant MAR bounds credible conservative non-overpacked MAR (10 PE-Ci)</v>
          </cell>
          <cell r="H21" t="str">
            <v>High PE-Ci waste is overpacked. DR reflects credit allowed per Section 4.4.2 of STD-5506. Resultant MAR bounds credible conservative non-overpacked MAR (10 PE-Ci)</v>
          </cell>
        </row>
        <row r="22">
          <cell r="A22" t="str">
            <v>Vehicle/equipment impacts waste/waste containers</v>
          </cell>
          <cell r="B22" t="str">
            <v>E09</v>
          </cell>
          <cell r="C22">
            <v>1</v>
          </cell>
          <cell r="D22">
            <v>0</v>
          </cell>
          <cell r="E22">
            <v>1</v>
          </cell>
          <cell r="F22" t="str">
            <v/>
          </cell>
          <cell r="G22">
            <v>1</v>
          </cell>
          <cell r="H22">
            <v>1</v>
          </cell>
          <cell r="I22">
            <v>1</v>
          </cell>
          <cell r="J22">
            <v>1</v>
          </cell>
          <cell r="K22" t="str">
            <v/>
          </cell>
          <cell r="L22" t="str">
            <v/>
          </cell>
        </row>
        <row r="23">
          <cell r="A23" t="str">
            <v>Mitigated</v>
          </cell>
          <cell r="B23" t="str">
            <v>MAR</v>
          </cell>
          <cell r="C23">
            <v>360</v>
          </cell>
          <cell r="D23">
            <v>0</v>
          </cell>
          <cell r="E23">
            <v>360</v>
          </cell>
          <cell r="G23">
            <v>360</v>
          </cell>
          <cell r="H23">
            <v>360</v>
          </cell>
          <cell r="I23">
            <v>360</v>
          </cell>
          <cell r="J23">
            <v>360</v>
          </cell>
        </row>
        <row r="24">
          <cell r="A24" t="str">
            <v>Unmitigated</v>
          </cell>
          <cell r="B24" t="str">
            <v>MAR</v>
          </cell>
          <cell r="C24">
            <v>360</v>
          </cell>
          <cell r="D24">
            <v>2500</v>
          </cell>
          <cell r="E24">
            <v>360</v>
          </cell>
          <cell r="G24">
            <v>360</v>
          </cell>
          <cell r="H24">
            <v>360</v>
          </cell>
          <cell r="I24">
            <v>360</v>
          </cell>
          <cell r="J24">
            <v>360</v>
          </cell>
        </row>
        <row r="26">
          <cell r="A26" t="str">
            <v>Drop/impact/spill</v>
          </cell>
          <cell r="B26" t="str">
            <v>E10</v>
          </cell>
          <cell r="C26">
            <v>1</v>
          </cell>
          <cell r="D26">
            <v>0</v>
          </cell>
          <cell r="E26">
            <v>1</v>
          </cell>
          <cell r="F26">
            <v>1</v>
          </cell>
          <cell r="G26">
            <v>1</v>
          </cell>
          <cell r="H26">
            <v>1</v>
          </cell>
          <cell r="I26">
            <v>1</v>
          </cell>
          <cell r="J26">
            <v>1</v>
          </cell>
          <cell r="K26">
            <v>1</v>
          </cell>
          <cell r="L26">
            <v>1</v>
          </cell>
        </row>
        <row r="27">
          <cell r="A27" t="str">
            <v>Mitigated</v>
          </cell>
          <cell r="B27" t="str">
            <v>MAR</v>
          </cell>
          <cell r="C27">
            <v>360</v>
          </cell>
          <cell r="D27">
            <v>0</v>
          </cell>
          <cell r="E27">
            <v>360</v>
          </cell>
          <cell r="F27">
            <v>360</v>
          </cell>
          <cell r="G27">
            <v>360</v>
          </cell>
          <cell r="H27">
            <v>360</v>
          </cell>
          <cell r="I27">
            <v>360</v>
          </cell>
          <cell r="J27">
            <v>360</v>
          </cell>
          <cell r="K27">
            <v>360</v>
          </cell>
          <cell r="L27">
            <v>1</v>
          </cell>
        </row>
        <row r="28">
          <cell r="A28" t="str">
            <v>Unmitigated</v>
          </cell>
          <cell r="B28" t="str">
            <v>MAR</v>
          </cell>
          <cell r="C28">
            <v>360</v>
          </cell>
          <cell r="D28">
            <v>2500</v>
          </cell>
          <cell r="E28">
            <v>360</v>
          </cell>
          <cell r="F28">
            <v>360</v>
          </cell>
          <cell r="G28">
            <v>360</v>
          </cell>
          <cell r="H28">
            <v>360</v>
          </cell>
          <cell r="I28">
            <v>360</v>
          </cell>
          <cell r="J28">
            <v>360</v>
          </cell>
          <cell r="K28">
            <v>360</v>
          </cell>
          <cell r="L28">
            <v>1</v>
          </cell>
        </row>
        <row r="30">
          <cell r="A30" t="str">
            <v>Collapse of stacked containers</v>
          </cell>
          <cell r="B30" t="str">
            <v>E11</v>
          </cell>
          <cell r="C30">
            <v>1</v>
          </cell>
          <cell r="D30" t="str">
            <v/>
          </cell>
          <cell r="E30">
            <v>1</v>
          </cell>
          <cell r="F30" t="str">
            <v/>
          </cell>
          <cell r="G30" t="str">
            <v/>
          </cell>
          <cell r="H30">
            <v>1</v>
          </cell>
          <cell r="I30" t="str">
            <v/>
          </cell>
          <cell r="J30" t="str">
            <v/>
          </cell>
          <cell r="K30" t="str">
            <v/>
          </cell>
          <cell r="L30" t="str">
            <v/>
          </cell>
        </row>
        <row r="31">
          <cell r="A31" t="str">
            <v>Mitigated</v>
          </cell>
          <cell r="B31" t="str">
            <v>MAR</v>
          </cell>
          <cell r="C31">
            <v>1050</v>
          </cell>
          <cell r="E31">
            <v>1050</v>
          </cell>
          <cell r="H31">
            <v>1050</v>
          </cell>
        </row>
        <row r="32">
          <cell r="A32" t="str">
            <v>Unmitigated</v>
          </cell>
          <cell r="B32" t="str">
            <v>MAR</v>
          </cell>
          <cell r="C32">
            <v>1050</v>
          </cell>
          <cell r="E32">
            <v>1050</v>
          </cell>
          <cell r="H32">
            <v>1050</v>
          </cell>
        </row>
        <row r="34">
          <cell r="A34" t="str">
            <v>Waste container over-pressurization</v>
          </cell>
          <cell r="B34" t="str">
            <v>E12</v>
          </cell>
          <cell r="C34">
            <v>0.1</v>
          </cell>
          <cell r="D34" t="str">
            <v/>
          </cell>
          <cell r="E34">
            <v>0.1</v>
          </cell>
          <cell r="F34">
            <v>1</v>
          </cell>
          <cell r="G34">
            <v>0.1</v>
          </cell>
          <cell r="H34">
            <v>0.1</v>
          </cell>
          <cell r="I34">
            <v>1</v>
          </cell>
          <cell r="J34" t="str">
            <v/>
          </cell>
          <cell r="K34">
            <v>1</v>
          </cell>
          <cell r="L34" t="str">
            <v/>
          </cell>
        </row>
        <row r="35">
          <cell r="A35" t="str">
            <v>Mitigated</v>
          </cell>
          <cell r="B35" t="str">
            <v>MAR</v>
          </cell>
          <cell r="C35">
            <v>36</v>
          </cell>
          <cell r="E35">
            <v>36</v>
          </cell>
          <cell r="F35">
            <v>360</v>
          </cell>
          <cell r="G35">
            <v>36</v>
          </cell>
          <cell r="H35">
            <v>36</v>
          </cell>
          <cell r="I35">
            <v>360</v>
          </cell>
          <cell r="K35">
            <v>360</v>
          </cell>
        </row>
        <row r="36">
          <cell r="A36" t="str">
            <v>Unmitigated</v>
          </cell>
          <cell r="B36" t="str">
            <v>MAR</v>
          </cell>
          <cell r="C36">
            <v>360</v>
          </cell>
          <cell r="E36">
            <v>360</v>
          </cell>
          <cell r="F36">
            <v>360</v>
          </cell>
          <cell r="G36">
            <v>360</v>
          </cell>
          <cell r="H36">
            <v>360</v>
          </cell>
          <cell r="I36">
            <v>360</v>
          </cell>
          <cell r="K36">
            <v>360</v>
          </cell>
        </row>
        <row r="37">
          <cell r="C37" t="str">
            <v>High PE-Ci waste is overpacked. DR reflects credit allowed per Section 4.4.2 of STD-5506. Resultant MAR bounds credible conservative non-overpacked MAR (10 PE-Ci)</v>
          </cell>
          <cell r="E37" t="str">
            <v>High PE-Ci waste is overpacked. DR reflects credit allowed per Section 4.4.2 of STD-5506. Resultant MAR bounds credible conservative non-overpacked MAR (10 PE-Ci)</v>
          </cell>
          <cell r="G37" t="str">
            <v>High PE-Ci waste is overpacked. DR reflects credit allowed per Section 4.4.2 of STD-5506. Resultant MAR bounds credible conservative non-overpacked MAR (10 PE-Ci)</v>
          </cell>
          <cell r="H37" t="str">
            <v>High PE-Ci waste is overpacked. DR reflects credit allowed per Section 4.4.2 of STD-5506. Resultant MAR bounds credible conservative non-overpacked MAR (10 PE-Ci)</v>
          </cell>
        </row>
        <row r="38">
          <cell r="A38" t="str">
            <v>Aircraft impact with fire</v>
          </cell>
          <cell r="B38" t="str">
            <v>E15</v>
          </cell>
          <cell r="C38">
            <v>1</v>
          </cell>
          <cell r="D38">
            <v>0</v>
          </cell>
          <cell r="E38">
            <v>1</v>
          </cell>
          <cell r="F38">
            <v>1</v>
          </cell>
          <cell r="G38">
            <v>1</v>
          </cell>
          <cell r="H38">
            <v>1</v>
          </cell>
          <cell r="I38">
            <v>1</v>
          </cell>
          <cell r="J38" t="str">
            <v/>
          </cell>
          <cell r="K38">
            <v>1</v>
          </cell>
          <cell r="L38">
            <v>1</v>
          </cell>
        </row>
        <row r="39">
          <cell r="A39" t="str">
            <v>Mitigated</v>
          </cell>
          <cell r="B39" t="str">
            <v>MAR</v>
          </cell>
          <cell r="C39">
            <v>2100</v>
          </cell>
          <cell r="D39">
            <v>0</v>
          </cell>
          <cell r="E39">
            <v>2100</v>
          </cell>
          <cell r="F39">
            <v>10</v>
          </cell>
          <cell r="G39">
            <v>360</v>
          </cell>
          <cell r="H39">
            <v>2100</v>
          </cell>
          <cell r="I39">
            <v>1000</v>
          </cell>
          <cell r="K39">
            <v>1</v>
          </cell>
          <cell r="L39">
            <v>1</v>
          </cell>
        </row>
        <row r="40">
          <cell r="A40" t="str">
            <v>Unmitigated</v>
          </cell>
          <cell r="B40" t="str">
            <v>MAR</v>
          </cell>
          <cell r="C40">
            <v>2100</v>
          </cell>
          <cell r="D40">
            <v>83000</v>
          </cell>
          <cell r="E40">
            <v>2100</v>
          </cell>
          <cell r="F40">
            <v>10</v>
          </cell>
          <cell r="G40">
            <v>360</v>
          </cell>
          <cell r="H40">
            <v>2100</v>
          </cell>
          <cell r="I40">
            <v>1000</v>
          </cell>
          <cell r="K40">
            <v>1</v>
          </cell>
          <cell r="L40">
            <v>1</v>
          </cell>
        </row>
        <row r="42">
          <cell r="A42" t="str">
            <v>External vehicle accident</v>
          </cell>
          <cell r="B42" t="str">
            <v>E16</v>
          </cell>
          <cell r="C42" t="str">
            <v/>
          </cell>
          <cell r="D42">
            <v>0</v>
          </cell>
          <cell r="E42" t="str">
            <v/>
          </cell>
          <cell r="F42" t="str">
            <v/>
          </cell>
          <cell r="G42" t="str">
            <v/>
          </cell>
          <cell r="H42">
            <v>1</v>
          </cell>
          <cell r="I42" t="str">
            <v/>
          </cell>
          <cell r="J42" t="str">
            <v/>
          </cell>
          <cell r="K42" t="str">
            <v/>
          </cell>
          <cell r="L42" t="str">
            <v/>
          </cell>
        </row>
        <row r="43">
          <cell r="A43" t="str">
            <v>Mitigated</v>
          </cell>
          <cell r="B43" t="str">
            <v>MAR</v>
          </cell>
          <cell r="D43">
            <v>0</v>
          </cell>
          <cell r="H43">
            <v>2100</v>
          </cell>
        </row>
        <row r="44">
          <cell r="A44" t="str">
            <v>Unmitigated</v>
          </cell>
          <cell r="B44" t="str">
            <v>MAR</v>
          </cell>
          <cell r="D44">
            <v>83000</v>
          </cell>
          <cell r="H44">
            <v>2100</v>
          </cell>
        </row>
        <row r="46">
          <cell r="A46" t="str">
            <v>External vehicle accident with fire</v>
          </cell>
          <cell r="B46" t="str">
            <v>E17</v>
          </cell>
          <cell r="C46" t="str">
            <v/>
          </cell>
          <cell r="D46">
            <v>0</v>
          </cell>
          <cell r="E46" t="str">
            <v/>
          </cell>
          <cell r="F46" t="str">
            <v/>
          </cell>
          <cell r="G46" t="str">
            <v/>
          </cell>
          <cell r="H46">
            <v>1</v>
          </cell>
          <cell r="I46" t="str">
            <v/>
          </cell>
          <cell r="J46" t="str">
            <v/>
          </cell>
          <cell r="K46" t="str">
            <v/>
          </cell>
          <cell r="L46" t="str">
            <v/>
          </cell>
        </row>
        <row r="47">
          <cell r="A47" t="str">
            <v>Mitigated</v>
          </cell>
          <cell r="B47" t="str">
            <v>MAR</v>
          </cell>
          <cell r="D47">
            <v>0</v>
          </cell>
          <cell r="H47">
            <v>2100</v>
          </cell>
        </row>
        <row r="48">
          <cell r="A48" t="str">
            <v>Unmitigated</v>
          </cell>
          <cell r="B48" t="str">
            <v>MAR</v>
          </cell>
          <cell r="D48">
            <v>83000</v>
          </cell>
          <cell r="H48">
            <v>2100</v>
          </cell>
        </row>
        <row r="50">
          <cell r="A50" t="str">
            <v>External explosion</v>
          </cell>
          <cell r="B50" t="str">
            <v>E18</v>
          </cell>
          <cell r="C50" t="str">
            <v/>
          </cell>
          <cell r="D50">
            <v>0</v>
          </cell>
          <cell r="E50">
            <v>1</v>
          </cell>
          <cell r="F50">
            <v>1</v>
          </cell>
          <cell r="G50" t="str">
            <v/>
          </cell>
          <cell r="H50">
            <v>1</v>
          </cell>
          <cell r="I50">
            <v>1</v>
          </cell>
          <cell r="J50" t="str">
            <v/>
          </cell>
          <cell r="K50" t="str">
            <v/>
          </cell>
          <cell r="L50" t="str">
            <v/>
          </cell>
        </row>
        <row r="51">
          <cell r="A51" t="str">
            <v>Mitigated</v>
          </cell>
          <cell r="B51" t="str">
            <v>MAR</v>
          </cell>
          <cell r="D51">
            <v>0</v>
          </cell>
          <cell r="E51">
            <v>360</v>
          </cell>
          <cell r="F51">
            <v>2300</v>
          </cell>
          <cell r="H51">
            <v>360</v>
          </cell>
          <cell r="I51">
            <v>360</v>
          </cell>
        </row>
        <row r="52">
          <cell r="A52" t="str">
            <v>Unmitigated</v>
          </cell>
          <cell r="B52" t="str">
            <v>MAR</v>
          </cell>
          <cell r="D52">
            <v>2500</v>
          </cell>
          <cell r="E52">
            <v>360</v>
          </cell>
          <cell r="F52">
            <v>2300</v>
          </cell>
          <cell r="H52">
            <v>360</v>
          </cell>
          <cell r="I52">
            <v>360</v>
          </cell>
        </row>
        <row r="54">
          <cell r="A54" t="str">
            <v>External fire</v>
          </cell>
          <cell r="B54" t="str">
            <v>E19</v>
          </cell>
          <cell r="C54">
            <v>0.1</v>
          </cell>
          <cell r="D54">
            <v>0</v>
          </cell>
          <cell r="E54">
            <v>0.1</v>
          </cell>
          <cell r="F54" t="str">
            <v/>
          </cell>
          <cell r="G54" t="str">
            <v/>
          </cell>
          <cell r="H54">
            <v>0.1</v>
          </cell>
          <cell r="I54">
            <v>0.1</v>
          </cell>
          <cell r="J54" t="str">
            <v/>
          </cell>
          <cell r="K54" t="str">
            <v/>
          </cell>
          <cell r="L54" t="str">
            <v/>
          </cell>
        </row>
        <row r="55">
          <cell r="A55" t="str">
            <v>Mitigated</v>
          </cell>
          <cell r="B55" t="str">
            <v>MAR</v>
          </cell>
          <cell r="C55">
            <v>210</v>
          </cell>
          <cell r="D55">
            <v>0</v>
          </cell>
          <cell r="E55">
            <v>210</v>
          </cell>
          <cell r="H55">
            <v>210</v>
          </cell>
          <cell r="I55">
            <v>100</v>
          </cell>
        </row>
        <row r="56">
          <cell r="A56" t="str">
            <v>Unmitigated</v>
          </cell>
          <cell r="B56" t="str">
            <v>MAR</v>
          </cell>
          <cell r="C56">
            <v>2100</v>
          </cell>
          <cell r="D56">
            <v>83000</v>
          </cell>
          <cell r="E56">
            <v>2100</v>
          </cell>
          <cell r="H56">
            <v>2100</v>
          </cell>
          <cell r="I56">
            <v>1000</v>
          </cell>
        </row>
        <row r="57">
          <cell r="C57" t="str">
            <v>DR assumes that 10% of array is exposed to critical heat flux.</v>
          </cell>
          <cell r="E57" t="str">
            <v>DR assumes that 10% of array is exposed to critical heat flux.</v>
          </cell>
          <cell r="H57" t="str">
            <v>DR assumes that 10% of array is exposed to critical heat flux.</v>
          </cell>
          <cell r="I57" t="str">
            <v>DR assumes that 10% of array is exposed to critical heat flux.</v>
          </cell>
        </row>
        <row r="58">
          <cell r="A58" t="str">
            <v>Lightning</v>
          </cell>
          <cell r="B58" t="str">
            <v>E20</v>
          </cell>
          <cell r="C58" t="str">
            <v/>
          </cell>
          <cell r="D58">
            <v>0</v>
          </cell>
          <cell r="E58" t="str">
            <v/>
          </cell>
          <cell r="F58" t="str">
            <v/>
          </cell>
          <cell r="G58" t="str">
            <v/>
          </cell>
          <cell r="H58">
            <v>2.8000000000000001E-2</v>
          </cell>
          <cell r="I58" t="str">
            <v/>
          </cell>
          <cell r="J58" t="str">
            <v/>
          </cell>
          <cell r="K58" t="str">
            <v/>
          </cell>
          <cell r="L58" t="str">
            <v/>
          </cell>
        </row>
        <row r="59">
          <cell r="A59" t="str">
            <v>Mitigated</v>
          </cell>
          <cell r="B59" t="str">
            <v>MAR</v>
          </cell>
          <cell r="D59">
            <v>0</v>
          </cell>
          <cell r="H59">
            <v>10</v>
          </cell>
        </row>
        <row r="60">
          <cell r="A60" t="str">
            <v>Unmitigated</v>
          </cell>
          <cell r="B60" t="str">
            <v>MAR</v>
          </cell>
          <cell r="D60">
            <v>2500</v>
          </cell>
          <cell r="H60">
            <v>360</v>
          </cell>
        </row>
        <row r="61">
          <cell r="H61" t="str">
            <v>DR credits SAC that requires TRU waste containing &gt;10 PE-Ci be in containers capable of meeting SAC physical protection functional requirements.</v>
          </cell>
        </row>
        <row r="62">
          <cell r="A62" t="str">
            <v>High wind</v>
          </cell>
          <cell r="B62" t="str">
            <v>E21</v>
          </cell>
          <cell r="C62" t="str">
            <v/>
          </cell>
          <cell r="D62">
            <v>0</v>
          </cell>
          <cell r="E62" t="str">
            <v/>
          </cell>
          <cell r="F62" t="str">
            <v/>
          </cell>
          <cell r="G62" t="str">
            <v/>
          </cell>
          <cell r="H62">
            <v>1</v>
          </cell>
          <cell r="I62" t="str">
            <v/>
          </cell>
          <cell r="J62" t="str">
            <v/>
          </cell>
          <cell r="K62" t="str">
            <v/>
          </cell>
          <cell r="L62" t="str">
            <v/>
          </cell>
        </row>
        <row r="63">
          <cell r="A63" t="str">
            <v>Mitigated</v>
          </cell>
          <cell r="B63" t="str">
            <v>MAR</v>
          </cell>
          <cell r="D63">
            <v>0</v>
          </cell>
          <cell r="H63">
            <v>2100</v>
          </cell>
        </row>
        <row r="64">
          <cell r="A64" t="str">
            <v>Unmitigated</v>
          </cell>
          <cell r="B64" t="str">
            <v>MAR</v>
          </cell>
          <cell r="D64">
            <v>83000</v>
          </cell>
          <cell r="H64">
            <v>2100</v>
          </cell>
        </row>
        <row r="66">
          <cell r="A66" t="str">
            <v>Tornado</v>
          </cell>
          <cell r="B66" t="str">
            <v>E22</v>
          </cell>
          <cell r="C66">
            <v>0.18</v>
          </cell>
          <cell r="D66">
            <v>0</v>
          </cell>
          <cell r="E66">
            <v>0.18</v>
          </cell>
          <cell r="F66">
            <v>1</v>
          </cell>
          <cell r="G66">
            <v>1</v>
          </cell>
          <cell r="H66">
            <v>0.18</v>
          </cell>
          <cell r="I66">
            <v>1</v>
          </cell>
          <cell r="J66" t="str">
            <v/>
          </cell>
          <cell r="K66">
            <v>1</v>
          </cell>
          <cell r="L66">
            <v>1.2E-4</v>
          </cell>
        </row>
        <row r="67">
          <cell r="A67" t="str">
            <v>Mitigated</v>
          </cell>
          <cell r="B67" t="str">
            <v>MAR</v>
          </cell>
          <cell r="C67">
            <v>379</v>
          </cell>
          <cell r="D67">
            <v>0</v>
          </cell>
          <cell r="E67">
            <v>379</v>
          </cell>
          <cell r="F67">
            <v>2300</v>
          </cell>
          <cell r="G67">
            <v>360</v>
          </cell>
          <cell r="H67">
            <v>379</v>
          </cell>
          <cell r="I67">
            <v>360</v>
          </cell>
          <cell r="K67">
            <v>1500</v>
          </cell>
          <cell r="L67">
            <v>0.1</v>
          </cell>
        </row>
        <row r="68">
          <cell r="A68" t="str">
            <v>Unmitigated</v>
          </cell>
          <cell r="B68" t="str">
            <v>MAR</v>
          </cell>
          <cell r="C68">
            <v>2100</v>
          </cell>
          <cell r="D68">
            <v>83000</v>
          </cell>
          <cell r="E68">
            <v>2100</v>
          </cell>
          <cell r="F68">
            <v>2300</v>
          </cell>
          <cell r="G68">
            <v>360</v>
          </cell>
          <cell r="H68">
            <v>2100</v>
          </cell>
          <cell r="I68">
            <v>360</v>
          </cell>
          <cell r="K68">
            <v>1500</v>
          </cell>
          <cell r="L68">
            <v>850</v>
          </cell>
        </row>
        <row r="69">
          <cell r="C69" t="str">
            <v>Tornado borne missiles assumed to impact four TRU waste drums: max container and three at 99th percentile.</v>
          </cell>
          <cell r="E69" t="str">
            <v>Tornado borne missiles assumed to impact four TRU waste drums: max container and three at 99th percentile.</v>
          </cell>
          <cell r="H69" t="str">
            <v>Tornado borne missiles assumed to impact four TRU waste drums: max container and three at 99th percentile.</v>
          </cell>
          <cell r="L69" t="str">
            <v xml:space="preserve">DR reflects very low release rate expected for this event. (Estimated unmitigated source term from system &lt;1E-6 PE-Ci/day due to ACTIVE ventilation based on environmental release data and assumed HEPA filter efficiency of 99.99%.) </v>
          </cell>
        </row>
        <row r="70">
          <cell r="A70" t="str">
            <v>Snow and/or ice buildup</v>
          </cell>
          <cell r="B70" t="str">
            <v>E23</v>
          </cell>
          <cell r="C70" t="str">
            <v/>
          </cell>
          <cell r="D70" t="str">
            <v/>
          </cell>
          <cell r="E70" t="str">
            <v/>
          </cell>
          <cell r="F70" t="str">
            <v/>
          </cell>
          <cell r="G70" t="str">
            <v/>
          </cell>
          <cell r="H70">
            <v>1</v>
          </cell>
          <cell r="I70" t="str">
            <v/>
          </cell>
          <cell r="J70" t="str">
            <v/>
          </cell>
          <cell r="K70" t="str">
            <v/>
          </cell>
          <cell r="L70" t="str">
            <v/>
          </cell>
        </row>
        <row r="71">
          <cell r="A71" t="str">
            <v>Mitigated</v>
          </cell>
          <cell r="B71" t="str">
            <v>MAR</v>
          </cell>
          <cell r="H71">
            <v>2100</v>
          </cell>
        </row>
        <row r="72">
          <cell r="A72" t="str">
            <v>Unmitigated</v>
          </cell>
          <cell r="B72" t="str">
            <v>MAR</v>
          </cell>
          <cell r="H72">
            <v>2100</v>
          </cell>
        </row>
        <row r="74">
          <cell r="A74" t="str">
            <v>Seismic event</v>
          </cell>
          <cell r="B74" t="str">
            <v>E24</v>
          </cell>
          <cell r="C74">
            <v>1</v>
          </cell>
          <cell r="D74">
            <v>0</v>
          </cell>
          <cell r="E74">
            <v>1</v>
          </cell>
          <cell r="F74">
            <v>1</v>
          </cell>
          <cell r="G74">
            <v>1</v>
          </cell>
          <cell r="H74">
            <v>1</v>
          </cell>
          <cell r="I74">
            <v>1</v>
          </cell>
          <cell r="J74" t="str">
            <v/>
          </cell>
          <cell r="K74">
            <v>1</v>
          </cell>
          <cell r="L74">
            <v>1.2E-4</v>
          </cell>
        </row>
        <row r="75">
          <cell r="A75" t="str">
            <v>Mitigated</v>
          </cell>
          <cell r="B75" t="str">
            <v>MAR</v>
          </cell>
          <cell r="C75">
            <v>2100</v>
          </cell>
          <cell r="D75">
            <v>0</v>
          </cell>
          <cell r="E75">
            <v>2100</v>
          </cell>
          <cell r="F75">
            <v>2300</v>
          </cell>
          <cell r="G75">
            <v>360</v>
          </cell>
          <cell r="H75">
            <v>2100</v>
          </cell>
          <cell r="I75">
            <v>1000</v>
          </cell>
          <cell r="K75">
            <v>1500</v>
          </cell>
          <cell r="L75">
            <v>0.1</v>
          </cell>
        </row>
        <row r="76">
          <cell r="A76" t="str">
            <v>Unmitigated</v>
          </cell>
          <cell r="B76" t="str">
            <v>MAR</v>
          </cell>
          <cell r="C76">
            <v>2100</v>
          </cell>
          <cell r="D76">
            <v>83000</v>
          </cell>
          <cell r="E76">
            <v>2100</v>
          </cell>
          <cell r="F76">
            <v>2300</v>
          </cell>
          <cell r="G76">
            <v>360</v>
          </cell>
          <cell r="H76">
            <v>2100</v>
          </cell>
          <cell r="I76">
            <v>1000</v>
          </cell>
          <cell r="K76">
            <v>1500</v>
          </cell>
          <cell r="L76">
            <v>850</v>
          </cell>
        </row>
        <row r="77">
          <cell r="L77" t="str">
            <v xml:space="preserve">DR reflects very low release rate expected for this event. (Estimated unmitigated source term from system &lt;1E-6 PE-Ci/day due to ACTIVE ventilation based on environmental release data and assumed HEPA filter efficiency of 99.99%.) </v>
          </cell>
        </row>
        <row r="78">
          <cell r="A78" t="str">
            <v>Loss of airborne contamination confinement</v>
          </cell>
          <cell r="B78" t="str">
            <v>AER</v>
          </cell>
          <cell r="C78" t="str">
            <v/>
          </cell>
          <cell r="D78">
            <v>0</v>
          </cell>
          <cell r="E78">
            <v>1</v>
          </cell>
          <cell r="F78">
            <v>1</v>
          </cell>
          <cell r="G78">
            <v>1</v>
          </cell>
          <cell r="H78" t="str">
            <v/>
          </cell>
          <cell r="I78">
            <v>1</v>
          </cell>
          <cell r="J78" t="str">
            <v/>
          </cell>
          <cell r="K78">
            <v>1</v>
          </cell>
          <cell r="L78">
            <v>1.2E-4</v>
          </cell>
        </row>
        <row r="79">
          <cell r="A79" t="str">
            <v>Mitigated</v>
          </cell>
          <cell r="B79" t="str">
            <v>MAR</v>
          </cell>
          <cell r="D79">
            <v>0</v>
          </cell>
          <cell r="E79">
            <v>360</v>
          </cell>
          <cell r="F79">
            <v>2300</v>
          </cell>
          <cell r="G79">
            <v>360</v>
          </cell>
          <cell r="I79">
            <v>1000</v>
          </cell>
          <cell r="K79">
            <v>1500</v>
          </cell>
          <cell r="L79">
            <v>0.1</v>
          </cell>
        </row>
        <row r="80">
          <cell r="A80" t="str">
            <v>Unmitigated</v>
          </cell>
          <cell r="B80" t="str">
            <v>MAR</v>
          </cell>
          <cell r="D80">
            <v>2500</v>
          </cell>
          <cell r="E80">
            <v>360</v>
          </cell>
          <cell r="F80">
            <v>2300</v>
          </cell>
          <cell r="G80">
            <v>360</v>
          </cell>
          <cell r="I80">
            <v>1000</v>
          </cell>
          <cell r="K80">
            <v>1500</v>
          </cell>
          <cell r="L80">
            <v>850</v>
          </cell>
        </row>
        <row r="81">
          <cell r="L81" t="str">
            <v xml:space="preserve">DR reflects very low release rate expected for this event. (Estimated unmitigated source term from system &lt;1E-6 PE-Ci/day due to ACTIVE ventilation based on environmental release data and assumed HEPA filter efficiency of 99.99%.) </v>
          </cell>
        </row>
        <row r="82">
          <cell r="A82" t="str">
            <v>Localized explosion within facility</v>
          </cell>
          <cell r="B82" t="str">
            <v>ES</v>
          </cell>
          <cell r="C82" t="str">
            <v/>
          </cell>
          <cell r="D82" t="str">
            <v/>
          </cell>
          <cell r="E82" t="str">
            <v/>
          </cell>
          <cell r="F82">
            <v>1</v>
          </cell>
          <cell r="G82" t="str">
            <v/>
          </cell>
          <cell r="H82" t="str">
            <v/>
          </cell>
          <cell r="I82">
            <v>1</v>
          </cell>
          <cell r="J82" t="str">
            <v/>
          </cell>
          <cell r="K82">
            <v>1</v>
          </cell>
          <cell r="L82" t="str">
            <v/>
          </cell>
        </row>
        <row r="83">
          <cell r="A83" t="str">
            <v>Mitigated</v>
          </cell>
          <cell r="B83" t="str">
            <v>MAR</v>
          </cell>
          <cell r="F83">
            <v>360</v>
          </cell>
          <cell r="I83">
            <v>360</v>
          </cell>
          <cell r="K83">
            <v>360</v>
          </cell>
        </row>
        <row r="84">
          <cell r="A84" t="str">
            <v>Unmitigated</v>
          </cell>
          <cell r="B84" t="str">
            <v>MAR</v>
          </cell>
          <cell r="F84">
            <v>360</v>
          </cell>
          <cell r="I84">
            <v>360</v>
          </cell>
          <cell r="K84">
            <v>360</v>
          </cell>
        </row>
        <row r="86">
          <cell r="A86" t="str">
            <v>Loss of liquid contamination confinement</v>
          </cell>
          <cell r="B86" t="str">
            <v>FFS</v>
          </cell>
          <cell r="C86">
            <v>1</v>
          </cell>
          <cell r="D86" t="str">
            <v/>
          </cell>
          <cell r="E86">
            <v>1</v>
          </cell>
          <cell r="F86">
            <v>1</v>
          </cell>
          <cell r="G86">
            <v>1</v>
          </cell>
          <cell r="H86">
            <v>1</v>
          </cell>
          <cell r="I86">
            <v>1</v>
          </cell>
          <cell r="J86">
            <v>1</v>
          </cell>
          <cell r="K86">
            <v>1</v>
          </cell>
          <cell r="L86">
            <v>1</v>
          </cell>
        </row>
        <row r="87">
          <cell r="A87" t="str">
            <v>Mitigated</v>
          </cell>
          <cell r="B87" t="str">
            <v>MAR</v>
          </cell>
          <cell r="C87">
            <v>1</v>
          </cell>
          <cell r="E87">
            <v>1</v>
          </cell>
          <cell r="F87">
            <v>1</v>
          </cell>
          <cell r="G87">
            <v>1</v>
          </cell>
          <cell r="H87">
            <v>1</v>
          </cell>
          <cell r="I87">
            <v>1</v>
          </cell>
          <cell r="J87">
            <v>1</v>
          </cell>
          <cell r="K87">
            <v>1</v>
          </cell>
          <cell r="L87">
            <v>1</v>
          </cell>
        </row>
        <row r="88">
          <cell r="A88" t="str">
            <v>Unmitigated</v>
          </cell>
          <cell r="B88" t="str">
            <v>MAR</v>
          </cell>
          <cell r="C88">
            <v>1</v>
          </cell>
          <cell r="E88">
            <v>1</v>
          </cell>
          <cell r="F88">
            <v>1</v>
          </cell>
          <cell r="G88">
            <v>1</v>
          </cell>
          <cell r="H88">
            <v>1</v>
          </cell>
          <cell r="I88">
            <v>1</v>
          </cell>
          <cell r="J88">
            <v>1</v>
          </cell>
          <cell r="K88">
            <v>1</v>
          </cell>
          <cell r="L88">
            <v>1</v>
          </cell>
        </row>
        <row r="90">
          <cell r="A90" t="str">
            <v>Flood</v>
          </cell>
          <cell r="B90" t="str">
            <v>FLD</v>
          </cell>
          <cell r="C90">
            <v>1</v>
          </cell>
          <cell r="D90">
            <v>0</v>
          </cell>
          <cell r="E90">
            <v>1</v>
          </cell>
          <cell r="F90">
            <v>1</v>
          </cell>
          <cell r="G90">
            <v>1</v>
          </cell>
          <cell r="H90">
            <v>1</v>
          </cell>
          <cell r="I90">
            <v>1</v>
          </cell>
          <cell r="J90" t="str">
            <v/>
          </cell>
          <cell r="K90">
            <v>1</v>
          </cell>
          <cell r="L90" t="str">
            <v/>
          </cell>
        </row>
        <row r="91">
          <cell r="A91" t="str">
            <v>Mitigated</v>
          </cell>
          <cell r="B91" t="str">
            <v>MAR</v>
          </cell>
          <cell r="C91">
            <v>2100</v>
          </cell>
          <cell r="D91">
            <v>0</v>
          </cell>
          <cell r="E91">
            <v>2100</v>
          </cell>
          <cell r="F91">
            <v>2300</v>
          </cell>
          <cell r="G91">
            <v>360</v>
          </cell>
          <cell r="H91">
            <v>2100</v>
          </cell>
          <cell r="I91">
            <v>1000</v>
          </cell>
          <cell r="K91">
            <v>1500</v>
          </cell>
        </row>
        <row r="92">
          <cell r="A92" t="str">
            <v>Unmitigated</v>
          </cell>
          <cell r="B92" t="str">
            <v>MAR</v>
          </cell>
          <cell r="C92">
            <v>2100</v>
          </cell>
          <cell r="D92">
            <v>83000</v>
          </cell>
          <cell r="E92">
            <v>2100</v>
          </cell>
          <cell r="F92">
            <v>2300</v>
          </cell>
          <cell r="G92">
            <v>360</v>
          </cell>
          <cell r="H92">
            <v>2100</v>
          </cell>
          <cell r="I92">
            <v>1000</v>
          </cell>
          <cell r="K92">
            <v>1500</v>
          </cell>
        </row>
        <row r="94">
          <cell r="A94" t="str">
            <v>HEPA filter failure</v>
          </cell>
          <cell r="B94" t="str">
            <v>HB</v>
          </cell>
          <cell r="C94" t="str">
            <v/>
          </cell>
          <cell r="D94" t="str">
            <v/>
          </cell>
          <cell r="E94">
            <v>1</v>
          </cell>
          <cell r="F94">
            <v>1</v>
          </cell>
          <cell r="G94">
            <v>1</v>
          </cell>
          <cell r="H94" t="str">
            <v/>
          </cell>
          <cell r="I94">
            <v>1</v>
          </cell>
          <cell r="J94" t="str">
            <v/>
          </cell>
          <cell r="K94">
            <v>1</v>
          </cell>
          <cell r="L94">
            <v>1</v>
          </cell>
        </row>
        <row r="95">
          <cell r="A95" t="str">
            <v>Mitigated</v>
          </cell>
          <cell r="B95" t="str">
            <v>MAR</v>
          </cell>
          <cell r="E95">
            <v>1</v>
          </cell>
          <cell r="F95">
            <v>10</v>
          </cell>
          <cell r="G95">
            <v>1</v>
          </cell>
          <cell r="I95">
            <v>1</v>
          </cell>
          <cell r="K95">
            <v>1</v>
          </cell>
          <cell r="L95">
            <v>1</v>
          </cell>
        </row>
        <row r="96">
          <cell r="A96" t="str">
            <v>Unmitigated</v>
          </cell>
          <cell r="B96" t="str">
            <v>MAR</v>
          </cell>
          <cell r="E96">
            <v>1</v>
          </cell>
          <cell r="F96">
            <v>10</v>
          </cell>
          <cell r="G96">
            <v>1</v>
          </cell>
          <cell r="I96">
            <v>1</v>
          </cell>
          <cell r="K96">
            <v>1</v>
          </cell>
          <cell r="L96">
            <v>1</v>
          </cell>
        </row>
        <row r="98">
          <cell r="A98" t="str">
            <v>HEPA filter fire</v>
          </cell>
          <cell r="B98" t="str">
            <v>HF</v>
          </cell>
          <cell r="C98" t="str">
            <v/>
          </cell>
          <cell r="D98" t="str">
            <v/>
          </cell>
          <cell r="E98">
            <v>1</v>
          </cell>
          <cell r="F98">
            <v>1</v>
          </cell>
          <cell r="G98">
            <v>1</v>
          </cell>
          <cell r="H98" t="str">
            <v/>
          </cell>
          <cell r="I98">
            <v>1</v>
          </cell>
          <cell r="J98" t="str">
            <v/>
          </cell>
          <cell r="K98">
            <v>1</v>
          </cell>
          <cell r="L98">
            <v>1</v>
          </cell>
        </row>
        <row r="99">
          <cell r="A99" t="str">
            <v>Mitigated</v>
          </cell>
          <cell r="B99" t="str">
            <v>MAR</v>
          </cell>
          <cell r="E99">
            <v>1</v>
          </cell>
          <cell r="F99">
            <v>10</v>
          </cell>
          <cell r="G99">
            <v>1</v>
          </cell>
          <cell r="I99">
            <v>1</v>
          </cell>
          <cell r="K99">
            <v>1</v>
          </cell>
          <cell r="L99">
            <v>1</v>
          </cell>
        </row>
        <row r="100">
          <cell r="A100" t="str">
            <v>Unmitigated</v>
          </cell>
          <cell r="B100" t="str">
            <v>MAR</v>
          </cell>
          <cell r="E100">
            <v>1</v>
          </cell>
          <cell r="F100">
            <v>10</v>
          </cell>
          <cell r="G100">
            <v>1</v>
          </cell>
          <cell r="I100">
            <v>1</v>
          </cell>
          <cell r="K100">
            <v>1</v>
          </cell>
          <cell r="L100">
            <v>1</v>
          </cell>
        </row>
        <row r="102">
          <cell r="A102" t="str">
            <v>Stack failure</v>
          </cell>
          <cell r="B102" t="str">
            <v>IS</v>
          </cell>
          <cell r="C102" t="str">
            <v/>
          </cell>
          <cell r="D102" t="str">
            <v/>
          </cell>
          <cell r="E102" t="str">
            <v/>
          </cell>
          <cell r="F102">
            <v>1</v>
          </cell>
          <cell r="G102" t="str">
            <v/>
          </cell>
          <cell r="H102" t="str">
            <v/>
          </cell>
          <cell r="I102" t="str">
            <v/>
          </cell>
          <cell r="J102" t="str">
            <v/>
          </cell>
          <cell r="K102" t="str">
            <v/>
          </cell>
          <cell r="L102" t="str">
            <v/>
          </cell>
        </row>
        <row r="103">
          <cell r="B103" t="str">
            <v>Mitigated MAR</v>
          </cell>
          <cell r="F103">
            <v>10</v>
          </cell>
        </row>
        <row r="104">
          <cell r="B104" t="str">
            <v>Unmitigated MAR</v>
          </cell>
          <cell r="F104">
            <v>10</v>
          </cell>
        </row>
        <row r="106">
          <cell r="A106" t="str">
            <v>Corrosion</v>
          </cell>
          <cell r="B106" t="str">
            <v>HLW</v>
          </cell>
          <cell r="C106" t="str">
            <v/>
          </cell>
          <cell r="D106">
            <v>0</v>
          </cell>
          <cell r="E106" t="str">
            <v/>
          </cell>
          <cell r="F106" t="str">
            <v/>
          </cell>
          <cell r="G106" t="str">
            <v/>
          </cell>
          <cell r="H106" t="str">
            <v/>
          </cell>
          <cell r="I106" t="str">
            <v/>
          </cell>
          <cell r="J106" t="str">
            <v/>
          </cell>
          <cell r="K106" t="str">
            <v/>
          </cell>
          <cell r="L106" t="str">
            <v/>
          </cell>
        </row>
        <row r="107">
          <cell r="A107" t="str">
            <v>Mitigated</v>
          </cell>
          <cell r="B107" t="str">
            <v>MAR</v>
          </cell>
          <cell r="D107">
            <v>0</v>
          </cell>
        </row>
        <row r="108">
          <cell r="A108" t="str">
            <v>Unmitigated</v>
          </cell>
          <cell r="B108" t="str">
            <v>MAR</v>
          </cell>
          <cell r="D108">
            <v>2500</v>
          </cell>
        </row>
        <row r="110">
          <cell r="A110" t="str">
            <v>Locomotive/ loaded rail car impacts storage casks</v>
          </cell>
          <cell r="B110" t="str">
            <v>HLW</v>
          </cell>
          <cell r="C110" t="str">
            <v/>
          </cell>
          <cell r="D110">
            <v>0</v>
          </cell>
          <cell r="E110" t="str">
            <v/>
          </cell>
          <cell r="F110" t="str">
            <v/>
          </cell>
          <cell r="G110" t="str">
            <v/>
          </cell>
          <cell r="H110" t="str">
            <v/>
          </cell>
          <cell r="I110" t="str">
            <v/>
          </cell>
          <cell r="J110" t="str">
            <v/>
          </cell>
          <cell r="K110" t="str">
            <v/>
          </cell>
          <cell r="L110" t="str">
            <v/>
          </cell>
        </row>
        <row r="111">
          <cell r="A111" t="str">
            <v>Mitigated</v>
          </cell>
          <cell r="B111" t="str">
            <v>MAR</v>
          </cell>
          <cell r="D111">
            <v>0</v>
          </cell>
        </row>
        <row r="112">
          <cell r="A112" t="str">
            <v>Unmitigated</v>
          </cell>
          <cell r="B112" t="str">
            <v>MAR</v>
          </cell>
          <cell r="D112">
            <v>83000</v>
          </cell>
        </row>
        <row r="114">
          <cell r="A114" t="str">
            <v>Seismic event (tip over)</v>
          </cell>
          <cell r="B114" t="str">
            <v>HLW</v>
          </cell>
          <cell r="C114" t="str">
            <v/>
          </cell>
          <cell r="D114">
            <v>0</v>
          </cell>
          <cell r="E114" t="str">
            <v/>
          </cell>
          <cell r="F114" t="str">
            <v/>
          </cell>
          <cell r="G114" t="str">
            <v/>
          </cell>
          <cell r="H114" t="str">
            <v/>
          </cell>
          <cell r="I114" t="str">
            <v/>
          </cell>
          <cell r="J114" t="str">
            <v/>
          </cell>
          <cell r="K114" t="str">
            <v/>
          </cell>
          <cell r="L114" t="str">
            <v/>
          </cell>
        </row>
        <row r="115">
          <cell r="A115" t="str">
            <v>Mitigated</v>
          </cell>
          <cell r="B115" t="str">
            <v>MAR</v>
          </cell>
          <cell r="D115">
            <v>0</v>
          </cell>
        </row>
        <row r="116">
          <cell r="A116" t="str">
            <v>Unmitigated</v>
          </cell>
          <cell r="B116" t="str">
            <v>MAR</v>
          </cell>
          <cell r="D116">
            <v>2500</v>
          </cell>
        </row>
        <row r="118">
          <cell r="A118" t="str">
            <v>Severe environmental conditions</v>
          </cell>
          <cell r="B118" t="str">
            <v>HLW</v>
          </cell>
          <cell r="C118" t="str">
            <v/>
          </cell>
          <cell r="D118">
            <v>0</v>
          </cell>
          <cell r="E118" t="str">
            <v/>
          </cell>
          <cell r="F118" t="str">
            <v/>
          </cell>
          <cell r="G118" t="str">
            <v/>
          </cell>
          <cell r="H118" t="str">
            <v/>
          </cell>
          <cell r="I118" t="str">
            <v/>
          </cell>
          <cell r="J118" t="str">
            <v/>
          </cell>
          <cell r="K118" t="str">
            <v/>
          </cell>
          <cell r="L118" t="str">
            <v/>
          </cell>
        </row>
        <row r="119">
          <cell r="A119" t="str">
            <v>Mitigated</v>
          </cell>
          <cell r="B119" t="str">
            <v>MAR</v>
          </cell>
          <cell r="D119">
            <v>0</v>
          </cell>
        </row>
        <row r="120">
          <cell r="A120" t="str">
            <v>Unmitigated</v>
          </cell>
          <cell r="B120" t="str">
            <v>MAR</v>
          </cell>
          <cell r="D120">
            <v>2500</v>
          </cell>
        </row>
        <row r="122">
          <cell r="A122" t="str">
            <v>Storage cask tip-over due to transportation event</v>
          </cell>
          <cell r="B122" t="str">
            <v>HLW</v>
          </cell>
          <cell r="C122" t="str">
            <v/>
          </cell>
          <cell r="D122">
            <v>0</v>
          </cell>
          <cell r="E122" t="str">
            <v/>
          </cell>
          <cell r="F122" t="str">
            <v/>
          </cell>
          <cell r="G122" t="str">
            <v/>
          </cell>
          <cell r="H122" t="str">
            <v/>
          </cell>
          <cell r="I122" t="str">
            <v/>
          </cell>
          <cell r="J122" t="str">
            <v/>
          </cell>
          <cell r="K122" t="str">
            <v/>
          </cell>
          <cell r="L122" t="str">
            <v/>
          </cell>
        </row>
        <row r="123">
          <cell r="A123" t="str">
            <v>Mitigated</v>
          </cell>
          <cell r="B123" t="str">
            <v>MAR</v>
          </cell>
          <cell r="D123">
            <v>0</v>
          </cell>
        </row>
        <row r="124">
          <cell r="A124" t="str">
            <v>Unmitigated</v>
          </cell>
          <cell r="B124" t="str">
            <v>MAR</v>
          </cell>
          <cell r="D124">
            <v>2500</v>
          </cell>
        </row>
      </sheetData>
      <sheetData sheetId="8">
        <row r="1">
          <cell r="D1" t="str">
            <v>CPCW</v>
          </cell>
          <cell r="E1" t="str">
            <v>HLWSS</v>
          </cell>
          <cell r="F1" t="str">
            <v>LSA</v>
          </cell>
          <cell r="G1" t="str">
            <v>MP</v>
          </cell>
          <cell r="H1" t="str">
            <v>MPA</v>
          </cell>
          <cell r="I1" t="str">
            <v>OUT</v>
          </cell>
          <cell r="J1" t="str">
            <v>RH</v>
          </cell>
          <cell r="K1" t="str">
            <v>TRN</v>
          </cell>
          <cell r="L1" t="str">
            <v>VF</v>
          </cell>
          <cell r="M1" t="str">
            <v>WTF</v>
          </cell>
        </row>
        <row r="2">
          <cell r="A2" t="str">
            <v>Localized flammable liquid pool fire</v>
          </cell>
          <cell r="B2" t="str">
            <v>E01</v>
          </cell>
        </row>
        <row r="4">
          <cell r="A4" t="str">
            <v>Small combustible material fire</v>
          </cell>
          <cell r="B4" t="str">
            <v>E02</v>
          </cell>
        </row>
        <row r="6">
          <cell r="A6" t="str">
            <v>Large fire</v>
          </cell>
          <cell r="B6" t="str">
            <v>E04</v>
          </cell>
        </row>
        <row r="8">
          <cell r="A8" t="str">
            <v>Localized explosion external to container</v>
          </cell>
          <cell r="B8" t="str">
            <v>E05</v>
          </cell>
        </row>
        <row r="9">
          <cell r="F9" t="str">
            <v>•  Flammable material storage lockers
•  Compressed gas storage racks</v>
          </cell>
        </row>
        <row r="10">
          <cell r="A10" t="str">
            <v>Waste container deflagration</v>
          </cell>
          <cell r="B10" t="str">
            <v>E06</v>
          </cell>
        </row>
        <row r="11">
          <cell r="C11" t="str">
            <v>•  HEPA filter vents on waste containers
•  Non-sparking tools for containers suspected of containing high concentrations of flammable gas</v>
          </cell>
          <cell r="D11" t="str">
            <v>•  HEPA filter vents on waste containers</v>
          </cell>
          <cell r="F11" t="str">
            <v>•  HEPA filter vents on waste containers
•  Non-sparking tools for containers suspected of containing high concentrations of flammable gas</v>
          </cell>
          <cell r="G11" t="str">
            <v>•  HEPA filter vents on waste containers
•  Non-sparking tools for containers suspected of containing high concentrations of flammable gas</v>
          </cell>
          <cell r="H11" t="str">
            <v>•  HEPA filter vents on waste containers
•  Non-sparking tools for containers suspected of containing high concentrations of flammable gas</v>
          </cell>
          <cell r="I11" t="str">
            <v>•  HEPA filter vents on waste containers</v>
          </cell>
          <cell r="J11" t="str">
            <v>•  HEPA filter vents on waste containers
•  Non-sparking tools for containers suspected of containing high concentrations of flammable gas</v>
          </cell>
          <cell r="L11" t="str">
            <v>•  HEPA filter vents on waste containers
•  Non-sparking tools for containers suspected of containing high concentrations of flammable gas</v>
          </cell>
        </row>
        <row r="12">
          <cell r="A12" t="str">
            <v>Multiple container deflagration</v>
          </cell>
          <cell r="B12" t="str">
            <v>E07</v>
          </cell>
        </row>
        <row r="14">
          <cell r="A14" t="str">
            <v>Enclosure deflagration</v>
          </cell>
          <cell r="B14" t="str">
            <v>E08</v>
          </cell>
        </row>
        <row r="16">
          <cell r="A16" t="str">
            <v>Vehicle/equipment impacts waste/waste containers</v>
          </cell>
          <cell r="B16" t="str">
            <v>E09</v>
          </cell>
        </row>
        <row r="17">
          <cell r="C17" t="str">
            <v>•  Physical barriers such as Jersey barriers or facility structure that protects waste containers from vehicle impacts</v>
          </cell>
          <cell r="D17" t="str">
            <v>•  Physical barriers such as Jersey barriers or facility structure that protects waste containers from vehicle impacts</v>
          </cell>
          <cell r="E17" t="str">
            <v xml:space="preserve">•  Design of MPC-WVDP storage system capable of withstanding significant impact stresses </v>
          </cell>
          <cell r="F17" t="str">
            <v>•  Physical barriers such as Jersey barriers or facility structure that protects waste containers from vehicle impacts</v>
          </cell>
          <cell r="H17" t="str">
            <v>•  Physical barriers such as Jersey barriers or facility structure that protects waste containers from vehicle impacts</v>
          </cell>
          <cell r="I17" t="str">
            <v>•  Physical barriers such as Jersey barriers or facility structure that protects waste containers from vehicle impacts</v>
          </cell>
          <cell r="J17" t="str">
            <v>•  Physical barriers such as Jersey barriers or facility structure that protects waste containers from vehicle impacts</v>
          </cell>
          <cell r="K17" t="str">
            <v>•  Physical barriers such as Jersey barriers or facility structure that protects waste containers from vehicle impacts</v>
          </cell>
        </row>
        <row r="18">
          <cell r="A18" t="str">
            <v>Drop/impact/spill</v>
          </cell>
          <cell r="B18" t="str">
            <v>E10</v>
          </cell>
        </row>
        <row r="19">
          <cell r="E19" t="str">
            <v>•  Cask lifting lugs and transporter lifting components designed with conservative safety factors
•  Transporter design that limits cask ground clearance to ≤ 6”</v>
          </cell>
        </row>
        <row r="20">
          <cell r="A20" t="str">
            <v>Collapse of stacked containers</v>
          </cell>
          <cell r="B20" t="str">
            <v>E11</v>
          </cell>
        </row>
        <row r="22">
          <cell r="A22" t="str">
            <v>Waste container over-pressurization</v>
          </cell>
          <cell r="B22" t="str">
            <v>E12</v>
          </cell>
        </row>
        <row r="23">
          <cell r="C23" t="str">
            <v>•  HEPA filter vents on waste containers</v>
          </cell>
          <cell r="D23" t="str">
            <v>•  HEPA filter vents on waste containers</v>
          </cell>
          <cell r="F23" t="str">
            <v>•  HEPA filter vents on waste containers</v>
          </cell>
          <cell r="G23" t="str">
            <v>•  HEPA filter vents on waste containers</v>
          </cell>
          <cell r="H23" t="str">
            <v>•  HEPA filter vents on waste containers</v>
          </cell>
          <cell r="I23" t="str">
            <v>•  HEPA filter vents on waste containers</v>
          </cell>
          <cell r="J23" t="str">
            <v>•  HEPA filter vents on waste containers</v>
          </cell>
          <cell r="L23" t="str">
            <v>•  HEPA filter vents on waste containers</v>
          </cell>
        </row>
        <row r="24">
          <cell r="A24" t="str">
            <v>Direct exposure to radiation</v>
          </cell>
          <cell r="B24" t="str">
            <v>E13</v>
          </cell>
        </row>
        <row r="25">
          <cell r="C25" t="str">
            <v>•  Engineered radiation shielding on high dose rate waste containers</v>
          </cell>
          <cell r="D25" t="str">
            <v>•  Engineered radiation shielding on high dose rate waste containers</v>
          </cell>
          <cell r="E25" t="str">
            <v>•  Heavily reinforced 19.75" thick concrete VSC
•  4" thick steel VSC shielding
•  Weld-sealed 3/8" thick steel MPC</v>
          </cell>
          <cell r="F25" t="str">
            <v>•  Engineered radiation shielding on high dose rate waste containers</v>
          </cell>
          <cell r="G25" t="str">
            <v>•  Engineered radiation shielding on high dose rate waste containers</v>
          </cell>
          <cell r="H25" t="str">
            <v>•  Engineered radiation shielding on high dose rate waste containers</v>
          </cell>
          <cell r="I25" t="str">
            <v>•  Engineered radiation shielding on high dose rate waste containers</v>
          </cell>
          <cell r="J25" t="str">
            <v>•  Engineered radiation shielding on high dose rate waste containers</v>
          </cell>
          <cell r="K25" t="str">
            <v>•  Engineered radiation shielding on high dose rate waste containers</v>
          </cell>
          <cell r="L25" t="str">
            <v>•  Engineered radiation shielding on high dose rate waste containers</v>
          </cell>
          <cell r="M25" t="str">
            <v>•  Engineered radiation shielding on high dose rate waste containers</v>
          </cell>
        </row>
        <row r="26">
          <cell r="A26" t="str">
            <v>Criticality</v>
          </cell>
          <cell r="B26" t="str">
            <v>E14</v>
          </cell>
          <cell r="C26" t="str">
            <v>• PSRs for fissile material storage container specifications</v>
          </cell>
          <cell r="D26" t="str">
            <v>• PSRs for fissile material storage container specifications</v>
          </cell>
          <cell r="E26" t="str">
            <v>• PSRs for fissile material storage container specifications</v>
          </cell>
          <cell r="F26" t="str">
            <v>• PSRs for fissile material storage container specifications</v>
          </cell>
          <cell r="G26" t="str">
            <v>• PSRs for fissile material storage container specifications</v>
          </cell>
          <cell r="H26" t="str">
            <v>• PSRs for fissile material storage container specifications</v>
          </cell>
          <cell r="I26" t="str">
            <v>• PSRs for fissile material storage container specifications</v>
          </cell>
          <cell r="J26" t="str">
            <v>• PSRs for fissile material storage container specifications</v>
          </cell>
          <cell r="K26" t="str">
            <v>• PSRs for fissile material storage container specifications</v>
          </cell>
          <cell r="L26" t="str">
            <v>• PSRs for fissile material storage container specifications</v>
          </cell>
        </row>
        <row r="27">
          <cell r="E27" t="str">
            <v>•  Low concentration of fissile material in HLW
•  Very low effective enrichment of U-235 in waste uranium
•  Significant amount of neutron absorbers in waste</v>
          </cell>
        </row>
        <row r="28">
          <cell r="A28" t="str">
            <v>Aircraft impact with fire</v>
          </cell>
          <cell r="B28" t="str">
            <v>E15</v>
          </cell>
        </row>
        <row r="30">
          <cell r="A30" t="str">
            <v>External vehicle accident</v>
          </cell>
          <cell r="B30" t="str">
            <v>E16</v>
          </cell>
        </row>
        <row r="31">
          <cell r="C31" t="str">
            <v>•  Physical barriers such as Jersey barriers to protect from vehicle impacts</v>
          </cell>
          <cell r="E31" t="str">
            <v>•  Physical barriers such as Jersey barriers to protect from vehicle impacts</v>
          </cell>
          <cell r="I31" t="str">
            <v>•  Physical barriers such as Jersey barriers to protect from vehicle impacts</v>
          </cell>
        </row>
        <row r="32">
          <cell r="A32" t="str">
            <v>External vehicle accident with fire</v>
          </cell>
          <cell r="B32" t="str">
            <v>E17</v>
          </cell>
        </row>
        <row r="33">
          <cell r="C33" t="str">
            <v>•  Physical barriers such as Jersey barriers to protect from vehicle impacts</v>
          </cell>
          <cell r="E33" t="str">
            <v>•  Physical barriers such as Jersey barriers to protect from vehicle impacts</v>
          </cell>
          <cell r="I33" t="str">
            <v>•  Physical barriers such as Jersey barriers to protect from vehicle impacts</v>
          </cell>
        </row>
        <row r="34">
          <cell r="A34" t="str">
            <v>External explosion</v>
          </cell>
          <cell r="B34" t="str">
            <v>E18</v>
          </cell>
        </row>
        <row r="36">
          <cell r="A36" t="str">
            <v>External fire</v>
          </cell>
          <cell r="B36" t="str">
            <v>E19</v>
          </cell>
        </row>
        <row r="38">
          <cell r="A38" t="str">
            <v>Lightning</v>
          </cell>
          <cell r="B38" t="str">
            <v>E20</v>
          </cell>
        </row>
        <row r="39">
          <cell r="E39" t="str">
            <v>•  VSCs located on storage pad are within 500 feet of 197-ft tall meteorological tower
•  Lighting/camera poles at each corner of storage pad</v>
          </cell>
        </row>
        <row r="40">
          <cell r="A40" t="str">
            <v>High wind</v>
          </cell>
          <cell r="B40" t="str">
            <v>E21</v>
          </cell>
        </row>
        <row r="41">
          <cell r="E41" t="str">
            <v>•  Cask construction details (reinforced concrete with 4-inch thick interior steel radial shield)
•  MPC design (welded steel confinement)</v>
          </cell>
        </row>
        <row r="42">
          <cell r="A42" t="str">
            <v>Tornado</v>
          </cell>
          <cell r="B42" t="str">
            <v>E22</v>
          </cell>
        </row>
        <row r="43">
          <cell r="E43" t="str">
            <v>•  Cask construction details (sealed lid with no vent holes)
•  Cask construction details (reinforced concrete with thick interior steel shield)
•  MPC design (welded steel confinement)
•  HLW canister design (welded steel confinement)
•  Vitrified waste form (nondispersible, encapsulated waste)</v>
          </cell>
        </row>
        <row r="44">
          <cell r="A44" t="str">
            <v>Snow and/or ice buildup</v>
          </cell>
          <cell r="B44" t="str">
            <v>E23</v>
          </cell>
        </row>
        <row r="46">
          <cell r="A46" t="str">
            <v>Seismic event</v>
          </cell>
          <cell r="B46" t="str">
            <v>E24</v>
          </cell>
        </row>
        <row r="47">
          <cell r="E47" t="str">
            <v>•  Cask construction details (reinforced concrete with 4-inch thick interior steel radial shield)
•  MPC design (welded steel confinement)
•  Seismically qualified storage pad
•  Low VSC center of gravity</v>
          </cell>
        </row>
        <row r="48">
          <cell r="A48" t="str">
            <v>Loss of airborne contamination confinement</v>
          </cell>
          <cell r="B48" t="str">
            <v>AER</v>
          </cell>
        </row>
        <row r="49">
          <cell r="C49" t="str">
            <v>•  Facility ventilation exhaust stack which continues to provide nominal facility negative via chimney effect</v>
          </cell>
          <cell r="E49" t="str">
            <v>•  Welded seals on HLW canister and MPC
•  HEPA filter vents on waste drums
•  Gasketed seals on waste drums on VSC</v>
          </cell>
          <cell r="G49" t="str">
            <v>•  Facility ventilation exhaust stack which continues to provide nominal facility negative via chimney effect</v>
          </cell>
          <cell r="J49" t="str">
            <v>•  Facility ventilation exhaust stack which continues to provide nominal facility negative via chimney effect</v>
          </cell>
          <cell r="L49" t="str">
            <v>•  Facility ventilation exhaust stack which continues to provide nominal facility negative via chimney effect</v>
          </cell>
          <cell r="M49" t="str">
            <v>•  Facility ventilation exhaust stack which continues to provide nominal facility negative via chimney effect</v>
          </cell>
        </row>
        <row r="50">
          <cell r="A50" t="str">
            <v>Localized explosion within facility</v>
          </cell>
          <cell r="B50" t="str">
            <v>ES</v>
          </cell>
        </row>
        <row r="52">
          <cell r="A52" t="str">
            <v>Loss of liquid contamination confinement</v>
          </cell>
          <cell r="B52" t="str">
            <v>FFS</v>
          </cell>
        </row>
        <row r="53">
          <cell r="C53" t="str">
            <v>•  Cell liners/sumps and/or area berms</v>
          </cell>
          <cell r="D53" t="str">
            <v>•  Cell liners/sumps and/or area berms</v>
          </cell>
          <cell r="F53" t="str">
            <v>•  Cell liners/sumps and/or area berms</v>
          </cell>
          <cell r="G53" t="str">
            <v>•  Cell liners/sumps and/or area berms</v>
          </cell>
          <cell r="H53" t="str">
            <v>•  Cell liners/sumps and/or area berms</v>
          </cell>
          <cell r="I53" t="str">
            <v>•  Cell liners/sumps and/or area berms</v>
          </cell>
          <cell r="J53" t="str">
            <v>•  Cell liners/sumps and/or area berms</v>
          </cell>
          <cell r="K53" t="str">
            <v>•  Cell liners/sumps and/or area berms</v>
          </cell>
          <cell r="L53" t="str">
            <v>•  Cell liners/sumps and/or area berms</v>
          </cell>
          <cell r="M53" t="str">
            <v>•  Cell liners/sumps and/or area berms</v>
          </cell>
        </row>
        <row r="54">
          <cell r="A54" t="str">
            <v>Flood</v>
          </cell>
          <cell r="B54" t="str">
            <v>FLD</v>
          </cell>
        </row>
        <row r="55">
          <cell r="C55" t="str">
            <v>•  Siting of storage array in area away from areas of anticipated flooding</v>
          </cell>
          <cell r="D55" t="str">
            <v>•  Siting of storage array in area away from areas of anticipated flooding</v>
          </cell>
          <cell r="E55" t="str">
            <v>•  Siting of storage array in area away from areas of anticipated flooding</v>
          </cell>
          <cell r="F55" t="str">
            <v>•  Siting of storage array in area away from areas of anticipated flooding</v>
          </cell>
          <cell r="G55" t="str">
            <v>•  Siting of storage array in area away from areas of anticipated flooding</v>
          </cell>
          <cell r="H55" t="str">
            <v>•  Siting of storage array in area away from areas of anticipated flooding</v>
          </cell>
          <cell r="I55" t="str">
            <v>•  Siting of storage array in area away from areas of anticipated flooding</v>
          </cell>
          <cell r="J55" t="str">
            <v>•  Siting of storage array in area away from areas of anticipated flooding</v>
          </cell>
          <cell r="L55" t="str">
            <v>•  Siting of storage array in area away from areas of anticipated flooding</v>
          </cell>
        </row>
        <row r="56">
          <cell r="A56" t="str">
            <v>HEPA filter failure</v>
          </cell>
          <cell r="B56" t="str">
            <v>HB</v>
          </cell>
        </row>
        <row r="57">
          <cell r="C57" t="str">
            <v>•  Instrumentation and controls to switch trains on high differential pressure
•  Instrumentation and controls to provide backup ventilation blower capability</v>
          </cell>
          <cell r="G57" t="str">
            <v>•  Instrumentation and controls to switch trains on high differential pressure
•  Instrumentation and controls to provide backup ventilation blower capability</v>
          </cell>
          <cell r="J57" t="str">
            <v>•  Instrumentation and controls to switch trains on high differential pressure
•  Instrumentation and controls to provide backup ventilation blower capability</v>
          </cell>
          <cell r="L57" t="str">
            <v>•  Instrumentation and controls to switch trains on high differential pressure
•  Instrumentation and controls to provide backup ventilation blower capability</v>
          </cell>
          <cell r="M57" t="str">
            <v>•  Instrumentation and controls to switch trains on high differential pressure
•  Instrumentation and controls to provide backup ventilation blower capability</v>
          </cell>
        </row>
        <row r="58">
          <cell r="A58" t="str">
            <v>HEPA filter fire</v>
          </cell>
          <cell r="B58" t="str">
            <v>HF</v>
          </cell>
        </row>
        <row r="59">
          <cell r="F59" t="str">
            <v>•  CSPF fire suppression system</v>
          </cell>
          <cell r="L59" t="str">
            <v>•  Spark arrestors on in-cell filters</v>
          </cell>
        </row>
        <row r="60">
          <cell r="A60" t="str">
            <v>Stack failure</v>
          </cell>
          <cell r="B60" t="str">
            <v>IS</v>
          </cell>
        </row>
        <row r="61">
          <cell r="G61" t="str">
            <v>•  Stack design capable of maintaining structural integrity following design basis events</v>
          </cell>
        </row>
        <row r="62">
          <cell r="A62" t="str">
            <v>Corrosion</v>
          </cell>
          <cell r="B62" t="str">
            <v>HLW</v>
          </cell>
        </row>
        <row r="63">
          <cell r="E63" t="str">
            <v>•  MPC and canister basket assembly constructed of corrosion resistant material
•  Dual elastomer seals provided at the lid of the storage cask to prevent precipitation infiltration</v>
          </cell>
        </row>
        <row r="64">
          <cell r="A64" t="str">
            <v>Locomotive/ loaded rail car impacts storage casks</v>
          </cell>
          <cell r="B64" t="str">
            <v>HLW</v>
          </cell>
        </row>
        <row r="66">
          <cell r="A66" t="str">
            <v>Seismic event (tip over)</v>
          </cell>
          <cell r="B66" t="str">
            <v>HLW</v>
          </cell>
        </row>
        <row r="68">
          <cell r="A68" t="str">
            <v>Severe environmental conditions</v>
          </cell>
          <cell r="B68" t="str">
            <v>HLW</v>
          </cell>
        </row>
        <row r="69">
          <cell r="E69" t="str">
            <v>•  Storage system designed for a temperature range of -40 to 100 degrees Fahrenheit</v>
          </cell>
        </row>
        <row r="70">
          <cell r="A70" t="str">
            <v>Storage cask tip-over due to transportation event</v>
          </cell>
          <cell r="B70" t="str">
            <v>HLW</v>
          </cell>
        </row>
        <row r="71">
          <cell r="E71" t="str">
            <v>•  Engineering design of haul path capable of supporting multiple transports in excess of cask load</v>
          </cell>
        </row>
      </sheetData>
      <sheetData sheetId="9">
        <row r="1">
          <cell r="D1" t="str">
            <v>CPCW</v>
          </cell>
          <cell r="E1" t="str">
            <v>HLWSS</v>
          </cell>
          <cell r="F1" t="str">
            <v>LSA</v>
          </cell>
          <cell r="G1" t="str">
            <v>MP</v>
          </cell>
          <cell r="H1" t="str">
            <v>MPA</v>
          </cell>
          <cell r="I1" t="str">
            <v>OUT</v>
          </cell>
          <cell r="J1" t="str">
            <v>RH</v>
          </cell>
          <cell r="K1" t="str">
            <v>TRN</v>
          </cell>
          <cell r="L1" t="str">
            <v>VF</v>
          </cell>
          <cell r="M1" t="str">
            <v>WTF</v>
          </cell>
        </row>
        <row r="2">
          <cell r="A2" t="str">
            <v>Localized flammable liquid pool fire</v>
          </cell>
          <cell r="B2" t="str">
            <v>E01</v>
          </cell>
          <cell r="C2" t="str">
            <v>•  SAC for TRU waste drum fire protection
•  SAC for TRU waste container physical protection</v>
          </cell>
          <cell r="D2" t="str">
            <v>•  SAC for TRU waste drum fire protection
•  SAC for TRU waste container physical protection</v>
          </cell>
          <cell r="E2" t="str">
            <v>•  SAC for TRU waste drum fire protection
•  SAC for TRU waste container physical protection</v>
          </cell>
          <cell r="F2" t="str">
            <v>•  SAC for TRU waste drum fire protection
•  SAC for TRU waste container physical protection</v>
          </cell>
          <cell r="H2" t="str">
            <v>•  SAC for TRU waste drum fire protection
•  SAC for TRU waste container physical protection</v>
          </cell>
          <cell r="I2" t="str">
            <v>• SAC for TRU waste drum fire protection
• SAC for TRU waste container physical protection
• SAC for TRU WASTE AREAS</v>
          </cell>
          <cell r="J2" t="str">
            <v>•  SAC for TRU waste drum fire protection
•  SAC for TRU waste container physical protection</v>
          </cell>
          <cell r="K2" t="str">
            <v>• SAC for TRU waste transportation</v>
          </cell>
        </row>
        <row r="3">
          <cell r="C3" t="str">
            <v xml:space="preserve">•  Quality Assurance Program
•  Fire Protection Program
•  Performance Based Training Program
•  Maintenance Program
•  Conduct of Operations
•  Waste Management Program </v>
          </cell>
          <cell r="D3" t="str">
            <v xml:space="preserve">•  Quality Assurance Program
•  Fire Protection Program
•  Performance Based Training Program
•  Maintenance Program
•  Conduct of Operations
•  Waste Management Program </v>
          </cell>
          <cell r="E3" t="str">
            <v xml:space="preserve">•  Quality Assurance Program
•  Fire Protection Program
•  Performance Based Training Program
•  Maintenance Program
•  Conduct of Operations
•  Waste Management Program </v>
          </cell>
          <cell r="F3" t="str">
            <v xml:space="preserve">•  Quality Assurance Program
•  Fire Protection Program
•  Performance Based Training Program
•  Maintenance Program
•  Conduct of Operations
•  Waste Management Program </v>
          </cell>
          <cell r="H3" t="str">
            <v xml:space="preserve">•  Quality Assurance Program
•  Fire Protection Program
•  Performance Based Training Program
•  Maintenance Program
•  Conduct of Operations
•  Waste Management Program </v>
          </cell>
          <cell r="I3" t="str">
            <v xml:space="preserve">•  Quality Assurance Program
•  Fire Protection Program
•  Performance Based Training Program
•  Maintenance Program
•  Conduct of Operations
•  Waste Management Program </v>
          </cell>
          <cell r="J3" t="str">
            <v xml:space="preserve">•  Quality Assurance Program
•  Fire Protection Program
•  Performance Based Training Program
•  Maintenance Program
•  Conduct of Operations
•  Waste Management Program </v>
          </cell>
          <cell r="K3" t="str">
            <v xml:space="preserve">•  Quality Assurance Program
•  Fire Protection Program
•  Performance Based Training Program
•  Maintenance Program
•  Conduct of Operations
•  Waste Management Program </v>
          </cell>
        </row>
        <row r="4">
          <cell r="A4" t="str">
            <v>Small combustible material fire</v>
          </cell>
          <cell r="B4" t="str">
            <v>E02</v>
          </cell>
        </row>
        <row r="5">
          <cell r="C5" t="str">
            <v xml:space="preserve">•  Quality Assurance Program
•  Fire Protection Program
-   “Hot work” controls
-   Combustible material control program
•  Performance Based Training Program
•  Maintenance Program
•  Conduct of Operations
•  Waste Management Program </v>
          </cell>
          <cell r="D5" t="str">
            <v xml:space="preserve">•  Quality Assurance Program
•  Fire Protection Program
-   “Hot work” controls
-   Combustible material control program
•  Performance Based Training Program
•  Maintenance Program
•  Conduct of Operations
•  Waste Management Program </v>
          </cell>
          <cell r="F5" t="str">
            <v xml:space="preserve">•  Quality Assurance Program
•  Fire Protection Program
-   “Hot work” controls
-   Combustible material control program
•  Performance Based Training Program
•  Maintenance Program
•  Conduct of Operations
•  Waste Management Program </v>
          </cell>
          <cell r="G5" t="str">
            <v xml:space="preserve">•  Quality Assurance Program
•  Fire Protection Program
-   “Hot work” controls
-   Combustible material control program
•  Performance Based Training Program
•  Maintenance Program
•  Conduct of Operations
•  Waste Management Program </v>
          </cell>
          <cell r="H5" t="str">
            <v xml:space="preserve">•  Quality Assurance Program
•  Fire Protection Program
-   “Hot work” controls
-   Combustible material control program
•  Performance Based Training Program
•  Maintenance Program
•  Conduct of Operations
•  Waste Management Program </v>
          </cell>
          <cell r="I5" t="str">
            <v xml:space="preserve">•  Quality Assurance Program
•  Fire Protection Program
-   “Hot work” controls
-   Combustible material control program
•  Performance Based Training Program
•  Maintenance Program
•  Conduct of Operations
•  Waste Management Program </v>
          </cell>
          <cell r="J5" t="str">
            <v xml:space="preserve">•  Quality Assurance Program
•  Fire Protection Program
-   “Hot work” controls
-   Combustible material control program
•  Performance Based Training Program
•  Maintenance Program
•  Conduct of Operations
•  Waste Management Program </v>
          </cell>
          <cell r="K5" t="str">
            <v xml:space="preserve">•  Quality Assurance Program
•  Performance Based Training Program
•  Waste Management Program </v>
          </cell>
          <cell r="L5" t="str">
            <v xml:space="preserve">•  Quality Assurance Program
•  Fire Protection Program
-   “Hot work” controls
-   Combustible material control program
•  Performance Based Training Program
•  Maintenance Program
•  Conduct of Operations
•  Waste Management Program </v>
          </cell>
          <cell r="M5" t="str">
            <v xml:space="preserve">•  Quality Assurance Program
•  Fire Protection Program
-   “Hot work” controls
-   Combustible material control program
•  Performance Based Training Program
•  Maintenance Program
•  Conduct of Operations
•  Waste Management Program </v>
          </cell>
        </row>
        <row r="6">
          <cell r="A6" t="str">
            <v>Large fire</v>
          </cell>
          <cell r="B6" t="str">
            <v>E04</v>
          </cell>
        </row>
        <row r="7">
          <cell r="C7" t="str">
            <v xml:space="preserve">•  Quality Assurance Program
•  Fire Protection Program
-   “Hot work” controls
-   Combustible material control program
•  Performance Based Training Program
•  Maintenance Program
•  Waste Management Program </v>
          </cell>
          <cell r="F7" t="str">
            <v xml:space="preserve">•  Quality Assurance Program
•  Fire Protection Program
-   “Hot work” controls
-   Combustible material control program
•  Performance Based Training Program
•  Maintenance Program
•  Waste Management Program </v>
          </cell>
          <cell r="G7" t="str">
            <v xml:space="preserve">•  Quality Assurance Program
•  Fire Protection Program
-   “Hot work” controls
-   Combustible material control program
•  Performance Based Training Program
•  Maintenance Program
•  Waste Management Program </v>
          </cell>
          <cell r="J7" t="str">
            <v xml:space="preserve">•  Quality Assurance Program
•  Fire Protection Program
-   “Hot work” controls
-   Combustible material control program
•  Performance Based Training Program
•  Maintenance Program
•  Waste Management Program </v>
          </cell>
          <cell r="L7" t="str">
            <v xml:space="preserve">•  Quality Assurance Program
•  Fire Protection Program
-   “Hot work” controls
-   Combustible material control program
•  Performance Based Training Program
•  Maintenance Program
•  Waste Management Program </v>
          </cell>
        </row>
        <row r="8">
          <cell r="A8" t="str">
            <v>Localized explosion external to container</v>
          </cell>
          <cell r="B8" t="str">
            <v>E05</v>
          </cell>
        </row>
        <row r="9">
          <cell r="C9" t="str">
            <v xml:space="preserve">•  Quality Assurance Program
•  Fire Protection Program
•  Performance Based Training Program
•  Maintenance Program
•  Waste Management Program </v>
          </cell>
          <cell r="D9" t="str">
            <v xml:space="preserve">•  Quality Assurance Program
•  Fire Protection Program
•  Performance Based Training Program
•  Maintenance Program
•  Waste Management Program </v>
          </cell>
          <cell r="E9" t="str">
            <v xml:space="preserve">•  Quality Assurance Program
•  Fire Protection Program
•  Performance Based Training Program
•  Maintenance Program
•  Waste Management Program </v>
          </cell>
          <cell r="F9" t="str">
            <v xml:space="preserve">•  Quality Assurance Program
•  Fire Protection Program
•  Performance Based Training Program
•  Maintenance Program
•  Waste Management Program </v>
          </cell>
          <cell r="H9" t="str">
            <v xml:space="preserve">•  Quality Assurance Program
•  Fire Protection Program
•  Performance Based Training Program
•  Maintenance Program
•  Waste Management Program </v>
          </cell>
          <cell r="I9" t="str">
            <v xml:space="preserve">•  Quality Assurance Program
•  Fire Protection Program
•  Performance Based Training Program
•  Maintenance Program
•  Waste Management Program </v>
          </cell>
          <cell r="J9" t="str">
            <v xml:space="preserve">•  Quality Assurance Program
•  Fire Protection Program
•  Performance Based Training Program
•  Maintenance Program
•  Waste Management Program </v>
          </cell>
          <cell r="K9" t="str">
            <v xml:space="preserve">•  Quality Assurance Program
•  Fire Protection Program
•  Performance Based Training Program
•  Maintenance Program
•  Waste Management Program </v>
          </cell>
        </row>
        <row r="10">
          <cell r="A10" t="str">
            <v>Waste container deflagration</v>
          </cell>
          <cell r="B10" t="str">
            <v>E06</v>
          </cell>
        </row>
        <row r="11">
          <cell r="C11" t="str">
            <v xml:space="preserve">•  Quality Assurance Program
•  Fire Protection Program
•  Performance Based Training Program
•  Maintenance Program
•  Waste Management Program </v>
          </cell>
          <cell r="D11" t="str">
            <v xml:space="preserve">•  Quality Assurance Program
•  Fire Protection Program
•  Performance Based Training Program
•  Maintenance Program
•  Waste Management Program </v>
          </cell>
          <cell r="F11" t="str">
            <v xml:space="preserve">•  Quality Assurance Program
•  Fire Protection Program
•  Performance Based Training Program
•  Maintenance Program
•  Waste Management Program </v>
          </cell>
          <cell r="G11" t="str">
            <v xml:space="preserve">•  Quality Assurance Program
•  Fire Protection Program
•  Performance Based Training Program
•  Maintenance Program
•  Waste Management Program </v>
          </cell>
          <cell r="H11" t="str">
            <v xml:space="preserve">•  Quality Assurance Program
•  Fire Protection Program
•  Performance Based Training Program
•  Maintenance Program
•  Waste Management Program </v>
          </cell>
          <cell r="I11" t="str">
            <v xml:space="preserve">•  Quality Assurance Program
•  Fire Protection Program
•  Performance Based Training Program
•  Maintenance Program
•  Waste Management Program </v>
          </cell>
          <cell r="J11" t="str">
            <v xml:space="preserve">•  Quality Assurance Program
•  Fire Protection Program
•  Performance Based Training Program
•  Maintenance Program
•  Waste Management Program </v>
          </cell>
          <cell r="L11" t="str">
            <v xml:space="preserve">•  Quality Assurance Program
•  Fire Protection Program
•  Performance Based Training Program
•  Maintenance Program
•  Waste Management Program </v>
          </cell>
        </row>
        <row r="12">
          <cell r="A12" t="str">
            <v>Multiple container deflagration</v>
          </cell>
          <cell r="B12" t="str">
            <v>E07</v>
          </cell>
        </row>
        <row r="14">
          <cell r="A14" t="str">
            <v>Enclosure deflagration</v>
          </cell>
          <cell r="B14" t="str">
            <v>E08</v>
          </cell>
        </row>
        <row r="16">
          <cell r="A16" t="str">
            <v>Vehicle/equipment impacts waste/waste containers</v>
          </cell>
          <cell r="B16" t="str">
            <v>E09</v>
          </cell>
          <cell r="C16" t="str">
            <v>• SAC for TRU waste container physical protection
• SAC for TRU waste transportation</v>
          </cell>
          <cell r="D16" t="str">
            <v>• SAC for TRU waste container physical protection
• SAC for TRU waste transportation</v>
          </cell>
          <cell r="E16" t="str">
            <v>• SAC for TRU waste container physical protection
• SAC for TRU waste transportation</v>
          </cell>
          <cell r="F16" t="str">
            <v>• SAC for TRU waste container physical protection
• SAC for TRU waste transportation</v>
          </cell>
          <cell r="I16" t="str">
            <v>• SAC for TRU waste container physical protection
• SAC for TRU WASTE AREAS</v>
          </cell>
          <cell r="K16" t="str">
            <v>• SAC for TRU waste transportation</v>
          </cell>
        </row>
        <row r="17">
          <cell r="C17" t="str">
            <v xml:space="preserve">•  Quality Assurance Program
•  Performance Based Training Program
•  Maintenance Program
•  Conduct of Operations
•  Waste Management Program </v>
          </cell>
          <cell r="D17" t="str">
            <v xml:space="preserve">•  Quality Assurance Program
•  Performance Based Training Program
•  Maintenance Program
•  Conduct of Operations
•  Waste Management Program </v>
          </cell>
          <cell r="E17" t="str">
            <v xml:space="preserve">•  Quality Assurance Program
•  Performance Based Training Program
•  Maintenance Program
•  Conduct of Operations
•  Waste Management Program </v>
          </cell>
          <cell r="F17" t="str">
            <v xml:space="preserve">•  Quality Assurance Program
•  Performance Based Training Program
•  Maintenance Program
•  Conduct of Operations
•  Waste Management Program </v>
          </cell>
          <cell r="H17" t="str">
            <v xml:space="preserve">•  Quality Assurance Program
•  Performance Based Training Program
•  Maintenance Program
•  Conduct of Operations
•  Waste Management Program </v>
          </cell>
          <cell r="I17" t="str">
            <v xml:space="preserve">•  Quality Assurance Program
•  Performance Based Training Program
•  Maintenance Program
•  Conduct of Operations
•  Waste Management Program </v>
          </cell>
          <cell r="J17" t="str">
            <v xml:space="preserve">•  Quality Assurance Program
•  Performance Based Training Program
•  Maintenance Program
•  Conduct of Operations
•  Waste Management Program </v>
          </cell>
          <cell r="K17" t="str">
            <v xml:space="preserve">•  Quality Assurance Program
•  Performance Based Training Program
•  Maintenance Program
•  Conduct of Operations
•  Waste Management Program </v>
          </cell>
        </row>
        <row r="18">
          <cell r="A18" t="str">
            <v>Drop/impact/spill</v>
          </cell>
          <cell r="B18" t="str">
            <v>E10</v>
          </cell>
        </row>
        <row r="19">
          <cell r="C19" t="str">
            <v xml:space="preserve">•  Quality Assurance Program
•  Performance Based Training Program
•  Maintenance Program
•  Conduct of Operations
•  Waste Management Program </v>
          </cell>
          <cell r="D19" t="str">
            <v xml:space="preserve">•  Quality Assurance Program
•  Performance Based Training Program
•  Maintenance Program
•  Conduct of Operations
•  Waste Management Program </v>
          </cell>
          <cell r="E19" t="str">
            <v xml:space="preserve">•  Quality Assurance Program
•  Performance Based Training Program
•  Maintenance Program
•  Conduct of Operations
•  Waste Management Program </v>
          </cell>
          <cell r="F19" t="str">
            <v xml:space="preserve">•  Quality Assurance Program
•  Performance Based Training Program
•  Maintenance Program
•  Conduct of Operations
•  Waste Management Program </v>
          </cell>
          <cell r="G19" t="str">
            <v xml:space="preserve">•  Quality Assurance Program
•  Performance Based Training Program
•  Maintenance Program
•  Conduct of Operations
•  Waste Management Program </v>
          </cell>
          <cell r="H19" t="str">
            <v xml:space="preserve">•  Quality Assurance Program
•  Performance Based Training Program
•  Maintenance Program
•  Conduct of Operations
•  Waste Management Program </v>
          </cell>
          <cell r="I19" t="str">
            <v xml:space="preserve">•  Quality Assurance Program
•  Performance Based Training Program
•  Maintenance Program
•  Conduct of Operations
•  Waste Management Program </v>
          </cell>
          <cell r="J19" t="str">
            <v xml:space="preserve">•  Quality Assurance Program
•  Performance Based Training Program
•  Maintenance Program
•  Conduct of Operations
•  Waste Management Program </v>
          </cell>
          <cell r="K19" t="str">
            <v xml:space="preserve">•  Quality Assurance Program
•  Performance Based Training Program
•  Maintenance Program
•  Conduct of Operations
•  Waste Management Program </v>
          </cell>
          <cell r="L19" t="str">
            <v xml:space="preserve">•  Quality Assurance Program
•  Performance Based Training Program
•  Maintenance Program
•  Conduct of Operations
•  Waste Management Program </v>
          </cell>
          <cell r="M19" t="str">
            <v xml:space="preserve">•  Quality Assurance Program
•  Performance Based Training Program
•  Maintenance Program
•  Conduct of Operations
•  Waste Management Program </v>
          </cell>
        </row>
        <row r="20">
          <cell r="A20" t="str">
            <v>Collapse of stacked containers</v>
          </cell>
          <cell r="B20" t="str">
            <v>E11</v>
          </cell>
        </row>
        <row r="21">
          <cell r="C21" t="str">
            <v xml:space="preserve">•  Quality Assurance Program
•  Performance Based Training Program
•  Maintenance Program
•  Waste Management Program </v>
          </cell>
          <cell r="D21" t="str">
            <v xml:space="preserve">•  Quality Assurance Program
•  Performance Based Training Program
•  Maintenance Program
•  Waste Management Program </v>
          </cell>
          <cell r="F21" t="str">
            <v xml:space="preserve">•  Quality Assurance Program
•  Performance Based Training Program
•  Maintenance Program
•  Waste Management Program </v>
          </cell>
          <cell r="I21" t="str">
            <v xml:space="preserve">•  Quality Assurance Program
•  Performance Based Training Program
•  Maintenance Program
•  Waste Management Program </v>
          </cell>
        </row>
        <row r="22">
          <cell r="A22" t="str">
            <v>Waste container over-pressurization</v>
          </cell>
          <cell r="B22" t="str">
            <v>E12</v>
          </cell>
        </row>
        <row r="23">
          <cell r="C23" t="str">
            <v xml:space="preserve">•  Quality Assurance Program
•  Performance Based Training Program
•  Waste Management Program </v>
          </cell>
          <cell r="D23" t="str">
            <v xml:space="preserve">•  Quality Assurance Program
•  Performance Based Training Program
•  Waste Management Program </v>
          </cell>
          <cell r="F23" t="str">
            <v xml:space="preserve">•  Quality Assurance Program
•  Performance Based Training Program
•  Waste Management Program </v>
          </cell>
          <cell r="G23" t="str">
            <v xml:space="preserve">•  Quality Assurance Program
•  Performance Based Training Program
•  Waste Management Program </v>
          </cell>
          <cell r="H23" t="str">
            <v xml:space="preserve">•  Quality Assurance Program
•  Performance Based Training Program
•  Waste Management Program </v>
          </cell>
          <cell r="I23" t="str">
            <v xml:space="preserve">•  Quality Assurance Program
•  Performance Based Training Program
•  Waste Management Program </v>
          </cell>
          <cell r="J23" t="str">
            <v xml:space="preserve">•  Quality Assurance Program
•  Performance Based Training Program
•  Waste Management Program </v>
          </cell>
          <cell r="L23" t="str">
            <v xml:space="preserve">•  Quality Assurance Program
•  Performance Based Training Program
•  Waste Management Program </v>
          </cell>
        </row>
        <row r="24">
          <cell r="A24" t="str">
            <v>Direct exposure to radiation</v>
          </cell>
          <cell r="B24" t="str">
            <v>E13</v>
          </cell>
        </row>
        <row r="25">
          <cell r="C25" t="str">
            <v xml:space="preserve">•  Radiological Protection Program
•  Quality Assurance Program
•  Performance Based Training Program
•  Conduct of Operations
•  Waste Management Program </v>
          </cell>
          <cell r="D25" t="str">
            <v xml:space="preserve">•  Radiological Protection Program
•  Quality Assurance Program
•  Performance Based Training Program
•  Conduct of Operations
•  Waste Management Program </v>
          </cell>
          <cell r="E25" t="str">
            <v xml:space="preserve">•  Radiological Protection Program
•  Quality Assurance Program
•  Performance Based Training Program
•  Conduct of Operations
•  Waste Management Program </v>
          </cell>
          <cell r="F25" t="str">
            <v xml:space="preserve">•  Radiological Protection Program
•  Quality Assurance Program
•  Performance Based Training Program
•  Conduct of Operations
•  Waste Management Program </v>
          </cell>
          <cell r="G25" t="str">
            <v xml:space="preserve">•  Radiological Protection Program
•  Quality Assurance Program
•  Performance Based Training Program
•  Conduct of Operations
•  Waste Management Program </v>
          </cell>
          <cell r="H25" t="str">
            <v xml:space="preserve">•  Radiological Protection Program
•  Quality Assurance Program
•  Performance Based Training Program
•  Conduct of Operations
•  Waste Management Program </v>
          </cell>
          <cell r="I25" t="str">
            <v xml:space="preserve">•  Radiological Protection Program
•  Quality Assurance Program
•  Performance Based Training Program
•  Conduct of Operations
•  Waste Management Program </v>
          </cell>
          <cell r="J25" t="str">
            <v xml:space="preserve">•  Radiological Protection Program
•  Quality Assurance Program
•  Performance Based Training Program
•  Conduct of Operations
•  Waste Management Program </v>
          </cell>
          <cell r="K25" t="str">
            <v xml:space="preserve">•  Radiological Protection Program
•  Quality Assurance Program
•  Performance Based Training Program
•  Conduct of Operations
•  Waste Management Program </v>
          </cell>
          <cell r="L25" t="str">
            <v xml:space="preserve">•  Radiological Protection Program
•  Quality Assurance Program
•  Performance Based Training Program
•  Conduct of Operations
•  Waste Management Program </v>
          </cell>
          <cell r="M25" t="str">
            <v xml:space="preserve">•  Radiological Protection Program
•  Quality Assurance Program
•  Performance Based Training Program
•  Conduct of Operations
•  Waste Management Program </v>
          </cell>
        </row>
        <row r="26">
          <cell r="A26" t="str">
            <v>Criticality</v>
          </cell>
          <cell r="B26" t="str">
            <v>E14</v>
          </cell>
          <cell r="C26" t="str">
            <v>• PSR limits on container fissile mass
• PSR for fissile material storage containers</v>
          </cell>
          <cell r="D26" t="str">
            <v>• PSR limits on container fissile mass
• PSR for fissile material storage containers</v>
          </cell>
          <cell r="E26" t="str">
            <v>• PSR limits on container fissile mass
• PSR for fissile material storage containers</v>
          </cell>
          <cell r="F26" t="str">
            <v>• PSR limits on container fissile mass
• PSR for fissile material storage containers</v>
          </cell>
          <cell r="G26" t="str">
            <v>• PSR limits on container fissile mass
• PSR for fissile material storage containers</v>
          </cell>
          <cell r="H26" t="str">
            <v>• PSR limits on container fissile mass
• PSR for fissile material storage containers</v>
          </cell>
          <cell r="I26" t="str">
            <v>• PSR limits on container fissile mass
• PSR for fissile material storage containers</v>
          </cell>
          <cell r="J26" t="str">
            <v>• PSR limits on container fissile mass
• PSR for fissile material storage containers</v>
          </cell>
          <cell r="K26" t="str">
            <v>• PSR limits on container fissile mass
• PSR for fissile material storage containers</v>
          </cell>
          <cell r="L26" t="str">
            <v>• PSR limits on container fissile mass
• PSR for fissile material storage containers</v>
          </cell>
          <cell r="M26" t="str">
            <v>• PSR limits on container fissile mass
• PSR for fissile material storage containers</v>
          </cell>
        </row>
        <row r="27">
          <cell r="C27" t="str">
            <v xml:space="preserve">•  Radiological Protection Program
•  Nuclear Criticality Safety Program
•  Quality Assurance Program
•  Performance Based Training Program
•  Conduct of Operations
•  Waste Management Program </v>
          </cell>
          <cell r="D27" t="str">
            <v xml:space="preserve">•  Radiological Protection Program
•  Nuclear Criticality Safety Program
•  Quality Assurance Program
•  Performance Based Training Program
•  Conduct of Operations
•  Waste Management Program </v>
          </cell>
          <cell r="E27" t="str">
            <v xml:space="preserve">•  Radiological Protection Program
•  Nuclear Criticality Safety Program
•  Quality Assurance Program
•  Performance Based Training Program
•  Conduct of Operations
•  Waste Management Program </v>
          </cell>
          <cell r="F27" t="str">
            <v xml:space="preserve">•  Radiological Protection Program
•  Nuclear Criticality Safety Program
•  Quality Assurance Program
•  Performance Based Training Program
•  Conduct of Operations
•  Waste Management Program </v>
          </cell>
          <cell r="G27" t="str">
            <v xml:space="preserve">•  Radiological Protection Program
•  Nuclear Criticality Safety Program
•  Quality Assurance Program
•  Performance Based Training Program
•  Conduct of Operations
•  Waste Management Program </v>
          </cell>
          <cell r="H27" t="str">
            <v xml:space="preserve">•  Radiological Protection Program
•  Nuclear Criticality Safety Program
•  Quality Assurance Program
•  Performance Based Training Program
•  Conduct of Operations
•  Waste Management Program </v>
          </cell>
          <cell r="I27" t="str">
            <v xml:space="preserve">•  Radiological Protection Program
•  Nuclear Criticality Safety Program
•  Quality Assurance Program
•  Performance Based Training Program
•  Conduct of Operations
•  Waste Management Program </v>
          </cell>
          <cell r="J27" t="str">
            <v xml:space="preserve">•  Radiological Protection Program
•  Nuclear Criticality Safety Program
•  Quality Assurance Program
•  Performance Based Training Program
•  Conduct of Operations
•  Waste Management Program </v>
          </cell>
          <cell r="K27" t="str">
            <v xml:space="preserve">•  Radiological Protection Program
•  Nuclear Criticality Safety Program
•  Quality Assurance Program
•  Performance Based Training Program
•  Conduct of Operations
•  Waste Management Program </v>
          </cell>
          <cell r="L27" t="str">
            <v xml:space="preserve">•  Radiological Protection Program
•  Nuclear Criticality Safety Program
•  Quality Assurance Program
•  Performance Based Training Program
•  Conduct of Operations
•  Waste Management Program </v>
          </cell>
          <cell r="M27" t="str">
            <v xml:space="preserve">•  Radiological Protection Program
•  Nuclear Criticality Safety Program
•  Quality Assurance Program
•  Performance Based Training Program
•  Conduct of Operations
•  Waste Management Program </v>
          </cell>
        </row>
        <row r="28">
          <cell r="A28" t="str">
            <v>Aircraft impact with fire</v>
          </cell>
          <cell r="B28" t="str">
            <v>E15</v>
          </cell>
        </row>
        <row r="30">
          <cell r="A30" t="str">
            <v>External vehicle accident</v>
          </cell>
          <cell r="B30" t="str">
            <v>E16</v>
          </cell>
          <cell r="C30" t="str">
            <v>• SAC for TRU waste drum fire protection
• SAC for TRU waste container physical protection</v>
          </cell>
          <cell r="E30" t="str">
            <v>• SAC for TRU waste drum fire protection
• SAC for TRU waste container physical protection</v>
          </cell>
          <cell r="I30" t="str">
            <v>• SAC for TRU waste drum fire protection
• SAC for TRU waste container physical protection</v>
          </cell>
        </row>
        <row r="31">
          <cell r="C31" t="str">
            <v xml:space="preserve">•  Quality Assurance Program
•  Performance Based Training Program
•  Waste Management Program </v>
          </cell>
          <cell r="E31" t="str">
            <v xml:space="preserve">•  Quality Assurance Program
•  Performance Based Training Program
•  Waste Management Program </v>
          </cell>
          <cell r="I31" t="str">
            <v xml:space="preserve">•  Quality Assurance Program
•  Performance Based Training Program
•  Waste Management Program </v>
          </cell>
        </row>
        <row r="32">
          <cell r="A32" t="str">
            <v>External vehicle accident with fire</v>
          </cell>
          <cell r="B32" t="str">
            <v>E17</v>
          </cell>
          <cell r="C32" t="str">
            <v>• SAC for TRU waste drum fire protection
• SAC for TRU waste container physical protection</v>
          </cell>
          <cell r="E32" t="str">
            <v>• SAC for TRU waste drum fire protection
• SAC for TRU waste container physical protection</v>
          </cell>
          <cell r="I32" t="str">
            <v>• SAC for TRU waste drum fire protection
• SAC for TRU waste container physical protection</v>
          </cell>
        </row>
        <row r="33">
          <cell r="C33" t="str">
            <v xml:space="preserve">•  Quality Assurance Program
•  Performance Based Training Program
•  Waste Management Program </v>
          </cell>
          <cell r="E33" t="str">
            <v xml:space="preserve">•  Quality Assurance Program
•  Performance Based Training Program
•  Waste Management Program </v>
          </cell>
          <cell r="I33" t="str">
            <v xml:space="preserve">•  Quality Assurance Program
•  Performance Based Training Program
•  Waste Management Program </v>
          </cell>
        </row>
        <row r="34">
          <cell r="A34" t="str">
            <v>External explosion</v>
          </cell>
          <cell r="B34" t="str">
            <v>E18</v>
          </cell>
          <cell r="C34" t="str">
            <v>• SAC for TRU waste container physical protection</v>
          </cell>
          <cell r="E34" t="str">
            <v>• SAC for TRU waste container physical protection</v>
          </cell>
          <cell r="F34" t="str">
            <v>• SAC for TRU waste container physical protection</v>
          </cell>
          <cell r="I34" t="str">
            <v>• SAC for TRU waste container physical protection</v>
          </cell>
          <cell r="J34" t="str">
            <v>• SAC for TRU waste container physical protection</v>
          </cell>
        </row>
        <row r="35">
          <cell r="C35" t="str">
            <v>•  Quality Assurance Program
•  Performance Based Training Program
•  Maintenance Program</v>
          </cell>
          <cell r="E35" t="str">
            <v>•  Quality Assurance Program
•  Performance Based Training Program
•  Maintenance Program</v>
          </cell>
          <cell r="F35" t="str">
            <v>•  Quality Assurance Program
•  Performance Based Training Program
•  Maintenance Program</v>
          </cell>
          <cell r="G35" t="str">
            <v>•  Quality Assurance Program
•  Performance Based Training Program
•  Maintenance Program</v>
          </cell>
          <cell r="I35" t="str">
            <v>•  Quality Assurance Program
•  Performance Based Training Program
•  Maintenance Program</v>
          </cell>
          <cell r="J35" t="str">
            <v>•  Quality Assurance Program
•  Performance Based Training Program
•  Maintenance Program</v>
          </cell>
        </row>
        <row r="36">
          <cell r="A36" t="str">
            <v>External fire</v>
          </cell>
          <cell r="B36" t="str">
            <v>E19</v>
          </cell>
          <cell r="C36" t="str">
            <v>• SAC for TRU waste container physical protection</v>
          </cell>
          <cell r="D36" t="str">
            <v>• SAC for TRU waste container physical protection</v>
          </cell>
          <cell r="E36" t="str">
            <v>• SAC for TRU waste container physical protection</v>
          </cell>
          <cell r="F36" t="str">
            <v>• SAC for TRU waste container physical protection</v>
          </cell>
          <cell r="I36" t="str">
            <v>• SAC for TRU waste container physical protection</v>
          </cell>
          <cell r="J36" t="str">
            <v>• SAC for TRU waste container physical protection</v>
          </cell>
        </row>
        <row r="37">
          <cell r="C37" t="str">
            <v>•  Fire Protection Program
•  Maintenance Program</v>
          </cell>
          <cell r="D37" t="str">
            <v>•  Fire Protection Program
•  Maintenance Program</v>
          </cell>
          <cell r="E37" t="str">
            <v>•  Fire Protection Program
•  Maintenance Program</v>
          </cell>
          <cell r="F37" t="str">
            <v>•  Fire Protection Program
•  Maintenance Program</v>
          </cell>
          <cell r="I37" t="str">
            <v>•  Fire Protection Program
•  Maintenance Program</v>
          </cell>
          <cell r="J37" t="str">
            <v>•  Fire Protection Program
•  Maintenance Program</v>
          </cell>
        </row>
        <row r="38">
          <cell r="A38" t="str">
            <v>Lightning</v>
          </cell>
          <cell r="B38" t="str">
            <v>E20</v>
          </cell>
        </row>
        <row r="39">
          <cell r="C39" t="str">
            <v xml:space="preserve">•  Quality Assurance Program
•  Waste Management Program </v>
          </cell>
          <cell r="E39" t="str">
            <v xml:space="preserve">•  Quality Assurance Program
•  Waste Management Program </v>
          </cell>
          <cell r="I39" t="str">
            <v xml:space="preserve">•  Quality Assurance Program
•  Waste Management Program </v>
          </cell>
        </row>
        <row r="40">
          <cell r="A40" t="str">
            <v>High wind</v>
          </cell>
          <cell r="B40" t="str">
            <v>E21</v>
          </cell>
        </row>
        <row r="41">
          <cell r="C41" t="str">
            <v xml:space="preserve">•  Quality Assurance Program
•  Performance Based Training Program
•  Waste Management Program </v>
          </cell>
          <cell r="E41" t="str">
            <v xml:space="preserve">•  Quality Assurance Program
•  Performance Based Training Program
•  Waste Management Program </v>
          </cell>
          <cell r="I41" t="str">
            <v xml:space="preserve">•  Quality Assurance Program
•  Performance Based Training Program
•  Waste Management Program </v>
          </cell>
        </row>
        <row r="42">
          <cell r="A42" t="str">
            <v>Tornado</v>
          </cell>
          <cell r="B42" t="str">
            <v>E22</v>
          </cell>
        </row>
        <row r="43">
          <cell r="M43">
            <v>0</v>
          </cell>
        </row>
        <row r="44">
          <cell r="A44" t="str">
            <v>Snow and/or ice buildup</v>
          </cell>
          <cell r="B44" t="str">
            <v>E23</v>
          </cell>
        </row>
        <row r="45">
          <cell r="C45" t="str">
            <v xml:space="preserve">•  Quality Assurance Program
•  Performance Based Training Program
•  Waste Management Program </v>
          </cell>
          <cell r="I45" t="str">
            <v xml:space="preserve">•  Quality Assurance Program
•  Performance Based Training Program
•  Waste Management Program </v>
          </cell>
        </row>
        <row r="46">
          <cell r="A46" t="str">
            <v>Seismic event</v>
          </cell>
          <cell r="B46" t="str">
            <v>E24</v>
          </cell>
        </row>
        <row r="47">
          <cell r="M47">
            <v>0</v>
          </cell>
        </row>
        <row r="48">
          <cell r="A48" t="str">
            <v>Loss of airborne contamination confinement</v>
          </cell>
          <cell r="B48" t="str">
            <v>AER</v>
          </cell>
        </row>
        <row r="49">
          <cell r="C49" t="str">
            <v>•  Quality Assurance Program
•  Fire Protection Program
•  Performance Based Training Program
•  Maintenance Program
•  Conduct of Operations</v>
          </cell>
          <cell r="E49" t="str">
            <v>•  Quality Assurance Program
•  Fire Protection Program
•  Performance Based Training Program
•  Maintenance Program
•  Conduct of Operations</v>
          </cell>
          <cell r="F49" t="str">
            <v>•  Quality Assurance Program
•  Fire Protection Program
•  Performance Based Training Program
•  Maintenance Program
•  Conduct of Operations</v>
          </cell>
          <cell r="G49" t="str">
            <v>•  Quality Assurance Program
•  Fire Protection Program
•  Performance Based Training Program
•  Maintenance Program
•  Conduct of Operations</v>
          </cell>
          <cell r="H49" t="str">
            <v>•  Quality Assurance Program
•  Fire Protection Program
•  Performance Based Training Program
•  Maintenance Program
•  Conduct of Operations</v>
          </cell>
          <cell r="J49" t="str">
            <v>•  Quality Assurance Program
•  Fire Protection Program
•  Performance Based Training Program
•  Maintenance Program
•  Conduct of Operations</v>
          </cell>
          <cell r="L49" t="str">
            <v>•  Quality Assurance Program
•  Fire Protection Program
•  Performance Based Training Program
•  Maintenance Program
•  Conduct of Operations</v>
          </cell>
          <cell r="M49" t="str">
            <v>•  Quality Assurance Program
•  Fire Protection Program
•  Performance Based Training Program
•  Maintenance Program
•  Conduct of Operations</v>
          </cell>
        </row>
        <row r="50">
          <cell r="A50" t="str">
            <v>Localized explosion within facility</v>
          </cell>
          <cell r="B50" t="str">
            <v>ES</v>
          </cell>
        </row>
        <row r="51">
          <cell r="C51" t="str">
            <v>•  Quality Assurance Program
•  Fire Protection Program
•  Performance Based Training Program
•  Maintenance Program
•  Conduct of Operations</v>
          </cell>
          <cell r="G51" t="str">
            <v>•  Quality Assurance Program
•  Fire Protection Program
•  Performance Based Training Program
•  Maintenance Program
•  Conduct of Operations</v>
          </cell>
          <cell r="J51" t="str">
            <v>•  Quality Assurance Program
•  Fire Protection Program
•  Performance Based Training Program
•  Maintenance Program
•  Conduct of Operations</v>
          </cell>
          <cell r="L51" t="str">
            <v>•  Quality Assurance Program
•  Fire Protection Program
•  Performance Based Training Program
•  Maintenance Program
•  Conduct of Operations</v>
          </cell>
        </row>
        <row r="52">
          <cell r="A52" t="str">
            <v>Loss of liquid contamination confinement</v>
          </cell>
          <cell r="B52" t="str">
            <v>FFS</v>
          </cell>
        </row>
        <row r="53">
          <cell r="C53" t="str">
            <v xml:space="preserve">•  Quality Assurance Program
•  Performance Based Training Program
•  Maintenance Program
•  Conduct of Operations
•  Waste Management Program </v>
          </cell>
          <cell r="D53" t="str">
            <v xml:space="preserve">•  Quality Assurance Program
•  Performance Based Training Program
•  Maintenance Program
•  Conduct of Operations
•  Waste Management Program </v>
          </cell>
          <cell r="F53" t="str">
            <v xml:space="preserve">•  Quality Assurance Program
•  Performance Based Training Program
•  Maintenance Program
•  Conduct of Operations
•  Waste Management Program </v>
          </cell>
          <cell r="G53" t="str">
            <v xml:space="preserve">•  Quality Assurance Program
•  Performance Based Training Program
•  Maintenance Program
•  Conduct of Operations
•  Waste Management Program </v>
          </cell>
          <cell r="H53" t="str">
            <v xml:space="preserve">•  Quality Assurance Program
•  Performance Based Training Program
•  Maintenance Program
•  Conduct of Operations
•  Waste Management Program </v>
          </cell>
          <cell r="I53" t="str">
            <v xml:space="preserve">•  Quality Assurance Program
•  Performance Based Training Program
•  Maintenance Program
•  Conduct of Operations
•  Waste Management Program </v>
          </cell>
          <cell r="J53" t="str">
            <v xml:space="preserve">•  Quality Assurance Program
•  Performance Based Training Program
•  Maintenance Program
•  Conduct of Operations
•  Waste Management Program </v>
          </cell>
          <cell r="K53" t="str">
            <v xml:space="preserve">•  Quality Assurance Program
•  Performance Based Training Program
•  Maintenance Program
•  Conduct of Operations
•  Waste Management Program </v>
          </cell>
          <cell r="L53" t="str">
            <v xml:space="preserve">•  Quality Assurance Program
•  Performance Based Training Program
•  Maintenance Program
•  Conduct of Operations
•  Waste Management Program </v>
          </cell>
          <cell r="M53" t="str">
            <v xml:space="preserve">•  Quality Assurance Program
•  Performance Based Training Program
•  Maintenance Program
•  Conduct of Operations
•  Waste Management Program </v>
          </cell>
        </row>
        <row r="54">
          <cell r="A54" t="str">
            <v>Flood</v>
          </cell>
          <cell r="B54" t="str">
            <v>FLD</v>
          </cell>
        </row>
        <row r="56">
          <cell r="A56" t="str">
            <v>HEPA filter failure</v>
          </cell>
          <cell r="B56" t="str">
            <v>HB</v>
          </cell>
        </row>
        <row r="57">
          <cell r="C57" t="str">
            <v>•  Quality Assurance Program
•  Fire Protection Program
•  Performance Based Training Program
•  Maintenance Program
•  Conduct of Operations</v>
          </cell>
          <cell r="F57" t="str">
            <v>•  Quality Assurance Program
•  Fire Protection Program
•  Performance Based Training Program
•  Maintenance Program
•  Conduct of Operations</v>
          </cell>
          <cell r="G57" t="str">
            <v>•  Quality Assurance Program
•  Fire Protection Program
•  Performance Based Training Program
•  Maintenance Program
•  Conduct of Operations</v>
          </cell>
          <cell r="H57" t="str">
            <v>•  Quality Assurance Program
•  Fire Protection Program
•  Performance Based Training Program
•  Maintenance Program
•  Conduct of Operations</v>
          </cell>
          <cell r="J57" t="str">
            <v>•  Quality Assurance Program
•  Fire Protection Program
•  Performance Based Training Program
•  Maintenance Program
•  Conduct of Operations</v>
          </cell>
          <cell r="L57" t="str">
            <v>•  Quality Assurance Program
•  Fire Protection Program
•  Performance Based Training Program
•  Maintenance Program
•  Conduct of Operations</v>
          </cell>
          <cell r="M57" t="str">
            <v>•  Quality Assurance Program
•  Fire Protection Program
•  Performance Based Training Program
•  Maintenance Program
•  Conduct of Operations</v>
          </cell>
        </row>
        <row r="58">
          <cell r="A58" t="str">
            <v>HEPA filter fire</v>
          </cell>
          <cell r="B58" t="str">
            <v>HF</v>
          </cell>
        </row>
        <row r="59">
          <cell r="C59" t="str">
            <v>•  Quality Assurance Program
•  Fire Protection Program
•  Performance Based Training Program
•  Maintenance Program
•  Conduct of Operations</v>
          </cell>
          <cell r="F59" t="str">
            <v>•  Quality Assurance Program
•  Fire Protection Program
•  Performance Based Training Program
•  Maintenance Program
•  Conduct of Operations</v>
          </cell>
          <cell r="G59" t="str">
            <v>•  Quality Assurance Program
•  Fire Protection Program
•  Performance Based Training Program
•  Maintenance Program
•  Conduct of Operations</v>
          </cell>
          <cell r="H59" t="str">
            <v>•  Quality Assurance Program
•  Fire Protection Program
•  Performance Based Training Program
•  Maintenance Program
•  Conduct of Operations</v>
          </cell>
          <cell r="J59" t="str">
            <v>•  Quality Assurance Program
•  Fire Protection Program
•  Performance Based Training Program
•  Maintenance Program
•  Conduct of Operations</v>
          </cell>
          <cell r="L59" t="str">
            <v>•  Quality Assurance Program
•  Fire Protection Program
•  Performance Based Training Program
•  Maintenance Program
•  Conduct of Operations</v>
          </cell>
          <cell r="M59" t="str">
            <v>•  Quality Assurance Program
•  Fire Protection Program
•  Performance Based Training Program
•  Maintenance Program
•  Conduct of Operations</v>
          </cell>
        </row>
        <row r="60">
          <cell r="A60" t="str">
            <v>Stack failure</v>
          </cell>
          <cell r="B60" t="str">
            <v>IS</v>
          </cell>
        </row>
        <row r="62">
          <cell r="A62" t="str">
            <v>Corrosion</v>
          </cell>
          <cell r="B62" t="str">
            <v>HLW</v>
          </cell>
        </row>
        <row r="63">
          <cell r="C63" t="str">
            <v xml:space="preserve">•  Quality Assurance Program
•  Performance Based Training Program
•  Maintenance Program
•  Conduct of Operations
•  Waste Management Program </v>
          </cell>
          <cell r="E63" t="str">
            <v xml:space="preserve">•  Quality Assurance Program
•  Performance Based Training Program
•  Maintenance Program
•  Conduct of Operations
•  Waste Management Program </v>
          </cell>
        </row>
        <row r="64">
          <cell r="A64" t="str">
            <v>Locomotive/ loaded rail car impacts storage casks</v>
          </cell>
          <cell r="B64" t="str">
            <v>HLW</v>
          </cell>
        </row>
        <row r="65">
          <cell r="C65" t="str">
            <v>•  Quality Assurance Program
•  Performance Based Training Program
•  Maintenance Program</v>
          </cell>
          <cell r="E65" t="str">
            <v>•  Quality Assurance Program
•  Performance Based Training Program
•  Maintenance Program</v>
          </cell>
        </row>
        <row r="66">
          <cell r="A66" t="str">
            <v>Seismic event (tip over)</v>
          </cell>
          <cell r="B66" t="str">
            <v>HLW</v>
          </cell>
        </row>
        <row r="68">
          <cell r="A68" t="str">
            <v>Severe environmental conditions</v>
          </cell>
          <cell r="B68" t="str">
            <v>HLW</v>
          </cell>
        </row>
        <row r="70">
          <cell r="A70" t="str">
            <v>Storage cask tip-over due to transportation event</v>
          </cell>
          <cell r="B70" t="str">
            <v>HLW</v>
          </cell>
        </row>
        <row r="71">
          <cell r="C71" t="str">
            <v>•  Quality Assurance Program
•  Performance Based Training Program
•  Maintenance Program
•  Conduct of Operations</v>
          </cell>
          <cell r="E71" t="str">
            <v>•  Quality Assurance Program
•  Performance Based Training Program
•  Maintenance Program
•  Conduct of Operations</v>
          </cell>
        </row>
      </sheetData>
      <sheetData sheetId="10">
        <row r="1">
          <cell r="D1" t="str">
            <v>CPCW</v>
          </cell>
          <cell r="E1" t="str">
            <v>HLWSS</v>
          </cell>
          <cell r="F1" t="str">
            <v>LSA</v>
          </cell>
          <cell r="G1" t="str">
            <v>MP</v>
          </cell>
          <cell r="H1" t="str">
            <v>MPA</v>
          </cell>
          <cell r="I1" t="str">
            <v>OUT</v>
          </cell>
          <cell r="J1" t="str">
            <v>RH</v>
          </cell>
          <cell r="K1" t="str">
            <v>TRN</v>
          </cell>
          <cell r="L1" t="str">
            <v>VF</v>
          </cell>
          <cell r="M1" t="str">
            <v>WTF</v>
          </cell>
        </row>
        <row r="2">
          <cell r="A2" t="str">
            <v>Localized flammable liquid pool fire</v>
          </cell>
          <cell r="B2" t="str">
            <v>E01</v>
          </cell>
          <cell r="C2" t="str">
            <v>•  APPROVED CONTAINERS used for TRU waste storage
•  TSR-compliant packaging for high activity TRU waste</v>
          </cell>
          <cell r="D2" t="str">
            <v>•  APPROVED CONTAINERS used for TRU waste storage
•  TSR-compliant packaging for high activity TRU waste</v>
          </cell>
          <cell r="F2" t="str">
            <v>•  APPROVED CONTAINERS used for TRU waste storage
•  TSR-compliant packaging for high activity TRU waste</v>
          </cell>
          <cell r="H2" t="str">
            <v>•  APPROVED CONTAINERS used for TRU waste storage
•  TSR-compliant packaging for high activity TRU waste</v>
          </cell>
          <cell r="I2" t="str">
            <v>•  APPROVED CONTAINERS used for TRU waste storage
•  TSR-compliant packaging for high activity TRU waste</v>
          </cell>
          <cell r="J2" t="str">
            <v>•  APPROVED CONTAINERS used for TRU waste storage
•  TSR-compliant packaging for high activity TRU waste</v>
          </cell>
          <cell r="K2" t="str">
            <v>•  APPROVED CONTAINERS used for TRU waste storage
•  TSR-compliant packaging for high activity TRU waste</v>
          </cell>
        </row>
        <row r="3">
          <cell r="C3" t="str">
            <v>•  Steel-deck pallets that limit direct flame impingement on TRU containers
•  Banding of drums on pallets</v>
          </cell>
          <cell r="D3" t="str">
            <v>•  Steel-deck pallets that limit direct flame impingement on TRU containers
•  Banding of drums on pallets</v>
          </cell>
          <cell r="E3" t="str">
            <v>•  Heavily reinforced 19.75" thick concrete VSC
•  4" thick steel VSC shielding
•  Weld-sealed 3/8" thick steel MPC
•  Weld-sealed steel HLW canister
•  Borosilicate waste matrix that inhibits waste release and retards biological uptake due to stable chemical form</v>
          </cell>
          <cell r="F3" t="str">
            <v>•  Steel-deck pallets that limit direct flame impingement on TRU containers
•  Banding of drums on pallets</v>
          </cell>
          <cell r="H3" t="str">
            <v>•  Steel-deck pallets that limit direct flame impingement on TRU containers</v>
          </cell>
          <cell r="I3" t="str">
            <v>•  Steel-deck pallets that limit direct flame impingement on TRU containers
•  Banding of drums on pallets</v>
          </cell>
          <cell r="J3" t="str">
            <v xml:space="preserve">•  Steel-deck pallets that limit direct flame impingement on TRU containers
•  Wet pipe sprinkler system in Receiving Area and Load Out
</v>
          </cell>
          <cell r="K3" t="str">
            <v>•  Steel-deck pallets that limit direct flame impingement on TRU containers</v>
          </cell>
        </row>
        <row r="4">
          <cell r="A4" t="str">
            <v>Small combustible material fire</v>
          </cell>
          <cell r="B4" t="str">
            <v>E02</v>
          </cell>
          <cell r="C4" t="str">
            <v>•  APPROVED CONTAINERS used for TRU waste storage
•  TSR-compliant packaging for high activity TRU waste</v>
          </cell>
          <cell r="D4" t="str">
            <v>•  APPROVED CONTAINERS used for TRU waste storage
•  TSR-compliant packaging for high activity TRU waste</v>
          </cell>
          <cell r="F4" t="str">
            <v>•  APPROVED CONTAINERS used for TRU waste storage
•  TSR-compliant packaging for high activity TRU waste</v>
          </cell>
          <cell r="H4" t="str">
            <v>•  APPROVED CONTAINERS used for TRU waste storage
•  TSR-compliant packaging for high activity TRU waste</v>
          </cell>
          <cell r="I4" t="str">
            <v>•  APPROVED CONTAINERS used for TRU waste storage
•  TSR-compliant packaging for high activity TRU waste</v>
          </cell>
          <cell r="K4" t="str">
            <v>•  APPROVED CONTAINERS used for TRU waste storage
•  TSR-compliant packaging for high activity TRU waste</v>
          </cell>
          <cell r="M4" t="str">
            <v>•  APPROVED CONTAINERS used for TRU waste storage
•  TSR-compliant packaging for high activity TRU waste</v>
          </cell>
        </row>
        <row r="5">
          <cell r="F5" t="str">
            <v>•  Automatic fixed FM-200 fire suppression system in CSPF</v>
          </cell>
          <cell r="G5" t="str">
            <v>•  Fire rated cell walls and shield doors</v>
          </cell>
          <cell r="H5" t="str">
            <v>•  Wet pipe sprinkler system in Load In Facility</v>
          </cell>
          <cell r="J5" t="str">
            <v>•  Wet pipe sprinkler system in Receiving Area and Load Out/Truck Bay</v>
          </cell>
          <cell r="L5" t="str">
            <v>•  Fire rated cell walls and shield doors</v>
          </cell>
          <cell r="M5" t="str">
            <v>•  Wet pipe sprinkler system in PVS Building
•  Dry pipe sprinkler system in STS Support Building</v>
          </cell>
        </row>
        <row r="6">
          <cell r="A6" t="str">
            <v>Large fire</v>
          </cell>
          <cell r="B6" t="str">
            <v>E04</v>
          </cell>
          <cell r="C6" t="str">
            <v>•   APPROVED CONTAINERS used for TRU waste storage
•   TSR-compliant packaging for high activity TRU waste</v>
          </cell>
          <cell r="F6" t="str">
            <v>•   APPROVED CONTAINERS used for TRU waste storage
•   TSR-compliant packaging for high activity TRU waste</v>
          </cell>
        </row>
        <row r="7">
          <cell r="F7" t="str">
            <v>•  Automatic fixed FM-200 fire suppression system in CSPF
•  Wet pipe sprinkler system in Shipping Depot</v>
          </cell>
          <cell r="G7" t="str">
            <v>•  Fire rated cell walls and shield doors</v>
          </cell>
          <cell r="J7" t="str">
            <v>•  Fire rated cell walls and shield doors</v>
          </cell>
          <cell r="L7" t="str">
            <v>•  Fire rated cell walls and shield doors</v>
          </cell>
        </row>
        <row r="8">
          <cell r="A8" t="str">
            <v>Localized explosion external to container</v>
          </cell>
          <cell r="B8" t="str">
            <v>E05</v>
          </cell>
          <cell r="C8" t="str">
            <v>•   APPROVED CONTAINERS used for TRU waste storage
•   TSR-compliant packaging for high activity TRU waste</v>
          </cell>
          <cell r="D8" t="str">
            <v>•   APPROVED CONTAINERS used for TRU waste storage
•   TSR-compliant packaging for high activity TRU waste</v>
          </cell>
          <cell r="F8" t="str">
            <v>•   APPROVED CONTAINERS used for TRU waste storage
•   TSR-compliant packaging for high activity TRU waste</v>
          </cell>
          <cell r="H8" t="str">
            <v>•   APPROVED CONTAINERS used for TRU waste storage
•   TSR-compliant packaging for high activity TRU waste</v>
          </cell>
          <cell r="I8" t="str">
            <v>•   APPROVED CONTAINERS used for TRU waste storage
•   TSR-compliant packaging for high activity TRU waste</v>
          </cell>
          <cell r="J8" t="str">
            <v>•   APPROVED CONTAINERS used for TRU waste storage
•   TSR-compliant packaging for high activity TRU waste</v>
          </cell>
          <cell r="K8" t="str">
            <v>•   APPROVED CONTAINERS used for TRU waste storage
•   TSR-compliant packaging for high activity TRU waste</v>
          </cell>
        </row>
        <row r="9">
          <cell r="E9"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row>
        <row r="10">
          <cell r="A10" t="str">
            <v>Waste container deflagration</v>
          </cell>
          <cell r="B10" t="str">
            <v>E06</v>
          </cell>
          <cell r="C10" t="str">
            <v>•   TSR-compliant packaging for high activity TRU waste</v>
          </cell>
          <cell r="D10" t="str">
            <v>•   TSR-compliant packaging for high activity TRU waste</v>
          </cell>
          <cell r="F10" t="str">
            <v>•   TSR-compliant packaging for high activity TRU waste</v>
          </cell>
          <cell r="H10" t="str">
            <v>•   TSR-compliant packaging for high activity TRU waste</v>
          </cell>
          <cell r="I10" t="str">
            <v>•   TSR-compliant packaging for high activity TRU waste</v>
          </cell>
          <cell r="J10" t="str">
            <v>•   TSR-compliant packaging for high activity TRU waste</v>
          </cell>
          <cell r="L10" t="str">
            <v>•   TSR-compliant packaging for high activity TRU waste</v>
          </cell>
        </row>
        <row r="11">
          <cell r="C11" t="str">
            <v>•  Confinement capability of cell structure
•  Fire rated cell walls and shield doors</v>
          </cell>
          <cell r="G11" t="str">
            <v>•  Confinement capability of cell structure
•  Fire rated cell walls and shield doors</v>
          </cell>
          <cell r="J11" t="str">
            <v>•  Confinement capability of cell structure
•  Fire rated cell walls and shield doors</v>
          </cell>
          <cell r="L11" t="str">
            <v>•  Confinement capability of cell structure
•  Fire rated cell walls and shield doors</v>
          </cell>
        </row>
        <row r="12">
          <cell r="A12" t="str">
            <v>Multiple container deflagration</v>
          </cell>
          <cell r="B12" t="str">
            <v>E07</v>
          </cell>
        </row>
        <row r="14">
          <cell r="A14" t="str">
            <v>Enclosure deflagration</v>
          </cell>
          <cell r="B14" t="str">
            <v>E08</v>
          </cell>
        </row>
        <row r="16">
          <cell r="A16" t="str">
            <v>Vehicle/equipment impacts waste/waste containers</v>
          </cell>
          <cell r="B16" t="str">
            <v>E09</v>
          </cell>
          <cell r="C16" t="str">
            <v>•   TSR-compliant packaging for high activity TRU waste</v>
          </cell>
          <cell r="D16" t="str">
            <v>•   TSR-compliant packaging for high activity TRU waste</v>
          </cell>
          <cell r="F16" t="str">
            <v>•   TSR-compliant packaging for high activity TRU waste</v>
          </cell>
          <cell r="H16" t="str">
            <v>•   TSR-compliant packaging for high activity TRU waste</v>
          </cell>
          <cell r="I16" t="str">
            <v>•   TSR-compliant packaging for high activity TRU waste</v>
          </cell>
          <cell r="J16" t="str">
            <v>•   TSR-compliant packaging for high activity TRU waste</v>
          </cell>
          <cell r="K16" t="str">
            <v>•   TSR-compliant packaging for high activity TRU waste</v>
          </cell>
        </row>
        <row r="17">
          <cell r="E17"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row>
        <row r="18">
          <cell r="A18" t="str">
            <v>Drop/impact/spill</v>
          </cell>
          <cell r="B18" t="str">
            <v>E10</v>
          </cell>
          <cell r="C18" t="str">
            <v>•   TSR-compliant packaging for high activity TRU waste</v>
          </cell>
          <cell r="D18" t="str">
            <v>•   TSR-compliant packaging for high activity TRU waste</v>
          </cell>
          <cell r="F18" t="str">
            <v>•   TSR-compliant packaging for high activity TRU waste</v>
          </cell>
          <cell r="H18" t="str">
            <v>•   TSR-compliant packaging for high activity TRU waste</v>
          </cell>
          <cell r="I18" t="str">
            <v>•   TSR-compliant packaging for high activity TRU waste</v>
          </cell>
          <cell r="J18" t="str">
            <v>•   TSR-compliant packaging for high activity TRU waste</v>
          </cell>
          <cell r="K18" t="str">
            <v>•   TSR-compliant packaging for high activity TRU waste</v>
          </cell>
        </row>
        <row r="19">
          <cell r="C19" t="str">
            <v>•  Confinement capability of cell structure</v>
          </cell>
          <cell r="E19" t="str">
            <v>•  Heavily reinforced 19.75" thick concrete VSC
•  4" thick steel VSC shielding
•  Weld-sealed 3/8" thick steel MPC
•  3/16" thick steel canister basket
•  Weld-sealed steel HLW canisters capable of withstanding a 7 m (23 ft) drop
•  Borosilicate waste matrix that inhibits waste release and retards biological uptake due to stable chemical form</v>
          </cell>
          <cell r="G19" t="str">
            <v>•  Confinement capability of cell structure</v>
          </cell>
          <cell r="J19" t="str">
            <v>•  Confinement capability of cell structure</v>
          </cell>
          <cell r="L19" t="str">
            <v>•  Confinement capability of cell structure</v>
          </cell>
          <cell r="M19" t="str">
            <v>•  Confinement capability of tank/vault structure</v>
          </cell>
        </row>
        <row r="20">
          <cell r="A20" t="str">
            <v>Collapse of stacked containers</v>
          </cell>
          <cell r="B20" t="str">
            <v>E11</v>
          </cell>
          <cell r="C20" t="str">
            <v>•   APPROVED CONTAINERS used for TRU waste storage
•   TSR-compliant packaging for high activity TRU waste</v>
          </cell>
          <cell r="D20" t="str">
            <v>•   APPROVED CONTAINERS used for TRU waste storage
•   TSR-compliant packaging for high activity TRU waste</v>
          </cell>
          <cell r="F20" t="str">
            <v>•   APPROVED CONTAINERS used for TRU waste storage
•   TSR-compliant packaging for high activity TRU waste</v>
          </cell>
          <cell r="I20" t="str">
            <v>•   APPROVED CONTAINERS used for TRU waste storage
•   TSR-compliant packaging for high activity TRU waste</v>
          </cell>
        </row>
        <row r="21">
          <cell r="C21" t="str">
            <v>•  Steel pallets used for TRU waste storage arrays
•  Banding of drums on pallets</v>
          </cell>
          <cell r="D21" t="str">
            <v>•  Steel pallets used for TRU waste storage arrays
•  Banding of drums on pallets</v>
          </cell>
          <cell r="F21" t="str">
            <v>•  Steel pallets used for TRU waste storage arrays
•  Banding of drums on pallets</v>
          </cell>
          <cell r="I21" t="str">
            <v>•  Steel pallets used for TRU waste storage arrays
•  Banding of drums on pallets</v>
          </cell>
        </row>
        <row r="22">
          <cell r="A22" t="str">
            <v>Waste container over-pressurization</v>
          </cell>
          <cell r="B22" t="str">
            <v>E12</v>
          </cell>
        </row>
        <row r="23">
          <cell r="C23" t="str">
            <v>•  Lid restraining devices for bulging drums</v>
          </cell>
          <cell r="D23" t="str">
            <v>•  Lid restraining devices for bulging drums</v>
          </cell>
          <cell r="F23" t="str">
            <v>•  Lid restraining devices for bulging drums</v>
          </cell>
          <cell r="H23" t="str">
            <v>•  Lid restraining devices for bulging drums</v>
          </cell>
          <cell r="I23" t="str">
            <v>•  Lid restraining devices for bulging drums</v>
          </cell>
          <cell r="J23" t="str">
            <v>•  Lid restraining devices for bulging drums</v>
          </cell>
        </row>
        <row r="24">
          <cell r="A24" t="str">
            <v>Direct exposure to radiation</v>
          </cell>
          <cell r="B24" t="str">
            <v>E13</v>
          </cell>
        </row>
        <row r="26">
          <cell r="A26" t="str">
            <v>Criticality</v>
          </cell>
          <cell r="B26" t="str">
            <v>E14</v>
          </cell>
        </row>
        <row r="28">
          <cell r="A28" t="str">
            <v>Aircraft impact with fire</v>
          </cell>
          <cell r="B28" t="str">
            <v>E15</v>
          </cell>
          <cell r="C28" t="str">
            <v>•   APPROVED CONTAINERS used for TRU waste storage
•   TSR-compliant packaging for high activity TRU waste</v>
          </cell>
          <cell r="D28" t="str">
            <v>•   APPROVED CONTAINERS used for TRU waste storage
•   TSR-compliant packaging for high activity TRU waste</v>
          </cell>
          <cell r="F28" t="str">
            <v>•   APPROVED CONTAINERS used for TRU waste storage
•   TSR-compliant packaging for high activity TRU waste</v>
          </cell>
          <cell r="H28" t="str">
            <v>•   APPROVED CONTAINERS used for TRU waste storage
•   TSR-compliant packaging for high activity TRU waste</v>
          </cell>
          <cell r="I28" t="str">
            <v>•   APPROVED CONTAINERS used for TRU waste storage
•   TSR-compliant packaging for high activity TRU waste</v>
          </cell>
        </row>
        <row r="29">
          <cell r="E29"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row>
        <row r="30">
          <cell r="A30" t="str">
            <v>External vehicle accident</v>
          </cell>
          <cell r="B30" t="str">
            <v>E16</v>
          </cell>
          <cell r="C30" t="str">
            <v>•   TSR-compliant packaging for high activity TRU waste</v>
          </cell>
          <cell r="I30" t="str">
            <v>•   TSR-compliant packaging for high activity TRU waste</v>
          </cell>
        </row>
        <row r="31">
          <cell r="E31"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row>
        <row r="32">
          <cell r="A32" t="str">
            <v>External vehicle accident with fire</v>
          </cell>
          <cell r="B32" t="str">
            <v>E17</v>
          </cell>
          <cell r="C32" t="str">
            <v>•   APPROVED CONTAINERS used for TRU waste storage
•   TSR-compliant packaging for high activity TRU waste</v>
          </cell>
          <cell r="I32" t="str">
            <v>•   APPROVED CONTAINERS used for TRU waste storage
•   TSR-compliant packaging for high activity TRU waste</v>
          </cell>
        </row>
        <row r="33">
          <cell r="E33"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row>
        <row r="34">
          <cell r="A34" t="str">
            <v>External explosion</v>
          </cell>
          <cell r="B34" t="str">
            <v>E18</v>
          </cell>
          <cell r="C34" t="str">
            <v>•   APPROVED CONTAINERS used for TRU waste storage
•   TSR-compliant packaging for high activity TRU waste</v>
          </cell>
          <cell r="F34" t="str">
            <v>•   APPROVED CONTAINERS used for TRU waste storage
•   TSR-compliant packaging for high activity TRU waste</v>
          </cell>
          <cell r="I34" t="str">
            <v>•   APPROVED CONTAINERS used for TRU waste storage
•   TSR-compliant packaging for high activity TRU waste</v>
          </cell>
          <cell r="J34" t="str">
            <v>•   APPROVED CONTAINERS used for TRU waste storage
•   TSR-compliant packaging for high activity TRU waste</v>
          </cell>
        </row>
        <row r="35">
          <cell r="E35"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row>
        <row r="36">
          <cell r="A36" t="str">
            <v>External fire</v>
          </cell>
          <cell r="B36" t="str">
            <v>E19</v>
          </cell>
          <cell r="C36" t="str">
            <v>•   APPROVED CONTAINERS used for TRU waste storage
•   TSR-compliant packaging for high activity TRU waste</v>
          </cell>
          <cell r="D36" t="str">
            <v>•   APPROVED CONTAINERS used for TRU waste storage
•   TSR-compliant packaging for high activity TRU waste</v>
          </cell>
          <cell r="F36" t="str">
            <v>•   APPROVED CONTAINERS used for TRU waste storage
•   TSR-compliant packaging for high activity TRU waste</v>
          </cell>
          <cell r="I36" t="str">
            <v>•   APPROVED CONTAINERS used for TRU waste storage
•   TSR-compliant packaging for high activity TRU waste</v>
          </cell>
          <cell r="J36" t="str">
            <v>•   APPROVED CONTAINERS used for TRU waste storage
•   TSR-compliant packaging for high activity TRU waste</v>
          </cell>
        </row>
        <row r="37">
          <cell r="C37" t="str">
            <v>•  Non-combustible facility sheathing/ exterior</v>
          </cell>
          <cell r="D37" t="str">
            <v>•  Non-combustible facility sheathing/ exterior</v>
          </cell>
          <cell r="E37"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F37" t="str">
            <v>•  Non-combustible facility sheathing/ exterior</v>
          </cell>
          <cell r="I37" t="str">
            <v>•  Non-combustible facility sheathing/ exterior</v>
          </cell>
          <cell r="J37" t="str">
            <v>•  Non-combustible facility sheathing/ exterior</v>
          </cell>
        </row>
        <row r="38">
          <cell r="A38" t="str">
            <v>Lightning</v>
          </cell>
          <cell r="B38" t="str">
            <v>E20</v>
          </cell>
          <cell r="C38" t="str">
            <v>•   TSR-compliant packaging for high activity TRU waste</v>
          </cell>
        </row>
        <row r="39">
          <cell r="E39" t="str">
            <v>•  Weld-sealed 3/8" thick steel MPC
•  Weld-sealed steel HLW canister</v>
          </cell>
        </row>
        <row r="40">
          <cell r="A40" t="str">
            <v>High wind</v>
          </cell>
          <cell r="B40" t="str">
            <v>E21</v>
          </cell>
          <cell r="C40" t="str">
            <v>•   TSR-compliant packaging for high activity TRU waste</v>
          </cell>
          <cell r="I40" t="str">
            <v>•   TSR-compliant packaging for high activity TRU waste</v>
          </cell>
        </row>
        <row r="41">
          <cell r="E41"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row>
        <row r="42">
          <cell r="A42" t="str">
            <v>Tornado</v>
          </cell>
          <cell r="B42" t="str">
            <v>E22</v>
          </cell>
          <cell r="C42" t="str">
            <v>•   TSR-compliant packaging for high activity TRU waste</v>
          </cell>
          <cell r="D42" t="str">
            <v>•   TSR-compliant packaging for high activity TRU waste</v>
          </cell>
          <cell r="F42" t="str">
            <v>•   TSR-compliant packaging for high activity TRU waste</v>
          </cell>
          <cell r="I42" t="str">
            <v>•   TSR-compliant packaging for high activity TRU waste</v>
          </cell>
        </row>
        <row r="43">
          <cell r="C43" t="str">
            <v>•  Facility design capable of maintaining confinement integrity following design basis events</v>
          </cell>
          <cell r="E43"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G43" t="str">
            <v>•  Facility design capable of maintaining confinement integrity following design basis events</v>
          </cell>
          <cell r="H43" t="str">
            <v>•  Facility design capable of maintaining confinement integrity following design basis events</v>
          </cell>
          <cell r="J43" t="str">
            <v>•  Facility design capable of maintaining confinement integrity following design basis events</v>
          </cell>
          <cell r="L43" t="str">
            <v>•  Facility design capable of maintaining confinement integrity following design basis events</v>
          </cell>
          <cell r="M43" t="str">
            <v>•  Facility design capable of maintaining confinement integrity following design basis events</v>
          </cell>
        </row>
        <row r="44">
          <cell r="A44" t="str">
            <v>Snow and/or ice buildup</v>
          </cell>
          <cell r="B44" t="str">
            <v>E23</v>
          </cell>
        </row>
        <row r="46">
          <cell r="A46" t="str">
            <v>Seismic event</v>
          </cell>
          <cell r="B46" t="str">
            <v>E24</v>
          </cell>
          <cell r="C46" t="str">
            <v>•   APPROVED CONTAINERS used for TRU waste storage
•   TSR-compliant packaging for high activity TRU waste</v>
          </cell>
          <cell r="D46" t="str">
            <v>•   APPROVED CONTAINERS used for TRU waste storage
•   TSR-compliant packaging for high activity TRU waste</v>
          </cell>
          <cell r="F46" t="str">
            <v>•   APPROVED CONTAINERS used for TRU waste storage
•   TSR-compliant packaging for high activity TRU waste</v>
          </cell>
          <cell r="I46" t="str">
            <v>•   APPROVED CONTAINERS used for TRU waste storage
•   TSR-compliant packaging for high activity TRU waste</v>
          </cell>
        </row>
        <row r="47">
          <cell r="C47" t="str">
            <v>•  Facility design capable of maintaining confinement integrity following design basis events</v>
          </cell>
          <cell r="E47"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G47" t="str">
            <v>•  Facility design capable of maintaining confinement integrity following design basis events</v>
          </cell>
          <cell r="H47" t="str">
            <v>•  Facility design capable of maintaining confinement integrity following design basis events</v>
          </cell>
          <cell r="J47" t="str">
            <v>•  Facility design capable of maintaining confinement integrity following design basis events</v>
          </cell>
          <cell r="L47" t="str">
            <v>•  Facility design capable of maintaining confinement integrity following design basis events</v>
          </cell>
          <cell r="M47" t="str">
            <v>•  Facility design capable of maintaining confinement integrity following design basis events</v>
          </cell>
        </row>
        <row r="48">
          <cell r="A48" t="str">
            <v>Loss of airborne contamination confinement</v>
          </cell>
          <cell r="B48" t="str">
            <v>AER</v>
          </cell>
        </row>
        <row r="49">
          <cell r="C49" t="str">
            <v>•  Confinement capability of facility envelope
•  Nominal facility negative maintained on facility even under loss of active ventilation through stack "chimney effect"</v>
          </cell>
          <cell r="E49" t="str">
            <v>•  Weld-sealed MPC
•  Weld-sealed steel HLW canister
•  Borosilicate waste matrix</v>
          </cell>
          <cell r="G49" t="str">
            <v>•  Confinement capability of facility envelope
•  Nominal facility negative maintained on facility even under loss of active ventilation through stack "chimney effect"</v>
          </cell>
          <cell r="J49" t="str">
            <v>•  Confinement capability of facility envelope
•  Nominal facility negative maintained on facility even under loss of active ventilation through stack "chimney effect"</v>
          </cell>
          <cell r="L49" t="str">
            <v>•  Confinement capability of facility envelope
•  Nominal facility negative maintained on facility even under loss of active ventilation through stack "chimney effect"</v>
          </cell>
          <cell r="M49" t="str">
            <v>•  Confinement capability of facility envelope
•  Nominal facility negative maintained on facility even under loss of active ventilation through stack "chimney effect"</v>
          </cell>
        </row>
        <row r="50">
          <cell r="A50" t="str">
            <v>Localized explosion within facility</v>
          </cell>
          <cell r="B50" t="str">
            <v>ES</v>
          </cell>
        </row>
        <row r="51">
          <cell r="C51" t="str">
            <v>•  Reinforced concrete shield walls</v>
          </cell>
          <cell r="G51" t="str">
            <v>•  Reinforced concrete shield walls</v>
          </cell>
          <cell r="J51" t="str">
            <v>•  Reinforced concrete shield walls</v>
          </cell>
          <cell r="L51" t="str">
            <v>•  Reinforced concrete shield walls</v>
          </cell>
        </row>
        <row r="52">
          <cell r="A52" t="str">
            <v>Loss of liquid contamination confinement</v>
          </cell>
          <cell r="B52" t="str">
            <v>FFS</v>
          </cell>
        </row>
        <row r="53">
          <cell r="F53" t="str">
            <v>•  Building berms</v>
          </cell>
          <cell r="G53" t="str">
            <v>•  Cell sumps/liners</v>
          </cell>
          <cell r="J53" t="str">
            <v>•  Cell sumps/liners</v>
          </cell>
          <cell r="L53" t="str">
            <v>•  Cell sumps/liners</v>
          </cell>
          <cell r="M53" t="str">
            <v>•  Tank pans/vault liners</v>
          </cell>
        </row>
        <row r="54">
          <cell r="A54" t="str">
            <v>Flood</v>
          </cell>
          <cell r="B54" t="str">
            <v>FLD</v>
          </cell>
        </row>
        <row r="55">
          <cell r="E55" t="str">
            <v>•  Heavily reinforced 19.75" thick concrete VSC
•  Weld-sealed 3/8" thick steel MPC
•  Weld-sealed steel HLW canister
•  Borosilicate waste matrix that inhibits waste release and retards biological uptake due to stable chemical form</v>
          </cell>
        </row>
        <row r="56">
          <cell r="A56" t="str">
            <v>HEPA filter failure</v>
          </cell>
          <cell r="B56" t="str">
            <v>HB</v>
          </cell>
        </row>
        <row r="57">
          <cell r="C57" t="str">
            <v>•  Redundant ventilation system filter trains and blowers</v>
          </cell>
          <cell r="G57" t="str">
            <v>•  Redundant ventilation system filter trains and blowers</v>
          </cell>
          <cell r="J57" t="str">
            <v>•  Redundant ventilation system filter trains and blowers</v>
          </cell>
          <cell r="L57" t="str">
            <v>•  Redundant ventilation system filter trains and blowers</v>
          </cell>
          <cell r="M57" t="str">
            <v>•  Redundant ventilation system filter trains and blowers</v>
          </cell>
        </row>
        <row r="58">
          <cell r="A58" t="str">
            <v>HEPA filter fire</v>
          </cell>
          <cell r="B58" t="str">
            <v>HF</v>
          </cell>
        </row>
        <row r="59">
          <cell r="C59" t="str">
            <v>•  Redundant ventilation system filter trains and blowers</v>
          </cell>
          <cell r="G59" t="str">
            <v>•  Redundant ventilation system filter trains and blowers</v>
          </cell>
          <cell r="J59" t="str">
            <v>•  Redundant ventilation system filter trains and blowers</v>
          </cell>
          <cell r="L59" t="str">
            <v>•  Redundant ventilation system filter trains and blowers</v>
          </cell>
          <cell r="M59" t="str">
            <v>•  Redundant ventilation system filter trains and blowers</v>
          </cell>
        </row>
        <row r="60">
          <cell r="A60" t="str">
            <v>Stack failure</v>
          </cell>
          <cell r="B60" t="str">
            <v>IS</v>
          </cell>
        </row>
        <row r="62">
          <cell r="A62" t="str">
            <v>Corrosion</v>
          </cell>
          <cell r="B62" t="str">
            <v>HLW</v>
          </cell>
        </row>
        <row r="63">
          <cell r="C63" t="str">
            <v>•  Stainless steel canister basket and MPC construction
•  Sacrificial plate between components of dissimilar composition</v>
          </cell>
          <cell r="E63" t="str">
            <v>•  Stainless steel canister basket and MPC construction
•  Sacrificial plate between components of dissimilar composition</v>
          </cell>
        </row>
        <row r="64">
          <cell r="A64" t="str">
            <v>Locomotive/ loaded rail car impacts storage casks</v>
          </cell>
          <cell r="B64" t="str">
            <v>HLW</v>
          </cell>
        </row>
        <row r="65">
          <cell r="E65"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row>
        <row r="66">
          <cell r="A66" t="str">
            <v>Seismic event (tip over)</v>
          </cell>
          <cell r="B66" t="str">
            <v>HLW</v>
          </cell>
        </row>
        <row r="67">
          <cell r="E67" t="str">
            <v>•  Heavily reinforced 19.75" thick concrete VSC
•  4" thick steel VSC shielding
•  Weld-sealed 3/8" thick steel MPC
•  Weld-sealed steel HLW canister
•  Borosilicate waste matrix that inhibits waste release and retards biological uptake due to stable chemical form</v>
          </cell>
        </row>
        <row r="68">
          <cell r="A68" t="str">
            <v>Severe environmental conditions</v>
          </cell>
          <cell r="B68" t="str">
            <v>HLW</v>
          </cell>
        </row>
        <row r="69">
          <cell r="E69" t="str">
            <v>•  Weld-sealed 3/8" thick steel MPC
•  Weld-sealed steel HLW canister
•  Borosilicate waste matrix that inhibits waste release and retards biological uptake due to stable chemical form</v>
          </cell>
        </row>
        <row r="70">
          <cell r="A70" t="str">
            <v>Storage cask tip-over due to transportation event</v>
          </cell>
          <cell r="B70" t="str">
            <v>HLW</v>
          </cell>
        </row>
        <row r="71">
          <cell r="E71" t="str">
            <v>•  Heavily reinforced 19.75" thick concrete VSC
•  4" thick steel VSC shielding
•  Weld-sealed 3/8" thick steel MPC
•  Weld-sealed steel HLW canister
•  Borosilicate waste matrix that inhibits waste release and retards biological uptake due to stable chemical form</v>
          </cell>
        </row>
      </sheetData>
      <sheetData sheetId="11">
        <row r="1">
          <cell r="D1" t="str">
            <v>CPCW</v>
          </cell>
          <cell r="E1" t="str">
            <v>HLWSS</v>
          </cell>
          <cell r="F1" t="str">
            <v>LSA</v>
          </cell>
          <cell r="G1" t="str">
            <v>MP</v>
          </cell>
          <cell r="H1" t="str">
            <v>MPA</v>
          </cell>
          <cell r="I1" t="str">
            <v>OUT</v>
          </cell>
          <cell r="J1" t="str">
            <v>RH</v>
          </cell>
          <cell r="K1" t="str">
            <v>TRN</v>
          </cell>
          <cell r="L1" t="str">
            <v>VF</v>
          </cell>
          <cell r="M1" t="str">
            <v>WTF</v>
          </cell>
        </row>
        <row r="2">
          <cell r="A2" t="str">
            <v>Localized flammable liquid pool fire</v>
          </cell>
          <cell r="B2" t="str">
            <v>E01</v>
          </cell>
          <cell r="C2" t="str">
            <v>•  SAC for APPROVED CONTAINER use
•  SAC for facility inventory control</v>
          </cell>
          <cell r="D2" t="str">
            <v>•  SAC for APPROVED CONTAINER use
•  SAC for facility inventory control</v>
          </cell>
          <cell r="F2" t="str">
            <v>•  SAC for APPROVED CONTAINER use
•  SAC for facility inventory control</v>
          </cell>
          <cell r="H2" t="str">
            <v>•  SAC for APPROVED CONTAINER use
•  SAC for facility inventory control</v>
          </cell>
          <cell r="I2" t="str">
            <v>•  SAC for APPROVED CONTAINER use
•  SAC for facility inventory control
• SAC for TRU WASTE AREAS</v>
          </cell>
          <cell r="J2" t="str">
            <v>•  SAC for APPROVED CONTAINER use
•  SAC for facility inventory control</v>
          </cell>
          <cell r="K2" t="str">
            <v>•  SAC for APPROVED CONTAINER use
•  SAC for facility inventory control</v>
          </cell>
        </row>
        <row r="3">
          <cell r="C3" t="str">
            <v>•  Radiological Protection Program
•  Emergency Response Program
•  Fire Protection Program
•  Performance Based Training Program
•  Conduct of Operations</v>
          </cell>
          <cell r="D3" t="str">
            <v>•  Radiological Protection Program
•  Emergency Response Program
•  Fire Protection Program
•  Performance Based Training Program
•  Conduct of Operations</v>
          </cell>
          <cell r="F3" t="str">
            <v>•  Radiological Protection Program
•  Emergency Response Program
•  Fire Protection Program
•  Performance Based Training Program
•  Conduct of Operations</v>
          </cell>
          <cell r="H3" t="str">
            <v>•  Radiological Protection Program
•  Emergency Response Program
•  Fire Protection Program
•  Performance Based Training Program
•  Conduct of Operations</v>
          </cell>
          <cell r="I3" t="str">
            <v>•  Radiological Protection Program
•  Emergency Response Program
•  Fire Protection Program
•  Performance Based Training Program
•  Conduct of Operations</v>
          </cell>
          <cell r="J3" t="str">
            <v>•  Radiological Protection Program
•  Emergency Response Program
•  Fire Protection Program
•  Performance Based Training Program
•  Conduct of Operations</v>
          </cell>
          <cell r="K3" t="str">
            <v>•  Radiological Protection Program
•  Emergency Response Program
•  Fire Protection Program
•  Performance Based Training Program
•  Conduct of Operations</v>
          </cell>
        </row>
        <row r="4">
          <cell r="A4" t="str">
            <v>Small combustible material fire</v>
          </cell>
          <cell r="B4" t="str">
            <v>E02</v>
          </cell>
          <cell r="C4" t="str">
            <v>•  SAC for APPROVED CONTAINER use
•  SAC for facility inventory control</v>
          </cell>
          <cell r="D4" t="str">
            <v>•  SAC for APPROVED CONTAINER use
•  SAC for facility inventory control</v>
          </cell>
          <cell r="F4" t="str">
            <v>•  SAC for APPROVED CONTAINER use
•  SAC for facility inventory control</v>
          </cell>
          <cell r="H4" t="str">
            <v>•  SAC for APPROVED CONTAINER use
•  SAC for facility inventory control</v>
          </cell>
          <cell r="I4" t="str">
            <v>•  SAC for APPROVED CONTAINER use
•  SAC for facility inventory control
• SAC for TRU WASTE AREAS</v>
          </cell>
          <cell r="J4" t="str">
            <v>•  SAC for APPROVED CONTAINER use
•  SAC for facility inventory control</v>
          </cell>
          <cell r="K4" t="str">
            <v>•  SAC for APPROVED CONTAINER use
•  SAC for facility inventory control</v>
          </cell>
        </row>
        <row r="5">
          <cell r="C5" t="str">
            <v>•  Radiological Protection Program
•  Emergency Response Program
•  Fire Protection Program
•  Performance Based Training Program
•  Conduct of Operations</v>
          </cell>
          <cell r="D5" t="str">
            <v>•  Radiological Protection Program
•  Emergency Response Program
•  Fire Protection Program
•  Performance Based Training Program
•  Conduct of Operations</v>
          </cell>
          <cell r="F5" t="str">
            <v>•  Radiological Protection Program
•  Emergency Response Program
•  Fire Protection Program
•  Performance Based Training Program
•  Conduct of Operations</v>
          </cell>
          <cell r="G5" t="str">
            <v>•  Radiological Protection Program
•  Emergency Response Program
•  Fire Protection Program
•  Performance Based Training Program
•  Conduct of Operations</v>
          </cell>
          <cell r="H5" t="str">
            <v>•  Radiological Protection Program
•  Emergency Response Program
•  Fire Protection Program
•  Performance Based Training Program
•  Conduct of Operations</v>
          </cell>
          <cell r="I5" t="str">
            <v>•  Radiological Protection Program
•  Emergency Response Program
•  Fire Protection Program
•  Performance Based Training Program
•  Conduct of Operations</v>
          </cell>
          <cell r="J5" t="str">
            <v>•  Radiological Protection Program
•  Emergency Response Program
•  Fire Protection Program
•  Performance Based Training Program
•  Conduct of Operations</v>
          </cell>
          <cell r="K5" t="str">
            <v>•  Radiological Protection Program
•  Emergency Response Program
•  Fire Protection Program
•  Performance Based Training Program
•  Conduct of Operations</v>
          </cell>
          <cell r="L5" t="str">
            <v>•  Radiological Protection Program
•  Emergency Response Program
•  Fire Protection Program
•  Performance Based Training Program
•  Conduct of Operations</v>
          </cell>
          <cell r="M5" t="str">
            <v>•  Radiological Protection Program
•  Emergency Response Program
•  Fire Protection Program
•  Performance Based Training Program
•  Conduct of Operations</v>
          </cell>
        </row>
        <row r="6">
          <cell r="A6" t="str">
            <v>Large fire</v>
          </cell>
          <cell r="B6" t="str">
            <v>E04</v>
          </cell>
          <cell r="C6" t="str">
            <v>•  SAC for APPROVED CONTAINER use
•  SAC for facility inventory control</v>
          </cell>
          <cell r="F6" t="str">
            <v>•  SAC for APPROVED CONTAINER use
•  SAC for facility inventory control</v>
          </cell>
          <cell r="J6" t="str">
            <v>•  SAC for APPROVED CONTAINER use
•  SAC for facility inventory control</v>
          </cell>
        </row>
        <row r="7">
          <cell r="C7" t="str">
            <v>•  Radiological Protection Program
•  Emergency Response Program
•  Fire Protection Program
•  Performance Based Training Program
•  Conduct of Operations</v>
          </cell>
          <cell r="F7" t="str">
            <v>•  Radiological Protection Program
•  Emergency Response Program
•  Fire Protection Program
•  Performance Based Training Program
•  Conduct of Operations</v>
          </cell>
          <cell r="G7" t="str">
            <v>•  Radiological Protection Program
•  Emergency Response Program
•  Fire Protection Program
•  Performance Based Training Program
•  Conduct of Operations</v>
          </cell>
          <cell r="J7" t="str">
            <v>•  Radiological Protection Program
•  Emergency Response Program
•  Fire Protection Program
•  Performance Based Training Program
•  Conduct of Operations</v>
          </cell>
          <cell r="L7" t="str">
            <v>•  Radiological Protection Program
•  Emergency Response Program
•  Fire Protection Program
•  Performance Based Training Program
•  Conduct of Operations</v>
          </cell>
        </row>
        <row r="8">
          <cell r="A8" t="str">
            <v>Localized explosion external to container</v>
          </cell>
          <cell r="B8" t="str">
            <v>E05</v>
          </cell>
          <cell r="C8" t="str">
            <v>•  SAC for APPROVED CONTAINER use
•  SAC for facility inventory control</v>
          </cell>
          <cell r="D8" t="str">
            <v>•  SAC for APPROVED CONTAINER use
•  SAC for facility inventory control</v>
          </cell>
          <cell r="F8" t="str">
            <v>•  SAC for APPROVED CONTAINER use
•  SAC for facility inventory control</v>
          </cell>
          <cell r="H8" t="str">
            <v>•  SAC for APPROVED CONTAINER use
•  SAC for facility inventory control</v>
          </cell>
          <cell r="I8" t="str">
            <v>•  SAC for APPROVED CONTAINER use
•  SAC for facility inventory control</v>
          </cell>
          <cell r="K8" t="str">
            <v>•  SAC for APPROVED CONTAINER use
•  SAC for facility inventory control</v>
          </cell>
        </row>
        <row r="9">
          <cell r="C9" t="str">
            <v>•  Radiological Protection Program
•  Emergency Response Program
•  Fire Protection Program
•  Performance Based Training Program
•  Conduct of Operations</v>
          </cell>
          <cell r="D9" t="str">
            <v>•  Radiological Protection Program
•  Emergency Response Program
•  Fire Protection Program
•  Performance Based Training Program
•  Conduct of Operations</v>
          </cell>
          <cell r="E9" t="str">
            <v>•  Radiological Protection Program
•  Emergency Response Program
•  Fire Protection Program
•  Performance Based Training Program
•  Conduct of Operations</v>
          </cell>
          <cell r="F9" t="str">
            <v>•  Radiological Protection Program
•  Emergency Response Program
•  Fire Protection Program
•  Performance Based Training Program
•  Conduct of Operations</v>
          </cell>
          <cell r="H9" t="str">
            <v>•  Radiological Protection Program
•  Emergency Response Program
•  Fire Protection Program
•  Performance Based Training Program
•  Conduct of Operations</v>
          </cell>
          <cell r="I9" t="str">
            <v>•  Radiological Protection Program
•  Emergency Response Program
•  Fire Protection Program
•  Performance Based Training Program
•  Conduct of Operations</v>
          </cell>
          <cell r="J9" t="str">
            <v>•  Radiological Protection Program
•  Emergency Response Program
•  Fire Protection Program
•  Performance Based Training Program
•  Conduct of Operations</v>
          </cell>
          <cell r="K9" t="str">
            <v>•  Radiological Protection Program
•  Emergency Response Program
•  Fire Protection Program
•  Performance Based Training Program
•  Conduct of Operations</v>
          </cell>
        </row>
        <row r="10">
          <cell r="A10" t="str">
            <v>Waste container deflagration</v>
          </cell>
          <cell r="B10" t="str">
            <v>E06</v>
          </cell>
          <cell r="C10" t="str">
            <v>•  SAC for APPROVED CONTAINER use
•  SAC for facility inventory control</v>
          </cell>
          <cell r="D10" t="str">
            <v>•  SAC for APPROVED CONTAINER use
•  SAC for facility inventory control</v>
          </cell>
          <cell r="F10" t="str">
            <v>•  SAC for APPROVED CONTAINER use
•  SAC for facility inventory control</v>
          </cell>
          <cell r="H10" t="str">
            <v>•  SAC for APPROVED CONTAINER use
•  SAC for facility inventory control</v>
          </cell>
          <cell r="I10" t="str">
            <v>•  SAC for APPROVED CONTAINER use
•  SAC for facility inventory control</v>
          </cell>
        </row>
        <row r="11">
          <cell r="C11" t="str">
            <v>•  Radiological Protection Program
•  Emergency Response Program
•  Fire Protection Program
•  Performance Based Training Program
•  Conduct of Operations</v>
          </cell>
          <cell r="D11" t="str">
            <v>•  Radiological Protection Program
•  Emergency Response Program
•  Fire Protection Program
•  Performance Based Training Program
•  Conduct of Operations</v>
          </cell>
          <cell r="F11" t="str">
            <v>•  Radiological Protection Program
•  Emergency Response Program
•  Fire Protection Program
•  Performance Based Training Program
•  Conduct of Operations</v>
          </cell>
          <cell r="G11" t="str">
            <v>•  Radiological Protection Program
•  Emergency Response Program
•  Fire Protection Program
•  Performance Based Training Program
•  Conduct of Operations</v>
          </cell>
          <cell r="H11" t="str">
            <v>•  Radiological Protection Program
•  Emergency Response Program
•  Fire Protection Program
•  Performance Based Training Program
•  Conduct of Operations</v>
          </cell>
          <cell r="I11" t="str">
            <v>•  Radiological Protection Program
•  Emergency Response Program
•  Fire Protection Program
•  Performance Based Training Program
•  Conduct of Operations</v>
          </cell>
          <cell r="J11" t="str">
            <v>•  Radiological Protection Program
•  Emergency Response Program
•  Fire Protection Program
•  Performance Based Training Program
•  Conduct of Operations</v>
          </cell>
          <cell r="L11" t="str">
            <v>•  Radiological Protection Program
•  Emergency Response Program
•  Fire Protection Program
•  Performance Based Training Program
•  Conduct of Operations</v>
          </cell>
        </row>
        <row r="12">
          <cell r="A12" t="str">
            <v>Multiple container deflagration</v>
          </cell>
          <cell r="B12" t="str">
            <v>E07</v>
          </cell>
        </row>
        <row r="14">
          <cell r="A14" t="str">
            <v>Enclosure deflagration</v>
          </cell>
          <cell r="B14" t="str">
            <v>E08</v>
          </cell>
        </row>
        <row r="16">
          <cell r="A16" t="str">
            <v>Vehicle/equipment impacts waste/waste containers</v>
          </cell>
          <cell r="B16" t="str">
            <v>E09</v>
          </cell>
          <cell r="I16" t="str">
            <v>• SAC for TRU WASTE AREAS</v>
          </cell>
        </row>
        <row r="17">
          <cell r="C17" t="str">
            <v>•  Radiological Protection Program
•  Emergency Response Program
•  Performance Based Training Program
•  Conduct of Operations</v>
          </cell>
          <cell r="D17" t="str">
            <v>•  Radiological Protection Program
•  Emergency Response Program
•  Performance Based Training Program
•  Conduct of Operations</v>
          </cell>
          <cell r="E17" t="str">
            <v>•  Radiological Protection Program
•  Emergency Response Program
•  Performance Based Training Program
•  Conduct of Operations</v>
          </cell>
          <cell r="F17" t="str">
            <v>•  Radiological Protection Program
•  Emergency Response Program
•  Performance Based Training Program
•  Conduct of Operations</v>
          </cell>
          <cell r="H17" t="str">
            <v>•  Radiological Protection Program
•  Emergency Response Program
•  Performance Based Training Program
•  Conduct of Operations</v>
          </cell>
          <cell r="I17" t="str">
            <v>•  Radiological Protection Program
•  Emergency Response Program
•  Performance Based Training Program
•  Conduct of Operations</v>
          </cell>
          <cell r="J17" t="str">
            <v>•  Radiological Protection Program
•  Emergency Response Program
•  Performance Based Training Program
•  Conduct of Operations</v>
          </cell>
          <cell r="K17" t="str">
            <v>•  Radiological Protection Program
•  Emergency Response Program
•  Performance Based Training Program
•  Conduct of Operations</v>
          </cell>
        </row>
        <row r="18">
          <cell r="A18" t="str">
            <v>Drop/impact/spill</v>
          </cell>
          <cell r="B18" t="str">
            <v>E10</v>
          </cell>
          <cell r="I18" t="str">
            <v>• SAC for TRU WASTE AREAS</v>
          </cell>
        </row>
        <row r="19">
          <cell r="C19" t="str">
            <v>•  Radiological Protection Program
•  Emergency Response Program
•  Performance Based Training Program
•  Conduct of Operations</v>
          </cell>
          <cell r="D19" t="str">
            <v>•  Radiological Protection Program
•  Emergency Response Program
•  Performance Based Training Program
•  Conduct of Operations</v>
          </cell>
          <cell r="E19" t="str">
            <v>•  Radiological Protection Program
•  Emergency Response Program
•  Performance Based Training Program
•  Conduct of Operations</v>
          </cell>
          <cell r="F19" t="str">
            <v>•  Radiological Protection Program
•  Emergency Response Program
•  Performance Based Training Program
•  Conduct of Operations</v>
          </cell>
          <cell r="G19" t="str">
            <v>•  Radiological Protection Program
•  Emergency Response Program
•  Performance Based Training Program
•  Conduct of Operations</v>
          </cell>
          <cell r="H19" t="str">
            <v>•  Radiological Protection Program
•  Emergency Response Program
•  Performance Based Training Program
•  Conduct of Operations</v>
          </cell>
          <cell r="I19" t="str">
            <v>•  Radiological Protection Program
•  Emergency Response Program
•  Performance Based Training Program
•  Conduct of Operations</v>
          </cell>
          <cell r="J19" t="str">
            <v>•  Radiological Protection Program
•  Emergency Response Program
•  Performance Based Training Program
•  Conduct of Operations</v>
          </cell>
          <cell r="K19" t="str">
            <v>•  Radiological Protection Program
•  Emergency Response Program
•  Performance Based Training Program
•  Conduct of Operations</v>
          </cell>
          <cell r="L19" t="str">
            <v>•  Radiological Protection Program
•  Emergency Response Program
•  Performance Based Training Program
•  Conduct of Operations</v>
          </cell>
          <cell r="M19" t="str">
            <v>•  Radiological Protection Program
•  Emergency Response Program
•  Performance Based Training Program
•  Conduct of Operations</v>
          </cell>
        </row>
        <row r="20">
          <cell r="A20" t="str">
            <v>Collapse of stacked containers</v>
          </cell>
          <cell r="B20" t="str">
            <v>E11</v>
          </cell>
        </row>
        <row r="21">
          <cell r="C21" t="str">
            <v>•  Radiological Protection Program
•  Emergency Response Program
•  Performance Based Training Program
•  Conduct of Operations</v>
          </cell>
          <cell r="D21" t="str">
            <v>•  Radiological Protection Program
•  Emergency Response Program
•  Performance Based Training Program
•  Conduct of Operations</v>
          </cell>
          <cell r="F21" t="str">
            <v>•  Radiological Protection Program
•  Emergency Response Program
•  Performance Based Training Program
•  Conduct of Operations</v>
          </cell>
          <cell r="I21" t="str">
            <v>•  Radiological Protection Program
•  Emergency Response Program
•  Performance Based Training Program
•  Conduct of Operations</v>
          </cell>
        </row>
        <row r="22">
          <cell r="A22" t="str">
            <v>Waste container over-pressurization</v>
          </cell>
          <cell r="B22" t="str">
            <v>E12</v>
          </cell>
          <cell r="I22" t="str">
            <v>• SAC for TRU WASTE AREAS</v>
          </cell>
        </row>
        <row r="23">
          <cell r="C23" t="str">
            <v>•  Radiological Protection Program
•  Emergency Response Program
•  Performance Based Training Program
•  Conduct of Operations</v>
          </cell>
          <cell r="D23" t="str">
            <v>•  Radiological Protection Program
•  Emergency Response Program
•  Performance Based Training Program
•  Conduct of Operations</v>
          </cell>
          <cell r="F23" t="str">
            <v>•  Radiological Protection Program
•  Emergency Response Program
•  Performance Based Training Program
•  Conduct of Operations</v>
          </cell>
          <cell r="G23" t="str">
            <v>•  Radiological Protection Program
•  Emergency Response Program
•  Performance Based Training Program
•  Conduct of Operations</v>
          </cell>
          <cell r="H23" t="str">
            <v>•  Radiological Protection Program
•  Emergency Response Program
•  Performance Based Training Program
•  Conduct of Operations</v>
          </cell>
          <cell r="I23" t="str">
            <v>•  Radiological Protection Program
•  Emergency Response Program
•  Performance Based Training Program
•  Conduct of Operations</v>
          </cell>
          <cell r="J23" t="str">
            <v>•  Radiological Protection Program
•  Emergency Response Program
•  Performance Based Training Program
•  Conduct of Operations</v>
          </cell>
          <cell r="L23" t="str">
            <v>•  Radiological Protection Program
•  Emergency Response Program
•  Performance Based Training Program
•  Conduct of Operations</v>
          </cell>
        </row>
        <row r="24">
          <cell r="A24" t="str">
            <v>Direct exposure to radiation</v>
          </cell>
          <cell r="B24" t="str">
            <v>E13</v>
          </cell>
        </row>
        <row r="25">
          <cell r="C25" t="str">
            <v>•  Radiological Protection Program
•  Performance Based Training Program
•  Conduct of Operations</v>
          </cell>
          <cell r="D25" t="str">
            <v>•  Radiological Protection Program
•  Performance Based Training Program
•  Conduct of Operations</v>
          </cell>
          <cell r="E25" t="str">
            <v>•  Radiological Protection Program
•  Performance Based Training Program
•  Conduct of Operations</v>
          </cell>
          <cell r="F25" t="str">
            <v>•  Radiological Protection Program
•  Performance Based Training Program
•  Conduct of Operations</v>
          </cell>
          <cell r="G25" t="str">
            <v>•  Radiological Protection Program
•  Performance Based Training Program
•  Conduct of Operations</v>
          </cell>
          <cell r="H25" t="str">
            <v>•  Radiological Protection Program
•  Performance Based Training Program
•  Conduct of Operations</v>
          </cell>
          <cell r="I25" t="str">
            <v>•  Radiological Protection Program
•  Performance Based Training Program
•  Conduct of Operations</v>
          </cell>
          <cell r="J25" t="str">
            <v>•  Radiological Protection Program
•  Performance Based Training Program
•  Conduct of Operations</v>
          </cell>
          <cell r="K25" t="str">
            <v>•  Radiological Protection Program
•  Performance Based Training Program
•  Conduct of Operations</v>
          </cell>
          <cell r="L25" t="str">
            <v>•  Radiological Protection Program
•  Performance Based Training Program
•  Conduct of Operations</v>
          </cell>
          <cell r="M25" t="str">
            <v>•  Radiological Protection Program
•  Performance Based Training Program
•  Conduct of Operations</v>
          </cell>
        </row>
        <row r="26">
          <cell r="A26" t="str">
            <v>Criticality</v>
          </cell>
          <cell r="B26" t="str">
            <v>E14</v>
          </cell>
        </row>
        <row r="27">
          <cell r="C27" t="str">
            <v>•  Radiological Protection Program
•  Nuclear Criticality Safety Program
•  Emergency Response Program
•  Performance Based Training Program
•  Conduct of Operations</v>
          </cell>
          <cell r="D27" t="str">
            <v>•  Radiological Protection Program
•  Nuclear Criticality Safety Program
•  Emergency Response Program
•  Performance Based Training Program
•  Conduct of Operations</v>
          </cell>
          <cell r="E27" t="str">
            <v>•  Radiological Protection Program
•  Nuclear Criticality Safety Program
•  Emergency Response Program
•  Performance Based Training Program
•  Conduct of Operations</v>
          </cell>
          <cell r="F27" t="str">
            <v>•  Radiological Protection Program
•  Nuclear Criticality Safety Program
•  Emergency Response Program
•  Performance Based Training Program
•  Conduct of Operations</v>
          </cell>
          <cell r="G27" t="str">
            <v>•  Radiological Protection Program
•  Nuclear Criticality Safety Program
•  Emergency Response Program
•  Performance Based Training Program
•  Conduct of Operations</v>
          </cell>
          <cell r="H27" t="str">
            <v>•  Radiological Protection Program
•  Nuclear Criticality Safety Program
•  Emergency Response Program
•  Performance Based Training Program
•  Conduct of Operations</v>
          </cell>
          <cell r="I27" t="str">
            <v>•  Radiological Protection Program
•  Nuclear Criticality Safety Program
•  Emergency Response Program
•  Performance Based Training Program
•  Conduct of Operations</v>
          </cell>
          <cell r="J27" t="str">
            <v>•  Radiological Protection Program
•  Nuclear Criticality Safety Program
•  Emergency Response Program
•  Performance Based Training Program
•  Conduct of Operations</v>
          </cell>
          <cell r="K27" t="str">
            <v>•  Radiological Protection Program
•  Nuclear Criticality Safety Program
•  Emergency Response Program
•  Performance Based Training Program
•  Conduct of Operations</v>
          </cell>
          <cell r="L27" t="str">
            <v>•  Radiological Protection Program
•  Nuclear Criticality Safety Program
•  Emergency Response Program
•  Performance Based Training Program
•  Conduct of Operations</v>
          </cell>
          <cell r="M27" t="str">
            <v>•  Radiological Protection Program
•  Nuclear Criticality Safety Program
•  Emergency Response Program
•  Performance Based Training Program
•  Conduct of Operations</v>
          </cell>
        </row>
        <row r="28">
          <cell r="A28" t="str">
            <v>Aircraft impact with fire</v>
          </cell>
          <cell r="B28" t="str">
            <v>E15</v>
          </cell>
          <cell r="C28" t="str">
            <v>• SAC for APPROVED CONTAINER use</v>
          </cell>
          <cell r="D28" t="str">
            <v>• SAC for APPROVED CONTAINER use</v>
          </cell>
          <cell r="E28" t="str">
            <v>• SAC for APPROVED CONTAINER use</v>
          </cell>
          <cell r="F28" t="str">
            <v>• SAC for APPROVED CONTAINER use</v>
          </cell>
          <cell r="G28" t="str">
            <v>• SAC for APPROVED CONTAINER use</v>
          </cell>
          <cell r="H28" t="str">
            <v>• SAC for APPROVED CONTAINER use</v>
          </cell>
          <cell r="I28" t="str">
            <v>• SAC for APPROVED CONTAINER use
• SAC for TRU WASTE AREAS</v>
          </cell>
          <cell r="J28" t="str">
            <v>• SAC for APPROVED CONTAINER use</v>
          </cell>
          <cell r="L28" t="str">
            <v>• SAC for APPROVED CONTAINER use</v>
          </cell>
        </row>
        <row r="29">
          <cell r="C29" t="str">
            <v>•  Radiological Protection Program
•  Emergency Response Program
•  Fire Protection Program
•  Performance Based Training Program
•  Conduct of Operations</v>
          </cell>
          <cell r="D29" t="str">
            <v>•  Radiological Protection Program
•  Emergency Response Program
•  Fire Protection Program
•  Performance Based Training Program
•  Conduct of Operations</v>
          </cell>
          <cell r="E29" t="str">
            <v>•  Radiological Protection Program
•  Emergency Response Program
•  Fire Protection Program
•  Performance Based Training Program
•  Conduct of Operations</v>
          </cell>
          <cell r="F29" t="str">
            <v>•  Radiological Protection Program
•  Emergency Response Program
•  Fire Protection Program
•  Performance Based Training Program
•  Conduct of Operations</v>
          </cell>
          <cell r="G29" t="str">
            <v>•  Radiological Protection Program
•  Emergency Response Program
•  Fire Protection Program
•  Performance Based Training Program
•  Conduct of Operations</v>
          </cell>
          <cell r="H29" t="str">
            <v>•  Radiological Protection Program
•  Emergency Response Program
•  Fire Protection Program
•  Performance Based Training Program
•  Conduct of Operations</v>
          </cell>
          <cell r="I29" t="str">
            <v>•  Radiological Protection Program
•  Emergency Response Program
•  Fire Protection Program
•  Performance Based Training Program
•  Conduct of Operations</v>
          </cell>
          <cell r="J29" t="str">
            <v>•  Radiological Protection Program
•  Emergency Response Program
•  Fire Protection Program
•  Performance Based Training Program
•  Conduct of Operations</v>
          </cell>
          <cell r="L29" t="str">
            <v>•  Radiological Protection Program
•  Emergency Response Program
•  Fire Protection Program
•  Performance Based Training Program
•  Conduct of Operations</v>
          </cell>
        </row>
        <row r="30">
          <cell r="A30" t="str">
            <v>External vehicle accident</v>
          </cell>
          <cell r="B30" t="str">
            <v>E16</v>
          </cell>
          <cell r="I30" t="str">
            <v>• SAC for TRU WASTE AREAS</v>
          </cell>
        </row>
        <row r="31">
          <cell r="C31" t="str">
            <v>•  Emergency Response Program
•  Radiological Protection Program</v>
          </cell>
          <cell r="E31" t="str">
            <v>•  Emergency Response Program
•  Radiological Protection Program</v>
          </cell>
          <cell r="I31" t="str">
            <v>•  Emergency Response Program
•  Radiological Protection Program</v>
          </cell>
        </row>
        <row r="32">
          <cell r="A32" t="str">
            <v>External vehicle accident with fire</v>
          </cell>
          <cell r="B32" t="str">
            <v>E17</v>
          </cell>
          <cell r="C32" t="str">
            <v>• SAC for APPROVED CONTAINER use</v>
          </cell>
          <cell r="I32" t="str">
            <v>• SAC for APPROVED CONTAINER use</v>
          </cell>
        </row>
        <row r="33">
          <cell r="C33" t="str">
            <v>•  Radiological Protection Program
•  Emergency Response Program
•  Fire Protection Program
•  Performance Based Training Program
•  Conduct of Operations</v>
          </cell>
          <cell r="E33" t="str">
            <v>•  Radiological Protection Program
•  Emergency Response Program
•  Fire Protection Program
•  Performance Based Training Program
•  Conduct of Operations</v>
          </cell>
          <cell r="I33" t="str">
            <v>•  Radiological Protection Program
•  Emergency Response Program
•  Fire Protection Program
•  Performance Based Training Program
•  Conduct of Operations</v>
          </cell>
        </row>
        <row r="34">
          <cell r="A34" t="str">
            <v>External explosion</v>
          </cell>
          <cell r="B34" t="str">
            <v>E18</v>
          </cell>
          <cell r="C34" t="str">
            <v>• SAC for APPROVED CONTAINER use</v>
          </cell>
          <cell r="F34" t="str">
            <v>• SAC for APPROVED CONTAINER use</v>
          </cell>
          <cell r="I34" t="str">
            <v>• SAC for APPROVED CONTAINER use</v>
          </cell>
          <cell r="J34" t="str">
            <v>• SAC for APPROVED CONTAINER use</v>
          </cell>
        </row>
        <row r="35">
          <cell r="C35" t="str">
            <v>•  Radiological Protection Program
•  Emergency Response Program
•  Fire Protection Program
•  Performance Based Training Program
•  Conduct of Operations</v>
          </cell>
          <cell r="E35" t="str">
            <v>•  Radiological Protection Program
•  Emergency Response Program
•  Fire Protection Program
•  Performance Based Training Program
•  Conduct of Operations</v>
          </cell>
          <cell r="F35" t="str">
            <v>•  Radiological Protection Program
•  Emergency Response Program
•  Fire Protection Program
•  Performance Based Training Program
•  Conduct of Operations</v>
          </cell>
          <cell r="G35" t="str">
            <v>•  Radiological Protection Program
•  Emergency Response Program
•  Fire Protection Program
•  Performance Based Training Program
•  Conduct of Operations</v>
          </cell>
          <cell r="I35" t="str">
            <v>•  Radiological Protection Program
•  Emergency Response Program
•  Fire Protection Program
•  Performance Based Training Program
•  Conduct of Operations</v>
          </cell>
          <cell r="J35" t="str">
            <v>•  Radiological Protection Program
•  Emergency Response Program
•  Fire Protection Program
•  Performance Based Training Program
•  Conduct of Operations</v>
          </cell>
        </row>
        <row r="36">
          <cell r="A36" t="str">
            <v>External fire</v>
          </cell>
          <cell r="B36" t="str">
            <v>E19</v>
          </cell>
          <cell r="C36" t="str">
            <v>• SAC for APPROVED CONTAINER use</v>
          </cell>
          <cell r="D36" t="str">
            <v>• SAC for APPROVED CONTAINER use</v>
          </cell>
          <cell r="F36" t="str">
            <v>• SAC for APPROVED CONTAINER use</v>
          </cell>
          <cell r="I36" t="str">
            <v>• SAC for APPROVED CONTAINER use</v>
          </cell>
          <cell r="J36" t="str">
            <v>• SAC for APPROVED CONTAINER use</v>
          </cell>
        </row>
        <row r="37">
          <cell r="C37" t="str">
            <v>•  Emergency Response Program
•  Fire Protection Program
•  Radiological Protection Program</v>
          </cell>
          <cell r="D37" t="str">
            <v>•  Emergency Response Program
•  Fire Protection Program
•  Radiological Protection Program</v>
          </cell>
          <cell r="E37" t="str">
            <v>•  Emergency Response Program
•  Fire Protection Program
•  Radiological Protection Program</v>
          </cell>
          <cell r="F37" t="str">
            <v>•  Emergency Response Program
•  Fire Protection Program
•  Radiological Protection Program</v>
          </cell>
          <cell r="I37" t="str">
            <v>•  Emergency Response Program
•  Fire Protection Program
•  Radiological Protection Program</v>
          </cell>
          <cell r="J37" t="str">
            <v>•  Emergency Response Program
•  Fire Protection Program
•  Radiological Protection Program</v>
          </cell>
        </row>
        <row r="38">
          <cell r="A38" t="str">
            <v>Lightning</v>
          </cell>
          <cell r="B38" t="str">
            <v>E20</v>
          </cell>
        </row>
        <row r="39">
          <cell r="C39" t="str">
            <v>•  Radiological Protection Program
•  Emergency Response Program
•  Fire Protection Program
•  Performance Based Training Program
•  Conduct of Operations</v>
          </cell>
          <cell r="E39" t="str">
            <v>•  Radiological Protection Program
•  Emergency Response Program
•  Fire Protection Program
•  Performance Based Training Program
•  Conduct of Operations</v>
          </cell>
          <cell r="I39" t="str">
            <v>•  Radiological Protection Program
•  Emergency Response Program
•  Fire Protection Program
•  Performance Based Training Program
•  Conduct of Operations</v>
          </cell>
        </row>
        <row r="40">
          <cell r="A40" t="str">
            <v>High wind</v>
          </cell>
          <cell r="B40" t="str">
            <v>E21</v>
          </cell>
        </row>
        <row r="41">
          <cell r="C41" t="str">
            <v>•  Radiological Protection Program
•  Emergency Response Program
•  Performance Based Training Program
•  Conduct of Operations</v>
          </cell>
          <cell r="E41" t="str">
            <v>•  Radiological Protection Program
•  Emergency Response Program
•  Performance Based Training Program
•  Conduct of Operations</v>
          </cell>
          <cell r="I41" t="str">
            <v>•  Radiological Protection Program
•  Emergency Response Program
•  Performance Based Training Program
•  Conduct of Operations</v>
          </cell>
        </row>
        <row r="42">
          <cell r="A42" t="str">
            <v>Tornado</v>
          </cell>
          <cell r="B42" t="str">
            <v>E22</v>
          </cell>
        </row>
        <row r="43">
          <cell r="C43" t="str">
            <v>•  Radiological Protection Program
•  Emergency Response Program
•  Performance Based Training Program
•  Conduct of Operations</v>
          </cell>
          <cell r="D43" t="str">
            <v>•  Radiological Protection Program
•  Emergency Response Program
•  Performance Based Training Program
•  Conduct of Operations</v>
          </cell>
          <cell r="E43" t="str">
            <v>•  Radiological Protection Program
•  Emergency Response Program
•  Performance Based Training Program
•  Conduct of Operations</v>
          </cell>
          <cell r="F43" t="str">
            <v>•  Radiological Protection Program
•  Emergency Response Program
•  Performance Based Training Program
•  Conduct of Operations</v>
          </cell>
          <cell r="G43" t="str">
            <v>•  Radiological Protection Program
•  Emergency Response Program
•  Performance Based Training Program
•  Conduct of Operations</v>
          </cell>
          <cell r="H43" t="str">
            <v>•  Radiological Protection Program
•  Emergency Response Program
•  Performance Based Training Program
•  Conduct of Operations</v>
          </cell>
          <cell r="I43" t="str">
            <v>•  Radiological Protection Program
•  Emergency Response Program
•  Performance Based Training Program
•  Conduct of Operations</v>
          </cell>
          <cell r="J43" t="str">
            <v>•  Radiological Protection Program
•  Emergency Response Program
•  Performance Based Training Program
•  Conduct of Operations</v>
          </cell>
          <cell r="L43" t="str">
            <v>•  Radiological Protection Program
•  Emergency Response Program
•  Performance Based Training Program
•  Conduct of Operations</v>
          </cell>
          <cell r="M43" t="str">
            <v>•  Radiological Protection Program
•  Emergency Response Program
•  Performance Based Training Program
•  Conduct of Operations</v>
          </cell>
        </row>
        <row r="44">
          <cell r="A44" t="str">
            <v>Snow and/or ice buildup</v>
          </cell>
          <cell r="B44" t="str">
            <v>E23</v>
          </cell>
        </row>
        <row r="45">
          <cell r="C45" t="str">
            <v>•  Radiological Protection Program
•  Performance Based Training Program
•  Conduct of Operations</v>
          </cell>
          <cell r="I45" t="str">
            <v>•  Radiological Protection Program
•  Performance Based Training Program
•  Conduct of Operations</v>
          </cell>
        </row>
        <row r="46">
          <cell r="A46" t="str">
            <v>Seismic event</v>
          </cell>
          <cell r="B46" t="str">
            <v>E24</v>
          </cell>
        </row>
        <row r="47">
          <cell r="C47" t="str">
            <v>•  Radiological Protection Program
•  Emergency Response Program
•  Performance Based Training Program
•  Conduct of Operations</v>
          </cell>
          <cell r="D47" t="str">
            <v>•  Radiological Protection Program
•  Emergency Response Program
•  Performance Based Training Program
•  Conduct of Operations</v>
          </cell>
          <cell r="E47" t="str">
            <v>•  Radiological Protection Program
•  Emergency Response Program
•  Performance Based Training Program
•  Conduct of Operations</v>
          </cell>
          <cell r="F47" t="str">
            <v>•  Radiological Protection Program
•  Emergency Response Program
•  Performance Based Training Program
•  Conduct of Operations</v>
          </cell>
          <cell r="G47" t="str">
            <v>•  Radiological Protection Program
•  Emergency Response Program
•  Performance Based Training Program
•  Conduct of Operations</v>
          </cell>
          <cell r="H47" t="str">
            <v>•  Radiological Protection Program
•  Emergency Response Program
•  Performance Based Training Program
•  Conduct of Operations</v>
          </cell>
          <cell r="I47" t="str">
            <v>•  Radiological Protection Program
•  Emergency Response Program
•  Performance Based Training Program
•  Conduct of Operations</v>
          </cell>
          <cell r="J47" t="str">
            <v>•  Radiological Protection Program
•  Emergency Response Program
•  Performance Based Training Program
•  Conduct of Operations</v>
          </cell>
          <cell r="L47" t="str">
            <v>•  Radiological Protection Program
•  Emergency Response Program
•  Performance Based Training Program
•  Conduct of Operations</v>
          </cell>
          <cell r="M47" t="str">
            <v>•  Radiological Protection Program
•  Emergency Response Program
•  Performance Based Training Program
•  Conduct of Operations</v>
          </cell>
        </row>
        <row r="48">
          <cell r="A48" t="str">
            <v>Loss of airborne contamination confinement</v>
          </cell>
          <cell r="B48" t="str">
            <v>AER</v>
          </cell>
        </row>
        <row r="49">
          <cell r="C49" t="str">
            <v>•  Radiological Protection Program
•  Performance Based Training Program
•  Conduct of Operations</v>
          </cell>
          <cell r="E49" t="str">
            <v>•  Radiological Protection Program
•  Performance Based Training Program
•  Conduct of Operations</v>
          </cell>
          <cell r="G49" t="str">
            <v>•  Radiological Protection Program
•  Performance Based Training Program
•  Conduct of Operations</v>
          </cell>
          <cell r="J49" t="str">
            <v>•  Radiological Protection Program
•  Performance Based Training Program
•  Conduct of Operations</v>
          </cell>
          <cell r="L49" t="str">
            <v>•  Radiological Protection Program
•  Performance Based Training Program
•  Conduct of Operations</v>
          </cell>
          <cell r="M49" t="str">
            <v>•  Radiological Protection Program
•  Performance Based Training Program
•  Conduct of Operations</v>
          </cell>
        </row>
        <row r="50">
          <cell r="A50" t="str">
            <v>Localized explosion within facility</v>
          </cell>
          <cell r="B50" t="str">
            <v>ES</v>
          </cell>
        </row>
        <row r="51">
          <cell r="C51" t="str">
            <v>•  Radiological Protection Program
•  Emergency Response Program
•  Fire Protection Program
•  Performance Based Training Program
•  Conduct of Operations</v>
          </cell>
          <cell r="G51" t="str">
            <v>•  Radiological Protection Program
•  Emergency Response Program
•  Fire Protection Program
•  Performance Based Training Program
•  Conduct of Operations</v>
          </cell>
          <cell r="J51" t="str">
            <v>•  Radiological Protection Program
•  Emergency Response Program
•  Fire Protection Program
•  Performance Based Training Program
•  Conduct of Operations</v>
          </cell>
          <cell r="L51" t="str">
            <v>•  Radiological Protection Program
•  Emergency Response Program
•  Fire Protection Program
•  Performance Based Training Program
•  Conduct of Operations</v>
          </cell>
        </row>
        <row r="52">
          <cell r="A52" t="str">
            <v>Loss of liquid contamination confinement</v>
          </cell>
          <cell r="B52" t="str">
            <v>FFS</v>
          </cell>
        </row>
        <row r="53">
          <cell r="C53" t="str">
            <v>•  Radiological Protection Program
•  Performance Based Training Program
•  Conduct of Operations</v>
          </cell>
          <cell r="D53" t="str">
            <v>•  Radiological Protection Program
•  Performance Based Training Program
•  Conduct of Operations</v>
          </cell>
          <cell r="F53" t="str">
            <v>•  Radiological Protection Program
•  Performance Based Training Program
•  Conduct of Operations</v>
          </cell>
          <cell r="G53" t="str">
            <v>•  Radiological Protection Program
•  Performance Based Training Program
•  Conduct of Operations</v>
          </cell>
          <cell r="H53" t="str">
            <v>•  Radiological Protection Program
•  Performance Based Training Program
•  Conduct of Operations</v>
          </cell>
          <cell r="I53" t="str">
            <v>•  Radiological Protection Program
•  Performance Based Training Program
•  Conduct of Operations</v>
          </cell>
          <cell r="J53" t="str">
            <v>•  Radiological Protection Program
•  Performance Based Training Program
•  Conduct of Operations</v>
          </cell>
          <cell r="K53" t="str">
            <v>•  Radiological Protection Program
•  Performance Based Training Program
•  Conduct of Operations</v>
          </cell>
          <cell r="L53" t="str">
            <v>•  Radiological Protection Program
•  Performance Based Training Program
•  Conduct of Operations</v>
          </cell>
          <cell r="M53" t="str">
            <v>•  Radiological Protection Program
•  Performance Based Training Program
•  Conduct of Operations</v>
          </cell>
        </row>
        <row r="54">
          <cell r="A54" t="str">
            <v>Flood</v>
          </cell>
          <cell r="B54" t="str">
            <v>FLD</v>
          </cell>
        </row>
        <row r="55">
          <cell r="C55" t="str">
            <v>•  Radiological Protection Program
•  Performance Based Training Program
•  Conduct of Operations</v>
          </cell>
          <cell r="D55" t="str">
            <v>•  Radiological Protection Program
•  Performance Based Training Program
•  Conduct of Operations</v>
          </cell>
          <cell r="E55" t="str">
            <v>•  Radiological Protection Program
•  Performance Based Training Program
•  Conduct of Operations</v>
          </cell>
          <cell r="F55" t="str">
            <v>•  Radiological Protection Program
•  Performance Based Training Program
•  Conduct of Operations</v>
          </cell>
          <cell r="G55" t="str">
            <v>•  Radiological Protection Program
•  Performance Based Training Program
•  Conduct of Operations</v>
          </cell>
          <cell r="H55" t="str">
            <v>•  Radiological Protection Program
•  Performance Based Training Program
•  Conduct of Operations</v>
          </cell>
          <cell r="I55" t="str">
            <v>•  Radiological Protection Program
•  Performance Based Training Program
•  Conduct of Operations</v>
          </cell>
          <cell r="J55" t="str">
            <v>•  Radiological Protection Program
•  Performance Based Training Program
•  Conduct of Operations</v>
          </cell>
          <cell r="L55" t="str">
            <v>•  Radiological Protection Program
•  Performance Based Training Program
•  Conduct of Operations</v>
          </cell>
        </row>
        <row r="56">
          <cell r="A56" t="str">
            <v>HEPA filter failure</v>
          </cell>
          <cell r="B56" t="str">
            <v>HB</v>
          </cell>
        </row>
        <row r="57">
          <cell r="C57" t="str">
            <v>•  Radiological Protection Program
•  Emergency Response Program
•  Performance Based Training Program
•  Conduct of Operations</v>
          </cell>
          <cell r="F57" t="str">
            <v>•  Radiological Protection Program
•  Emergency Response Program
•  Performance Based Training Program
•  Conduct of Operations</v>
          </cell>
          <cell r="G57" t="str">
            <v>•  Radiological Protection Program
•  Emergency Response Program
•  Performance Based Training Program
•  Conduct of Operations</v>
          </cell>
          <cell r="H57" t="str">
            <v>•  Radiological Protection Program
•  Emergency Response Program
•  Performance Based Training Program
•  Conduct of Operations</v>
          </cell>
          <cell r="J57" t="str">
            <v>•  Radiological Protection Program
•  Emergency Response Program
•  Performance Based Training Program
•  Conduct of Operations</v>
          </cell>
          <cell r="L57" t="str">
            <v>•  Radiological Protection Program
•  Emergency Response Program
•  Performance Based Training Program
•  Conduct of Operations</v>
          </cell>
          <cell r="M57" t="str">
            <v>•  Radiological Protection Program
•  Emergency Response Program
•  Performance Based Training Program
•  Conduct of Operations</v>
          </cell>
        </row>
        <row r="58">
          <cell r="A58" t="str">
            <v>HEPA filter fire</v>
          </cell>
          <cell r="B58" t="str">
            <v>HF</v>
          </cell>
        </row>
        <row r="59">
          <cell r="C59" t="str">
            <v>•  Radiological Protection Program
•  Emergency Response Program
•  Fire Protection Program
•  Performance Based Training Program
•  Conduct of Operations</v>
          </cell>
          <cell r="F59" t="str">
            <v>•  Radiological Protection Program
•  Emergency Response Program
•  Fire Protection Program
•  Performance Based Training Program
•  Conduct of Operations</v>
          </cell>
          <cell r="G59" t="str">
            <v>•  Radiological Protection Program
•  Emergency Response Program
•  Fire Protection Program
•  Performance Based Training Program
•  Conduct of Operations</v>
          </cell>
          <cell r="H59" t="str">
            <v>•  Radiological Protection Program
•  Emergency Response Program
•  Fire Protection Program
•  Performance Based Training Program
•  Conduct of Operations</v>
          </cell>
          <cell r="J59" t="str">
            <v>•  Radiological Protection Program
•  Emergency Response Program
•  Fire Protection Program
•  Performance Based Training Program
•  Conduct of Operations</v>
          </cell>
          <cell r="L59" t="str">
            <v>•  Radiological Protection Program
•  Emergency Response Program
•  Fire Protection Program
•  Performance Based Training Program
•  Conduct of Operations</v>
          </cell>
          <cell r="M59" t="str">
            <v>•  Radiological Protection Program
•  Emergency Response Program
•  Fire Protection Program
•  Performance Based Training Program
•  Conduct of Operations</v>
          </cell>
        </row>
        <row r="60">
          <cell r="A60" t="str">
            <v>Stack failure</v>
          </cell>
          <cell r="B60" t="str">
            <v>IS</v>
          </cell>
        </row>
        <row r="61">
          <cell r="C61" t="str">
            <v>•  Radiological Protection Program
•  Emergency Response Program
•  Performance Based Training Program
•  Conduct of Operations</v>
          </cell>
          <cell r="G61" t="str">
            <v>•  Radiological Protection Program
•  Emergency Response Program
•  Performance Based Training Program
•  Conduct of Operations</v>
          </cell>
        </row>
        <row r="62">
          <cell r="A62" t="str">
            <v>Corrosion</v>
          </cell>
          <cell r="B62" t="str">
            <v>HLW</v>
          </cell>
        </row>
        <row r="64">
          <cell r="A64" t="str">
            <v>Locomotive/ loaded rail car impacts storage casks</v>
          </cell>
          <cell r="B64" t="str">
            <v>HLW</v>
          </cell>
        </row>
        <row r="65">
          <cell r="C65" t="str">
            <v>•  Radiological Protection Program
•  Emergency Response Program
•  Performance Based Training Program
•  Conduct of Operations</v>
          </cell>
          <cell r="E65" t="str">
            <v>•  Radiological Protection Program
•  Emergency Response Program
•  Performance Based Training Program
•  Conduct of Operations</v>
          </cell>
        </row>
        <row r="66">
          <cell r="A66" t="str">
            <v>Seismic event (tip over)</v>
          </cell>
          <cell r="B66" t="str">
            <v>HLW</v>
          </cell>
        </row>
        <row r="67">
          <cell r="C67" t="str">
            <v>•  Radiological Protection Program
•  Emergency Response Program
•  Performance Based Training Program
•  Conduct of Operations</v>
          </cell>
          <cell r="E67" t="str">
            <v>•  Radiological Protection Program
•  Emergency Response Program
•  Performance Based Training Program
•  Conduct of Operations</v>
          </cell>
        </row>
        <row r="68">
          <cell r="A68" t="str">
            <v>Severe environmental conditions</v>
          </cell>
          <cell r="B68" t="str">
            <v>HLW</v>
          </cell>
        </row>
        <row r="70">
          <cell r="A70" t="str">
            <v>Storage cask tip-over due to transportation event</v>
          </cell>
          <cell r="B70" t="str">
            <v>HLW</v>
          </cell>
        </row>
        <row r="71">
          <cell r="C71" t="str">
            <v>•  Radiological Protection Program
•  Emergency Response Program
•  Performance Based Training Program
•  Conduct of Operations</v>
          </cell>
          <cell r="E71" t="str">
            <v>•  Radiological Protection Program
•  Emergency Response Program
•  Performance Based Training Program
•  Conduct of Operations</v>
          </cell>
        </row>
      </sheetData>
      <sheetData sheetId="12" refreshError="1"/>
      <sheetData sheetId="13"/>
      <sheetData sheetId="14" refreshError="1"/>
      <sheetData sheetId="15" refreshError="1"/>
      <sheetData sheetId="16" refreshError="1"/>
      <sheetData sheetId="17"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able_A11" connectionId="3" xr16:uid="{00000000-0016-0000-0400-000000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able_A11" connectionId="4" xr16:uid="{00000000-0016-0000-0500-000001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I72_Ing_1" connectionId="1" xr16:uid="{00000000-0016-0000-0600-000002000000}"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I72_Inh_2" connectionId="2" xr16:uid="{00000000-0016-0000-0700-000003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4.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V183"/>
  <sheetViews>
    <sheetView zoomScale="85" zoomScaleNormal="85" workbookViewId="0">
      <pane xSplit="1" ySplit="1" topLeftCell="B97" activePane="bottomRight" state="frozen"/>
      <selection pane="topRight" activeCell="B1" sqref="B1"/>
      <selection pane="bottomLeft" activeCell="A2" sqref="A2"/>
      <selection pane="bottomRight" activeCell="S121" sqref="S121"/>
    </sheetView>
  </sheetViews>
  <sheetFormatPr defaultRowHeight="15"/>
  <cols>
    <col min="2" max="2" width="25" bestFit="1" customWidth="1"/>
    <col min="3" max="15" width="18.7109375" customWidth="1"/>
    <col min="16" max="16" width="9.140625" customWidth="1"/>
    <col min="17" max="17" width="10" customWidth="1"/>
    <col min="18" max="18" width="9.140625" style="3" customWidth="1"/>
    <col min="19" max="19" width="9.140625" customWidth="1"/>
    <col min="20" max="20" width="22.7109375" style="6" bestFit="1" customWidth="1"/>
    <col min="21" max="21" width="19.5703125" bestFit="1" customWidth="1"/>
  </cols>
  <sheetData>
    <row r="1" spans="1:22">
      <c r="A1" t="s">
        <v>0</v>
      </c>
      <c r="B1" s="5" t="s">
        <v>139</v>
      </c>
      <c r="C1" t="s">
        <v>787</v>
      </c>
      <c r="D1" t="s">
        <v>788</v>
      </c>
      <c r="E1" t="s">
        <v>789</v>
      </c>
      <c r="F1" t="s">
        <v>790</v>
      </c>
      <c r="G1" t="s">
        <v>791</v>
      </c>
      <c r="H1" t="s">
        <v>792</v>
      </c>
      <c r="I1" t="s">
        <v>793</v>
      </c>
      <c r="J1" t="s">
        <v>794</v>
      </c>
      <c r="K1" t="s">
        <v>795</v>
      </c>
      <c r="L1" t="s">
        <v>796</v>
      </c>
      <c r="M1" t="s">
        <v>797</v>
      </c>
      <c r="N1" t="s">
        <v>807</v>
      </c>
      <c r="O1" t="s">
        <v>808</v>
      </c>
      <c r="P1" s="5" t="s">
        <v>140</v>
      </c>
      <c r="Q1" s="5" t="s">
        <v>141</v>
      </c>
      <c r="R1" s="3" t="s">
        <v>152</v>
      </c>
      <c r="S1" s="5" t="s">
        <v>150</v>
      </c>
      <c r="T1" t="s">
        <v>4546</v>
      </c>
      <c r="U1" t="s">
        <v>4545</v>
      </c>
      <c r="V1" t="s">
        <v>4547</v>
      </c>
    </row>
    <row r="2" spans="1:22">
      <c r="A2" t="s">
        <v>138</v>
      </c>
      <c r="B2" s="1">
        <v>4.6173026541160665E-12</v>
      </c>
      <c r="C2" s="2">
        <f t="shared" ref="C2:H11" si="0">IF(ISNA(VLOOKUP($A2,_68inh,COLUMN(C2)-1,FALSE)),-1,VLOOKUP($A2,_68inh,COLUMN(C2)-1,FALSE))</f>
        <v>-1</v>
      </c>
      <c r="D2" s="2">
        <f t="shared" si="0"/>
        <v>-1</v>
      </c>
      <c r="E2" s="2">
        <f t="shared" si="0"/>
        <v>4.0000000000000003E-5</v>
      </c>
      <c r="F2" s="2">
        <f t="shared" si="0"/>
        <v>2.6999999999999999E-5</v>
      </c>
      <c r="G2" s="2">
        <f t="shared" si="0"/>
        <v>-1</v>
      </c>
      <c r="H2" s="2">
        <f t="shared" si="0"/>
        <v>-1</v>
      </c>
      <c r="I2" s="2">
        <f t="shared" ref="I2:I33" si="1">IF(ISNA(VLOOKUP(A2,_68ing,2,FALSE)),-1,VLOOKUP(A2,_68ing,2,FALSE))</f>
        <v>2.1E-7</v>
      </c>
      <c r="J2" s="2">
        <f t="shared" ref="J2:J33" si="2">IF(ISNA(VLOOKUP($A2,_72inh,2,FALSE)),-1,VLOOKUP($A2,_72inh,2,FALSE))</f>
        <v>9.7999999999999997E-5</v>
      </c>
      <c r="K2" s="2">
        <f t="shared" ref="K2:K33" si="3">IF(ISNA(VLOOKUP($A2,_72inh,2,FALSE)),-1,VLOOKUP($A2,_72inh,3,FALSE))</f>
        <v>4.1999999999999998E-5</v>
      </c>
      <c r="L2" s="2">
        <f t="shared" ref="L2:L33" si="4">IF(ISNA(VLOOKUP($A2,_72inh,2,FALSE)),-1,VLOOKUP($A2,_72inh,4,FALSE))</f>
        <v>1.5999999999999999E-5</v>
      </c>
      <c r="M2" s="2">
        <f t="shared" ref="M2:M33" si="5">IF(ISNA(VLOOKUP(A2,_72ing,2,FALSE)),-1,VLOOKUP(A2,_72ing,2,FALSE))</f>
        <v>2.1E-7</v>
      </c>
      <c r="N2" s="2">
        <f t="shared" ref="N2:N33" si="6">VLOOKUP($A2,A1A2,2,FALSE)</f>
        <v>9</v>
      </c>
      <c r="O2" s="2">
        <f t="shared" ref="O2:O33" si="7">VLOOKUP($A2,A1A2,3,FALSE)</f>
        <v>9.0000000000000008E-4</v>
      </c>
      <c r="P2" t="s">
        <v>133</v>
      </c>
      <c r="Q2">
        <v>0.99973849999999997</v>
      </c>
      <c r="R2" s="4">
        <f t="shared" ref="R2:R33" si="8">VALUE(IF(RIGHT(RIGHT(A2,SEARCH("-",A2)),1)="M", RIGHT(LEFT(A2,LEN(A2)-1),LEN(LEFT(A2,LEN(A2)-1))-SEARCH("-",A2)),RIGHT(A2,LEN(A2)-SEARCH("-",A2))))</f>
        <v>246</v>
      </c>
      <c r="S2">
        <v>1</v>
      </c>
      <c r="T2" s="1">
        <f t="shared" ref="T2:T33" si="9">VLOOKUP(A2,_lambda,2,FALSE)</f>
        <v>4.6173026541160665E-12</v>
      </c>
      <c r="U2" t="b">
        <f>B2=T2</f>
        <v>1</v>
      </c>
      <c r="V2" t="b">
        <f>_xll.SigFig(B2,1)=_xll.SigFig(T2,1)</f>
        <v>1</v>
      </c>
    </row>
    <row r="3" spans="1:22">
      <c r="A3" t="s">
        <v>133</v>
      </c>
      <c r="B3" s="1">
        <v>5.8572023268347008E-14</v>
      </c>
      <c r="C3" s="2">
        <f t="shared" si="0"/>
        <v>-1</v>
      </c>
      <c r="D3" s="2">
        <f t="shared" si="0"/>
        <v>-1</v>
      </c>
      <c r="E3" s="2">
        <f t="shared" si="0"/>
        <v>4.3999999999999999E-5</v>
      </c>
      <c r="F3" s="2">
        <f t="shared" si="0"/>
        <v>3.1000000000000001E-5</v>
      </c>
      <c r="G3" s="2">
        <f t="shared" si="0"/>
        <v>1.4E-5</v>
      </c>
      <c r="H3" s="2">
        <f t="shared" si="0"/>
        <v>7.7000000000000008E-6</v>
      </c>
      <c r="I3" s="2">
        <f t="shared" si="1"/>
        <v>2.3999999999999998E-7</v>
      </c>
      <c r="J3" s="2">
        <f t="shared" si="2"/>
        <v>1.1E-4</v>
      </c>
      <c r="K3" s="2">
        <f t="shared" si="3"/>
        <v>4.8000000000000001E-5</v>
      </c>
      <c r="L3" s="2">
        <f t="shared" si="4"/>
        <v>1.5E-5</v>
      </c>
      <c r="M3" s="2">
        <f t="shared" si="5"/>
        <v>2.3999999999999998E-7</v>
      </c>
      <c r="N3" s="2">
        <f t="shared" si="6"/>
        <v>10</v>
      </c>
      <c r="O3" s="2">
        <f t="shared" si="7"/>
        <v>1E-3</v>
      </c>
      <c r="P3" t="s">
        <v>98</v>
      </c>
      <c r="Q3">
        <v>1</v>
      </c>
      <c r="R3" s="4">
        <f t="shared" si="8"/>
        <v>242</v>
      </c>
      <c r="S3">
        <v>2</v>
      </c>
      <c r="T3" s="1">
        <f t="shared" si="9"/>
        <v>5.8572023268347008E-14</v>
      </c>
      <c r="U3" t="b">
        <f>_xll.SigFig(T3,5)=_xll.SigFig(B3,5)</f>
        <v>1</v>
      </c>
      <c r="V3" t="b">
        <f>_xll.SigFig(B3,1)=_xll.SigFig(T3,1)</f>
        <v>1</v>
      </c>
    </row>
    <row r="4" spans="1:22">
      <c r="A4" t="s">
        <v>98</v>
      </c>
      <c r="B4" s="1">
        <v>4.9247777411726741E-18</v>
      </c>
      <c r="C4" s="2">
        <f t="shared" si="0"/>
        <v>4.8999999999999997E-7</v>
      </c>
      <c r="D4" s="2">
        <f t="shared" si="0"/>
        <v>5.7999999999999995E-7</v>
      </c>
      <c r="E4" s="2">
        <f t="shared" si="0"/>
        <v>2.6000000000000001E-6</v>
      </c>
      <c r="F4" s="2">
        <f t="shared" si="0"/>
        <v>1.5999999999999999E-6</v>
      </c>
      <c r="G4" s="2">
        <f t="shared" si="0"/>
        <v>7.3000000000000004E-6</v>
      </c>
      <c r="H4" s="2">
        <f t="shared" si="0"/>
        <v>5.6999999999999996E-6</v>
      </c>
      <c r="I4" s="2">
        <f t="shared" si="1"/>
        <v>4.3999999999999997E-8</v>
      </c>
      <c r="J4" s="2">
        <f t="shared" si="2"/>
        <v>4.9999999999999998E-7</v>
      </c>
      <c r="K4" s="2">
        <f t="shared" si="3"/>
        <v>2.9000000000000002E-6</v>
      </c>
      <c r="L4" s="2">
        <f t="shared" si="4"/>
        <v>7.9999999999999996E-6</v>
      </c>
      <c r="M4" s="2">
        <f t="shared" si="5"/>
        <v>4.4999999999999999E-8</v>
      </c>
      <c r="N4" s="2">
        <f t="shared" si="6"/>
        <v>-1</v>
      </c>
      <c r="O4" s="2">
        <f t="shared" si="7"/>
        <v>-1</v>
      </c>
      <c r="P4" t="s">
        <v>92</v>
      </c>
      <c r="Q4">
        <v>1</v>
      </c>
      <c r="R4" s="4">
        <f t="shared" si="8"/>
        <v>238</v>
      </c>
      <c r="S4">
        <v>3</v>
      </c>
      <c r="T4" s="1">
        <f t="shared" si="9"/>
        <v>4.9247777411726741E-18</v>
      </c>
      <c r="U4" t="b">
        <f>_xll.SigFig(T4,5)=_xll.SigFig(B4,5)</f>
        <v>1</v>
      </c>
      <c r="V4" t="b">
        <f>_xll.SigFig(B4,1)=_xll.SigFig(T4,1)</f>
        <v>1</v>
      </c>
    </row>
    <row r="5" spans="1:22">
      <c r="A5" t="s">
        <v>92</v>
      </c>
      <c r="B5" s="1">
        <v>3.3278868428408362E-7</v>
      </c>
      <c r="C5" s="2">
        <f t="shared" si="0"/>
        <v>-1</v>
      </c>
      <c r="D5" s="2">
        <f t="shared" si="0"/>
        <v>-1</v>
      </c>
      <c r="E5" s="2">
        <f t="shared" si="0"/>
        <v>6.3000000000000002E-9</v>
      </c>
      <c r="F5" s="2">
        <f t="shared" si="0"/>
        <v>5.3000000000000003E-9</v>
      </c>
      <c r="G5" s="2">
        <f t="shared" si="0"/>
        <v>7.3E-9</v>
      </c>
      <c r="H5" s="2">
        <f t="shared" si="0"/>
        <v>5.7999999999999998E-9</v>
      </c>
      <c r="I5" s="2">
        <f t="shared" si="1"/>
        <v>3.3999999999999998E-9</v>
      </c>
      <c r="J5" s="2">
        <f t="shared" si="2"/>
        <v>2.5000000000000001E-9</v>
      </c>
      <c r="K5" s="2">
        <f t="shared" si="3"/>
        <v>6.6000000000000004E-9</v>
      </c>
      <c r="L5" s="2">
        <f t="shared" si="4"/>
        <v>7.6999999999999995E-9</v>
      </c>
      <c r="M5" s="2">
        <f t="shared" si="5"/>
        <v>3.3999999999999998E-9</v>
      </c>
      <c r="N5" s="2">
        <f t="shared" si="6"/>
        <v>0.30000000000000004</v>
      </c>
      <c r="O5" s="2">
        <f t="shared" si="7"/>
        <v>0.30000000000000004</v>
      </c>
      <c r="P5" t="s">
        <v>91</v>
      </c>
      <c r="Q5">
        <v>1</v>
      </c>
      <c r="R5" s="4">
        <f t="shared" si="8"/>
        <v>234</v>
      </c>
      <c r="S5">
        <v>4</v>
      </c>
      <c r="T5" s="1">
        <f t="shared" si="9"/>
        <v>3.3278868428408362E-7</v>
      </c>
      <c r="U5" t="b">
        <f>_xll.SigFig(T5,5)=_xll.SigFig(B5,5)</f>
        <v>1</v>
      </c>
      <c r="V5" t="b">
        <f>_xll.SigFig(B5,1)=_xll.SigFig(T5,1)</f>
        <v>1</v>
      </c>
    </row>
    <row r="6" spans="1:22">
      <c r="A6" t="s">
        <v>91</v>
      </c>
      <c r="B6" s="1">
        <v>9.9676039769908721E-3</v>
      </c>
      <c r="C6" s="2">
        <f t="shared" si="0"/>
        <v>-1</v>
      </c>
      <c r="D6" s="2">
        <f t="shared" si="0"/>
        <v>-1</v>
      </c>
      <c r="E6" s="2">
        <f t="shared" si="0"/>
        <v>-1</v>
      </c>
      <c r="F6" s="2">
        <f t="shared" si="0"/>
        <v>-1</v>
      </c>
      <c r="G6" s="2">
        <f t="shared" si="0"/>
        <v>-1</v>
      </c>
      <c r="H6" s="2">
        <f t="shared" si="0"/>
        <v>-1</v>
      </c>
      <c r="I6" s="2">
        <f t="shared" si="1"/>
        <v>-1</v>
      </c>
      <c r="J6" s="2">
        <f t="shared" si="2"/>
        <v>-1</v>
      </c>
      <c r="K6" s="2">
        <f t="shared" si="3"/>
        <v>-1</v>
      </c>
      <c r="L6" s="2">
        <f t="shared" si="4"/>
        <v>-1</v>
      </c>
      <c r="M6" s="2">
        <f t="shared" si="5"/>
        <v>-1</v>
      </c>
      <c r="N6" s="2">
        <f t="shared" si="6"/>
        <v>0</v>
      </c>
      <c r="O6" s="2">
        <f t="shared" si="7"/>
        <v>0</v>
      </c>
      <c r="P6" t="s">
        <v>89</v>
      </c>
      <c r="Q6">
        <v>0.99839999999999995</v>
      </c>
      <c r="R6" s="4">
        <f t="shared" si="8"/>
        <v>234</v>
      </c>
      <c r="S6">
        <v>5</v>
      </c>
      <c r="T6" s="1">
        <f t="shared" si="9"/>
        <v>9.9676039769908721E-3</v>
      </c>
      <c r="U6" t="b">
        <f t="shared" ref="U6:U65" si="10">T6=B6</f>
        <v>1</v>
      </c>
      <c r="V6" t="b">
        <f>_xll.SigFig(B6,1)=_xll.SigFig(T6,1)</f>
        <v>1</v>
      </c>
    </row>
    <row r="7" spans="1:22">
      <c r="A7" t="s">
        <v>91</v>
      </c>
      <c r="B7" s="1">
        <v>9.9676039769908721E-3</v>
      </c>
      <c r="C7" s="2">
        <f t="shared" si="0"/>
        <v>-1</v>
      </c>
      <c r="D7" s="2">
        <f t="shared" si="0"/>
        <v>-1</v>
      </c>
      <c r="E7" s="2">
        <f t="shared" si="0"/>
        <v>-1</v>
      </c>
      <c r="F7" s="2">
        <f t="shared" si="0"/>
        <v>-1</v>
      </c>
      <c r="G7" s="2">
        <f t="shared" si="0"/>
        <v>-1</v>
      </c>
      <c r="H7" s="2">
        <f t="shared" si="0"/>
        <v>-1</v>
      </c>
      <c r="I7" s="2">
        <f t="shared" si="1"/>
        <v>-1</v>
      </c>
      <c r="J7" s="2">
        <f t="shared" si="2"/>
        <v>-1</v>
      </c>
      <c r="K7" s="2">
        <f t="shared" si="3"/>
        <v>-1</v>
      </c>
      <c r="L7" s="2">
        <f t="shared" si="4"/>
        <v>-1</v>
      </c>
      <c r="M7" s="2">
        <f t="shared" si="5"/>
        <v>-1</v>
      </c>
      <c r="N7" s="2">
        <f t="shared" si="6"/>
        <v>0</v>
      </c>
      <c r="O7" s="2">
        <f t="shared" si="7"/>
        <v>0</v>
      </c>
      <c r="P7" t="s">
        <v>90</v>
      </c>
      <c r="Q7">
        <v>1.6000000000000001E-3</v>
      </c>
      <c r="R7" s="4">
        <f t="shared" si="8"/>
        <v>234</v>
      </c>
      <c r="S7">
        <v>6</v>
      </c>
      <c r="T7" s="1">
        <f t="shared" si="9"/>
        <v>9.9676039769908721E-3</v>
      </c>
      <c r="U7" t="b">
        <f t="shared" si="10"/>
        <v>1</v>
      </c>
      <c r="V7" t="b">
        <f>_xll.SigFig(B7,1)=_xll.SigFig(T7,1)</f>
        <v>1</v>
      </c>
    </row>
    <row r="8" spans="1:22">
      <c r="A8" t="s">
        <v>89</v>
      </c>
      <c r="B8" s="1">
        <v>8.9286620835894818E-14</v>
      </c>
      <c r="C8" s="2">
        <f t="shared" si="0"/>
        <v>5.5000000000000003E-7</v>
      </c>
      <c r="D8" s="2">
        <f t="shared" si="0"/>
        <v>6.4000000000000001E-7</v>
      </c>
      <c r="E8" s="2">
        <f t="shared" si="0"/>
        <v>3.1E-6</v>
      </c>
      <c r="F8" s="2">
        <f t="shared" si="0"/>
        <v>2.0999999999999998E-6</v>
      </c>
      <c r="G8" s="2">
        <f t="shared" si="0"/>
        <v>8.4999999999999999E-6</v>
      </c>
      <c r="H8" s="2">
        <f t="shared" si="0"/>
        <v>6.8000000000000001E-6</v>
      </c>
      <c r="I8" s="2">
        <f t="shared" si="1"/>
        <v>4.9000000000000002E-8</v>
      </c>
      <c r="J8" s="2">
        <f t="shared" si="2"/>
        <v>5.6000000000000004E-7</v>
      </c>
      <c r="K8" s="2">
        <f t="shared" si="3"/>
        <v>3.4999999999999999E-6</v>
      </c>
      <c r="L8" s="2">
        <f t="shared" si="4"/>
        <v>9.3999999999999998E-6</v>
      </c>
      <c r="M8" s="2">
        <f t="shared" si="5"/>
        <v>4.9000000000000002E-8</v>
      </c>
      <c r="N8" s="2">
        <f t="shared" si="6"/>
        <v>40</v>
      </c>
      <c r="O8" s="2">
        <f t="shared" si="7"/>
        <v>6.0000000000000001E-3</v>
      </c>
      <c r="P8" t="s">
        <v>83</v>
      </c>
      <c r="Q8">
        <v>1</v>
      </c>
      <c r="R8" s="4">
        <f t="shared" si="8"/>
        <v>234</v>
      </c>
      <c r="S8">
        <v>7</v>
      </c>
      <c r="T8" s="1">
        <f t="shared" si="9"/>
        <v>8.9286620835894818E-14</v>
      </c>
      <c r="U8" t="b">
        <f>_xll.SigFig(T8,5)=_xll.SigFig(B8,5)</f>
        <v>1</v>
      </c>
      <c r="V8" t="b">
        <f>_xll.SigFig(B8,1)=_xll.SigFig(T8,1)</f>
        <v>1</v>
      </c>
    </row>
    <row r="9" spans="1:22">
      <c r="A9" t="s">
        <v>83</v>
      </c>
      <c r="B9" s="1">
        <v>2.9130648177228285E-13</v>
      </c>
      <c r="C9" s="2">
        <f t="shared" si="0"/>
        <v>-1</v>
      </c>
      <c r="D9" s="2">
        <f t="shared" si="0"/>
        <v>-1</v>
      </c>
      <c r="E9" s="2">
        <f t="shared" si="0"/>
        <v>4.0000000000000003E-5</v>
      </c>
      <c r="F9" s="2">
        <f t="shared" si="0"/>
        <v>2.8E-5</v>
      </c>
      <c r="G9" s="2">
        <f t="shared" si="0"/>
        <v>1.2999999999999999E-5</v>
      </c>
      <c r="H9" s="2">
        <f t="shared" si="0"/>
        <v>7.1999999999999997E-6</v>
      </c>
      <c r="I9" s="2">
        <f t="shared" si="1"/>
        <v>2.1E-7</v>
      </c>
      <c r="J9" s="2">
        <f t="shared" si="2"/>
        <v>1E-4</v>
      </c>
      <c r="K9" s="2">
        <f t="shared" si="3"/>
        <v>4.3000000000000002E-5</v>
      </c>
      <c r="L9" s="2">
        <f t="shared" si="4"/>
        <v>1.4E-5</v>
      </c>
      <c r="M9" s="2">
        <f t="shared" si="5"/>
        <v>2.1E-7</v>
      </c>
      <c r="N9" s="2">
        <f t="shared" si="6"/>
        <v>10</v>
      </c>
      <c r="O9" s="2">
        <f t="shared" si="7"/>
        <v>1E-3</v>
      </c>
      <c r="P9" t="s">
        <v>76</v>
      </c>
      <c r="Q9">
        <v>1</v>
      </c>
      <c r="R9" s="4">
        <f t="shared" si="8"/>
        <v>230</v>
      </c>
      <c r="S9">
        <v>8</v>
      </c>
      <c r="T9" s="1">
        <f t="shared" si="9"/>
        <v>2.9130648177228285E-13</v>
      </c>
      <c r="U9" t="b">
        <f t="shared" si="10"/>
        <v>1</v>
      </c>
      <c r="V9" t="b">
        <f>_xll.SigFig(B9,1)=_xll.SigFig(T9,1)</f>
        <v>1</v>
      </c>
    </row>
    <row r="10" spans="1:22">
      <c r="A10" t="s">
        <v>76</v>
      </c>
      <c r="B10" s="1">
        <v>1.3727817953518829E-11</v>
      </c>
      <c r="C10" s="2">
        <f t="shared" si="0"/>
        <v>-1</v>
      </c>
      <c r="D10" s="2">
        <f t="shared" si="0"/>
        <v>-1</v>
      </c>
      <c r="E10" s="2">
        <f t="shared" si="0"/>
        <v>3.1999999999999999E-6</v>
      </c>
      <c r="F10" s="2">
        <f t="shared" si="0"/>
        <v>2.2000000000000001E-6</v>
      </c>
      <c r="G10" s="2">
        <f t="shared" si="0"/>
        <v>-1</v>
      </c>
      <c r="H10" s="2">
        <f t="shared" si="0"/>
        <v>-1</v>
      </c>
      <c r="I10" s="2">
        <f t="shared" si="1"/>
        <v>2.8000000000000002E-7</v>
      </c>
      <c r="J10" s="2">
        <f t="shared" si="2"/>
        <v>3.5999999999999999E-7</v>
      </c>
      <c r="K10" s="2">
        <f t="shared" si="3"/>
        <v>3.4999999999999999E-6</v>
      </c>
      <c r="L10" s="2">
        <f t="shared" si="4"/>
        <v>9.5000000000000005E-6</v>
      </c>
      <c r="M10" s="2">
        <f t="shared" si="5"/>
        <v>2.8000000000000002E-7</v>
      </c>
      <c r="N10" s="2">
        <f t="shared" si="6"/>
        <v>0.2</v>
      </c>
      <c r="O10" s="2">
        <f t="shared" si="7"/>
        <v>3.0000000000000001E-3</v>
      </c>
      <c r="P10" t="s">
        <v>70</v>
      </c>
      <c r="Q10">
        <v>1</v>
      </c>
      <c r="R10" s="4">
        <f t="shared" si="8"/>
        <v>226</v>
      </c>
      <c r="S10">
        <v>9</v>
      </c>
      <c r="T10" s="1">
        <f t="shared" si="9"/>
        <v>1.3727817953518829E-11</v>
      </c>
      <c r="U10" t="b">
        <f t="shared" si="10"/>
        <v>1</v>
      </c>
      <c r="V10" t="b">
        <f>_xll.SigFig(B10,1)=_xll.SigFig(T10,1)</f>
        <v>1</v>
      </c>
    </row>
    <row r="11" spans="1:22">
      <c r="A11" t="s">
        <v>70</v>
      </c>
      <c r="B11" s="1">
        <v>2.0993381618638959E-6</v>
      </c>
      <c r="C11" s="2">
        <f t="shared" si="0"/>
        <v>-1</v>
      </c>
      <c r="D11" s="2">
        <f t="shared" si="0"/>
        <v>-1</v>
      </c>
      <c r="E11" s="2">
        <f t="shared" si="0"/>
        <v>-1</v>
      </c>
      <c r="F11" s="2">
        <f t="shared" si="0"/>
        <v>-1</v>
      </c>
      <c r="G11" s="2">
        <f t="shared" si="0"/>
        <v>-1</v>
      </c>
      <c r="H11" s="2">
        <f t="shared" si="0"/>
        <v>-1</v>
      </c>
      <c r="I11" s="2">
        <f t="shared" si="1"/>
        <v>-1</v>
      </c>
      <c r="J11" s="2">
        <f t="shared" si="2"/>
        <v>-1</v>
      </c>
      <c r="K11" s="2">
        <f t="shared" si="3"/>
        <v>-1</v>
      </c>
      <c r="L11" s="2">
        <f t="shared" si="4"/>
        <v>-1</v>
      </c>
      <c r="M11" s="2">
        <f t="shared" si="5"/>
        <v>-1</v>
      </c>
      <c r="N11" s="2">
        <f t="shared" si="6"/>
        <v>0.30000000000000004</v>
      </c>
      <c r="O11" s="2">
        <f t="shared" si="7"/>
        <v>4.0000000000000001E-3</v>
      </c>
      <c r="P11" t="s">
        <v>65</v>
      </c>
      <c r="Q11">
        <v>1</v>
      </c>
      <c r="R11" s="4">
        <f t="shared" si="8"/>
        <v>222</v>
      </c>
      <c r="S11">
        <v>10</v>
      </c>
      <c r="T11" s="1">
        <f t="shared" si="9"/>
        <v>2.0993381618638959E-6</v>
      </c>
      <c r="U11" t="b">
        <f>_xll.SigFig(T11,5)=_xll.SigFig(B11,5)</f>
        <v>1</v>
      </c>
      <c r="V11" t="b">
        <f>_xll.SigFig(B11,1)=_xll.SigFig(T11,1)</f>
        <v>1</v>
      </c>
    </row>
    <row r="12" spans="1:22">
      <c r="A12" t="s">
        <v>65</v>
      </c>
      <c r="B12" s="1">
        <v>3.730207623291063E-3</v>
      </c>
      <c r="C12" s="2">
        <f t="shared" ref="C12:H21" si="11">IF(ISNA(VLOOKUP($A12,_68inh,COLUMN(C12)-1,FALSE)),-1,VLOOKUP($A12,_68inh,COLUMN(C12)-1,FALSE))</f>
        <v>-1</v>
      </c>
      <c r="D12" s="2">
        <f t="shared" si="11"/>
        <v>-1</v>
      </c>
      <c r="E12" s="2">
        <f t="shared" si="11"/>
        <v>-1</v>
      </c>
      <c r="F12" s="2">
        <f t="shared" si="11"/>
        <v>-1</v>
      </c>
      <c r="G12" s="2">
        <f t="shared" si="11"/>
        <v>-1</v>
      </c>
      <c r="H12" s="2">
        <f t="shared" si="11"/>
        <v>-1</v>
      </c>
      <c r="I12" s="2">
        <f t="shared" si="1"/>
        <v>-1</v>
      </c>
      <c r="J12" s="2">
        <f t="shared" si="2"/>
        <v>-1</v>
      </c>
      <c r="K12" s="2">
        <f t="shared" si="3"/>
        <v>-1</v>
      </c>
      <c r="L12" s="2">
        <f t="shared" si="4"/>
        <v>-1</v>
      </c>
      <c r="M12" s="2">
        <f t="shared" si="5"/>
        <v>-1</v>
      </c>
      <c r="N12" s="2">
        <f t="shared" si="6"/>
        <v>0</v>
      </c>
      <c r="O12" s="2">
        <f t="shared" si="7"/>
        <v>0</v>
      </c>
      <c r="P12" t="s">
        <v>56</v>
      </c>
      <c r="Q12">
        <v>0.99980000000000002</v>
      </c>
      <c r="R12" s="4">
        <f t="shared" si="8"/>
        <v>218</v>
      </c>
      <c r="S12">
        <v>11</v>
      </c>
      <c r="T12" s="1">
        <f t="shared" si="9"/>
        <v>3.730207623291063E-3</v>
      </c>
      <c r="U12" t="b">
        <f>_xll.SigFig(T12,5)=_xll.SigFig(B12,5)</f>
        <v>1</v>
      </c>
      <c r="V12" t="b">
        <f>_xll.SigFig(B12,1)=_xll.SigFig(T12,1)</f>
        <v>1</v>
      </c>
    </row>
    <row r="13" spans="1:22">
      <c r="A13" t="s">
        <v>65</v>
      </c>
      <c r="B13" s="1">
        <v>3.730207623291063E-3</v>
      </c>
      <c r="C13" s="2">
        <f t="shared" si="11"/>
        <v>-1</v>
      </c>
      <c r="D13" s="2">
        <f t="shared" si="11"/>
        <v>-1</v>
      </c>
      <c r="E13" s="2">
        <f t="shared" si="11"/>
        <v>-1</v>
      </c>
      <c r="F13" s="2">
        <f t="shared" si="11"/>
        <v>-1</v>
      </c>
      <c r="G13" s="2">
        <f t="shared" si="11"/>
        <v>-1</v>
      </c>
      <c r="H13" s="2">
        <f t="shared" si="11"/>
        <v>-1</v>
      </c>
      <c r="I13" s="2">
        <f t="shared" si="1"/>
        <v>-1</v>
      </c>
      <c r="J13" s="2">
        <f t="shared" si="2"/>
        <v>-1</v>
      </c>
      <c r="K13" s="2">
        <f t="shared" si="3"/>
        <v>-1</v>
      </c>
      <c r="L13" s="2">
        <f t="shared" si="4"/>
        <v>-1</v>
      </c>
      <c r="M13" s="2">
        <f t="shared" si="5"/>
        <v>-1</v>
      </c>
      <c r="N13" s="2">
        <f t="shared" si="6"/>
        <v>0</v>
      </c>
      <c r="O13" s="2">
        <f t="shared" si="7"/>
        <v>0</v>
      </c>
      <c r="P13" t="s">
        <v>64</v>
      </c>
      <c r="Q13">
        <v>2.0000000000000001E-4</v>
      </c>
      <c r="R13" s="4">
        <f t="shared" si="8"/>
        <v>218</v>
      </c>
      <c r="S13">
        <v>12</v>
      </c>
      <c r="T13" s="1">
        <f t="shared" si="9"/>
        <v>3.730207623291063E-3</v>
      </c>
      <c r="U13" t="b">
        <f>_xll.SigFig(T13,5)=_xll.SigFig(B13,5)</f>
        <v>1</v>
      </c>
      <c r="V13" t="b">
        <f>_xll.SigFig(B13,1)=_xll.SigFig(T13,1)</f>
        <v>1</v>
      </c>
    </row>
    <row r="14" spans="1:22">
      <c r="A14" t="s">
        <v>56</v>
      </c>
      <c r="B14" s="1">
        <v>4.2691991904406584E-4</v>
      </c>
      <c r="C14" s="2">
        <f t="shared" si="11"/>
        <v>2.8999999999999999E-9</v>
      </c>
      <c r="D14" s="2">
        <f t="shared" si="11"/>
        <v>4.8E-9</v>
      </c>
      <c r="E14" s="2">
        <f t="shared" si="11"/>
        <v>-1</v>
      </c>
      <c r="F14" s="2">
        <f t="shared" si="11"/>
        <v>-1</v>
      </c>
      <c r="G14" s="2">
        <f t="shared" si="11"/>
        <v>-1</v>
      </c>
      <c r="H14" s="2">
        <f t="shared" si="11"/>
        <v>-1</v>
      </c>
      <c r="I14" s="2">
        <f t="shared" si="1"/>
        <v>1.4000000000000001E-10</v>
      </c>
      <c r="J14" s="2">
        <f t="shared" si="2"/>
        <v>2.7999999999999998E-9</v>
      </c>
      <c r="K14" s="2">
        <f t="shared" si="3"/>
        <v>1.4E-8</v>
      </c>
      <c r="L14" s="2">
        <f t="shared" si="4"/>
        <v>1.4999999999999999E-8</v>
      </c>
      <c r="M14" s="2">
        <f t="shared" si="5"/>
        <v>1.4000000000000001E-10</v>
      </c>
      <c r="N14" s="2">
        <f t="shared" si="6"/>
        <v>0</v>
      </c>
      <c r="O14" s="2">
        <f t="shared" si="7"/>
        <v>0</v>
      </c>
      <c r="P14" t="s">
        <v>55</v>
      </c>
      <c r="Q14">
        <v>1</v>
      </c>
      <c r="R14" s="4">
        <f t="shared" si="8"/>
        <v>214</v>
      </c>
      <c r="S14">
        <v>13</v>
      </c>
      <c r="T14" s="1">
        <f t="shared" si="9"/>
        <v>4.2691991904406584E-4</v>
      </c>
      <c r="U14" t="b">
        <f>_xll.SigFig(T14,5)=_xll.SigFig(B14,5)</f>
        <v>1</v>
      </c>
      <c r="V14" t="b">
        <f>_xll.SigFig(B14,1)=_xll.SigFig(T14,1)</f>
        <v>1</v>
      </c>
    </row>
    <row r="15" spans="1:22">
      <c r="A15" t="s">
        <v>55</v>
      </c>
      <c r="B15" s="1">
        <v>5.8612141092503401E-4</v>
      </c>
      <c r="C15" s="2">
        <f t="shared" si="11"/>
        <v>7.2E-9</v>
      </c>
      <c r="D15" s="2">
        <f t="shared" si="11"/>
        <v>1.2E-8</v>
      </c>
      <c r="E15" s="2">
        <f t="shared" si="11"/>
        <v>1.4E-8</v>
      </c>
      <c r="F15" s="2">
        <f t="shared" si="11"/>
        <v>2.0999999999999999E-8</v>
      </c>
      <c r="G15" s="2">
        <f t="shared" si="11"/>
        <v>-1</v>
      </c>
      <c r="H15" s="2">
        <f t="shared" si="11"/>
        <v>-1</v>
      </c>
      <c r="I15" s="2">
        <f t="shared" si="1"/>
        <v>1.0999999999999999E-10</v>
      </c>
      <c r="J15" s="2">
        <f t="shared" si="2"/>
        <v>7.0999999999999999E-9</v>
      </c>
      <c r="K15" s="2">
        <f t="shared" si="3"/>
        <v>1.4E-8</v>
      </c>
      <c r="L15" s="2">
        <f t="shared" si="4"/>
        <v>-1</v>
      </c>
      <c r="M15" s="2">
        <f t="shared" si="5"/>
        <v>1.0999999999999999E-10</v>
      </c>
      <c r="N15" s="2">
        <f t="shared" si="6"/>
        <v>0</v>
      </c>
      <c r="O15" s="2">
        <f t="shared" si="7"/>
        <v>0</v>
      </c>
      <c r="P15" t="s">
        <v>54</v>
      </c>
      <c r="Q15">
        <v>0.99790000000000001</v>
      </c>
      <c r="R15" s="4">
        <f t="shared" si="8"/>
        <v>214</v>
      </c>
      <c r="S15">
        <v>14</v>
      </c>
      <c r="T15" s="1">
        <f t="shared" si="9"/>
        <v>5.8612141092503401E-4</v>
      </c>
      <c r="U15" t="b">
        <f>_xll.SigFig(T15,5)=_xll.SigFig(B15,5)</f>
        <v>1</v>
      </c>
      <c r="V15" t="b">
        <f>_xll.SigFig(B15,1)=_xll.SigFig(T15,1)</f>
        <v>1</v>
      </c>
    </row>
    <row r="16" spans="1:22">
      <c r="A16" t="s">
        <v>55</v>
      </c>
      <c r="B16" s="1">
        <v>5.8612141092503401E-4</v>
      </c>
      <c r="C16" s="2">
        <f t="shared" si="11"/>
        <v>7.2E-9</v>
      </c>
      <c r="D16" s="2">
        <f t="shared" si="11"/>
        <v>1.2E-8</v>
      </c>
      <c r="E16" s="2">
        <f t="shared" si="11"/>
        <v>1.4E-8</v>
      </c>
      <c r="F16" s="2">
        <f t="shared" si="11"/>
        <v>2.0999999999999999E-8</v>
      </c>
      <c r="G16" s="2">
        <f t="shared" si="11"/>
        <v>-1</v>
      </c>
      <c r="H16" s="2">
        <f t="shared" si="11"/>
        <v>-1</v>
      </c>
      <c r="I16" s="2">
        <f t="shared" si="1"/>
        <v>1.0999999999999999E-10</v>
      </c>
      <c r="J16" s="2">
        <f t="shared" si="2"/>
        <v>7.0999999999999999E-9</v>
      </c>
      <c r="K16" s="2">
        <f t="shared" si="3"/>
        <v>1.4E-8</v>
      </c>
      <c r="L16" s="2">
        <f t="shared" si="4"/>
        <v>-1</v>
      </c>
      <c r="M16" s="2">
        <f t="shared" si="5"/>
        <v>1.0999999999999999E-10</v>
      </c>
      <c r="N16" s="2">
        <f t="shared" si="6"/>
        <v>0</v>
      </c>
      <c r="O16" s="2">
        <f t="shared" si="7"/>
        <v>0</v>
      </c>
      <c r="P16" t="s">
        <v>45</v>
      </c>
      <c r="Q16">
        <v>2.0999999999999899E-3</v>
      </c>
      <c r="R16" s="4">
        <f t="shared" si="8"/>
        <v>214</v>
      </c>
      <c r="S16">
        <v>15</v>
      </c>
      <c r="T16" s="1">
        <f t="shared" si="9"/>
        <v>5.8612141092503401E-4</v>
      </c>
      <c r="U16" t="b">
        <f>_xll.SigFig(T16,5)=_xll.SigFig(B16,5)</f>
        <v>1</v>
      </c>
      <c r="V16" t="b">
        <f>_xll.SigFig(B16,1)=_xll.SigFig(T16,1)</f>
        <v>1</v>
      </c>
    </row>
    <row r="17" spans="1:22">
      <c r="A17" t="s">
        <v>54</v>
      </c>
      <c r="B17" s="1">
        <v>4239.950945436417</v>
      </c>
      <c r="C17" s="2">
        <f t="shared" si="11"/>
        <v>-1</v>
      </c>
      <c r="D17" s="2">
        <f t="shared" si="11"/>
        <v>-1</v>
      </c>
      <c r="E17" s="2">
        <f t="shared" si="11"/>
        <v>-1</v>
      </c>
      <c r="F17" s="2">
        <f t="shared" si="11"/>
        <v>-1</v>
      </c>
      <c r="G17" s="2">
        <f t="shared" si="11"/>
        <v>-1</v>
      </c>
      <c r="H17" s="2">
        <f t="shared" si="11"/>
        <v>-1</v>
      </c>
      <c r="I17" s="2">
        <f t="shared" si="1"/>
        <v>-1</v>
      </c>
      <c r="J17" s="2">
        <f t="shared" si="2"/>
        <v>-1</v>
      </c>
      <c r="K17" s="2">
        <f t="shared" si="3"/>
        <v>-1</v>
      </c>
      <c r="L17" s="2">
        <f t="shared" si="4"/>
        <v>-1</v>
      </c>
      <c r="M17" s="2">
        <f t="shared" si="5"/>
        <v>-1</v>
      </c>
      <c r="N17" s="2">
        <f t="shared" si="6"/>
        <v>0</v>
      </c>
      <c r="O17" s="2">
        <f t="shared" si="7"/>
        <v>0</v>
      </c>
      <c r="P17" t="s">
        <v>44</v>
      </c>
      <c r="Q17">
        <v>1</v>
      </c>
      <c r="R17" s="4">
        <f t="shared" si="8"/>
        <v>214</v>
      </c>
      <c r="S17">
        <v>16</v>
      </c>
      <c r="T17" s="1">
        <f t="shared" si="9"/>
        <v>4239.950945436417</v>
      </c>
      <c r="U17" t="b">
        <f>_xll.SigFig(T17,5)=_xll.SigFig(B17,5)</f>
        <v>1</v>
      </c>
      <c r="V17" t="b">
        <f>_xll.SigFig(B17,1)=_xll.SigFig(T17,1)</f>
        <v>1</v>
      </c>
    </row>
    <row r="18" spans="1:22">
      <c r="A18" t="s">
        <v>44</v>
      </c>
      <c r="B18" s="1">
        <v>9.8939228493829396E-10</v>
      </c>
      <c r="C18" s="2">
        <f t="shared" si="11"/>
        <v>8.8999999999999995E-7</v>
      </c>
      <c r="D18" s="2">
        <f t="shared" si="11"/>
        <v>1.1000000000000001E-6</v>
      </c>
      <c r="E18" s="2">
        <f t="shared" si="11"/>
        <v>-1</v>
      </c>
      <c r="F18" s="2">
        <f t="shared" si="11"/>
        <v>-1</v>
      </c>
      <c r="G18" s="2">
        <f t="shared" si="11"/>
        <v>-1</v>
      </c>
      <c r="H18" s="2">
        <f t="shared" si="11"/>
        <v>-1</v>
      </c>
      <c r="I18" s="2">
        <f t="shared" si="1"/>
        <v>6.7999999999999995E-7</v>
      </c>
      <c r="J18" s="2">
        <f t="shared" si="2"/>
        <v>8.9999999999999996E-7</v>
      </c>
      <c r="K18" s="2">
        <f t="shared" si="3"/>
        <v>1.1000000000000001E-6</v>
      </c>
      <c r="L18" s="2">
        <f t="shared" si="4"/>
        <v>5.5999999999999997E-6</v>
      </c>
      <c r="M18" s="2">
        <f t="shared" si="5"/>
        <v>6.8999999999999996E-7</v>
      </c>
      <c r="N18" s="2">
        <f t="shared" si="6"/>
        <v>1</v>
      </c>
      <c r="O18" s="2">
        <f t="shared" si="7"/>
        <v>0.05</v>
      </c>
      <c r="P18" t="s">
        <v>43</v>
      </c>
      <c r="Q18">
        <v>1</v>
      </c>
      <c r="R18" s="4">
        <f t="shared" si="8"/>
        <v>210</v>
      </c>
      <c r="S18">
        <v>17</v>
      </c>
      <c r="T18" s="1">
        <f t="shared" si="9"/>
        <v>9.8939228493829396E-10</v>
      </c>
      <c r="U18" t="b">
        <f t="shared" si="10"/>
        <v>1</v>
      </c>
      <c r="V18" t="b">
        <f>_xll.SigFig(B18,1)=_xll.SigFig(T18,1)</f>
        <v>1</v>
      </c>
    </row>
    <row r="19" spans="1:22">
      <c r="A19" t="s">
        <v>43</v>
      </c>
      <c r="B19" s="1">
        <v>1.6006657645723072E-6</v>
      </c>
      <c r="C19" s="2">
        <f t="shared" si="11"/>
        <v>1.0999999999999999E-9</v>
      </c>
      <c r="D19" s="2">
        <f t="shared" si="11"/>
        <v>1.3999999999999999E-9</v>
      </c>
      <c r="E19" s="2">
        <f t="shared" si="11"/>
        <v>8.3999999999999998E-8</v>
      </c>
      <c r="F19" s="2">
        <f t="shared" si="11"/>
        <v>5.9999999999999995E-8</v>
      </c>
      <c r="G19" s="2">
        <f t="shared" si="11"/>
        <v>-1</v>
      </c>
      <c r="H19" s="2">
        <f t="shared" si="11"/>
        <v>-1</v>
      </c>
      <c r="I19" s="2">
        <f t="shared" si="1"/>
        <v>1.3000000000000001E-9</v>
      </c>
      <c r="J19" s="2">
        <f t="shared" si="2"/>
        <v>1.0999999999999999E-9</v>
      </c>
      <c r="K19" s="2">
        <f t="shared" si="3"/>
        <v>9.2999999999999999E-8</v>
      </c>
      <c r="L19" s="2">
        <f t="shared" si="4"/>
        <v>-1</v>
      </c>
      <c r="M19" s="2">
        <f t="shared" si="5"/>
        <v>1.3000000000000001E-9</v>
      </c>
      <c r="N19" s="2">
        <f t="shared" si="6"/>
        <v>1</v>
      </c>
      <c r="O19" s="2">
        <f t="shared" si="7"/>
        <v>0.60000000000000009</v>
      </c>
      <c r="P19" t="s">
        <v>42</v>
      </c>
      <c r="Q19" s="8">
        <v>0.99986799999999998</v>
      </c>
      <c r="R19" s="4">
        <f t="shared" si="8"/>
        <v>210</v>
      </c>
      <c r="S19">
        <v>18</v>
      </c>
      <c r="T19" s="1">
        <f t="shared" si="9"/>
        <v>1.6006657645723072E-6</v>
      </c>
      <c r="U19" t="b">
        <f t="shared" si="10"/>
        <v>1</v>
      </c>
      <c r="V19" t="b">
        <f>_xll.SigFig(B19,1)=_xll.SigFig(T19,1)</f>
        <v>1</v>
      </c>
    </row>
    <row r="20" spans="1:22">
      <c r="A20" t="s">
        <v>43</v>
      </c>
      <c r="B20" s="1">
        <v>1.6006657645723072E-6</v>
      </c>
      <c r="C20" s="2">
        <f t="shared" si="11"/>
        <v>1.0999999999999999E-9</v>
      </c>
      <c r="D20" s="2">
        <f t="shared" si="11"/>
        <v>1.3999999999999999E-9</v>
      </c>
      <c r="E20" s="2">
        <f t="shared" si="11"/>
        <v>8.3999999999999998E-8</v>
      </c>
      <c r="F20" s="2">
        <f t="shared" si="11"/>
        <v>5.9999999999999995E-8</v>
      </c>
      <c r="G20" s="2">
        <f t="shared" si="11"/>
        <v>-1</v>
      </c>
      <c r="H20" s="2">
        <f t="shared" si="11"/>
        <v>-1</v>
      </c>
      <c r="I20" s="2">
        <f t="shared" si="1"/>
        <v>1.3000000000000001E-9</v>
      </c>
      <c r="J20" s="2">
        <f t="shared" si="2"/>
        <v>1.0999999999999999E-9</v>
      </c>
      <c r="K20" s="2">
        <f t="shared" si="3"/>
        <v>9.2999999999999999E-8</v>
      </c>
      <c r="L20" s="2">
        <f t="shared" si="4"/>
        <v>-1</v>
      </c>
      <c r="M20" s="2">
        <f t="shared" si="5"/>
        <v>1.3000000000000001E-9</v>
      </c>
      <c r="N20" s="2">
        <f t="shared" si="6"/>
        <v>1</v>
      </c>
      <c r="O20" s="2">
        <f t="shared" si="7"/>
        <v>0.60000000000000009</v>
      </c>
      <c r="P20" t="s">
        <v>37</v>
      </c>
      <c r="Q20" s="8">
        <v>1.3200000000000001E-4</v>
      </c>
      <c r="R20" s="4">
        <f t="shared" si="8"/>
        <v>210</v>
      </c>
      <c r="S20">
        <v>19</v>
      </c>
      <c r="T20" s="1">
        <f t="shared" si="9"/>
        <v>1.6006657645723072E-6</v>
      </c>
      <c r="U20" t="b">
        <f t="shared" si="10"/>
        <v>1</v>
      </c>
      <c r="V20" t="b">
        <f>_xll.SigFig(B20,1)=_xll.SigFig(T20,1)</f>
        <v>1</v>
      </c>
    </row>
    <row r="21" spans="1:22">
      <c r="A21" t="s">
        <v>42</v>
      </c>
      <c r="B21" s="1">
        <v>5.7975522207550365E-8</v>
      </c>
      <c r="C21" s="2">
        <f t="shared" si="11"/>
        <v>5.9999999999999997E-7</v>
      </c>
      <c r="D21" s="2">
        <f t="shared" si="11"/>
        <v>7.0999999999999998E-7</v>
      </c>
      <c r="E21" s="2">
        <f t="shared" si="11"/>
        <v>3.0000000000000001E-6</v>
      </c>
      <c r="F21" s="2">
        <f t="shared" si="11"/>
        <v>2.2000000000000001E-6</v>
      </c>
      <c r="G21" s="2">
        <f t="shared" si="11"/>
        <v>-1</v>
      </c>
      <c r="H21" s="2">
        <f t="shared" si="11"/>
        <v>-1</v>
      </c>
      <c r="I21" s="2">
        <f t="shared" si="1"/>
        <v>2.3999999999999998E-7</v>
      </c>
      <c r="J21" s="2">
        <f t="shared" si="2"/>
        <v>6.0999999999999998E-7</v>
      </c>
      <c r="K21" s="2">
        <f t="shared" si="3"/>
        <v>3.3000000000000002E-6</v>
      </c>
      <c r="L21" s="2">
        <f t="shared" si="4"/>
        <v>4.3000000000000003E-6</v>
      </c>
      <c r="M21" s="2">
        <f t="shared" si="5"/>
        <v>1.1999999999999999E-6</v>
      </c>
      <c r="N21" s="2">
        <f t="shared" si="6"/>
        <v>40</v>
      </c>
      <c r="O21" s="2">
        <f t="shared" si="7"/>
        <v>0.02</v>
      </c>
      <c r="P21" t="s">
        <v>142</v>
      </c>
      <c r="Q21">
        <v>1</v>
      </c>
      <c r="R21" s="4">
        <f t="shared" si="8"/>
        <v>210</v>
      </c>
      <c r="S21">
        <v>20</v>
      </c>
      <c r="T21" s="1">
        <f t="shared" si="9"/>
        <v>5.7975522207550365E-8</v>
      </c>
      <c r="U21" t="b">
        <f>_xll.SigFig(T21,5)=_xll.SigFig(B21,5)</f>
        <v>1</v>
      </c>
      <c r="V21" t="b">
        <f>_xll.SigFig(B21,1)=_xll.SigFig(T21,1)</f>
        <v>1</v>
      </c>
    </row>
    <row r="22" spans="1:22">
      <c r="A22" t="s">
        <v>90</v>
      </c>
      <c r="B22" s="1">
        <v>2.8862371981543047E-5</v>
      </c>
      <c r="C22" s="2">
        <f t="shared" ref="C22:H31" si="12">IF(ISNA(VLOOKUP($A22,_68inh,COLUMN(C22)-1,FALSE)),-1,VLOOKUP($A22,_68inh,COLUMN(C22)-1,FALSE))</f>
        <v>-1</v>
      </c>
      <c r="D22" s="2">
        <f t="shared" si="12"/>
        <v>-1</v>
      </c>
      <c r="E22" s="2">
        <f t="shared" si="12"/>
        <v>3.7999999999999998E-10</v>
      </c>
      <c r="F22" s="2">
        <f t="shared" si="12"/>
        <v>5.4999999999999996E-10</v>
      </c>
      <c r="G22" s="2">
        <f t="shared" si="12"/>
        <v>4.0000000000000001E-10</v>
      </c>
      <c r="H22" s="2">
        <f t="shared" si="12"/>
        <v>5.7999999999999996E-10</v>
      </c>
      <c r="I22" s="2">
        <f t="shared" si="1"/>
        <v>5.1E-10</v>
      </c>
      <c r="J22" s="2">
        <f t="shared" si="2"/>
        <v>-1</v>
      </c>
      <c r="K22" s="2">
        <f t="shared" si="3"/>
        <v>3.7999999999999998E-10</v>
      </c>
      <c r="L22" s="2">
        <f t="shared" si="4"/>
        <v>4.0000000000000001E-10</v>
      </c>
      <c r="M22" s="2">
        <f t="shared" si="5"/>
        <v>5.1E-10</v>
      </c>
      <c r="N22" s="2">
        <f t="shared" si="6"/>
        <v>0</v>
      </c>
      <c r="O22" s="2">
        <f t="shared" si="7"/>
        <v>0</v>
      </c>
      <c r="P22" t="s">
        <v>89</v>
      </c>
      <c r="Q22">
        <v>1</v>
      </c>
      <c r="R22" s="4">
        <f t="shared" si="8"/>
        <v>234</v>
      </c>
      <c r="S22">
        <v>21</v>
      </c>
      <c r="T22" s="1">
        <f t="shared" si="9"/>
        <v>2.8862371981543047E-5</v>
      </c>
      <c r="U22" t="b">
        <f>_xll.SigFig(T22,5)=_xll.SigFig(B22,5)</f>
        <v>1</v>
      </c>
      <c r="V22" t="b">
        <f>_xll.SigFig(B22,1)=_xll.SigFig(T22,1)</f>
        <v>1</v>
      </c>
    </row>
    <row r="23" spans="1:22">
      <c r="A23" t="s">
        <v>64</v>
      </c>
      <c r="B23" s="1">
        <v>0.54152123481245729</v>
      </c>
      <c r="C23" s="2">
        <f t="shared" si="12"/>
        <v>-1</v>
      </c>
      <c r="D23" s="2">
        <f t="shared" si="12"/>
        <v>-1</v>
      </c>
      <c r="E23" s="2">
        <f t="shared" si="12"/>
        <v>-1</v>
      </c>
      <c r="F23" s="2">
        <f t="shared" si="12"/>
        <v>-1</v>
      </c>
      <c r="G23" s="2">
        <f t="shared" si="12"/>
        <v>-1</v>
      </c>
      <c r="H23" s="2">
        <f t="shared" si="12"/>
        <v>-1</v>
      </c>
      <c r="I23" s="2">
        <f t="shared" si="1"/>
        <v>-1</v>
      </c>
      <c r="J23" s="2">
        <f t="shared" si="2"/>
        <v>-1</v>
      </c>
      <c r="K23" s="2">
        <f t="shared" si="3"/>
        <v>-1</v>
      </c>
      <c r="L23" s="2">
        <f t="shared" si="4"/>
        <v>-1</v>
      </c>
      <c r="M23" s="2">
        <f t="shared" si="5"/>
        <v>-1</v>
      </c>
      <c r="N23" s="2">
        <f t="shared" si="6"/>
        <v>0</v>
      </c>
      <c r="O23" s="2">
        <f t="shared" si="7"/>
        <v>0</v>
      </c>
      <c r="P23" t="s">
        <v>55</v>
      </c>
      <c r="Q23">
        <v>0.99950000000000006</v>
      </c>
      <c r="R23" s="4">
        <f t="shared" si="8"/>
        <v>218</v>
      </c>
      <c r="S23">
        <v>22</v>
      </c>
      <c r="T23" s="1">
        <f t="shared" si="9"/>
        <v>0.54152123481245729</v>
      </c>
      <c r="U23" t="b">
        <f>_xll.SigFig(T23,5)=_xll.SigFig(B23,5)</f>
        <v>1</v>
      </c>
      <c r="V23" t="b">
        <f>_xll.SigFig(B23,1)=_xll.SigFig(T23,1)</f>
        <v>1</v>
      </c>
    </row>
    <row r="24" spans="1:22">
      <c r="A24" t="s">
        <v>64</v>
      </c>
      <c r="B24" s="1">
        <v>0.54152123481245729</v>
      </c>
      <c r="C24" s="2">
        <f t="shared" si="12"/>
        <v>-1</v>
      </c>
      <c r="D24" s="2">
        <f t="shared" si="12"/>
        <v>-1</v>
      </c>
      <c r="E24" s="2">
        <f t="shared" si="12"/>
        <v>-1</v>
      </c>
      <c r="F24" s="2">
        <f t="shared" si="12"/>
        <v>-1</v>
      </c>
      <c r="G24" s="2">
        <f t="shared" si="12"/>
        <v>-1</v>
      </c>
      <c r="H24" s="2">
        <f t="shared" si="12"/>
        <v>-1</v>
      </c>
      <c r="I24" s="2">
        <f t="shared" si="1"/>
        <v>-1</v>
      </c>
      <c r="J24" s="2">
        <f t="shared" si="2"/>
        <v>-1</v>
      </c>
      <c r="K24" s="2">
        <f t="shared" si="3"/>
        <v>-1</v>
      </c>
      <c r="L24" s="2">
        <f t="shared" si="4"/>
        <v>-1</v>
      </c>
      <c r="M24" s="2">
        <f t="shared" si="5"/>
        <v>-1</v>
      </c>
      <c r="N24" s="2">
        <f t="shared" si="6"/>
        <v>0</v>
      </c>
      <c r="O24" s="2">
        <f t="shared" si="7"/>
        <v>0</v>
      </c>
      <c r="P24" t="s">
        <v>63</v>
      </c>
      <c r="Q24">
        <v>5.0000000000000001E-4</v>
      </c>
      <c r="R24" s="4">
        <f t="shared" si="8"/>
        <v>218</v>
      </c>
      <c r="S24">
        <v>23</v>
      </c>
      <c r="T24" s="1">
        <f t="shared" si="9"/>
        <v>0.54152123481245729</v>
      </c>
      <c r="U24" t="b">
        <f>_xll.SigFig(T24,5)=_xll.SigFig(B24,5)</f>
        <v>1</v>
      </c>
      <c r="V24" t="b">
        <f>_xll.SigFig(B24,1)=_xll.SigFig(T24,1)</f>
        <v>1</v>
      </c>
    </row>
    <row r="25" spans="1:22">
      <c r="A25" t="s">
        <v>63</v>
      </c>
      <c r="B25" s="1">
        <v>20.537694238813192</v>
      </c>
      <c r="C25" s="2">
        <f t="shared" si="12"/>
        <v>-1</v>
      </c>
      <c r="D25" s="2">
        <f t="shared" si="12"/>
        <v>-1</v>
      </c>
      <c r="E25" s="2">
        <f t="shared" si="12"/>
        <v>-1</v>
      </c>
      <c r="F25" s="2">
        <f t="shared" si="12"/>
        <v>-1</v>
      </c>
      <c r="G25" s="2">
        <f t="shared" si="12"/>
        <v>-1</v>
      </c>
      <c r="H25" s="2">
        <f t="shared" si="12"/>
        <v>-1</v>
      </c>
      <c r="I25" s="2">
        <f t="shared" si="1"/>
        <v>-1</v>
      </c>
      <c r="J25" s="2">
        <f t="shared" si="2"/>
        <v>-1</v>
      </c>
      <c r="K25" s="2">
        <f t="shared" si="3"/>
        <v>-1</v>
      </c>
      <c r="L25" s="2">
        <f t="shared" si="4"/>
        <v>-1</v>
      </c>
      <c r="M25" s="2">
        <f t="shared" si="5"/>
        <v>-1</v>
      </c>
      <c r="N25" s="2">
        <f t="shared" si="6"/>
        <v>0</v>
      </c>
      <c r="O25" s="2">
        <f t="shared" si="7"/>
        <v>0</v>
      </c>
      <c r="P25" t="s">
        <v>54</v>
      </c>
      <c r="Q25">
        <v>1</v>
      </c>
      <c r="R25" s="4">
        <f t="shared" si="8"/>
        <v>218</v>
      </c>
      <c r="S25">
        <v>24</v>
      </c>
      <c r="T25" s="1">
        <f t="shared" si="9"/>
        <v>20.537694238813192</v>
      </c>
      <c r="U25" t="b">
        <f>_xll.SigFig(T25,5)=_xll.SigFig(B25,5)</f>
        <v>1</v>
      </c>
      <c r="V25" t="b">
        <f>_xll.SigFig(B25,1)=_xll.SigFig(T25,1)</f>
        <v>1</v>
      </c>
    </row>
    <row r="26" spans="1:22">
      <c r="A26" t="s">
        <v>45</v>
      </c>
      <c r="B26" s="1">
        <v>8.8865023148710937E-3</v>
      </c>
      <c r="C26" s="2">
        <f t="shared" si="12"/>
        <v>-1</v>
      </c>
      <c r="D26" s="2">
        <f t="shared" si="12"/>
        <v>-1</v>
      </c>
      <c r="E26" s="2">
        <f t="shared" si="12"/>
        <v>-1</v>
      </c>
      <c r="F26" s="2">
        <f t="shared" si="12"/>
        <v>-1</v>
      </c>
      <c r="G26" s="2">
        <f t="shared" si="12"/>
        <v>-1</v>
      </c>
      <c r="H26" s="2">
        <f t="shared" si="12"/>
        <v>-1</v>
      </c>
      <c r="I26" s="2">
        <f t="shared" si="1"/>
        <v>-1</v>
      </c>
      <c r="J26" s="2">
        <f t="shared" si="2"/>
        <v>-1</v>
      </c>
      <c r="K26" s="2">
        <f t="shared" si="3"/>
        <v>-1</v>
      </c>
      <c r="L26" s="2">
        <f t="shared" si="4"/>
        <v>-1</v>
      </c>
      <c r="M26" s="2">
        <f t="shared" si="5"/>
        <v>-1</v>
      </c>
      <c r="N26" s="2">
        <f t="shared" si="6"/>
        <v>0</v>
      </c>
      <c r="O26" s="2">
        <f t="shared" si="7"/>
        <v>0</v>
      </c>
      <c r="P26" t="s">
        <v>44</v>
      </c>
      <c r="Q26">
        <v>1</v>
      </c>
      <c r="R26" s="4">
        <f t="shared" si="8"/>
        <v>210</v>
      </c>
      <c r="S26">
        <v>25</v>
      </c>
      <c r="T26" s="1">
        <f t="shared" si="9"/>
        <v>8.8865023148710937E-3</v>
      </c>
      <c r="U26" t="b">
        <f t="shared" si="10"/>
        <v>1</v>
      </c>
      <c r="V26" t="b">
        <f>_xll.SigFig(B26,1)=_xll.SigFig(T26,1)</f>
        <v>1</v>
      </c>
    </row>
    <row r="27" spans="1:22">
      <c r="A27" t="s">
        <v>37</v>
      </c>
      <c r="B27" s="1">
        <v>2.7492748713308949E-3</v>
      </c>
      <c r="C27" s="2">
        <f t="shared" si="12"/>
        <v>-1</v>
      </c>
      <c r="D27" s="2">
        <f t="shared" si="12"/>
        <v>-1</v>
      </c>
      <c r="E27" s="2">
        <f t="shared" si="12"/>
        <v>-1</v>
      </c>
      <c r="F27" s="2">
        <f t="shared" si="12"/>
        <v>-1</v>
      </c>
      <c r="G27" s="2">
        <f t="shared" si="12"/>
        <v>-1</v>
      </c>
      <c r="H27" s="2">
        <f t="shared" si="12"/>
        <v>-1</v>
      </c>
      <c r="I27" s="2">
        <f t="shared" si="1"/>
        <v>-1</v>
      </c>
      <c r="J27" s="2">
        <f t="shared" si="2"/>
        <v>-1</v>
      </c>
      <c r="K27" s="2">
        <f t="shared" si="3"/>
        <v>-1</v>
      </c>
      <c r="L27" s="2">
        <f t="shared" si="4"/>
        <v>-1</v>
      </c>
      <c r="M27" s="2">
        <f t="shared" si="5"/>
        <v>-1</v>
      </c>
      <c r="N27" s="2">
        <f t="shared" si="6"/>
        <v>0</v>
      </c>
      <c r="O27" s="2">
        <f t="shared" si="7"/>
        <v>0</v>
      </c>
      <c r="P27" t="s">
        <v>142</v>
      </c>
      <c r="Q27">
        <v>1</v>
      </c>
      <c r="R27" s="4">
        <f t="shared" si="8"/>
        <v>206</v>
      </c>
      <c r="S27">
        <v>26</v>
      </c>
      <c r="T27" s="1">
        <f t="shared" si="9"/>
        <v>2.7492748713308949E-3</v>
      </c>
      <c r="U27" t="b">
        <f t="shared" si="10"/>
        <v>1</v>
      </c>
      <c r="V27" t="b">
        <f>_xll.SigFig(B27,1)=_xll.SigFig(T27,1)</f>
        <v>1</v>
      </c>
    </row>
    <row r="28" spans="1:22">
      <c r="A28" t="s">
        <v>138</v>
      </c>
      <c r="B28" s="1">
        <v>4.6173026541160665E-12</v>
      </c>
      <c r="C28" s="2">
        <f t="shared" si="12"/>
        <v>-1</v>
      </c>
      <c r="D28" s="2">
        <f t="shared" si="12"/>
        <v>-1</v>
      </c>
      <c r="E28" s="2">
        <f t="shared" si="12"/>
        <v>4.0000000000000003E-5</v>
      </c>
      <c r="F28" s="2">
        <f t="shared" si="12"/>
        <v>2.6999999999999999E-5</v>
      </c>
      <c r="G28" s="2">
        <f t="shared" si="12"/>
        <v>-1</v>
      </c>
      <c r="H28" s="2">
        <f t="shared" si="12"/>
        <v>-1</v>
      </c>
      <c r="I28" s="2">
        <f t="shared" si="1"/>
        <v>2.1E-7</v>
      </c>
      <c r="J28" s="2">
        <f t="shared" si="2"/>
        <v>9.7999999999999997E-5</v>
      </c>
      <c r="K28" s="2">
        <f t="shared" si="3"/>
        <v>4.1999999999999998E-5</v>
      </c>
      <c r="L28" s="2">
        <f t="shared" si="4"/>
        <v>1.5999999999999999E-5</v>
      </c>
      <c r="M28" s="2">
        <f t="shared" si="5"/>
        <v>2.1E-7</v>
      </c>
      <c r="N28" s="2">
        <f t="shared" si="6"/>
        <v>9</v>
      </c>
      <c r="O28" s="2">
        <f t="shared" si="7"/>
        <v>9.0000000000000008E-4</v>
      </c>
      <c r="P28" t="s">
        <v>142</v>
      </c>
      <c r="Q28">
        <v>2.63E-2</v>
      </c>
      <c r="R28" s="4">
        <f t="shared" si="8"/>
        <v>246</v>
      </c>
      <c r="S28">
        <v>27</v>
      </c>
      <c r="T28" s="1">
        <f t="shared" si="9"/>
        <v>4.6173026541160665E-12</v>
      </c>
      <c r="U28" t="b">
        <f>_xll.SigFig(T28,5)=_xll.SigFig(B28,5)</f>
        <v>1</v>
      </c>
      <c r="V28" t="b">
        <f>_xll.SigFig(B28,1)=_xll.SigFig(T28,1)</f>
        <v>1</v>
      </c>
    </row>
    <row r="29" spans="1:22">
      <c r="A29" t="s">
        <v>300</v>
      </c>
      <c r="B29" s="1">
        <v>6.2630478259566936E-11</v>
      </c>
      <c r="C29" s="2">
        <f t="shared" si="12"/>
        <v>-1</v>
      </c>
      <c r="D29" s="2">
        <f t="shared" si="12"/>
        <v>-1</v>
      </c>
      <c r="E29" s="2">
        <f t="shared" si="12"/>
        <v>6.6000000000000005E-5</v>
      </c>
      <c r="F29" s="2">
        <f t="shared" si="12"/>
        <v>4.5000000000000003E-5</v>
      </c>
      <c r="G29" s="2">
        <f t="shared" si="12"/>
        <v>-1</v>
      </c>
      <c r="H29" s="2">
        <f t="shared" si="12"/>
        <v>-1</v>
      </c>
      <c r="I29" s="2">
        <f t="shared" si="1"/>
        <v>3.4999999999999998E-7</v>
      </c>
      <c r="J29" s="2">
        <f t="shared" si="2"/>
        <v>-1</v>
      </c>
      <c r="K29" s="2">
        <f t="shared" si="3"/>
        <v>6.9999999999999994E-5</v>
      </c>
      <c r="L29" s="2">
        <f t="shared" si="4"/>
        <v>-1</v>
      </c>
      <c r="M29" s="2">
        <f t="shared" si="5"/>
        <v>3.4999999999999998E-7</v>
      </c>
      <c r="N29" s="2">
        <f t="shared" si="6"/>
        <v>3</v>
      </c>
      <c r="O29" s="2">
        <f t="shared" si="7"/>
        <v>8.0000000000000004E-4</v>
      </c>
      <c r="P29" t="s">
        <v>137</v>
      </c>
      <c r="Q29">
        <v>1</v>
      </c>
      <c r="R29" s="4">
        <f t="shared" si="8"/>
        <v>249</v>
      </c>
      <c r="S29">
        <v>28</v>
      </c>
      <c r="T29" s="1">
        <f t="shared" si="9"/>
        <v>6.2630478259566936E-11</v>
      </c>
      <c r="U29" t="b">
        <f>_xll.SigFig(T29,5)=_xll.SigFig(B29,5)</f>
        <v>1</v>
      </c>
      <c r="V29" t="b">
        <f>_xll.SigFig(B29,1)=_xll.SigFig(T29,1)</f>
        <v>1</v>
      </c>
    </row>
    <row r="30" spans="1:22">
      <c r="A30" t="s">
        <v>137</v>
      </c>
      <c r="B30" s="1">
        <v>2.6639792268805492E-12</v>
      </c>
      <c r="C30" s="2">
        <f t="shared" si="12"/>
        <v>-1</v>
      </c>
      <c r="D30" s="2">
        <f t="shared" si="12"/>
        <v>-1</v>
      </c>
      <c r="E30" s="2">
        <f t="shared" si="12"/>
        <v>4.0000000000000003E-5</v>
      </c>
      <c r="F30" s="2">
        <f t="shared" si="12"/>
        <v>2.6999999999999999E-5</v>
      </c>
      <c r="G30" s="2">
        <f t="shared" si="12"/>
        <v>-1</v>
      </c>
      <c r="H30" s="2">
        <f t="shared" si="12"/>
        <v>-1</v>
      </c>
      <c r="I30" s="2">
        <f t="shared" si="1"/>
        <v>2.1E-7</v>
      </c>
      <c r="J30" s="2">
        <f t="shared" si="2"/>
        <v>9.8999999999999994E-5</v>
      </c>
      <c r="K30" s="2">
        <f t="shared" si="3"/>
        <v>4.1999999999999998E-5</v>
      </c>
      <c r="L30" s="2">
        <f t="shared" si="4"/>
        <v>1.5999999999999999E-5</v>
      </c>
      <c r="M30" s="2">
        <f t="shared" si="5"/>
        <v>2.1E-7</v>
      </c>
      <c r="N30" s="2">
        <f t="shared" si="6"/>
        <v>9</v>
      </c>
      <c r="O30" s="2">
        <f t="shared" si="7"/>
        <v>9.0000000000000008E-4</v>
      </c>
      <c r="P30" t="s">
        <v>103</v>
      </c>
      <c r="Q30">
        <v>1</v>
      </c>
      <c r="R30" s="4">
        <f t="shared" si="8"/>
        <v>245</v>
      </c>
      <c r="S30">
        <v>29</v>
      </c>
      <c r="T30" s="1">
        <f t="shared" si="9"/>
        <v>2.6639792268805492E-12</v>
      </c>
      <c r="U30" t="b">
        <f>_xll.SigFig(T30,5)=_xll.SigFig(B30,5)</f>
        <v>1</v>
      </c>
      <c r="V30" t="b">
        <f>_xll.SigFig(B30,1)=_xll.SigFig(T30,1)</f>
        <v>1</v>
      </c>
    </row>
    <row r="31" spans="1:22">
      <c r="A31" t="s">
        <v>103</v>
      </c>
      <c r="B31" s="1">
        <v>1.5328710116288734E-9</v>
      </c>
      <c r="C31" s="2">
        <f t="shared" si="12"/>
        <v>-1</v>
      </c>
      <c r="D31" s="2">
        <f t="shared" si="12"/>
        <v>-1</v>
      </c>
      <c r="E31" s="2">
        <f t="shared" si="12"/>
        <v>8.5000000000000001E-7</v>
      </c>
      <c r="F31" s="2">
        <f t="shared" si="12"/>
        <v>5.7999999999999995E-7</v>
      </c>
      <c r="G31" s="2">
        <f t="shared" si="12"/>
        <v>1.6E-7</v>
      </c>
      <c r="H31" s="2">
        <f t="shared" si="12"/>
        <v>8.3999999999999998E-8</v>
      </c>
      <c r="I31" s="2">
        <f t="shared" si="1"/>
        <v>4.6999999999999999E-9</v>
      </c>
      <c r="J31" s="2">
        <f t="shared" si="2"/>
        <v>2.3E-6</v>
      </c>
      <c r="K31" s="2">
        <f t="shared" si="3"/>
        <v>8.9999999999999996E-7</v>
      </c>
      <c r="L31" s="2">
        <f t="shared" si="4"/>
        <v>1.6999999999999999E-7</v>
      </c>
      <c r="M31" s="2">
        <f t="shared" si="5"/>
        <v>4.8E-9</v>
      </c>
      <c r="N31" s="2">
        <f t="shared" si="6"/>
        <v>40</v>
      </c>
      <c r="O31" s="2">
        <f t="shared" si="7"/>
        <v>0.06</v>
      </c>
      <c r="P31" t="s">
        <v>102</v>
      </c>
      <c r="Q31">
        <f>1-Q32</f>
        <v>0.99997530000000001</v>
      </c>
      <c r="R31" s="4">
        <f t="shared" si="8"/>
        <v>241</v>
      </c>
      <c r="S31">
        <v>30</v>
      </c>
      <c r="T31" s="1">
        <f t="shared" si="9"/>
        <v>1.5328710116288734E-9</v>
      </c>
      <c r="U31" t="b">
        <f>_xll.SigFig(T31,5)=_xll.SigFig(B31,5)</f>
        <v>1</v>
      </c>
      <c r="V31" t="b">
        <f>_xll.SigFig(B31,1)=_xll.SigFig(T31,1)</f>
        <v>1</v>
      </c>
    </row>
    <row r="32" spans="1:22">
      <c r="A32" t="s">
        <v>103</v>
      </c>
      <c r="B32" s="1">
        <v>1.5328710116288734E-9</v>
      </c>
      <c r="C32" s="2">
        <f t="shared" ref="C32:H41" si="13">IF(ISNA(VLOOKUP($A32,_68inh,COLUMN(C32)-1,FALSE)),-1,VLOOKUP($A32,_68inh,COLUMN(C32)-1,FALSE))</f>
        <v>-1</v>
      </c>
      <c r="D32" s="2">
        <f t="shared" si="13"/>
        <v>-1</v>
      </c>
      <c r="E32" s="2">
        <f t="shared" si="13"/>
        <v>8.5000000000000001E-7</v>
      </c>
      <c r="F32" s="2">
        <f t="shared" si="13"/>
        <v>5.7999999999999995E-7</v>
      </c>
      <c r="G32" s="2">
        <f t="shared" si="13"/>
        <v>1.6E-7</v>
      </c>
      <c r="H32" s="2">
        <f t="shared" si="13"/>
        <v>8.3999999999999998E-8</v>
      </c>
      <c r="I32" s="2">
        <f t="shared" si="1"/>
        <v>4.6999999999999999E-9</v>
      </c>
      <c r="J32" s="2">
        <f t="shared" si="2"/>
        <v>2.3E-6</v>
      </c>
      <c r="K32" s="2">
        <f t="shared" si="3"/>
        <v>8.9999999999999996E-7</v>
      </c>
      <c r="L32" s="2">
        <f t="shared" si="4"/>
        <v>1.6999999999999999E-7</v>
      </c>
      <c r="M32" s="2">
        <f t="shared" si="5"/>
        <v>4.8E-9</v>
      </c>
      <c r="N32" s="2">
        <f t="shared" si="6"/>
        <v>40</v>
      </c>
      <c r="O32" s="2">
        <f t="shared" si="7"/>
        <v>0.06</v>
      </c>
      <c r="P32" t="s">
        <v>96</v>
      </c>
      <c r="Q32">
        <v>2.4700000000000001E-5</v>
      </c>
      <c r="R32" s="4">
        <f t="shared" si="8"/>
        <v>241</v>
      </c>
      <c r="S32">
        <v>31</v>
      </c>
      <c r="T32" s="1">
        <f t="shared" si="9"/>
        <v>1.5328710116288734E-9</v>
      </c>
      <c r="U32" t="b">
        <f>_xll.SigFig(T32,5)=_xll.SigFig(B32,5)</f>
        <v>1</v>
      </c>
      <c r="V32" t="b">
        <f>_xll.SigFig(B32,1)=_xll.SigFig(T32,1)</f>
        <v>1</v>
      </c>
    </row>
    <row r="33" spans="1:22">
      <c r="A33" t="s">
        <v>102</v>
      </c>
      <c r="B33" s="1">
        <v>5.07732517929499E-11</v>
      </c>
      <c r="C33" s="2">
        <f t="shared" si="13"/>
        <v>-1</v>
      </c>
      <c r="D33" s="2">
        <f t="shared" si="13"/>
        <v>-1</v>
      </c>
      <c r="E33" s="2">
        <f t="shared" si="13"/>
        <v>3.8999999999999999E-5</v>
      </c>
      <c r="F33" s="2">
        <f t="shared" si="13"/>
        <v>2.6999999999999999E-5</v>
      </c>
      <c r="G33" s="2">
        <f t="shared" si="13"/>
        <v>-1</v>
      </c>
      <c r="H33" s="2">
        <f t="shared" si="13"/>
        <v>-1</v>
      </c>
      <c r="I33" s="2">
        <f t="shared" si="1"/>
        <v>1.9999999999999999E-7</v>
      </c>
      <c r="J33" s="2">
        <f t="shared" si="2"/>
        <v>9.6000000000000002E-5</v>
      </c>
      <c r="K33" s="2">
        <f t="shared" si="3"/>
        <v>4.1999999999999998E-5</v>
      </c>
      <c r="L33" s="2">
        <f t="shared" si="4"/>
        <v>1.5999999999999999E-5</v>
      </c>
      <c r="M33" s="2">
        <f t="shared" si="5"/>
        <v>1.9999999999999999E-7</v>
      </c>
      <c r="N33" s="2">
        <f t="shared" si="6"/>
        <v>10</v>
      </c>
      <c r="O33" s="2">
        <f t="shared" si="7"/>
        <v>1E-3</v>
      </c>
      <c r="P33" t="s">
        <v>95</v>
      </c>
      <c r="Q33">
        <v>1</v>
      </c>
      <c r="R33" s="4">
        <f t="shared" si="8"/>
        <v>241</v>
      </c>
      <c r="S33">
        <v>32</v>
      </c>
      <c r="T33" s="1">
        <f t="shared" si="9"/>
        <v>5.07732517929499E-11</v>
      </c>
      <c r="U33" t="b">
        <f t="shared" si="10"/>
        <v>1</v>
      </c>
      <c r="V33" t="b">
        <f>_xll.SigFig(B33,1)=_xll.SigFig(T33,1)</f>
        <v>1</v>
      </c>
    </row>
    <row r="34" spans="1:22">
      <c r="A34" t="s">
        <v>95</v>
      </c>
      <c r="B34" s="1">
        <v>1.0263789124126228E-14</v>
      </c>
      <c r="C34" s="2">
        <f t="shared" si="13"/>
        <v>-1</v>
      </c>
      <c r="D34" s="2">
        <f t="shared" si="13"/>
        <v>-1</v>
      </c>
      <c r="E34" s="2">
        <f t="shared" si="13"/>
        <v>2.0999999999999999E-5</v>
      </c>
      <c r="F34" s="2">
        <f t="shared" si="13"/>
        <v>1.5E-5</v>
      </c>
      <c r="G34" s="2">
        <f t="shared" si="13"/>
        <v>-1</v>
      </c>
      <c r="H34" s="2">
        <f t="shared" si="13"/>
        <v>-1</v>
      </c>
      <c r="I34" s="2">
        <f t="shared" ref="I34:I65" si="14">IF(ISNA(VLOOKUP(A34,_68ing,2,FALSE)),-1,VLOOKUP(A34,_68ing,2,FALSE))</f>
        <v>1.1000000000000001E-7</v>
      </c>
      <c r="J34" s="2">
        <f t="shared" ref="J34:J65" si="15">IF(ISNA(VLOOKUP($A34,_72inh,2,FALSE)),-1,VLOOKUP($A34,_72inh,2,FALSE))</f>
        <v>5.0000000000000002E-5</v>
      </c>
      <c r="K34" s="2">
        <f t="shared" ref="K34:K65" si="16">IF(ISNA(VLOOKUP($A34,_72inh,2,FALSE)),-1,VLOOKUP($A34,_72inh,3,FALSE))</f>
        <v>2.3E-5</v>
      </c>
      <c r="L34" s="2">
        <f t="shared" ref="L34:L65" si="17">IF(ISNA(VLOOKUP($A34,_72inh,2,FALSE)),-1,VLOOKUP($A34,_72inh,4,FALSE))</f>
        <v>1.2E-5</v>
      </c>
      <c r="M34" s="2">
        <f t="shared" ref="M34:M65" si="18">IF(ISNA(VLOOKUP(A34,_72ing,2,FALSE)),-1,VLOOKUP(A34,_72ing,2,FALSE))</f>
        <v>1.1000000000000001E-7</v>
      </c>
      <c r="N34" s="2">
        <f t="shared" ref="N34:N65" si="19">VLOOKUP($A34,A1A2,2,FALSE)</f>
        <v>20</v>
      </c>
      <c r="O34" s="2">
        <f t="shared" ref="O34:O65" si="20">VLOOKUP($A34,A1A2,3,FALSE)</f>
        <v>2E-3</v>
      </c>
      <c r="P34" t="s">
        <v>88</v>
      </c>
      <c r="Q34">
        <v>1</v>
      </c>
      <c r="R34" s="4">
        <f t="shared" ref="R34:R65" si="21">VALUE(IF(RIGHT(RIGHT(A34,SEARCH("-",A34)),1)="M", RIGHT(LEFT(A34,LEN(A34)-1),LEN(LEFT(A34,LEN(A34)-1))-SEARCH("-",A34)),RIGHT(A34,LEN(A34)-SEARCH("-",A34))))</f>
        <v>237</v>
      </c>
      <c r="S34">
        <v>33</v>
      </c>
      <c r="T34" s="1">
        <f t="shared" ref="T34:T65" si="22">VLOOKUP(A34,_lambda,2,FALSE)</f>
        <v>1.0263789124126228E-14</v>
      </c>
      <c r="U34" t="b">
        <f>_xll.SigFig(T34,5)=_xll.SigFig(B34,5)</f>
        <v>1</v>
      </c>
      <c r="V34" t="b">
        <f>_xll.SigFig(B34,1)=_xll.SigFig(T34,1)</f>
        <v>1</v>
      </c>
    </row>
    <row r="35" spans="1:22">
      <c r="A35" t="s">
        <v>88</v>
      </c>
      <c r="B35" s="1">
        <v>2.9740636930626152E-7</v>
      </c>
      <c r="C35" s="2">
        <f t="shared" si="13"/>
        <v>-1</v>
      </c>
      <c r="D35" s="2">
        <f t="shared" si="13"/>
        <v>-1</v>
      </c>
      <c r="E35" s="2">
        <f t="shared" si="13"/>
        <v>3.1E-9</v>
      </c>
      <c r="F35" s="2">
        <f t="shared" si="13"/>
        <v>2.7999999999999998E-9</v>
      </c>
      <c r="G35" s="2">
        <f t="shared" si="13"/>
        <v>3.7E-9</v>
      </c>
      <c r="H35" s="2">
        <f t="shared" si="13"/>
        <v>3.2000000000000001E-9</v>
      </c>
      <c r="I35" s="2">
        <f t="shared" si="14"/>
        <v>8.6999999999999999E-10</v>
      </c>
      <c r="J35" s="2">
        <f t="shared" si="15"/>
        <v>-1</v>
      </c>
      <c r="K35" s="2">
        <f t="shared" si="16"/>
        <v>3.3000000000000002E-9</v>
      </c>
      <c r="L35" s="2">
        <f t="shared" si="17"/>
        <v>3.9000000000000002E-9</v>
      </c>
      <c r="M35" s="2">
        <f t="shared" si="18"/>
        <v>8.6999999999999999E-10</v>
      </c>
      <c r="N35" s="2">
        <f t="shared" si="19"/>
        <v>5</v>
      </c>
      <c r="O35" s="2">
        <f t="shared" si="20"/>
        <v>0.70000000000000007</v>
      </c>
      <c r="P35" t="s">
        <v>87</v>
      </c>
      <c r="Q35">
        <v>1</v>
      </c>
      <c r="R35" s="4">
        <f t="shared" si="21"/>
        <v>233</v>
      </c>
      <c r="S35">
        <v>34</v>
      </c>
      <c r="T35" s="1">
        <f t="shared" si="22"/>
        <v>2.9740636930626152E-7</v>
      </c>
      <c r="U35" t="b">
        <f t="shared" si="10"/>
        <v>1</v>
      </c>
      <c r="V35" t="b">
        <f>_xll.SigFig(B35,1)=_xll.SigFig(T35,1)</f>
        <v>1</v>
      </c>
    </row>
    <row r="36" spans="1:22">
      <c r="A36" t="s">
        <v>87</v>
      </c>
      <c r="B36" s="1">
        <v>1.3814156431213916E-13</v>
      </c>
      <c r="C36" s="2">
        <f t="shared" si="13"/>
        <v>5.7000000000000005E-7</v>
      </c>
      <c r="D36" s="2">
        <f t="shared" si="13"/>
        <v>6.6000000000000003E-7</v>
      </c>
      <c r="E36" s="2">
        <f t="shared" si="13"/>
        <v>3.1999999999999999E-6</v>
      </c>
      <c r="F36" s="2">
        <f t="shared" si="13"/>
        <v>2.2000000000000001E-6</v>
      </c>
      <c r="G36" s="2">
        <f t="shared" si="13"/>
        <v>8.6999999999999997E-6</v>
      </c>
      <c r="H36" s="2">
        <f t="shared" si="13"/>
        <v>6.9E-6</v>
      </c>
      <c r="I36" s="2">
        <f t="shared" si="14"/>
        <v>4.9999999999999998E-8</v>
      </c>
      <c r="J36" s="2">
        <f t="shared" si="15"/>
        <v>5.7999999999999995E-7</v>
      </c>
      <c r="K36" s="2">
        <f t="shared" si="16"/>
        <v>3.5999999999999998E-6</v>
      </c>
      <c r="L36" s="2">
        <f t="shared" si="17"/>
        <v>9.5999999999999996E-6</v>
      </c>
      <c r="M36" s="2">
        <f t="shared" si="18"/>
        <v>5.1E-8</v>
      </c>
      <c r="N36" s="2">
        <f t="shared" si="19"/>
        <v>40</v>
      </c>
      <c r="O36" s="2">
        <f t="shared" si="20"/>
        <v>6.0000000000000001E-3</v>
      </c>
      <c r="P36" t="s">
        <v>82</v>
      </c>
      <c r="Q36">
        <v>1</v>
      </c>
      <c r="R36" s="4">
        <f t="shared" si="21"/>
        <v>233</v>
      </c>
      <c r="S36">
        <v>35</v>
      </c>
      <c r="T36" s="1">
        <f t="shared" si="22"/>
        <v>1.3814156431213916E-13</v>
      </c>
      <c r="U36" t="b">
        <f>_xll.SigFig(T36,5)=_xll.SigFig(B36,5)</f>
        <v>1</v>
      </c>
      <c r="V36" t="b">
        <f>_xll.SigFig(B36,1)=_xll.SigFig(T36,1)</f>
        <v>1</v>
      </c>
    </row>
    <row r="37" spans="1:22">
      <c r="A37" t="s">
        <v>82</v>
      </c>
      <c r="B37" s="1">
        <v>2.7776805217363422E-12</v>
      </c>
      <c r="C37" s="2">
        <f t="shared" si="13"/>
        <v>-1</v>
      </c>
      <c r="D37" s="2">
        <f t="shared" si="13"/>
        <v>-1</v>
      </c>
      <c r="E37" s="2">
        <f t="shared" si="13"/>
        <v>9.8999999999999994E-5</v>
      </c>
      <c r="F37" s="2">
        <f t="shared" si="13"/>
        <v>6.8999999999999997E-5</v>
      </c>
      <c r="G37" s="2">
        <f t="shared" si="13"/>
        <v>6.4999999999999994E-5</v>
      </c>
      <c r="H37" s="2">
        <f t="shared" si="13"/>
        <v>4.8000000000000001E-5</v>
      </c>
      <c r="I37" s="2">
        <f t="shared" si="14"/>
        <v>4.7999999999999996E-7</v>
      </c>
      <c r="J37" s="2">
        <f t="shared" si="15"/>
        <v>2.4000000000000001E-4</v>
      </c>
      <c r="K37" s="2">
        <f t="shared" si="16"/>
        <v>1.1E-4</v>
      </c>
      <c r="L37" s="2">
        <f t="shared" si="17"/>
        <v>7.1000000000000005E-5</v>
      </c>
      <c r="M37" s="2">
        <f t="shared" si="18"/>
        <v>4.8999999999999997E-7</v>
      </c>
      <c r="N37" s="2">
        <f t="shared" si="19"/>
        <v>5</v>
      </c>
      <c r="O37" s="2">
        <f t="shared" si="20"/>
        <v>5.0000000000000001E-4</v>
      </c>
      <c r="P37" t="s">
        <v>75</v>
      </c>
      <c r="Q37">
        <v>1</v>
      </c>
      <c r="R37" s="4">
        <f t="shared" si="21"/>
        <v>229</v>
      </c>
      <c r="S37">
        <v>36</v>
      </c>
      <c r="T37" s="1">
        <f t="shared" si="22"/>
        <v>2.7776805217363422E-12</v>
      </c>
      <c r="U37" t="b">
        <f>_xll.SigFig(T37,5)=_xll.SigFig(B37,5)</f>
        <v>1</v>
      </c>
      <c r="V37" t="b">
        <f>_xll.SigFig(B37,1)=_xll.SigFig(T37,1)</f>
        <v>1</v>
      </c>
    </row>
    <row r="38" spans="1:22">
      <c r="A38" t="s">
        <v>75</v>
      </c>
      <c r="B38" s="1">
        <v>5.4206329811056779E-7</v>
      </c>
      <c r="C38" s="2">
        <f t="shared" si="13"/>
        <v>-1</v>
      </c>
      <c r="D38" s="2">
        <f t="shared" si="13"/>
        <v>-1</v>
      </c>
      <c r="E38" s="2">
        <f t="shared" si="13"/>
        <v>5.8000000000000004E-6</v>
      </c>
      <c r="F38" s="2">
        <f t="shared" si="13"/>
        <v>4.7999999999999998E-6</v>
      </c>
      <c r="G38" s="2">
        <f t="shared" si="13"/>
        <v>-1</v>
      </c>
      <c r="H38" s="2">
        <f t="shared" si="13"/>
        <v>-1</v>
      </c>
      <c r="I38" s="2">
        <f t="shared" si="14"/>
        <v>9.5000000000000004E-8</v>
      </c>
      <c r="J38" s="2">
        <f t="shared" si="15"/>
        <v>1.3E-7</v>
      </c>
      <c r="K38" s="2">
        <f t="shared" si="16"/>
        <v>6.2999999999999998E-6</v>
      </c>
      <c r="L38" s="2">
        <f t="shared" si="17"/>
        <v>7.7000000000000008E-6</v>
      </c>
      <c r="M38" s="2">
        <f t="shared" si="18"/>
        <v>9.9E-8</v>
      </c>
      <c r="N38" s="2">
        <f t="shared" si="19"/>
        <v>0.2</v>
      </c>
      <c r="O38" s="2">
        <f t="shared" si="20"/>
        <v>4.0000000000000001E-3</v>
      </c>
      <c r="P38" t="s">
        <v>74</v>
      </c>
      <c r="Q38">
        <v>1</v>
      </c>
      <c r="R38" s="4">
        <f t="shared" si="21"/>
        <v>225</v>
      </c>
      <c r="S38">
        <v>37</v>
      </c>
      <c r="T38" s="1">
        <f t="shared" si="22"/>
        <v>5.4206329811056779E-7</v>
      </c>
      <c r="U38" t="b">
        <f>_xll.SigFig(T38,5)=_xll.SigFig(B38,5)</f>
        <v>1</v>
      </c>
      <c r="V38" t="b">
        <f>_xll.SigFig(B38,1)=_xll.SigFig(T38,1)</f>
        <v>1</v>
      </c>
    </row>
    <row r="39" spans="1:22">
      <c r="A39" t="s">
        <v>74</v>
      </c>
      <c r="B39" s="1">
        <v>8.0880500171755245E-7</v>
      </c>
      <c r="C39" s="2">
        <f t="shared" si="13"/>
        <v>8.7000000000000003E-7</v>
      </c>
      <c r="D39" s="2">
        <f t="shared" si="13"/>
        <v>9.9999999999999995E-7</v>
      </c>
      <c r="E39" s="2">
        <f t="shared" si="13"/>
        <v>6.9E-6</v>
      </c>
      <c r="F39" s="2">
        <f t="shared" si="13"/>
        <v>5.6999999999999996E-6</v>
      </c>
      <c r="G39" s="2">
        <f t="shared" si="13"/>
        <v>7.9000000000000006E-6</v>
      </c>
      <c r="H39" s="2">
        <f t="shared" si="13"/>
        <v>6.4999999999999996E-6</v>
      </c>
      <c r="I39" s="2">
        <f t="shared" si="14"/>
        <v>2.4E-8</v>
      </c>
      <c r="J39" s="2">
        <f t="shared" si="15"/>
        <v>8.8000000000000004E-7</v>
      </c>
      <c r="K39" s="2">
        <f t="shared" si="16"/>
        <v>7.4000000000000003E-6</v>
      </c>
      <c r="L39" s="2">
        <f t="shared" si="17"/>
        <v>8.4999999999999999E-6</v>
      </c>
      <c r="M39" s="2">
        <f t="shared" si="18"/>
        <v>2.4E-8</v>
      </c>
      <c r="N39" s="2">
        <f t="shared" si="19"/>
        <v>0.8</v>
      </c>
      <c r="O39" s="2">
        <f t="shared" si="20"/>
        <v>6.0000000000000001E-3</v>
      </c>
      <c r="P39" t="s">
        <v>69</v>
      </c>
      <c r="Q39">
        <v>1</v>
      </c>
      <c r="R39" s="4">
        <f t="shared" si="21"/>
        <v>225</v>
      </c>
      <c r="S39">
        <v>38</v>
      </c>
      <c r="T39" s="1">
        <f t="shared" si="22"/>
        <v>8.0880500171755245E-7</v>
      </c>
      <c r="U39" t="b">
        <f>_xll.SigFig(T39,5)=_xll.SigFig(B39,5)</f>
        <v>1</v>
      </c>
      <c r="V39" t="b">
        <f>_xll.SigFig(B39,1)=_xll.SigFig(T39,1)</f>
        <v>1</v>
      </c>
    </row>
    <row r="40" spans="1:22">
      <c r="A40" t="s">
        <v>69</v>
      </c>
      <c r="B40" s="1">
        <v>2.4062597394985258E-3</v>
      </c>
      <c r="C40" s="2">
        <f t="shared" si="13"/>
        <v>-1</v>
      </c>
      <c r="D40" s="2">
        <f t="shared" si="13"/>
        <v>-1</v>
      </c>
      <c r="E40" s="2">
        <f t="shared" si="13"/>
        <v>-1</v>
      </c>
      <c r="F40" s="2">
        <f t="shared" si="13"/>
        <v>-1</v>
      </c>
      <c r="G40" s="2">
        <f t="shared" si="13"/>
        <v>-1</v>
      </c>
      <c r="H40" s="2">
        <f t="shared" si="13"/>
        <v>-1</v>
      </c>
      <c r="I40" s="2">
        <f t="shared" si="14"/>
        <v>-1</v>
      </c>
      <c r="J40" s="2">
        <f t="shared" si="15"/>
        <v>-1</v>
      </c>
      <c r="K40" s="2">
        <f t="shared" si="16"/>
        <v>-1</v>
      </c>
      <c r="L40" s="2">
        <f t="shared" si="17"/>
        <v>-1</v>
      </c>
      <c r="M40" s="2">
        <f t="shared" si="18"/>
        <v>-1</v>
      </c>
      <c r="N40" s="2">
        <f t="shared" si="19"/>
        <v>0</v>
      </c>
      <c r="O40" s="2">
        <f t="shared" si="20"/>
        <v>0</v>
      </c>
      <c r="P40" t="s">
        <v>62</v>
      </c>
      <c r="Q40">
        <v>1</v>
      </c>
      <c r="R40" s="4">
        <f t="shared" si="21"/>
        <v>221</v>
      </c>
      <c r="S40">
        <v>39</v>
      </c>
      <c r="T40" s="1">
        <f t="shared" si="22"/>
        <v>2.4062597394985258E-3</v>
      </c>
      <c r="U40" t="b">
        <f>_xll.SigFig(T40,5)=_xll.SigFig(B40,5)</f>
        <v>1</v>
      </c>
      <c r="V40" t="b">
        <f>_xll.SigFig(B40,1)=_xll.SigFig(T40,1)</f>
        <v>1</v>
      </c>
    </row>
    <row r="41" spans="1:22">
      <c r="A41" t="s">
        <v>62</v>
      </c>
      <c r="B41" s="1">
        <v>21.262183452759054</v>
      </c>
      <c r="C41" s="2">
        <f t="shared" si="13"/>
        <v>-1</v>
      </c>
      <c r="D41" s="2">
        <f t="shared" si="13"/>
        <v>-1</v>
      </c>
      <c r="E41" s="2">
        <f t="shared" si="13"/>
        <v>-1</v>
      </c>
      <c r="F41" s="2">
        <f t="shared" si="13"/>
        <v>-1</v>
      </c>
      <c r="G41" s="2">
        <f t="shared" si="13"/>
        <v>-1</v>
      </c>
      <c r="H41" s="2">
        <f t="shared" si="13"/>
        <v>-1</v>
      </c>
      <c r="I41" s="2">
        <f t="shared" si="14"/>
        <v>-1</v>
      </c>
      <c r="J41" s="2">
        <f t="shared" si="15"/>
        <v>-1</v>
      </c>
      <c r="K41" s="2">
        <f t="shared" si="16"/>
        <v>-1</v>
      </c>
      <c r="L41" s="2">
        <f t="shared" si="17"/>
        <v>-1</v>
      </c>
      <c r="M41" s="2">
        <f t="shared" si="18"/>
        <v>-1</v>
      </c>
      <c r="N41" s="2">
        <f t="shared" si="19"/>
        <v>0</v>
      </c>
      <c r="O41" s="2">
        <f t="shared" si="20"/>
        <v>0</v>
      </c>
      <c r="P41" t="s">
        <v>53</v>
      </c>
      <c r="Q41">
        <v>0.99992999999999999</v>
      </c>
      <c r="R41" s="4">
        <f t="shared" si="21"/>
        <v>217</v>
      </c>
      <c r="S41">
        <v>40</v>
      </c>
      <c r="T41" s="1">
        <f t="shared" si="22"/>
        <v>21.262183452759054</v>
      </c>
      <c r="U41" t="b">
        <f>_xll.SigFig(T41,5)=_xll.SigFig(B41,5)</f>
        <v>1</v>
      </c>
      <c r="V41" t="b">
        <f>_xll.SigFig(B41,1)=_xll.SigFig(T41,1)</f>
        <v>1</v>
      </c>
    </row>
    <row r="42" spans="1:22">
      <c r="A42" t="s">
        <v>62</v>
      </c>
      <c r="B42" s="1">
        <v>21.262183452759054</v>
      </c>
      <c r="C42" s="2">
        <f t="shared" ref="C42:H51" si="23">IF(ISNA(VLOOKUP($A42,_68inh,COLUMN(C42)-1,FALSE)),-1,VLOOKUP($A42,_68inh,COLUMN(C42)-1,FALSE))</f>
        <v>-1</v>
      </c>
      <c r="D42" s="2">
        <f t="shared" si="23"/>
        <v>-1</v>
      </c>
      <c r="E42" s="2">
        <f t="shared" si="23"/>
        <v>-1</v>
      </c>
      <c r="F42" s="2">
        <f t="shared" si="23"/>
        <v>-1</v>
      </c>
      <c r="G42" s="2">
        <f t="shared" si="23"/>
        <v>-1</v>
      </c>
      <c r="H42" s="2">
        <f t="shared" si="23"/>
        <v>-1</v>
      </c>
      <c r="I42" s="2">
        <f t="shared" si="14"/>
        <v>-1</v>
      </c>
      <c r="J42" s="2">
        <f t="shared" si="15"/>
        <v>-1</v>
      </c>
      <c r="K42" s="2">
        <f t="shared" si="16"/>
        <v>-1</v>
      </c>
      <c r="L42" s="2">
        <f t="shared" si="17"/>
        <v>-1</v>
      </c>
      <c r="M42" s="2">
        <f t="shared" si="18"/>
        <v>-1</v>
      </c>
      <c r="N42" s="2">
        <f t="shared" si="19"/>
        <v>0</v>
      </c>
      <c r="O42" s="2">
        <f t="shared" si="20"/>
        <v>0</v>
      </c>
      <c r="P42" t="s">
        <v>61</v>
      </c>
      <c r="Q42">
        <v>6.9999999999999994E-5</v>
      </c>
      <c r="R42" s="4">
        <f t="shared" si="21"/>
        <v>217</v>
      </c>
      <c r="S42">
        <v>41</v>
      </c>
      <c r="T42" s="1">
        <f t="shared" si="22"/>
        <v>21.262183452759054</v>
      </c>
      <c r="U42" t="b">
        <f>_xll.SigFig(T42,5)=_xll.SigFig(B42,5)</f>
        <v>1</v>
      </c>
      <c r="V42" t="b">
        <f>_xll.SigFig(B42,1)=_xll.SigFig(T42,1)</f>
        <v>1</v>
      </c>
    </row>
    <row r="43" spans="1:22">
      <c r="A43" t="s">
        <v>53</v>
      </c>
      <c r="B43" s="1">
        <v>2.5330438330371259E-4</v>
      </c>
      <c r="C43" s="2">
        <f t="shared" si="23"/>
        <v>1.0999999999999999E-8</v>
      </c>
      <c r="D43" s="2">
        <f t="shared" si="23"/>
        <v>1.7999999999999999E-8</v>
      </c>
      <c r="E43" s="2">
        <f t="shared" si="23"/>
        <v>2.9000000000000002E-8</v>
      </c>
      <c r="F43" s="2">
        <f t="shared" si="23"/>
        <v>4.1000000000000003E-8</v>
      </c>
      <c r="G43" s="2">
        <f t="shared" si="23"/>
        <v>-1</v>
      </c>
      <c r="H43" s="2">
        <f t="shared" si="23"/>
        <v>-1</v>
      </c>
      <c r="I43" s="2">
        <f t="shared" si="14"/>
        <v>2.0000000000000001E-10</v>
      </c>
      <c r="J43" s="2">
        <f t="shared" si="15"/>
        <v>1E-8</v>
      </c>
      <c r="K43" s="2">
        <f t="shared" si="16"/>
        <v>2.9999999999999997E-8</v>
      </c>
      <c r="L43" s="2">
        <f t="shared" si="17"/>
        <v>-1</v>
      </c>
      <c r="M43" s="2">
        <f t="shared" si="18"/>
        <v>2.0000000000000001E-10</v>
      </c>
      <c r="N43" s="2">
        <f t="shared" si="19"/>
        <v>0</v>
      </c>
      <c r="O43" s="2">
        <f t="shared" si="20"/>
        <v>0</v>
      </c>
      <c r="P43" t="s">
        <v>52</v>
      </c>
      <c r="Q43">
        <v>0.97860000000000003</v>
      </c>
      <c r="R43" s="4">
        <f t="shared" si="21"/>
        <v>213</v>
      </c>
      <c r="S43">
        <v>42</v>
      </c>
      <c r="T43" s="1">
        <f t="shared" si="22"/>
        <v>2.5330438330371259E-4</v>
      </c>
      <c r="U43" t="b">
        <f>_xll.SigFig(T43,5)=_xll.SigFig(B43,5)</f>
        <v>1</v>
      </c>
      <c r="V43" t="b">
        <f>_xll.SigFig(B43,1)=_xll.SigFig(T43,1)</f>
        <v>1</v>
      </c>
    </row>
    <row r="44" spans="1:22">
      <c r="A44" t="s">
        <v>41</v>
      </c>
      <c r="B44" s="1">
        <v>5.3434102725866892E-3</v>
      </c>
      <c r="C44" s="2">
        <f t="shared" si="23"/>
        <v>-1</v>
      </c>
      <c r="D44" s="2">
        <f t="shared" si="23"/>
        <v>-1</v>
      </c>
      <c r="E44" s="2">
        <f t="shared" si="23"/>
        <v>-1</v>
      </c>
      <c r="F44" s="2">
        <f t="shared" si="23"/>
        <v>-1</v>
      </c>
      <c r="G44" s="2">
        <f t="shared" si="23"/>
        <v>-1</v>
      </c>
      <c r="H44" s="2">
        <f t="shared" si="23"/>
        <v>-1</v>
      </c>
      <c r="I44" s="2">
        <f t="shared" si="14"/>
        <v>-1</v>
      </c>
      <c r="J44" s="2">
        <f t="shared" si="15"/>
        <v>-1</v>
      </c>
      <c r="K44" s="2">
        <f t="shared" si="16"/>
        <v>-1</v>
      </c>
      <c r="L44" s="2">
        <f t="shared" si="17"/>
        <v>-1</v>
      </c>
      <c r="M44" s="2">
        <f t="shared" si="18"/>
        <v>-1</v>
      </c>
      <c r="N44" s="2">
        <f t="shared" si="19"/>
        <v>0</v>
      </c>
      <c r="O44" s="2">
        <f t="shared" si="20"/>
        <v>0</v>
      </c>
      <c r="P44" t="s">
        <v>40</v>
      </c>
      <c r="Q44">
        <v>1</v>
      </c>
      <c r="R44" s="4">
        <f t="shared" si="21"/>
        <v>209</v>
      </c>
      <c r="S44">
        <v>43</v>
      </c>
      <c r="T44" s="1">
        <f t="shared" si="22"/>
        <v>5.3434102725866892E-3</v>
      </c>
      <c r="U44" t="b">
        <f>_xll.SigFig(T44,5)=_xll.SigFig(B44,5)</f>
        <v>1</v>
      </c>
      <c r="V44" t="b">
        <f>_xll.SigFig(B44,1)=_xll.SigFig(T44,1)</f>
        <v>1</v>
      </c>
    </row>
    <row r="45" spans="1:22">
      <c r="A45" t="s">
        <v>40</v>
      </c>
      <c r="B45" s="1">
        <v>5.9518047446328809E-5</v>
      </c>
      <c r="C45" s="2">
        <f t="shared" si="23"/>
        <v>1.7999999999999999E-11</v>
      </c>
      <c r="D45" s="2">
        <f t="shared" si="23"/>
        <v>3.1999999999999999E-11</v>
      </c>
      <c r="E45" s="2">
        <f t="shared" si="23"/>
        <v>-1</v>
      </c>
      <c r="F45" s="2">
        <f t="shared" si="23"/>
        <v>-1</v>
      </c>
      <c r="G45" s="2">
        <f t="shared" si="23"/>
        <v>-1</v>
      </c>
      <c r="H45" s="2">
        <f t="shared" si="23"/>
        <v>-1</v>
      </c>
      <c r="I45" s="2">
        <f t="shared" si="14"/>
        <v>5.6999999999999997E-11</v>
      </c>
      <c r="J45" s="2">
        <f t="shared" si="15"/>
        <v>1.6999999999999999E-11</v>
      </c>
      <c r="K45" s="2">
        <f t="shared" si="16"/>
        <v>5.6E-11</v>
      </c>
      <c r="L45" s="2">
        <f t="shared" si="17"/>
        <v>6.0999999999999996E-11</v>
      </c>
      <c r="M45" s="2">
        <f t="shared" si="18"/>
        <v>5.6999999999999997E-11</v>
      </c>
      <c r="N45" s="2">
        <f t="shared" si="19"/>
        <v>0</v>
      </c>
      <c r="O45" s="2">
        <f t="shared" si="20"/>
        <v>0</v>
      </c>
      <c r="P45" t="s">
        <v>142</v>
      </c>
      <c r="Q45">
        <v>1</v>
      </c>
      <c r="R45" s="4">
        <f t="shared" si="21"/>
        <v>209</v>
      </c>
      <c r="S45">
        <v>44</v>
      </c>
      <c r="T45" s="1">
        <f t="shared" si="22"/>
        <v>5.9518047446328809E-5</v>
      </c>
      <c r="U45" t="b">
        <f>_xll.SigFig(T45,5)=_xll.SigFig(B45,5)</f>
        <v>1</v>
      </c>
      <c r="V45" t="b">
        <f>_xll.SigFig(B45,1)=_xll.SigFig(T45,1)</f>
        <v>1</v>
      </c>
    </row>
    <row r="46" spans="1:22">
      <c r="A46" t="s">
        <v>96</v>
      </c>
      <c r="B46" s="1">
        <v>1.1881719212139224E-6</v>
      </c>
      <c r="C46" s="2">
        <f t="shared" si="23"/>
        <v>1.8999999999999999E-10</v>
      </c>
      <c r="D46" s="2">
        <f t="shared" si="23"/>
        <v>3.3E-10</v>
      </c>
      <c r="E46" s="2">
        <f t="shared" si="23"/>
        <v>1.6000000000000001E-9</v>
      </c>
      <c r="F46" s="2">
        <f t="shared" si="23"/>
        <v>1.5E-9</v>
      </c>
      <c r="G46" s="2">
        <f t="shared" si="23"/>
        <v>1.8E-9</v>
      </c>
      <c r="H46" s="2">
        <f t="shared" si="23"/>
        <v>1.6999999999999999E-9</v>
      </c>
      <c r="I46" s="2">
        <f t="shared" si="14"/>
        <v>7.7000000000000003E-10</v>
      </c>
      <c r="J46" s="2">
        <f t="shared" si="15"/>
        <v>1.8E-10</v>
      </c>
      <c r="K46" s="2">
        <f t="shared" si="16"/>
        <v>1.6999999999999999E-9</v>
      </c>
      <c r="L46" s="2">
        <f t="shared" si="17"/>
        <v>1.9000000000000001E-9</v>
      </c>
      <c r="M46" s="2">
        <f t="shared" si="18"/>
        <v>7.5999999999999996E-10</v>
      </c>
      <c r="N46" s="2">
        <f t="shared" si="19"/>
        <v>0</v>
      </c>
      <c r="O46" s="2">
        <f t="shared" si="20"/>
        <v>0</v>
      </c>
      <c r="P46" t="s">
        <v>95</v>
      </c>
      <c r="Q46">
        <v>1</v>
      </c>
      <c r="R46" s="4">
        <f t="shared" si="21"/>
        <v>237</v>
      </c>
      <c r="S46">
        <v>45</v>
      </c>
      <c r="T46" s="1">
        <f t="shared" si="22"/>
        <v>1.1881719212139224E-6</v>
      </c>
      <c r="U46" t="b">
        <f>_xll.SigFig(T46,5)=_xll.SigFig(B46,5)</f>
        <v>1</v>
      </c>
      <c r="V46" t="b">
        <f>_xll.SigFig(B46,1)=_xll.SigFig(T46,1)</f>
        <v>1</v>
      </c>
    </row>
    <row r="47" spans="1:22">
      <c r="A47" t="s">
        <v>61</v>
      </c>
      <c r="B47" s="1">
        <v>1174.8257297626192</v>
      </c>
      <c r="C47" s="2">
        <f t="shared" si="23"/>
        <v>-1</v>
      </c>
      <c r="D47" s="2">
        <f t="shared" si="23"/>
        <v>-1</v>
      </c>
      <c r="E47" s="2">
        <f t="shared" si="23"/>
        <v>-1</v>
      </c>
      <c r="F47" s="2">
        <f t="shared" si="23"/>
        <v>-1</v>
      </c>
      <c r="G47" s="2">
        <f t="shared" si="23"/>
        <v>-1</v>
      </c>
      <c r="H47" s="2">
        <f t="shared" si="23"/>
        <v>-1</v>
      </c>
      <c r="I47" s="2">
        <f t="shared" si="14"/>
        <v>-1</v>
      </c>
      <c r="J47" s="2">
        <f t="shared" si="15"/>
        <v>-1</v>
      </c>
      <c r="K47" s="2">
        <f t="shared" si="16"/>
        <v>-1</v>
      </c>
      <c r="L47" s="2">
        <f t="shared" si="17"/>
        <v>-1</v>
      </c>
      <c r="M47" s="2">
        <f t="shared" si="18"/>
        <v>-1</v>
      </c>
      <c r="N47" s="2">
        <f t="shared" si="19"/>
        <v>0</v>
      </c>
      <c r="O47" s="2">
        <f t="shared" si="20"/>
        <v>0</v>
      </c>
      <c r="P47" t="s">
        <v>52</v>
      </c>
      <c r="Q47">
        <v>1</v>
      </c>
      <c r="R47" s="4">
        <f t="shared" si="21"/>
        <v>217</v>
      </c>
      <c r="S47">
        <v>46</v>
      </c>
      <c r="T47" s="1">
        <f t="shared" si="22"/>
        <v>1174.8257297626192</v>
      </c>
      <c r="U47" t="b">
        <f>_xll.SigFig(T47,5)=_xll.SigFig(B47,5)</f>
        <v>1</v>
      </c>
      <c r="V47" t="b">
        <f>_xll.SigFig(B47,1)=_xll.SigFig(T47,1)</f>
        <v>1</v>
      </c>
    </row>
    <row r="48" spans="1:22">
      <c r="A48" t="s">
        <v>52</v>
      </c>
      <c r="B48" s="1">
        <v>187033.77780894371</v>
      </c>
      <c r="C48" s="2">
        <f t="shared" si="23"/>
        <v>-1</v>
      </c>
      <c r="D48" s="2">
        <f t="shared" si="23"/>
        <v>-1</v>
      </c>
      <c r="E48" s="2">
        <f t="shared" si="23"/>
        <v>-1</v>
      </c>
      <c r="F48" s="2">
        <f t="shared" si="23"/>
        <v>-1</v>
      </c>
      <c r="G48" s="2">
        <f t="shared" si="23"/>
        <v>-1</v>
      </c>
      <c r="H48" s="2">
        <f t="shared" si="23"/>
        <v>-1</v>
      </c>
      <c r="I48" s="2">
        <f t="shared" si="14"/>
        <v>-1</v>
      </c>
      <c r="J48" s="2">
        <f t="shared" si="15"/>
        <v>-1</v>
      </c>
      <c r="K48" s="2">
        <f t="shared" si="16"/>
        <v>-1</v>
      </c>
      <c r="L48" s="2">
        <f t="shared" si="17"/>
        <v>-1</v>
      </c>
      <c r="M48" s="2">
        <f t="shared" si="18"/>
        <v>-1</v>
      </c>
      <c r="N48" s="2">
        <f t="shared" si="19"/>
        <v>0</v>
      </c>
      <c r="O48" s="2">
        <f t="shared" si="20"/>
        <v>0</v>
      </c>
      <c r="P48" t="s">
        <v>40</v>
      </c>
      <c r="Q48">
        <v>1</v>
      </c>
      <c r="R48" s="4">
        <f t="shared" si="21"/>
        <v>213</v>
      </c>
      <c r="S48">
        <v>47</v>
      </c>
      <c r="T48" s="1">
        <f t="shared" si="22"/>
        <v>187033.77780894371</v>
      </c>
      <c r="U48" t="b">
        <f>_xll.SigFig(T48,5)=_xll.SigFig(B48,5)</f>
        <v>1</v>
      </c>
      <c r="V48" t="b">
        <f>_xll.SigFig(B48,1)=_xll.SigFig(T48,1)</f>
        <v>1</v>
      </c>
    </row>
    <row r="49" spans="1:22">
      <c r="A49" t="s">
        <v>106</v>
      </c>
      <c r="B49" s="1">
        <v>1.2127047662119108E-9</v>
      </c>
      <c r="C49" s="2">
        <f t="shared" si="23"/>
        <v>-1</v>
      </c>
      <c r="D49" s="2">
        <f t="shared" si="23"/>
        <v>-1</v>
      </c>
      <c r="E49" s="2">
        <f t="shared" si="23"/>
        <v>2.5000000000000001E-5</v>
      </c>
      <c r="F49" s="2">
        <f t="shared" si="23"/>
        <v>1.7E-5</v>
      </c>
      <c r="G49" s="2">
        <f t="shared" si="23"/>
        <v>-1</v>
      </c>
      <c r="H49" s="2">
        <f t="shared" si="23"/>
        <v>-1</v>
      </c>
      <c r="I49" s="2">
        <f t="shared" si="14"/>
        <v>1.1999999999999999E-7</v>
      </c>
      <c r="J49" s="2">
        <f t="shared" si="15"/>
        <v>5.7000000000000003E-5</v>
      </c>
      <c r="K49" s="2">
        <f t="shared" si="16"/>
        <v>2.6999999999999999E-5</v>
      </c>
      <c r="L49" s="2">
        <f t="shared" si="17"/>
        <v>1.2999999999999999E-5</v>
      </c>
      <c r="M49" s="2">
        <f t="shared" si="18"/>
        <v>1.1999999999999999E-7</v>
      </c>
      <c r="N49" s="2">
        <f t="shared" si="19"/>
        <v>20</v>
      </c>
      <c r="O49" s="2">
        <f t="shared" si="20"/>
        <v>2E-3</v>
      </c>
      <c r="P49" t="s">
        <v>101</v>
      </c>
      <c r="Q49">
        <v>1</v>
      </c>
      <c r="R49" s="4">
        <f t="shared" si="21"/>
        <v>244</v>
      </c>
      <c r="S49">
        <v>48</v>
      </c>
      <c r="T49" s="1">
        <f t="shared" si="22"/>
        <v>1.2127047662119108E-9</v>
      </c>
      <c r="U49" t="b">
        <f>_xll.SigFig(T49,5)=_xll.SigFig(B49,5)</f>
        <v>1</v>
      </c>
      <c r="V49" t="b">
        <f>_xll.SigFig(B49,1)=_xll.SigFig(T49,1)</f>
        <v>1</v>
      </c>
    </row>
    <row r="50" spans="1:22">
      <c r="A50" t="s">
        <v>101</v>
      </c>
      <c r="B50" s="1">
        <v>3.347125769655013E-12</v>
      </c>
      <c r="C50" s="2">
        <f t="shared" si="23"/>
        <v>-1</v>
      </c>
      <c r="D50" s="2">
        <f t="shared" si="23"/>
        <v>-1</v>
      </c>
      <c r="E50" s="2">
        <f t="shared" si="23"/>
        <v>4.6999999999999997E-5</v>
      </c>
      <c r="F50" s="2">
        <f t="shared" si="23"/>
        <v>3.1999999999999999E-5</v>
      </c>
      <c r="G50" s="2">
        <f t="shared" si="23"/>
        <v>1.5E-5</v>
      </c>
      <c r="H50" s="2">
        <f t="shared" si="23"/>
        <v>8.3000000000000002E-6</v>
      </c>
      <c r="I50" s="2">
        <f t="shared" si="14"/>
        <v>2.4999999999999999E-7</v>
      </c>
      <c r="J50" s="2">
        <f t="shared" si="15"/>
        <v>1.2E-4</v>
      </c>
      <c r="K50" s="2">
        <f t="shared" si="16"/>
        <v>5.0000000000000002E-5</v>
      </c>
      <c r="L50" s="2">
        <f t="shared" si="17"/>
        <v>1.5999999999999999E-5</v>
      </c>
      <c r="M50" s="2">
        <f t="shared" si="18"/>
        <v>2.4999999999999999E-7</v>
      </c>
      <c r="N50" s="2">
        <f t="shared" si="19"/>
        <v>10</v>
      </c>
      <c r="O50" s="2">
        <f t="shared" si="20"/>
        <v>1E-3</v>
      </c>
      <c r="P50" t="s">
        <v>94</v>
      </c>
      <c r="Q50">
        <v>1</v>
      </c>
      <c r="R50" s="4">
        <f t="shared" si="21"/>
        <v>240</v>
      </c>
      <c r="S50">
        <v>49</v>
      </c>
      <c r="T50" s="1">
        <f t="shared" si="22"/>
        <v>3.347125769655013E-12</v>
      </c>
      <c r="U50" t="b">
        <f>_xll.SigFig(T50,5)=_xll.SigFig(B50,5)</f>
        <v>1</v>
      </c>
      <c r="V50" t="b">
        <f>_xll.SigFig(B50,1)=_xll.SigFig(T50,1)</f>
        <v>1</v>
      </c>
    </row>
    <row r="51" spans="1:22">
      <c r="A51" t="s">
        <v>94</v>
      </c>
      <c r="B51" s="1">
        <v>9.3865421904402247E-16</v>
      </c>
      <c r="C51" s="2">
        <f t="shared" si="23"/>
        <v>5.2E-7</v>
      </c>
      <c r="D51" s="2">
        <f t="shared" si="23"/>
        <v>6.0999999999999998E-7</v>
      </c>
      <c r="E51" s="2">
        <f t="shared" si="23"/>
        <v>2.9000000000000002E-6</v>
      </c>
      <c r="F51" s="2">
        <f t="shared" si="23"/>
        <v>1.9E-6</v>
      </c>
      <c r="G51" s="2">
        <f t="shared" si="23"/>
        <v>7.9000000000000006E-6</v>
      </c>
      <c r="H51" s="2">
        <f t="shared" si="23"/>
        <v>6.2999999999999998E-6</v>
      </c>
      <c r="I51" s="2">
        <f t="shared" si="14"/>
        <v>4.6000000000000002E-8</v>
      </c>
      <c r="J51" s="2">
        <f t="shared" si="15"/>
        <v>5.3000000000000001E-7</v>
      </c>
      <c r="K51" s="2">
        <f t="shared" si="16"/>
        <v>3.1999999999999999E-6</v>
      </c>
      <c r="L51" s="2">
        <f t="shared" si="17"/>
        <v>8.6999999999999997E-6</v>
      </c>
      <c r="M51" s="2">
        <f t="shared" si="18"/>
        <v>4.6999999999999997E-8</v>
      </c>
      <c r="N51" s="2">
        <f t="shared" si="19"/>
        <v>40</v>
      </c>
      <c r="O51" s="2">
        <f t="shared" si="20"/>
        <v>6.0000000000000001E-3</v>
      </c>
      <c r="P51" t="s">
        <v>86</v>
      </c>
      <c r="Q51">
        <v>1</v>
      </c>
      <c r="R51" s="4">
        <f t="shared" si="21"/>
        <v>236</v>
      </c>
      <c r="S51">
        <v>50</v>
      </c>
      <c r="T51" s="1">
        <f t="shared" si="22"/>
        <v>9.3865421904402247E-16</v>
      </c>
      <c r="U51" t="b">
        <f>_xll.SigFig(T51,5)=_xll.SigFig(B51,5)</f>
        <v>1</v>
      </c>
      <c r="V51" t="b">
        <f>_xll.SigFig(B51,1)=_xll.SigFig(T51,1)</f>
        <v>1</v>
      </c>
    </row>
    <row r="52" spans="1:22">
      <c r="A52" t="s">
        <v>86</v>
      </c>
      <c r="B52" s="1">
        <v>1.5577665762858246E-18</v>
      </c>
      <c r="C52" s="2">
        <f t="shared" ref="C52:H61" si="24">IF(ISNA(VLOOKUP($A52,_68inh,COLUMN(C52)-1,FALSE)),-1,VLOOKUP($A52,_68inh,COLUMN(C52)-1,FALSE))</f>
        <v>-1</v>
      </c>
      <c r="D52" s="2">
        <f t="shared" si="24"/>
        <v>-1</v>
      </c>
      <c r="E52" s="2">
        <f t="shared" si="24"/>
        <v>4.1999999999999998E-5</v>
      </c>
      <c r="F52" s="2">
        <f t="shared" si="24"/>
        <v>2.9E-5</v>
      </c>
      <c r="G52" s="2">
        <f t="shared" si="24"/>
        <v>2.3E-5</v>
      </c>
      <c r="H52" s="2">
        <f t="shared" si="24"/>
        <v>1.2E-5</v>
      </c>
      <c r="I52" s="2">
        <f t="shared" si="14"/>
        <v>2.2000000000000001E-7</v>
      </c>
      <c r="J52" s="2">
        <f t="shared" si="15"/>
        <v>1.1E-4</v>
      </c>
      <c r="K52" s="2">
        <f t="shared" si="16"/>
        <v>4.5000000000000003E-5</v>
      </c>
      <c r="L52" s="2">
        <f t="shared" si="17"/>
        <v>2.5000000000000001E-5</v>
      </c>
      <c r="M52" s="2">
        <f t="shared" si="18"/>
        <v>2.2999999999999999E-7</v>
      </c>
      <c r="N52" s="2">
        <f t="shared" si="19"/>
        <v>-1</v>
      </c>
      <c r="O52" s="2">
        <f t="shared" si="20"/>
        <v>-1</v>
      </c>
      <c r="P52" t="s">
        <v>81</v>
      </c>
      <c r="Q52">
        <v>1</v>
      </c>
      <c r="R52" s="4">
        <f t="shared" si="21"/>
        <v>232</v>
      </c>
      <c r="S52">
        <v>51</v>
      </c>
      <c r="T52" s="1">
        <f t="shared" si="22"/>
        <v>1.5577665762858246E-18</v>
      </c>
      <c r="U52" t="b">
        <f>_xll.SigFig(T52,5)=_xll.SigFig(B52,5)</f>
        <v>1</v>
      </c>
      <c r="V52" t="b">
        <f>_xll.SigFig(B52,1)=_xll.SigFig(T52,1)</f>
        <v>1</v>
      </c>
    </row>
    <row r="53" spans="1:22">
      <c r="A53" t="s">
        <v>81</v>
      </c>
      <c r="B53" s="1">
        <v>3.8199145609791522E-9</v>
      </c>
      <c r="C53" s="2">
        <f t="shared" si="24"/>
        <v>-1</v>
      </c>
      <c r="D53" s="2">
        <f t="shared" si="24"/>
        <v>-1</v>
      </c>
      <c r="E53" s="2">
        <f t="shared" si="24"/>
        <v>2.6000000000000001E-6</v>
      </c>
      <c r="F53" s="2">
        <f t="shared" si="24"/>
        <v>1.7E-6</v>
      </c>
      <c r="G53" s="2">
        <f t="shared" si="24"/>
        <v>-1</v>
      </c>
      <c r="H53" s="2">
        <f t="shared" si="24"/>
        <v>-1</v>
      </c>
      <c r="I53" s="2">
        <f t="shared" si="14"/>
        <v>6.7000000000000004E-7</v>
      </c>
      <c r="J53" s="2">
        <f t="shared" si="15"/>
        <v>8.9999999999999996E-7</v>
      </c>
      <c r="K53" s="2">
        <f t="shared" si="16"/>
        <v>2.6000000000000001E-6</v>
      </c>
      <c r="L53" s="2">
        <f t="shared" si="17"/>
        <v>1.5999999999999999E-5</v>
      </c>
      <c r="M53" s="2">
        <f t="shared" si="18"/>
        <v>6.8999999999999996E-7</v>
      </c>
      <c r="N53" s="2">
        <f t="shared" si="19"/>
        <v>0.60000000000000009</v>
      </c>
      <c r="O53" s="2">
        <f t="shared" si="20"/>
        <v>0.02</v>
      </c>
      <c r="P53" t="s">
        <v>80</v>
      </c>
      <c r="Q53">
        <v>1</v>
      </c>
      <c r="R53" s="4">
        <f t="shared" si="21"/>
        <v>228</v>
      </c>
      <c r="S53">
        <v>52</v>
      </c>
      <c r="T53" s="1">
        <f t="shared" si="22"/>
        <v>3.8199145609791522E-9</v>
      </c>
      <c r="U53" t="b">
        <f t="shared" si="10"/>
        <v>1</v>
      </c>
      <c r="V53" t="b">
        <f>_xll.SigFig(B53,1)=_xll.SigFig(T53,1)</f>
        <v>1</v>
      </c>
    </row>
    <row r="54" spans="1:22">
      <c r="A54" t="s">
        <v>80</v>
      </c>
      <c r="B54" s="1">
        <v>3.1307460729898159E-5</v>
      </c>
      <c r="C54" s="2">
        <f t="shared" si="24"/>
        <v>2.4999999999999999E-8</v>
      </c>
      <c r="D54" s="2">
        <f t="shared" si="24"/>
        <v>2.9000000000000002E-8</v>
      </c>
      <c r="E54" s="2">
        <f t="shared" si="24"/>
        <v>1.6000000000000001E-8</v>
      </c>
      <c r="F54" s="2">
        <f t="shared" si="24"/>
        <v>1.2E-8</v>
      </c>
      <c r="G54" s="2">
        <f t="shared" si="24"/>
        <v>1.4E-8</v>
      </c>
      <c r="H54" s="2">
        <f t="shared" si="24"/>
        <v>1.2E-8</v>
      </c>
      <c r="I54" s="2">
        <f t="shared" si="14"/>
        <v>4.3000000000000001E-10</v>
      </c>
      <c r="J54" s="2">
        <f t="shared" si="15"/>
        <v>2.4999999999999999E-8</v>
      </c>
      <c r="K54" s="2">
        <f t="shared" si="16"/>
        <v>1.7E-8</v>
      </c>
      <c r="L54" s="2">
        <f t="shared" si="17"/>
        <v>1.6000000000000001E-8</v>
      </c>
      <c r="M54" s="2">
        <f t="shared" si="18"/>
        <v>4.3000000000000001E-10</v>
      </c>
      <c r="N54" s="2">
        <f t="shared" si="19"/>
        <v>0.60000000000000009</v>
      </c>
      <c r="O54" s="2">
        <f t="shared" si="20"/>
        <v>0.5</v>
      </c>
      <c r="P54" t="s">
        <v>79</v>
      </c>
      <c r="Q54">
        <v>1</v>
      </c>
      <c r="R54" s="4">
        <f t="shared" si="21"/>
        <v>228</v>
      </c>
      <c r="S54">
        <v>53</v>
      </c>
      <c r="T54" s="1">
        <f t="shared" si="22"/>
        <v>3.1307460729898159E-5</v>
      </c>
      <c r="U54" t="b">
        <f t="shared" si="10"/>
        <v>1</v>
      </c>
      <c r="V54" t="b">
        <f>_xll.SigFig(B54,1)=_xll.SigFig(T54,1)</f>
        <v>1</v>
      </c>
    </row>
    <row r="55" spans="1:22">
      <c r="A55" t="s">
        <v>79</v>
      </c>
      <c r="B55" s="1">
        <v>1.1490117558919298E-8</v>
      </c>
      <c r="C55" s="2">
        <f t="shared" si="24"/>
        <v>-1</v>
      </c>
      <c r="D55" s="2">
        <f t="shared" si="24"/>
        <v>-1</v>
      </c>
      <c r="E55" s="2">
        <f t="shared" si="24"/>
        <v>3.0000000000000001E-5</v>
      </c>
      <c r="F55" s="2">
        <f t="shared" si="24"/>
        <v>2.1999999999999999E-5</v>
      </c>
      <c r="G55" s="2">
        <f t="shared" si="24"/>
        <v>3.6999999999999998E-5</v>
      </c>
      <c r="H55" s="2">
        <f t="shared" si="24"/>
        <v>2.5000000000000001E-5</v>
      </c>
      <c r="I55" s="2">
        <f t="shared" si="14"/>
        <v>7.1999999999999996E-8</v>
      </c>
      <c r="J55" s="2">
        <f t="shared" si="15"/>
        <v>3.0000000000000001E-5</v>
      </c>
      <c r="K55" s="2">
        <f t="shared" si="16"/>
        <v>3.1999999999999999E-5</v>
      </c>
      <c r="L55" s="2">
        <f t="shared" si="17"/>
        <v>4.0000000000000003E-5</v>
      </c>
      <c r="M55" s="2">
        <f t="shared" si="18"/>
        <v>7.1999999999999996E-8</v>
      </c>
      <c r="N55" s="2">
        <f t="shared" si="19"/>
        <v>0.5</v>
      </c>
      <c r="O55" s="2">
        <f t="shared" si="20"/>
        <v>1E-3</v>
      </c>
      <c r="P55" t="s">
        <v>73</v>
      </c>
      <c r="Q55">
        <v>1</v>
      </c>
      <c r="R55" s="4">
        <f t="shared" si="21"/>
        <v>228</v>
      </c>
      <c r="S55">
        <v>54</v>
      </c>
      <c r="T55" s="1">
        <f t="shared" si="22"/>
        <v>1.1490117558919298E-8</v>
      </c>
      <c r="U55" t="b">
        <f t="shared" si="10"/>
        <v>1</v>
      </c>
      <c r="V55" t="b">
        <f>_xll.SigFig(B55,1)=_xll.SigFig(T55,1)</f>
        <v>1</v>
      </c>
    </row>
    <row r="56" spans="1:22">
      <c r="A56" t="s">
        <v>73</v>
      </c>
      <c r="B56" s="1">
        <v>2.2092740374071005E-6</v>
      </c>
      <c r="C56" s="2">
        <f t="shared" si="24"/>
        <v>-1</v>
      </c>
      <c r="D56" s="2">
        <f t="shared" si="24"/>
        <v>-1</v>
      </c>
      <c r="E56" s="2">
        <f t="shared" si="24"/>
        <v>2.9000000000000002E-6</v>
      </c>
      <c r="F56" s="2">
        <f t="shared" si="24"/>
        <v>2.3999999999999999E-6</v>
      </c>
      <c r="G56" s="2">
        <f t="shared" si="24"/>
        <v>-1</v>
      </c>
      <c r="H56" s="2">
        <f t="shared" si="24"/>
        <v>-1</v>
      </c>
      <c r="I56" s="2">
        <f t="shared" si="14"/>
        <v>6.5E-8</v>
      </c>
      <c r="J56" s="2">
        <f t="shared" si="15"/>
        <v>7.4999999999999997E-8</v>
      </c>
      <c r="K56" s="2">
        <f t="shared" si="16"/>
        <v>3.0000000000000001E-6</v>
      </c>
      <c r="L56" s="2">
        <f t="shared" si="17"/>
        <v>3.4000000000000001E-6</v>
      </c>
      <c r="M56" s="2">
        <f t="shared" si="18"/>
        <v>6.5E-8</v>
      </c>
      <c r="N56" s="2">
        <f t="shared" si="19"/>
        <v>0.4</v>
      </c>
      <c r="O56" s="2">
        <f t="shared" si="20"/>
        <v>0.02</v>
      </c>
      <c r="P56" t="s">
        <v>68</v>
      </c>
      <c r="Q56">
        <v>1</v>
      </c>
      <c r="R56" s="4">
        <f t="shared" si="21"/>
        <v>224</v>
      </c>
      <c r="S56">
        <v>55</v>
      </c>
      <c r="T56" s="1">
        <f t="shared" si="22"/>
        <v>2.2092740374071005E-6</v>
      </c>
      <c r="U56" t="b">
        <f>_xll.SigFig(T56,5)=_xll.SigFig(B56,5)</f>
        <v>1</v>
      </c>
      <c r="V56" t="b">
        <f>_xll.SigFig(B56,1)=_xll.SigFig(T56,1)</f>
        <v>1</v>
      </c>
    </row>
    <row r="57" spans="1:22">
      <c r="A57" t="s">
        <v>68</v>
      </c>
      <c r="B57" s="1">
        <v>1.2466675909351533E-2</v>
      </c>
      <c r="C57" s="2">
        <f t="shared" si="24"/>
        <v>-1</v>
      </c>
      <c r="D57" s="2">
        <f t="shared" si="24"/>
        <v>-1</v>
      </c>
      <c r="E57" s="2">
        <f t="shared" si="24"/>
        <v>-1</v>
      </c>
      <c r="F57" s="2">
        <f t="shared" si="24"/>
        <v>-1</v>
      </c>
      <c r="G57" s="2">
        <f t="shared" si="24"/>
        <v>-1</v>
      </c>
      <c r="H57" s="2">
        <f t="shared" si="24"/>
        <v>-1</v>
      </c>
      <c r="I57" s="2">
        <f t="shared" si="14"/>
        <v>-1</v>
      </c>
      <c r="J57" s="2">
        <f t="shared" si="15"/>
        <v>-1</v>
      </c>
      <c r="K57" s="2">
        <f t="shared" si="16"/>
        <v>-1</v>
      </c>
      <c r="L57" s="2">
        <f t="shared" si="17"/>
        <v>-1</v>
      </c>
      <c r="M57" s="2">
        <f t="shared" si="18"/>
        <v>-1</v>
      </c>
      <c r="N57" s="2">
        <f t="shared" si="19"/>
        <v>0</v>
      </c>
      <c r="O57" s="2">
        <f t="shared" si="20"/>
        <v>0</v>
      </c>
      <c r="P57" t="s">
        <v>60</v>
      </c>
      <c r="Q57">
        <v>1</v>
      </c>
      <c r="R57" s="4">
        <f t="shared" si="21"/>
        <v>220</v>
      </c>
      <c r="S57">
        <v>56</v>
      </c>
      <c r="T57" s="1">
        <f t="shared" si="22"/>
        <v>1.2466675909351533E-2</v>
      </c>
      <c r="U57" t="b">
        <f t="shared" si="10"/>
        <v>1</v>
      </c>
      <c r="V57" t="b">
        <f>_xll.SigFig(B57,1)=_xll.SigFig(T57,1)</f>
        <v>1</v>
      </c>
    </row>
    <row r="58" spans="1:22">
      <c r="A58" t="s">
        <v>60</v>
      </c>
      <c r="B58" s="1">
        <v>4.813522087221842</v>
      </c>
      <c r="C58" s="2">
        <f t="shared" si="24"/>
        <v>-1</v>
      </c>
      <c r="D58" s="2">
        <f t="shared" si="24"/>
        <v>-1</v>
      </c>
      <c r="E58" s="2">
        <f t="shared" si="24"/>
        <v>-1</v>
      </c>
      <c r="F58" s="2">
        <f t="shared" si="24"/>
        <v>-1</v>
      </c>
      <c r="G58" s="2">
        <f t="shared" si="24"/>
        <v>-1</v>
      </c>
      <c r="H58" s="2">
        <f t="shared" si="24"/>
        <v>-1</v>
      </c>
      <c r="I58" s="2">
        <f t="shared" si="14"/>
        <v>-1</v>
      </c>
      <c r="J58" s="2">
        <f t="shared" si="15"/>
        <v>-1</v>
      </c>
      <c r="K58" s="2">
        <f t="shared" si="16"/>
        <v>-1</v>
      </c>
      <c r="L58" s="2">
        <f t="shared" si="17"/>
        <v>-1</v>
      </c>
      <c r="M58" s="2">
        <f t="shared" si="18"/>
        <v>-1</v>
      </c>
      <c r="N58" s="2">
        <f t="shared" si="19"/>
        <v>0</v>
      </c>
      <c r="O58" s="2">
        <f t="shared" si="20"/>
        <v>0</v>
      </c>
      <c r="P58" t="s">
        <v>51</v>
      </c>
      <c r="Q58">
        <v>1</v>
      </c>
      <c r="R58" s="4">
        <f t="shared" si="21"/>
        <v>216</v>
      </c>
      <c r="S58">
        <v>57</v>
      </c>
      <c r="T58" s="1">
        <f t="shared" si="22"/>
        <v>4.813522087221842</v>
      </c>
      <c r="U58" t="b">
        <f>_xll.SigFig(T58,5)=_xll.SigFig(B58,5)</f>
        <v>1</v>
      </c>
      <c r="V58" t="b">
        <f>_xll.SigFig(B58,1)=_xll.SigFig(T58,1)</f>
        <v>1</v>
      </c>
    </row>
    <row r="59" spans="1:22">
      <c r="A59" t="s">
        <v>51</v>
      </c>
      <c r="B59" s="1">
        <v>1.8116379703507122E-5</v>
      </c>
      <c r="C59" s="2">
        <f t="shared" si="24"/>
        <v>1.9000000000000001E-8</v>
      </c>
      <c r="D59" s="2">
        <f t="shared" si="24"/>
        <v>3.2999999999999998E-8</v>
      </c>
      <c r="E59" s="2">
        <f t="shared" si="24"/>
        <v>-1</v>
      </c>
      <c r="F59" s="2">
        <f t="shared" si="24"/>
        <v>-1</v>
      </c>
      <c r="G59" s="2">
        <f t="shared" si="24"/>
        <v>-1</v>
      </c>
      <c r="H59" s="2">
        <f t="shared" si="24"/>
        <v>-1</v>
      </c>
      <c r="I59" s="2">
        <f t="shared" si="14"/>
        <v>5.8999999999999999E-9</v>
      </c>
      <c r="J59" s="2">
        <f t="shared" si="15"/>
        <v>1.7999999999999999E-8</v>
      </c>
      <c r="K59" s="2">
        <f t="shared" si="16"/>
        <v>1.6999999999999999E-7</v>
      </c>
      <c r="L59" s="2">
        <f t="shared" si="17"/>
        <v>1.9000000000000001E-7</v>
      </c>
      <c r="M59" s="2">
        <f t="shared" si="18"/>
        <v>6E-9</v>
      </c>
      <c r="N59" s="2">
        <f t="shared" si="19"/>
        <v>0.70000000000000007</v>
      </c>
      <c r="O59" s="2">
        <f t="shared" si="20"/>
        <v>0.2</v>
      </c>
      <c r="P59" t="s">
        <v>50</v>
      </c>
      <c r="Q59">
        <v>1</v>
      </c>
      <c r="R59" s="4">
        <f t="shared" si="21"/>
        <v>212</v>
      </c>
      <c r="S59">
        <v>58</v>
      </c>
      <c r="T59" s="1">
        <f t="shared" si="22"/>
        <v>1.8116379703507122E-5</v>
      </c>
      <c r="U59" t="b">
        <f>_xll.SigFig(T59,5)=_xll.SigFig(B59,5)</f>
        <v>1</v>
      </c>
      <c r="V59" t="b">
        <f>_xll.SigFig(B59,1)=_xll.SigFig(T59,1)</f>
        <v>1</v>
      </c>
    </row>
    <row r="60" spans="1:22">
      <c r="A60" t="s">
        <v>50</v>
      </c>
      <c r="B60" s="1">
        <v>1.9078880628449441E-4</v>
      </c>
      <c r="C60" s="2">
        <f t="shared" si="24"/>
        <v>9.3000000000000006E-9</v>
      </c>
      <c r="D60" s="2">
        <f t="shared" si="24"/>
        <v>1.4999999999999999E-8</v>
      </c>
      <c r="E60" s="2">
        <f t="shared" si="24"/>
        <v>2.9999999999999997E-8</v>
      </c>
      <c r="F60" s="2">
        <f t="shared" si="24"/>
        <v>3.8999999999999998E-8</v>
      </c>
      <c r="G60" s="2">
        <f t="shared" si="24"/>
        <v>-1</v>
      </c>
      <c r="H60" s="2">
        <f t="shared" si="24"/>
        <v>-1</v>
      </c>
      <c r="I60" s="2">
        <f t="shared" si="14"/>
        <v>2.5999999999999998E-10</v>
      </c>
      <c r="J60" s="2">
        <f t="shared" si="15"/>
        <v>9.1000000000000004E-9</v>
      </c>
      <c r="K60" s="2">
        <f t="shared" si="16"/>
        <v>3.1E-8</v>
      </c>
      <c r="L60" s="2">
        <f t="shared" si="17"/>
        <v>-1</v>
      </c>
      <c r="M60" s="2">
        <f t="shared" si="18"/>
        <v>2.5999999999999998E-10</v>
      </c>
      <c r="N60" s="2">
        <f t="shared" si="19"/>
        <v>0.70000000000000007</v>
      </c>
      <c r="O60" s="2">
        <f t="shared" si="20"/>
        <v>0.60000000000000009</v>
      </c>
      <c r="P60" t="s">
        <v>49</v>
      </c>
      <c r="Q60">
        <v>0.64059999999999995</v>
      </c>
      <c r="R60" s="4">
        <f t="shared" si="21"/>
        <v>212</v>
      </c>
      <c r="S60">
        <v>59</v>
      </c>
      <c r="T60" s="1">
        <f t="shared" si="22"/>
        <v>1.9078880628449441E-4</v>
      </c>
      <c r="U60" t="b">
        <f>_xll.SigFig(T60,5)=_xll.SigFig(B60,5)</f>
        <v>1</v>
      </c>
      <c r="V60" t="b">
        <f>_xll.SigFig(B60,1)=_xll.SigFig(T60,1)</f>
        <v>1</v>
      </c>
    </row>
    <row r="61" spans="1:22">
      <c r="A61" t="s">
        <v>50</v>
      </c>
      <c r="B61" s="1">
        <v>1.9078880628449441E-4</v>
      </c>
      <c r="C61" s="2">
        <f t="shared" si="24"/>
        <v>9.3000000000000006E-9</v>
      </c>
      <c r="D61" s="2">
        <f t="shared" si="24"/>
        <v>1.4999999999999999E-8</v>
      </c>
      <c r="E61" s="2">
        <f t="shared" si="24"/>
        <v>2.9999999999999997E-8</v>
      </c>
      <c r="F61" s="2">
        <f t="shared" si="24"/>
        <v>3.8999999999999998E-8</v>
      </c>
      <c r="G61" s="2">
        <f t="shared" si="24"/>
        <v>-1</v>
      </c>
      <c r="H61" s="2">
        <f t="shared" si="24"/>
        <v>-1</v>
      </c>
      <c r="I61" s="2">
        <f t="shared" si="14"/>
        <v>2.5999999999999998E-10</v>
      </c>
      <c r="J61" s="2">
        <f t="shared" si="15"/>
        <v>9.1000000000000004E-9</v>
      </c>
      <c r="K61" s="2">
        <f t="shared" si="16"/>
        <v>3.1E-8</v>
      </c>
      <c r="L61" s="2">
        <f t="shared" si="17"/>
        <v>-1</v>
      </c>
      <c r="M61" s="2">
        <f t="shared" si="18"/>
        <v>2.5999999999999998E-10</v>
      </c>
      <c r="N61" s="2">
        <f t="shared" si="19"/>
        <v>0.70000000000000007</v>
      </c>
      <c r="O61" s="2">
        <f t="shared" si="20"/>
        <v>0.60000000000000009</v>
      </c>
      <c r="P61" t="s">
        <v>39</v>
      </c>
      <c r="Q61">
        <v>0.3594</v>
      </c>
      <c r="R61" s="4">
        <f t="shared" si="21"/>
        <v>212</v>
      </c>
      <c r="S61">
        <v>60</v>
      </c>
      <c r="T61" s="1">
        <f t="shared" si="22"/>
        <v>1.9078880628449441E-4</v>
      </c>
      <c r="U61" t="b">
        <f>_xll.SigFig(T61,5)=_xll.SigFig(B61,5)</f>
        <v>1</v>
      </c>
      <c r="V61" t="b">
        <f>_xll.SigFig(B61,1)=_xll.SigFig(T61,1)</f>
        <v>1</v>
      </c>
    </row>
    <row r="62" spans="1:22">
      <c r="A62" t="s">
        <v>49</v>
      </c>
      <c r="B62" s="1">
        <v>2349651.4595252378</v>
      </c>
      <c r="C62" s="2">
        <f t="shared" ref="C62:H71" si="25">IF(ISNA(VLOOKUP($A62,_68inh,COLUMN(C62)-1,FALSE)),-1,VLOOKUP($A62,_68inh,COLUMN(C62)-1,FALSE))</f>
        <v>-1</v>
      </c>
      <c r="D62" s="2">
        <f t="shared" si="25"/>
        <v>-1</v>
      </c>
      <c r="E62" s="2">
        <f t="shared" si="25"/>
        <v>-1</v>
      </c>
      <c r="F62" s="2">
        <f t="shared" si="25"/>
        <v>-1</v>
      </c>
      <c r="G62" s="2">
        <f t="shared" si="25"/>
        <v>-1</v>
      </c>
      <c r="H62" s="2">
        <f t="shared" si="25"/>
        <v>-1</v>
      </c>
      <c r="I62" s="2">
        <f t="shared" si="14"/>
        <v>-1</v>
      </c>
      <c r="J62" s="2">
        <f t="shared" si="15"/>
        <v>-1</v>
      </c>
      <c r="K62" s="2">
        <f t="shared" si="16"/>
        <v>-1</v>
      </c>
      <c r="L62" s="2">
        <f t="shared" si="17"/>
        <v>-1</v>
      </c>
      <c r="M62" s="2">
        <f t="shared" si="18"/>
        <v>-1</v>
      </c>
      <c r="N62" s="2">
        <f t="shared" si="19"/>
        <v>0</v>
      </c>
      <c r="O62" s="2">
        <f t="shared" si="20"/>
        <v>0</v>
      </c>
      <c r="P62" t="s">
        <v>142</v>
      </c>
      <c r="Q62">
        <v>1</v>
      </c>
      <c r="R62" s="4">
        <f t="shared" si="21"/>
        <v>212</v>
      </c>
      <c r="S62">
        <v>61</v>
      </c>
      <c r="T62" s="1">
        <f t="shared" si="22"/>
        <v>2349651.4595252378</v>
      </c>
      <c r="U62" t="b">
        <f>_xll.SigFig(T62,5)=_xll.SigFig(B62,5)</f>
        <v>1</v>
      </c>
      <c r="V62" t="b">
        <f>_xll.SigFig(B62,1)=_xll.SigFig(T62,1)</f>
        <v>1</v>
      </c>
    </row>
    <row r="63" spans="1:22">
      <c r="A63" t="s">
        <v>39</v>
      </c>
      <c r="B63" s="1">
        <v>3.7839675759359388E-3</v>
      </c>
      <c r="C63" s="2">
        <f t="shared" si="25"/>
        <v>-1</v>
      </c>
      <c r="D63" s="2">
        <f t="shared" si="25"/>
        <v>-1</v>
      </c>
      <c r="E63" s="2">
        <f t="shared" si="25"/>
        <v>-1</v>
      </c>
      <c r="F63" s="2">
        <f t="shared" si="25"/>
        <v>-1</v>
      </c>
      <c r="G63" s="2">
        <f t="shared" si="25"/>
        <v>-1</v>
      </c>
      <c r="H63" s="2">
        <f t="shared" si="25"/>
        <v>-1</v>
      </c>
      <c r="I63" s="2">
        <f t="shared" si="14"/>
        <v>-1</v>
      </c>
      <c r="J63" s="2">
        <f t="shared" si="15"/>
        <v>-1</v>
      </c>
      <c r="K63" s="2">
        <f t="shared" si="16"/>
        <v>-1</v>
      </c>
      <c r="L63" s="2">
        <f t="shared" si="17"/>
        <v>-1</v>
      </c>
      <c r="M63" s="2">
        <f t="shared" si="18"/>
        <v>-1</v>
      </c>
      <c r="N63" s="2">
        <f t="shared" si="19"/>
        <v>0</v>
      </c>
      <c r="O63" s="2">
        <f t="shared" si="20"/>
        <v>0</v>
      </c>
      <c r="P63" t="s">
        <v>142</v>
      </c>
      <c r="Q63">
        <v>1</v>
      </c>
      <c r="R63" s="4">
        <f t="shared" si="21"/>
        <v>208</v>
      </c>
      <c r="S63">
        <v>62</v>
      </c>
      <c r="T63" s="1">
        <f t="shared" si="22"/>
        <v>3.7839675759359388E-3</v>
      </c>
      <c r="U63" t="b">
        <f t="shared" si="10"/>
        <v>1</v>
      </c>
      <c r="V63" t="b">
        <f>_xll.SigFig(B63,1)=_xll.SigFig(T63,1)</f>
        <v>1</v>
      </c>
    </row>
    <row r="64" spans="1:22">
      <c r="A64" t="s">
        <v>302</v>
      </c>
      <c r="B64" s="1">
        <v>2.4459363837004597E-11</v>
      </c>
      <c r="C64" s="2">
        <f t="shared" si="25"/>
        <v>-1</v>
      </c>
      <c r="D64" s="2">
        <f t="shared" si="25"/>
        <v>-1</v>
      </c>
      <c r="E64" s="2">
        <f t="shared" si="25"/>
        <v>6.7000000000000002E-5</v>
      </c>
      <c r="F64" s="2">
        <f t="shared" si="25"/>
        <v>4.6E-5</v>
      </c>
      <c r="G64" s="2">
        <f t="shared" si="25"/>
        <v>-1</v>
      </c>
      <c r="H64" s="2">
        <f t="shared" si="25"/>
        <v>-1</v>
      </c>
      <c r="I64" s="2">
        <f t="shared" si="14"/>
        <v>3.5999999999999999E-7</v>
      </c>
      <c r="J64" s="2">
        <f t="shared" si="15"/>
        <v>-1</v>
      </c>
      <c r="K64" s="2">
        <f t="shared" si="16"/>
        <v>7.1000000000000005E-5</v>
      </c>
      <c r="L64" s="2">
        <f t="shared" si="17"/>
        <v>-1</v>
      </c>
      <c r="M64" s="2">
        <f t="shared" si="18"/>
        <v>3.5999999999999999E-7</v>
      </c>
      <c r="N64" s="2">
        <f t="shared" si="19"/>
        <v>7</v>
      </c>
      <c r="O64" s="2">
        <f t="shared" si="20"/>
        <v>6.9999999999999999E-4</v>
      </c>
      <c r="P64" t="s">
        <v>311</v>
      </c>
      <c r="Q64">
        <v>1</v>
      </c>
      <c r="R64" s="4">
        <f t="shared" si="21"/>
        <v>251</v>
      </c>
      <c r="S64">
        <v>63</v>
      </c>
      <c r="T64" s="1">
        <f t="shared" si="22"/>
        <v>2.4459363837004597E-11</v>
      </c>
      <c r="U64" t="b">
        <f t="shared" si="10"/>
        <v>1</v>
      </c>
      <c r="V64" t="b">
        <f>_xll.SigFig(B64,1)=_xll.SigFig(T64,1)</f>
        <v>1</v>
      </c>
    </row>
    <row r="65" spans="1:22">
      <c r="A65" t="s">
        <v>311</v>
      </c>
      <c r="B65" s="1">
        <v>1.4079813285660337E-15</v>
      </c>
      <c r="C65" s="2">
        <f t="shared" si="25"/>
        <v>-1</v>
      </c>
      <c r="D65" s="2">
        <f t="shared" si="25"/>
        <v>-1</v>
      </c>
      <c r="E65" s="2">
        <f t="shared" si="25"/>
        <v>3.6000000000000001E-5</v>
      </c>
      <c r="F65" s="2">
        <f t="shared" si="25"/>
        <v>2.5000000000000001E-5</v>
      </c>
      <c r="G65" s="2">
        <f t="shared" si="25"/>
        <v>-1</v>
      </c>
      <c r="H65" s="2">
        <f t="shared" si="25"/>
        <v>-1</v>
      </c>
      <c r="I65" s="2">
        <f t="shared" si="14"/>
        <v>1.9000000000000001E-7</v>
      </c>
      <c r="J65" s="2">
        <f t="shared" si="15"/>
        <v>9.0000000000000006E-5</v>
      </c>
      <c r="K65" s="2">
        <f t="shared" si="16"/>
        <v>3.8999999999999999E-5</v>
      </c>
      <c r="L65" s="2">
        <f t="shared" si="17"/>
        <v>1.4E-5</v>
      </c>
      <c r="M65" s="2">
        <f t="shared" si="18"/>
        <v>1.9000000000000001E-7</v>
      </c>
      <c r="N65" s="2">
        <f t="shared" si="19"/>
        <v>3</v>
      </c>
      <c r="O65" s="2">
        <f t="shared" si="20"/>
        <v>1E-3</v>
      </c>
      <c r="P65" t="s">
        <v>586</v>
      </c>
      <c r="Q65">
        <v>1</v>
      </c>
      <c r="R65" s="4">
        <f t="shared" si="21"/>
        <v>247</v>
      </c>
      <c r="S65">
        <v>64</v>
      </c>
      <c r="T65" s="1">
        <f t="shared" si="22"/>
        <v>1.4079813285660337E-15</v>
      </c>
      <c r="U65" t="b">
        <f t="shared" si="10"/>
        <v>1</v>
      </c>
      <c r="V65" t="b">
        <f>_xll.SigFig(B65,1)=_xll.SigFig(T65,1)</f>
        <v>1</v>
      </c>
    </row>
    <row r="66" spans="1:22">
      <c r="A66" t="s">
        <v>586</v>
      </c>
      <c r="B66" s="1">
        <v>3.8857897777774713E-5</v>
      </c>
      <c r="C66" s="2">
        <f t="shared" si="25"/>
        <v>-1</v>
      </c>
      <c r="D66" s="2">
        <f t="shared" si="25"/>
        <v>-1</v>
      </c>
      <c r="E66" s="2">
        <f t="shared" si="25"/>
        <v>8.2000000000000001E-11</v>
      </c>
      <c r="F66" s="2">
        <f t="shared" si="25"/>
        <v>1.0999999999999999E-10</v>
      </c>
      <c r="G66" s="2">
        <f t="shared" si="25"/>
        <v>8.5000000000000004E-11</v>
      </c>
      <c r="H66" s="2">
        <f t="shared" si="25"/>
        <v>1.0999999999999999E-10</v>
      </c>
      <c r="I66" s="2">
        <f t="shared" ref="I66:I97" si="26">IF(ISNA(VLOOKUP(A66,_68ing,2,FALSE)),-1,VLOOKUP(A66,_68ing,2,FALSE))</f>
        <v>8.5000000000000004E-11</v>
      </c>
      <c r="J66" s="2">
        <f t="shared" ref="J66:J97" si="27">IF(ISNA(VLOOKUP($A66,_72inh,2,FALSE)),-1,VLOOKUP($A66,_72inh,2,FALSE))</f>
        <v>3.1999999999999999E-11</v>
      </c>
      <c r="K66" s="2">
        <f t="shared" ref="K66:K97" si="28">IF(ISNA(VLOOKUP($A66,_72inh,2,FALSE)),-1,VLOOKUP($A66,_72inh,3,FALSE))</f>
        <v>8.2999999999999998E-11</v>
      </c>
      <c r="L66" s="2">
        <f t="shared" ref="L66:L97" si="29">IF(ISNA(VLOOKUP($A66,_72inh,2,FALSE)),-1,VLOOKUP($A66,_72inh,4,FALSE))</f>
        <v>8.6E-11</v>
      </c>
      <c r="M66" s="2">
        <f t="shared" ref="M66:M97" si="30">IF(ISNA(VLOOKUP(A66,_72ing,2,FALSE)),-1,VLOOKUP(A66,_72ing,2,FALSE))</f>
        <v>8.5000000000000004E-11</v>
      </c>
      <c r="N66" s="2">
        <f t="shared" ref="N66:N97" si="31">VLOOKUP($A66,A1A2,2,FALSE)</f>
        <v>0</v>
      </c>
      <c r="O66" s="2">
        <f t="shared" ref="O66:O97" si="32">VLOOKUP($A66,A1A2,3,FALSE)</f>
        <v>0</v>
      </c>
      <c r="P66" t="s">
        <v>104</v>
      </c>
      <c r="Q66">
        <v>1</v>
      </c>
      <c r="R66" s="4">
        <f t="shared" ref="R66:R97" si="33">VALUE(IF(RIGHT(RIGHT(A66,SEARCH("-",A66)),1)="M", RIGHT(LEFT(A66,LEN(A66)-1),LEN(LEFT(A66,LEN(A66)-1))-SEARCH("-",A66)),RIGHT(A66,LEN(A66)-SEARCH("-",A66))))</f>
        <v>243</v>
      </c>
      <c r="S66">
        <v>65</v>
      </c>
      <c r="T66" s="1">
        <f t="shared" ref="T66:T97" si="34">VLOOKUP(A66,_lambda,2,FALSE)</f>
        <v>3.8857897777774713E-5</v>
      </c>
      <c r="U66" t="b">
        <f>_xll.SigFig(T66,5)=_xll.SigFig(B66,5)</f>
        <v>1</v>
      </c>
      <c r="V66" t="b">
        <f>_xll.SigFig(B66,1)=_xll.SigFig(T66,1)</f>
        <v>1</v>
      </c>
    </row>
    <row r="67" spans="1:22">
      <c r="A67" t="s">
        <v>104</v>
      </c>
      <c r="B67" s="1">
        <v>2.9904028217331692E-12</v>
      </c>
      <c r="C67" s="2">
        <f t="shared" si="25"/>
        <v>-1</v>
      </c>
      <c r="D67" s="2">
        <f t="shared" si="25"/>
        <v>-1</v>
      </c>
      <c r="E67" s="2">
        <f t="shared" si="25"/>
        <v>3.8999999999999999E-5</v>
      </c>
      <c r="F67" s="2">
        <f t="shared" si="25"/>
        <v>2.6999999999999999E-5</v>
      </c>
      <c r="G67" s="2">
        <f t="shared" si="25"/>
        <v>-1</v>
      </c>
      <c r="H67" s="2">
        <f t="shared" si="25"/>
        <v>-1</v>
      </c>
      <c r="I67" s="2">
        <f t="shared" si="26"/>
        <v>1.9999999999999999E-7</v>
      </c>
      <c r="J67" s="2">
        <f t="shared" si="27"/>
        <v>9.6000000000000002E-5</v>
      </c>
      <c r="K67" s="2">
        <f t="shared" si="28"/>
        <v>4.1E-5</v>
      </c>
      <c r="L67" s="2">
        <f t="shared" si="29"/>
        <v>1.5E-5</v>
      </c>
      <c r="M67" s="2">
        <f t="shared" si="30"/>
        <v>1.9999999999999999E-7</v>
      </c>
      <c r="N67" s="2">
        <f t="shared" si="31"/>
        <v>5</v>
      </c>
      <c r="O67" s="2">
        <f t="shared" si="32"/>
        <v>1E-3</v>
      </c>
      <c r="P67" t="s">
        <v>100</v>
      </c>
      <c r="Q67">
        <v>1</v>
      </c>
      <c r="R67" s="4">
        <f t="shared" si="33"/>
        <v>243</v>
      </c>
      <c r="S67">
        <v>66</v>
      </c>
      <c r="T67" s="1">
        <f t="shared" si="34"/>
        <v>2.9904028217331692E-12</v>
      </c>
      <c r="U67" t="b">
        <f>_xll.SigFig(T67,5)=_xll.SigFig(B67,5)</f>
        <v>1</v>
      </c>
      <c r="V67" t="b">
        <f>_xll.SigFig(B67,1)=_xll.SigFig(T67,1)</f>
        <v>1</v>
      </c>
    </row>
    <row r="68" spans="1:22">
      <c r="A68" t="s">
        <v>100</v>
      </c>
      <c r="B68" s="1">
        <v>3.40544053486561E-6</v>
      </c>
      <c r="C68" s="2">
        <f t="shared" si="25"/>
        <v>-1</v>
      </c>
      <c r="D68" s="2">
        <f t="shared" si="25"/>
        <v>-1</v>
      </c>
      <c r="E68" s="2">
        <f t="shared" si="25"/>
        <v>8.9999999999999999E-10</v>
      </c>
      <c r="F68" s="2">
        <f t="shared" si="25"/>
        <v>1.0999999999999999E-9</v>
      </c>
      <c r="G68" s="2">
        <f t="shared" si="25"/>
        <v>-1</v>
      </c>
      <c r="H68" s="2">
        <f t="shared" si="25"/>
        <v>-1</v>
      </c>
      <c r="I68" s="2">
        <f t="shared" si="26"/>
        <v>8.0000000000000003E-10</v>
      </c>
      <c r="J68" s="2">
        <f t="shared" si="27"/>
        <v>1.7000000000000001E-10</v>
      </c>
      <c r="K68" s="2">
        <f t="shared" si="28"/>
        <v>9.2999999999999999E-10</v>
      </c>
      <c r="L68" s="2">
        <f t="shared" si="29"/>
        <v>1.0000000000000001E-9</v>
      </c>
      <c r="M68" s="2">
        <f t="shared" si="30"/>
        <v>8.0000000000000003E-10</v>
      </c>
      <c r="N68" s="2">
        <f t="shared" si="31"/>
        <v>7</v>
      </c>
      <c r="O68" s="2">
        <f t="shared" si="32"/>
        <v>0.4</v>
      </c>
      <c r="P68" t="s">
        <v>99</v>
      </c>
      <c r="Q68">
        <v>1</v>
      </c>
      <c r="R68" s="4">
        <f t="shared" si="33"/>
        <v>239</v>
      </c>
      <c r="S68">
        <v>67</v>
      </c>
      <c r="T68" s="1">
        <f t="shared" si="34"/>
        <v>3.40544053486561E-6</v>
      </c>
      <c r="U68" t="b">
        <f>_xll.SigFig(T68,5)=_xll.SigFig(B68,5)</f>
        <v>1</v>
      </c>
      <c r="V68" t="b">
        <f>_xll.SigFig(B68,1)=_xll.SigFig(T68,1)</f>
        <v>1</v>
      </c>
    </row>
    <row r="69" spans="1:22">
      <c r="A69" t="s">
        <v>99</v>
      </c>
      <c r="B69" s="1">
        <v>9.1139040355311721E-13</v>
      </c>
      <c r="C69" s="2">
        <f t="shared" si="25"/>
        <v>-1</v>
      </c>
      <c r="D69" s="2">
        <f t="shared" si="25"/>
        <v>-1</v>
      </c>
      <c r="E69" s="2">
        <f t="shared" si="25"/>
        <v>4.6999999999999997E-5</v>
      </c>
      <c r="F69" s="2">
        <f t="shared" si="25"/>
        <v>3.1999999999999999E-5</v>
      </c>
      <c r="G69" s="2">
        <f t="shared" si="25"/>
        <v>1.5E-5</v>
      </c>
      <c r="H69" s="2">
        <f t="shared" si="25"/>
        <v>8.3000000000000002E-6</v>
      </c>
      <c r="I69" s="2">
        <f t="shared" si="26"/>
        <v>2.4999999999999999E-7</v>
      </c>
      <c r="J69" s="2">
        <f t="shared" si="27"/>
        <v>1.2E-4</v>
      </c>
      <c r="K69" s="2">
        <f t="shared" si="28"/>
        <v>5.0000000000000002E-5</v>
      </c>
      <c r="L69" s="2">
        <f t="shared" si="29"/>
        <v>1.5999999999999999E-5</v>
      </c>
      <c r="M69" s="2">
        <f t="shared" si="30"/>
        <v>2.4999999999999999E-7</v>
      </c>
      <c r="N69" s="2">
        <f t="shared" si="31"/>
        <v>10</v>
      </c>
      <c r="O69" s="2">
        <f t="shared" si="32"/>
        <v>1E-3</v>
      </c>
      <c r="P69" t="s">
        <v>93</v>
      </c>
      <c r="Q69">
        <v>1</v>
      </c>
      <c r="R69" s="4">
        <f t="shared" si="33"/>
        <v>239</v>
      </c>
      <c r="S69">
        <v>68</v>
      </c>
      <c r="T69" s="1">
        <f t="shared" si="34"/>
        <v>9.1139040355311721E-13</v>
      </c>
      <c r="U69" t="b">
        <f>_xll.SigFig(T69,5)=_xll.SigFig(B69,5)</f>
        <v>1</v>
      </c>
      <c r="V69" t="b">
        <f>_xll.SigFig(B69,1)=_xll.SigFig(T69,1)</f>
        <v>1</v>
      </c>
    </row>
    <row r="70" spans="1:22">
      <c r="A70" t="s">
        <v>93</v>
      </c>
      <c r="B70" s="1">
        <v>3.1199586257997337E-17</v>
      </c>
      <c r="C70" s="2">
        <f t="shared" si="25"/>
        <v>5.0999999999999999E-7</v>
      </c>
      <c r="D70" s="2">
        <f t="shared" si="25"/>
        <v>5.9999999999999997E-7</v>
      </c>
      <c r="E70" s="2">
        <f t="shared" si="25"/>
        <v>2.7999999999999999E-6</v>
      </c>
      <c r="F70" s="2">
        <f t="shared" si="25"/>
        <v>1.7999999999999999E-6</v>
      </c>
      <c r="G70" s="2">
        <f t="shared" si="25"/>
        <v>7.7000000000000008E-6</v>
      </c>
      <c r="H70" s="2">
        <f t="shared" si="25"/>
        <v>6.1E-6</v>
      </c>
      <c r="I70" s="2">
        <f t="shared" si="26"/>
        <v>4.6000000000000002E-8</v>
      </c>
      <c r="J70" s="2">
        <f t="shared" si="27"/>
        <v>5.2E-7</v>
      </c>
      <c r="K70" s="2">
        <f t="shared" si="28"/>
        <v>3.1E-6</v>
      </c>
      <c r="L70" s="2">
        <f t="shared" si="29"/>
        <v>8.4999999999999999E-6</v>
      </c>
      <c r="M70" s="2">
        <f t="shared" si="30"/>
        <v>4.6999999999999997E-8</v>
      </c>
      <c r="N70" s="2">
        <f t="shared" si="31"/>
        <v>-1</v>
      </c>
      <c r="O70" s="2">
        <f t="shared" si="32"/>
        <v>-1</v>
      </c>
      <c r="P70" t="s">
        <v>85</v>
      </c>
      <c r="Q70">
        <v>1</v>
      </c>
      <c r="R70" s="4">
        <f t="shared" si="33"/>
        <v>235</v>
      </c>
      <c r="S70">
        <v>69</v>
      </c>
      <c r="T70" s="1">
        <f t="shared" si="34"/>
        <v>3.1199586257997337E-17</v>
      </c>
      <c r="U70" t="b">
        <f t="shared" ref="U70:U119" si="35">T70=B70</f>
        <v>1</v>
      </c>
      <c r="V70" t="b">
        <f>_xll.SigFig(B70,1)=_xll.SigFig(T70,1)</f>
        <v>1</v>
      </c>
    </row>
    <row r="71" spans="1:22">
      <c r="A71" t="s">
        <v>85</v>
      </c>
      <c r="B71" s="1">
        <v>7.5447054658649568E-6</v>
      </c>
      <c r="C71" s="2">
        <f t="shared" si="25"/>
        <v>-1</v>
      </c>
      <c r="D71" s="2">
        <f t="shared" si="25"/>
        <v>-1</v>
      </c>
      <c r="E71" s="2">
        <f t="shared" si="25"/>
        <v>2.8999999999999998E-10</v>
      </c>
      <c r="F71" s="2">
        <f t="shared" si="25"/>
        <v>3.7000000000000001E-10</v>
      </c>
      <c r="G71" s="2">
        <f t="shared" si="25"/>
        <v>3.1999999999999998E-10</v>
      </c>
      <c r="H71" s="2">
        <f t="shared" si="25"/>
        <v>4.0000000000000001E-10</v>
      </c>
      <c r="I71" s="2">
        <f t="shared" si="26"/>
        <v>3.4000000000000001E-10</v>
      </c>
      <c r="J71" s="2">
        <f t="shared" si="27"/>
        <v>7.8000000000000002E-11</v>
      </c>
      <c r="K71" s="2">
        <f t="shared" si="28"/>
        <v>3.1000000000000002E-10</v>
      </c>
      <c r="L71" s="2">
        <f t="shared" si="29"/>
        <v>3.3E-10</v>
      </c>
      <c r="M71" s="2">
        <f t="shared" si="30"/>
        <v>3.4000000000000001E-10</v>
      </c>
      <c r="N71" s="2">
        <f t="shared" si="31"/>
        <v>40</v>
      </c>
      <c r="O71" s="2">
        <f t="shared" si="32"/>
        <v>0.02</v>
      </c>
      <c r="P71" t="s">
        <v>84</v>
      </c>
      <c r="Q71">
        <v>1</v>
      </c>
      <c r="R71" s="4">
        <f t="shared" si="33"/>
        <v>231</v>
      </c>
      <c r="S71">
        <v>70</v>
      </c>
      <c r="T71" s="1">
        <f t="shared" si="34"/>
        <v>7.5447054658649568E-6</v>
      </c>
      <c r="U71" t="b">
        <f t="shared" si="35"/>
        <v>1</v>
      </c>
      <c r="V71" t="b">
        <f>_xll.SigFig(B71,1)=_xll.SigFig(T71,1)</f>
        <v>1</v>
      </c>
    </row>
    <row r="72" spans="1:22">
      <c r="A72" t="s">
        <v>84</v>
      </c>
      <c r="B72" s="1">
        <v>6.7169751454526377E-13</v>
      </c>
      <c r="C72" s="2">
        <f t="shared" ref="C72:H81" si="36">IF(ISNA(VLOOKUP($A72,_68inh,COLUMN(C72)-1,FALSE)),-1,VLOOKUP($A72,_68inh,COLUMN(C72)-1,FALSE))</f>
        <v>-1</v>
      </c>
      <c r="D72" s="2">
        <f t="shared" si="36"/>
        <v>-1</v>
      </c>
      <c r="E72" s="2">
        <f t="shared" si="36"/>
        <v>1.2999999999999999E-4</v>
      </c>
      <c r="F72" s="2">
        <f t="shared" si="36"/>
        <v>8.8999999999999995E-5</v>
      </c>
      <c r="G72" s="2">
        <f t="shared" si="36"/>
        <v>3.1999999999999999E-5</v>
      </c>
      <c r="H72" s="2">
        <f t="shared" si="36"/>
        <v>1.7E-5</v>
      </c>
      <c r="I72" s="2">
        <f t="shared" si="26"/>
        <v>7.0999999999999998E-7</v>
      </c>
      <c r="J72" s="2">
        <f t="shared" si="27"/>
        <v>-1</v>
      </c>
      <c r="K72" s="2">
        <f t="shared" si="28"/>
        <v>1.3999999999999999E-4</v>
      </c>
      <c r="L72" s="2">
        <f t="shared" si="29"/>
        <v>3.4E-5</v>
      </c>
      <c r="M72" s="2">
        <f t="shared" si="30"/>
        <v>7.0999999999999998E-7</v>
      </c>
      <c r="N72" s="2">
        <f t="shared" si="31"/>
        <v>4</v>
      </c>
      <c r="O72" s="2">
        <f t="shared" si="32"/>
        <v>4.0000000000000002E-4</v>
      </c>
      <c r="P72" t="s">
        <v>78</v>
      </c>
      <c r="Q72">
        <v>1</v>
      </c>
      <c r="R72" s="4">
        <f t="shared" si="33"/>
        <v>231</v>
      </c>
      <c r="S72">
        <v>71</v>
      </c>
      <c r="T72" s="1">
        <f t="shared" si="34"/>
        <v>6.7169751454526377E-13</v>
      </c>
      <c r="U72" t="b">
        <f>_xll.SigFig(T72,5)=_xll.SigFig(B72,5)</f>
        <v>1</v>
      </c>
      <c r="V72" t="b">
        <f>_xll.SigFig(B72,1)=_xll.SigFig(T72,1)</f>
        <v>1</v>
      </c>
    </row>
    <row r="73" spans="1:22">
      <c r="A73" t="s">
        <v>78</v>
      </c>
      <c r="B73" s="1">
        <v>1.008818864422098E-9</v>
      </c>
      <c r="C73" s="2">
        <f t="shared" si="36"/>
        <v>5.4000000000000001E-4</v>
      </c>
      <c r="D73" s="2">
        <f t="shared" si="36"/>
        <v>6.3000000000000003E-4</v>
      </c>
      <c r="E73" s="2">
        <f t="shared" si="36"/>
        <v>2.1000000000000001E-4</v>
      </c>
      <c r="F73" s="2">
        <f t="shared" si="36"/>
        <v>1.4999999999999999E-4</v>
      </c>
      <c r="G73" s="2">
        <f t="shared" si="36"/>
        <v>6.6000000000000005E-5</v>
      </c>
      <c r="H73" s="2">
        <f t="shared" si="36"/>
        <v>4.6999999999999997E-5</v>
      </c>
      <c r="I73" s="2">
        <f t="shared" si="26"/>
        <v>1.1000000000000001E-6</v>
      </c>
      <c r="J73" s="2">
        <f t="shared" si="27"/>
        <v>5.5000000000000003E-4</v>
      </c>
      <c r="K73" s="2">
        <f t="shared" si="28"/>
        <v>2.2000000000000001E-4</v>
      </c>
      <c r="L73" s="2">
        <f t="shared" si="29"/>
        <v>7.2000000000000002E-5</v>
      </c>
      <c r="M73" s="2">
        <f t="shared" si="30"/>
        <v>1.1000000000000001E-6</v>
      </c>
      <c r="N73" s="2">
        <f t="shared" si="31"/>
        <v>0.9</v>
      </c>
      <c r="O73" s="2">
        <f t="shared" si="32"/>
        <v>9.0000000000000006E-5</v>
      </c>
      <c r="P73" t="s">
        <v>77</v>
      </c>
      <c r="Q73">
        <v>0.98619999999999997</v>
      </c>
      <c r="R73" s="4">
        <f t="shared" si="33"/>
        <v>227</v>
      </c>
      <c r="S73">
        <v>72</v>
      </c>
      <c r="T73" s="1">
        <f t="shared" si="34"/>
        <v>1.008818864422098E-9</v>
      </c>
      <c r="U73" t="b">
        <f>_xll.SigFig(T73,5)=_xll.SigFig(B73,5)</f>
        <v>1</v>
      </c>
      <c r="V73" t="b">
        <f>_xll.SigFig(B73,1)=_xll.SigFig(T73,1)</f>
        <v>1</v>
      </c>
    </row>
    <row r="74" spans="1:22">
      <c r="A74" t="s">
        <v>78</v>
      </c>
      <c r="B74" s="1">
        <v>1.008818864422098E-9</v>
      </c>
      <c r="C74" s="2">
        <f t="shared" si="36"/>
        <v>5.4000000000000001E-4</v>
      </c>
      <c r="D74" s="2">
        <f t="shared" si="36"/>
        <v>6.3000000000000003E-4</v>
      </c>
      <c r="E74" s="2">
        <f t="shared" si="36"/>
        <v>2.1000000000000001E-4</v>
      </c>
      <c r="F74" s="2">
        <f t="shared" si="36"/>
        <v>1.4999999999999999E-4</v>
      </c>
      <c r="G74" s="2">
        <f t="shared" si="36"/>
        <v>6.6000000000000005E-5</v>
      </c>
      <c r="H74" s="2">
        <f t="shared" si="36"/>
        <v>4.6999999999999997E-5</v>
      </c>
      <c r="I74" s="2">
        <f t="shared" si="26"/>
        <v>1.1000000000000001E-6</v>
      </c>
      <c r="J74" s="2">
        <f t="shared" si="27"/>
        <v>5.5000000000000003E-4</v>
      </c>
      <c r="K74" s="2">
        <f t="shared" si="28"/>
        <v>2.2000000000000001E-4</v>
      </c>
      <c r="L74" s="2">
        <f t="shared" si="29"/>
        <v>7.2000000000000002E-5</v>
      </c>
      <c r="M74" s="2">
        <f t="shared" si="30"/>
        <v>1.1000000000000001E-6</v>
      </c>
      <c r="N74" s="2">
        <f t="shared" si="31"/>
        <v>0.9</v>
      </c>
      <c r="O74" s="2">
        <f t="shared" si="32"/>
        <v>9.0000000000000006E-5</v>
      </c>
      <c r="P74" t="s">
        <v>72</v>
      </c>
      <c r="Q74">
        <v>1.38E-2</v>
      </c>
      <c r="R74" s="4">
        <f t="shared" si="33"/>
        <v>227</v>
      </c>
      <c r="S74">
        <v>73</v>
      </c>
      <c r="T74" s="1">
        <f t="shared" si="34"/>
        <v>1.008818864422098E-9</v>
      </c>
      <c r="U74" t="b">
        <f>_xll.SigFig(T74,5)=_xll.SigFig(B74,5)</f>
        <v>1</v>
      </c>
      <c r="V74" t="b">
        <f>_xll.SigFig(B74,1)=_xll.SigFig(T74,1)</f>
        <v>1</v>
      </c>
    </row>
    <row r="75" spans="1:22">
      <c r="A75" t="s">
        <v>77</v>
      </c>
      <c r="B75" s="1">
        <v>4.2915954187724162E-7</v>
      </c>
      <c r="C75" s="2">
        <f t="shared" si="36"/>
        <v>-1</v>
      </c>
      <c r="D75" s="2">
        <f t="shared" si="36"/>
        <v>-1</v>
      </c>
      <c r="E75" s="2">
        <f t="shared" si="36"/>
        <v>7.7999999999999999E-6</v>
      </c>
      <c r="F75" s="2">
        <f t="shared" si="36"/>
        <v>6.1999999999999999E-6</v>
      </c>
      <c r="G75" s="2">
        <f t="shared" si="36"/>
        <v>9.5999999999999996E-6</v>
      </c>
      <c r="H75" s="2">
        <f t="shared" si="36"/>
        <v>7.6000000000000001E-6</v>
      </c>
      <c r="I75" s="2">
        <f t="shared" si="26"/>
        <v>8.9000000000000003E-9</v>
      </c>
      <c r="J75" s="2">
        <f t="shared" si="27"/>
        <v>6.7000000000000004E-7</v>
      </c>
      <c r="K75" s="2">
        <f t="shared" si="28"/>
        <v>8.4999999999999999E-6</v>
      </c>
      <c r="L75" s="2">
        <f t="shared" si="29"/>
        <v>1.0000000000000001E-5</v>
      </c>
      <c r="M75" s="2">
        <f t="shared" si="30"/>
        <v>8.7999999999999994E-9</v>
      </c>
      <c r="N75" s="2">
        <f t="shared" si="31"/>
        <v>10</v>
      </c>
      <c r="O75" s="2">
        <f t="shared" si="32"/>
        <v>5.0000000000000001E-3</v>
      </c>
      <c r="P75" t="s">
        <v>71</v>
      </c>
      <c r="Q75">
        <v>1</v>
      </c>
      <c r="R75" s="4">
        <f t="shared" si="33"/>
        <v>227</v>
      </c>
      <c r="S75">
        <v>74</v>
      </c>
      <c r="T75" s="1">
        <f t="shared" si="34"/>
        <v>4.2915954187724162E-7</v>
      </c>
      <c r="U75" t="b">
        <f>_xll.SigFig(T75,5)=_xll.SigFig(B75,5)</f>
        <v>1</v>
      </c>
      <c r="V75" t="b">
        <f>_xll.SigFig(B75,1)=_xll.SigFig(T75,1)</f>
        <v>1</v>
      </c>
    </row>
    <row r="76" spans="1:22">
      <c r="A76" t="s">
        <v>71</v>
      </c>
      <c r="B76" s="1">
        <v>7.0156506331646177E-7</v>
      </c>
      <c r="C76" s="2">
        <f t="shared" si="36"/>
        <v>-1</v>
      </c>
      <c r="D76" s="2">
        <f t="shared" si="36"/>
        <v>-1</v>
      </c>
      <c r="E76" s="2">
        <f t="shared" si="36"/>
        <v>6.9E-6</v>
      </c>
      <c r="F76" s="2">
        <f t="shared" si="36"/>
        <v>5.6999999999999996E-6</v>
      </c>
      <c r="G76" s="2">
        <f t="shared" si="36"/>
        <v>-1</v>
      </c>
      <c r="H76" s="2">
        <f t="shared" si="36"/>
        <v>-1</v>
      </c>
      <c r="I76" s="2">
        <f t="shared" si="26"/>
        <v>9.9999999999999995E-8</v>
      </c>
      <c r="J76" s="2">
        <f t="shared" si="27"/>
        <v>1.1999999999999999E-7</v>
      </c>
      <c r="K76" s="2">
        <f t="shared" si="28"/>
        <v>7.4000000000000003E-6</v>
      </c>
      <c r="L76" s="2">
        <f t="shared" si="29"/>
        <v>8.6999999999999997E-6</v>
      </c>
      <c r="M76" s="2">
        <f t="shared" si="30"/>
        <v>9.9999999999999995E-8</v>
      </c>
      <c r="N76" s="2">
        <f t="shared" si="31"/>
        <v>0.4</v>
      </c>
      <c r="O76" s="2">
        <f t="shared" si="32"/>
        <v>7.0000000000000001E-3</v>
      </c>
      <c r="P76" t="s">
        <v>66</v>
      </c>
      <c r="Q76">
        <v>1</v>
      </c>
      <c r="R76" s="4">
        <f t="shared" si="33"/>
        <v>223</v>
      </c>
      <c r="S76">
        <v>75</v>
      </c>
      <c r="T76" s="1">
        <f t="shared" si="34"/>
        <v>7.0156506331646177E-7</v>
      </c>
      <c r="U76" t="b">
        <f>_xll.SigFig(T76,5)=_xll.SigFig(B76,5)</f>
        <v>1</v>
      </c>
      <c r="V76" t="b">
        <f>_xll.SigFig(B76,1)=_xll.SigFig(T76,1)</f>
        <v>1</v>
      </c>
    </row>
    <row r="77" spans="1:22">
      <c r="A77" t="s">
        <v>66</v>
      </c>
      <c r="B77" s="1">
        <v>0.175037166808067</v>
      </c>
      <c r="C77" s="2">
        <f t="shared" si="36"/>
        <v>-1</v>
      </c>
      <c r="D77" s="2">
        <f t="shared" si="36"/>
        <v>-1</v>
      </c>
      <c r="E77" s="2">
        <f t="shared" si="36"/>
        <v>-1</v>
      </c>
      <c r="F77" s="2">
        <f t="shared" si="36"/>
        <v>-1</v>
      </c>
      <c r="G77" s="2">
        <f t="shared" si="36"/>
        <v>-1</v>
      </c>
      <c r="H77" s="2">
        <f t="shared" si="36"/>
        <v>-1</v>
      </c>
      <c r="I77" s="2">
        <f t="shared" si="26"/>
        <v>-1</v>
      </c>
      <c r="J77" s="2">
        <f t="shared" si="27"/>
        <v>-1</v>
      </c>
      <c r="K77" s="2">
        <f t="shared" si="28"/>
        <v>-1</v>
      </c>
      <c r="L77" s="2">
        <f t="shared" si="29"/>
        <v>-1</v>
      </c>
      <c r="M77" s="2">
        <f t="shared" si="30"/>
        <v>-1</v>
      </c>
      <c r="N77" s="2">
        <f t="shared" si="31"/>
        <v>0</v>
      </c>
      <c r="O77" s="2">
        <f t="shared" si="32"/>
        <v>0</v>
      </c>
      <c r="P77" t="s">
        <v>58</v>
      </c>
      <c r="Q77">
        <v>1</v>
      </c>
      <c r="R77" s="4">
        <f t="shared" si="33"/>
        <v>219</v>
      </c>
      <c r="S77">
        <v>76</v>
      </c>
      <c r="T77" s="1">
        <f t="shared" si="34"/>
        <v>0.175037166808067</v>
      </c>
      <c r="U77" t="b">
        <f t="shared" si="35"/>
        <v>1</v>
      </c>
      <c r="V77" t="b">
        <f>_xll.SigFig(B77,1)=_xll.SigFig(T77,1)</f>
        <v>1</v>
      </c>
    </row>
    <row r="78" spans="1:22">
      <c r="A78" t="s">
        <v>58</v>
      </c>
      <c r="B78" s="1">
        <v>389.18988240311359</v>
      </c>
      <c r="C78" s="2">
        <f t="shared" si="36"/>
        <v>-1</v>
      </c>
      <c r="D78" s="2">
        <f t="shared" si="36"/>
        <v>-1</v>
      </c>
      <c r="E78" s="2">
        <f t="shared" si="36"/>
        <v>-1</v>
      </c>
      <c r="F78" s="2">
        <f t="shared" si="36"/>
        <v>-1</v>
      </c>
      <c r="G78" s="2">
        <f t="shared" si="36"/>
        <v>-1</v>
      </c>
      <c r="H78" s="2">
        <f t="shared" si="36"/>
        <v>-1</v>
      </c>
      <c r="I78" s="2">
        <f t="shared" si="26"/>
        <v>-1</v>
      </c>
      <c r="J78" s="2">
        <f t="shared" si="27"/>
        <v>-1</v>
      </c>
      <c r="K78" s="2">
        <f t="shared" si="28"/>
        <v>-1</v>
      </c>
      <c r="L78" s="2">
        <f t="shared" si="29"/>
        <v>-1</v>
      </c>
      <c r="M78" s="2">
        <f t="shared" si="30"/>
        <v>-1</v>
      </c>
      <c r="N78" s="2">
        <f t="shared" si="31"/>
        <v>0</v>
      </c>
      <c r="O78" s="2">
        <f t="shared" si="32"/>
        <v>0</v>
      </c>
      <c r="P78" t="s">
        <v>48</v>
      </c>
      <c r="Q78">
        <v>0.99999769999999999</v>
      </c>
      <c r="R78" s="4">
        <f t="shared" si="33"/>
        <v>215</v>
      </c>
      <c r="S78">
        <v>77</v>
      </c>
      <c r="T78" s="1">
        <f t="shared" si="34"/>
        <v>389.18988240311359</v>
      </c>
      <c r="U78" t="b">
        <f>_xll.SigFig(T78,5)=_xll.SigFig(B78,5)</f>
        <v>1</v>
      </c>
      <c r="V78" t="b">
        <f>_xll.SigFig(B78,1)=_xll.SigFig(T78,1)</f>
        <v>1</v>
      </c>
    </row>
    <row r="79" spans="1:22">
      <c r="A79" t="s">
        <v>58</v>
      </c>
      <c r="B79" s="1">
        <v>389.18988240311359</v>
      </c>
      <c r="C79" s="2">
        <f t="shared" si="36"/>
        <v>-1</v>
      </c>
      <c r="D79" s="2">
        <f t="shared" si="36"/>
        <v>-1</v>
      </c>
      <c r="E79" s="2">
        <f t="shared" si="36"/>
        <v>-1</v>
      </c>
      <c r="F79" s="2">
        <f t="shared" si="36"/>
        <v>-1</v>
      </c>
      <c r="G79" s="2">
        <f t="shared" si="36"/>
        <v>-1</v>
      </c>
      <c r="H79" s="2">
        <f t="shared" si="36"/>
        <v>-1</v>
      </c>
      <c r="I79" s="2">
        <f t="shared" si="26"/>
        <v>-1</v>
      </c>
      <c r="J79" s="2">
        <f t="shared" si="27"/>
        <v>-1</v>
      </c>
      <c r="K79" s="2">
        <f t="shared" si="28"/>
        <v>-1</v>
      </c>
      <c r="L79" s="2">
        <f t="shared" si="29"/>
        <v>-1</v>
      </c>
      <c r="M79" s="2">
        <f t="shared" si="30"/>
        <v>-1</v>
      </c>
      <c r="N79" s="2">
        <f t="shared" si="31"/>
        <v>0</v>
      </c>
      <c r="O79" s="2">
        <f t="shared" si="32"/>
        <v>0</v>
      </c>
      <c r="P79" t="s">
        <v>57</v>
      </c>
      <c r="Q79">
        <v>2.3000000000106298E-6</v>
      </c>
      <c r="R79" s="4">
        <f t="shared" si="33"/>
        <v>215</v>
      </c>
      <c r="S79">
        <v>78</v>
      </c>
      <c r="T79" s="1">
        <f t="shared" si="34"/>
        <v>389.18988240311359</v>
      </c>
      <c r="U79" t="b">
        <f>_xll.SigFig(T79,5)=_xll.SigFig(B79,5)</f>
        <v>1</v>
      </c>
      <c r="V79" t="b">
        <f>_xll.SigFig(B79,1)=_xll.SigFig(T79,1)</f>
        <v>1</v>
      </c>
    </row>
    <row r="80" spans="1:22">
      <c r="A80" t="s">
        <v>48</v>
      </c>
      <c r="B80" s="1">
        <v>3.1943738446930513E-4</v>
      </c>
      <c r="C80" s="2">
        <f t="shared" si="36"/>
        <v>3.9000000000000002E-9</v>
      </c>
      <c r="D80" s="2">
        <f t="shared" si="36"/>
        <v>5.5999999999999997E-9</v>
      </c>
      <c r="E80" s="2">
        <f t="shared" si="36"/>
        <v>-1</v>
      </c>
      <c r="F80" s="2">
        <f t="shared" si="36"/>
        <v>-1</v>
      </c>
      <c r="G80" s="2">
        <f t="shared" si="36"/>
        <v>-1</v>
      </c>
      <c r="H80" s="2">
        <f t="shared" si="36"/>
        <v>-1</v>
      </c>
      <c r="I80" s="2">
        <f t="shared" si="26"/>
        <v>1.8E-10</v>
      </c>
      <c r="J80" s="2">
        <f t="shared" si="27"/>
        <v>3.9000000000000002E-9</v>
      </c>
      <c r="K80" s="2">
        <f t="shared" si="28"/>
        <v>1.0999999999999999E-8</v>
      </c>
      <c r="L80" s="2">
        <f t="shared" si="29"/>
        <v>1.2E-8</v>
      </c>
      <c r="M80" s="2">
        <f t="shared" si="30"/>
        <v>1.8E-10</v>
      </c>
      <c r="N80" s="2">
        <f t="shared" si="31"/>
        <v>0</v>
      </c>
      <c r="O80" s="2">
        <f t="shared" si="32"/>
        <v>0</v>
      </c>
      <c r="P80" t="s">
        <v>47</v>
      </c>
      <c r="Q80">
        <v>1</v>
      </c>
      <c r="R80" s="4">
        <f t="shared" si="33"/>
        <v>211</v>
      </c>
      <c r="S80">
        <v>79</v>
      </c>
      <c r="T80" s="1">
        <f t="shared" si="34"/>
        <v>3.1943738446930513E-4</v>
      </c>
      <c r="U80" t="b">
        <f>_xll.SigFig(T80,5)=_xll.SigFig(B80,5)</f>
        <v>1</v>
      </c>
      <c r="V80" t="b">
        <f>_xll.SigFig(B80,1)=_xll.SigFig(T80,1)</f>
        <v>1</v>
      </c>
    </row>
    <row r="81" spans="1:22">
      <c r="A81" t="s">
        <v>47</v>
      </c>
      <c r="B81" s="1">
        <v>5.3983425277254306E-3</v>
      </c>
      <c r="C81" s="2">
        <f t="shared" si="36"/>
        <v>-1</v>
      </c>
      <c r="D81" s="2">
        <f t="shared" si="36"/>
        <v>-1</v>
      </c>
      <c r="E81" s="2">
        <f t="shared" si="36"/>
        <v>-1</v>
      </c>
      <c r="F81" s="2">
        <f t="shared" si="36"/>
        <v>-1</v>
      </c>
      <c r="G81" s="2">
        <f t="shared" si="36"/>
        <v>-1</v>
      </c>
      <c r="H81" s="2">
        <f t="shared" si="36"/>
        <v>-1</v>
      </c>
      <c r="I81" s="2">
        <f t="shared" si="26"/>
        <v>-1</v>
      </c>
      <c r="J81" s="2">
        <f t="shared" si="27"/>
        <v>-1</v>
      </c>
      <c r="K81" s="2">
        <f t="shared" si="28"/>
        <v>-1</v>
      </c>
      <c r="L81" s="2">
        <f t="shared" si="29"/>
        <v>-1</v>
      </c>
      <c r="M81" s="2">
        <f t="shared" si="30"/>
        <v>-1</v>
      </c>
      <c r="N81" s="2">
        <f t="shared" si="31"/>
        <v>0</v>
      </c>
      <c r="O81" s="2">
        <f t="shared" si="32"/>
        <v>0</v>
      </c>
      <c r="P81" t="s">
        <v>38</v>
      </c>
      <c r="Q81">
        <v>0.99724000000000002</v>
      </c>
      <c r="R81" s="4">
        <f t="shared" si="33"/>
        <v>211</v>
      </c>
      <c r="S81">
        <v>80</v>
      </c>
      <c r="T81" s="1">
        <f t="shared" si="34"/>
        <v>5.3983425277254306E-3</v>
      </c>
      <c r="U81" t="b">
        <f t="shared" si="35"/>
        <v>1</v>
      </c>
      <c r="V81" t="b">
        <f>_xll.SigFig(B81,1)=_xll.SigFig(T81,1)</f>
        <v>1</v>
      </c>
    </row>
    <row r="82" spans="1:22">
      <c r="A82" t="s">
        <v>47</v>
      </c>
      <c r="B82" s="1">
        <v>5.3983425277254306E-3</v>
      </c>
      <c r="C82" s="2">
        <f t="shared" ref="C82:H91" si="37">IF(ISNA(VLOOKUP($A82,_68inh,COLUMN(C82)-1,FALSE)),-1,VLOOKUP($A82,_68inh,COLUMN(C82)-1,FALSE))</f>
        <v>-1</v>
      </c>
      <c r="D82" s="2">
        <f t="shared" si="37"/>
        <v>-1</v>
      </c>
      <c r="E82" s="2">
        <f t="shared" si="37"/>
        <v>-1</v>
      </c>
      <c r="F82" s="2">
        <f t="shared" si="37"/>
        <v>-1</v>
      </c>
      <c r="G82" s="2">
        <f t="shared" si="37"/>
        <v>-1</v>
      </c>
      <c r="H82" s="2">
        <f t="shared" si="37"/>
        <v>-1</v>
      </c>
      <c r="I82" s="2">
        <f t="shared" si="26"/>
        <v>-1</v>
      </c>
      <c r="J82" s="2">
        <f t="shared" si="27"/>
        <v>-1</v>
      </c>
      <c r="K82" s="2">
        <f t="shared" si="28"/>
        <v>-1</v>
      </c>
      <c r="L82" s="2">
        <f t="shared" si="29"/>
        <v>-1</v>
      </c>
      <c r="M82" s="2">
        <f t="shared" si="30"/>
        <v>-1</v>
      </c>
      <c r="N82" s="2">
        <f t="shared" si="31"/>
        <v>0</v>
      </c>
      <c r="O82" s="2">
        <f t="shared" si="32"/>
        <v>0</v>
      </c>
      <c r="P82" t="s">
        <v>46</v>
      </c>
      <c r="Q82">
        <v>2.7599999999999799E-3</v>
      </c>
      <c r="R82" s="4">
        <f t="shared" si="33"/>
        <v>211</v>
      </c>
      <c r="S82">
        <v>81</v>
      </c>
      <c r="T82" s="1">
        <f t="shared" si="34"/>
        <v>5.3983425277254306E-3</v>
      </c>
      <c r="U82" t="b">
        <f t="shared" si="35"/>
        <v>1</v>
      </c>
      <c r="V82" t="b">
        <f>_xll.SigFig(B82,1)=_xll.SigFig(T82,1)</f>
        <v>1</v>
      </c>
    </row>
    <row r="83" spans="1:22">
      <c r="A83" t="s">
        <v>38</v>
      </c>
      <c r="B83" s="1">
        <v>2.4218979055204239E-3</v>
      </c>
      <c r="C83" s="2">
        <f t="shared" si="37"/>
        <v>-1</v>
      </c>
      <c r="D83" s="2">
        <f t="shared" si="37"/>
        <v>-1</v>
      </c>
      <c r="E83" s="2">
        <f t="shared" si="37"/>
        <v>-1</v>
      </c>
      <c r="F83" s="2">
        <f t="shared" si="37"/>
        <v>-1</v>
      </c>
      <c r="G83" s="2">
        <f t="shared" si="37"/>
        <v>-1</v>
      </c>
      <c r="H83" s="2">
        <f t="shared" si="37"/>
        <v>-1</v>
      </c>
      <c r="I83" s="2">
        <f t="shared" si="26"/>
        <v>-1</v>
      </c>
      <c r="J83" s="2">
        <f t="shared" si="27"/>
        <v>-1</v>
      </c>
      <c r="K83" s="2">
        <f t="shared" si="28"/>
        <v>-1</v>
      </c>
      <c r="L83" s="2">
        <f t="shared" si="29"/>
        <v>-1</v>
      </c>
      <c r="M83" s="2">
        <f t="shared" si="30"/>
        <v>-1</v>
      </c>
      <c r="N83" s="2">
        <f t="shared" si="31"/>
        <v>0</v>
      </c>
      <c r="O83" s="2">
        <f t="shared" si="32"/>
        <v>0</v>
      </c>
      <c r="P83" t="s">
        <v>142</v>
      </c>
      <c r="Q83">
        <v>1</v>
      </c>
      <c r="R83" s="4">
        <f t="shared" si="33"/>
        <v>207</v>
      </c>
      <c r="S83">
        <v>82</v>
      </c>
      <c r="T83" s="1">
        <f t="shared" si="34"/>
        <v>2.4218979055204239E-3</v>
      </c>
      <c r="U83" t="b">
        <f t="shared" si="35"/>
        <v>1</v>
      </c>
      <c r="V83" t="b">
        <f>_xll.SigFig(B83,1)=_xll.SigFig(T83,1)</f>
        <v>1</v>
      </c>
    </row>
    <row r="84" spans="1:22">
      <c r="A84" t="s">
        <v>72</v>
      </c>
      <c r="B84" s="1">
        <v>5.2535029601329802E-4</v>
      </c>
      <c r="C84" s="2">
        <f t="shared" si="37"/>
        <v>9.0999999999999996E-10</v>
      </c>
      <c r="D84" s="2">
        <f t="shared" si="37"/>
        <v>1.3000000000000001E-9</v>
      </c>
      <c r="E84" s="2">
        <f t="shared" si="37"/>
        <v>-1</v>
      </c>
      <c r="F84" s="2">
        <f t="shared" si="37"/>
        <v>-1</v>
      </c>
      <c r="G84" s="2">
        <f t="shared" si="37"/>
        <v>-1</v>
      </c>
      <c r="H84" s="2">
        <f t="shared" si="37"/>
        <v>-1</v>
      </c>
      <c r="I84" s="2">
        <f t="shared" si="26"/>
        <v>2.2999999999999999E-9</v>
      </c>
      <c r="J84" s="2">
        <f t="shared" si="27"/>
        <v>8.9000000000000003E-10</v>
      </c>
      <c r="K84" s="2">
        <f t="shared" si="28"/>
        <v>-1</v>
      </c>
      <c r="L84" s="2">
        <f t="shared" si="29"/>
        <v>-1</v>
      </c>
      <c r="M84" s="2">
        <f t="shared" si="30"/>
        <v>2.4E-9</v>
      </c>
      <c r="N84" s="2">
        <f t="shared" si="31"/>
        <v>0</v>
      </c>
      <c r="O84" s="2">
        <f t="shared" si="32"/>
        <v>0</v>
      </c>
      <c r="P84" t="s">
        <v>67</v>
      </c>
      <c r="Q84" s="8">
        <v>5.9999999999949003E-5</v>
      </c>
      <c r="R84" s="4">
        <f t="shared" si="33"/>
        <v>223</v>
      </c>
      <c r="S84">
        <v>83</v>
      </c>
      <c r="T84" s="1">
        <f t="shared" si="34"/>
        <v>5.2535029601329802E-4</v>
      </c>
      <c r="U84" t="b">
        <f>_xll.SigFig(T84,5)=_xll.SigFig(B84,5)</f>
        <v>1</v>
      </c>
      <c r="V84" t="b">
        <f>_xll.SigFig(B84,1)=_xll.SigFig(T84,1)</f>
        <v>1</v>
      </c>
    </row>
    <row r="85" spans="1:22">
      <c r="A85" t="s">
        <v>57</v>
      </c>
      <c r="B85" s="1">
        <v>18733.707582701223</v>
      </c>
      <c r="C85" s="2">
        <f t="shared" si="37"/>
        <v>-1</v>
      </c>
      <c r="D85" s="2">
        <f t="shared" si="37"/>
        <v>-1</v>
      </c>
      <c r="E85" s="2">
        <f t="shared" si="37"/>
        <v>-1</v>
      </c>
      <c r="F85" s="2">
        <f t="shared" si="37"/>
        <v>-1</v>
      </c>
      <c r="G85" s="2">
        <f t="shared" si="37"/>
        <v>-1</v>
      </c>
      <c r="H85" s="2">
        <f t="shared" si="37"/>
        <v>-1</v>
      </c>
      <c r="I85" s="2">
        <f t="shared" si="26"/>
        <v>-1</v>
      </c>
      <c r="J85" s="2">
        <f t="shared" si="27"/>
        <v>-1</v>
      </c>
      <c r="K85" s="2">
        <f t="shared" si="28"/>
        <v>-1</v>
      </c>
      <c r="L85" s="2">
        <f t="shared" si="29"/>
        <v>-1</v>
      </c>
      <c r="M85" s="2">
        <f t="shared" si="30"/>
        <v>-1</v>
      </c>
      <c r="N85" s="2">
        <f t="shared" si="31"/>
        <v>0</v>
      </c>
      <c r="O85" s="2">
        <f t="shared" si="32"/>
        <v>0</v>
      </c>
      <c r="P85" t="s">
        <v>47</v>
      </c>
      <c r="Q85">
        <v>1</v>
      </c>
      <c r="R85" s="4">
        <f t="shared" si="33"/>
        <v>215</v>
      </c>
      <c r="S85">
        <v>84</v>
      </c>
      <c r="T85" s="1">
        <f t="shared" si="34"/>
        <v>18733.707582701223</v>
      </c>
      <c r="U85" t="b">
        <f>_xll.SigFig(T85,5)=_xll.SigFig(B85,5)</f>
        <v>1</v>
      </c>
      <c r="V85" t="b">
        <f>_xll.SigFig(B85,1)=_xll.SigFig(T85,1)</f>
        <v>1</v>
      </c>
    </row>
    <row r="86" spans="1:22">
      <c r="A86" t="s">
        <v>46</v>
      </c>
      <c r="B86" s="1">
        <v>1.3433084894572582</v>
      </c>
      <c r="C86" s="2">
        <f t="shared" si="37"/>
        <v>-1</v>
      </c>
      <c r="D86" s="2">
        <f t="shared" si="37"/>
        <v>-1</v>
      </c>
      <c r="E86" s="2">
        <f t="shared" si="37"/>
        <v>-1</v>
      </c>
      <c r="F86" s="2">
        <f t="shared" si="37"/>
        <v>-1</v>
      </c>
      <c r="G86" s="2">
        <f t="shared" si="37"/>
        <v>-1</v>
      </c>
      <c r="H86" s="2">
        <f t="shared" si="37"/>
        <v>-1</v>
      </c>
      <c r="I86" s="2">
        <f t="shared" si="26"/>
        <v>-1</v>
      </c>
      <c r="J86" s="2">
        <f t="shared" si="27"/>
        <v>-1</v>
      </c>
      <c r="K86" s="2">
        <f t="shared" si="28"/>
        <v>-1</v>
      </c>
      <c r="L86" s="2">
        <f t="shared" si="29"/>
        <v>-1</v>
      </c>
      <c r="M86" s="2">
        <f t="shared" si="30"/>
        <v>-1</v>
      </c>
      <c r="N86" s="2">
        <f t="shared" si="31"/>
        <v>0</v>
      </c>
      <c r="O86" s="2">
        <f t="shared" si="32"/>
        <v>0</v>
      </c>
      <c r="P86" t="s">
        <v>142</v>
      </c>
      <c r="Q86">
        <v>1</v>
      </c>
      <c r="R86" s="4">
        <f t="shared" si="33"/>
        <v>211</v>
      </c>
      <c r="S86">
        <v>85</v>
      </c>
      <c r="T86" s="1">
        <f t="shared" si="34"/>
        <v>1.3433084894572582</v>
      </c>
      <c r="U86" t="b">
        <f t="shared" si="35"/>
        <v>1</v>
      </c>
      <c r="V86" t="b">
        <f>_xll.SigFig(B86,1)=_xll.SigFig(T86,1)</f>
        <v>1</v>
      </c>
    </row>
    <row r="87" spans="1:22">
      <c r="A87" t="s">
        <v>105</v>
      </c>
      <c r="B87" s="1">
        <v>7.5272476784201938E-10</v>
      </c>
      <c r="C87" s="2">
        <f t="shared" si="37"/>
        <v>-1</v>
      </c>
      <c r="D87" s="2">
        <f t="shared" si="37"/>
        <v>-1</v>
      </c>
      <c r="E87" s="2">
        <f t="shared" si="37"/>
        <v>2.9E-5</v>
      </c>
      <c r="F87" s="2">
        <f t="shared" si="37"/>
        <v>2.0000000000000002E-5</v>
      </c>
      <c r="G87" s="2">
        <f t="shared" si="37"/>
        <v>-1</v>
      </c>
      <c r="H87" s="2">
        <f t="shared" si="37"/>
        <v>-1</v>
      </c>
      <c r="I87" s="2">
        <f t="shared" si="26"/>
        <v>1.4999999999999999E-7</v>
      </c>
      <c r="J87" s="2">
        <f t="shared" si="27"/>
        <v>6.8999999999999997E-5</v>
      </c>
      <c r="K87" s="2">
        <f t="shared" si="28"/>
        <v>3.1000000000000001E-5</v>
      </c>
      <c r="L87" s="2">
        <f t="shared" si="29"/>
        <v>1.5E-5</v>
      </c>
      <c r="M87" s="2">
        <f t="shared" si="30"/>
        <v>1.4999999999999999E-7</v>
      </c>
      <c r="N87" s="2">
        <f t="shared" si="31"/>
        <v>9</v>
      </c>
      <c r="O87" s="2">
        <f t="shared" si="32"/>
        <v>1E-3</v>
      </c>
      <c r="P87" t="s">
        <v>99</v>
      </c>
      <c r="Q87">
        <v>0.99709999999999999</v>
      </c>
      <c r="R87" s="4">
        <f t="shared" si="33"/>
        <v>243</v>
      </c>
      <c r="S87">
        <v>86</v>
      </c>
      <c r="T87" s="1">
        <f t="shared" si="34"/>
        <v>7.5272476784201938E-10</v>
      </c>
      <c r="U87" t="b">
        <f>_xll.SigFig(T87,5)=_xll.SigFig(B87,5)</f>
        <v>1</v>
      </c>
      <c r="V87" t="b">
        <f>_xll.SigFig(B87,1)=_xll.SigFig(T87,1)</f>
        <v>1</v>
      </c>
    </row>
    <row r="88" spans="1:22">
      <c r="A88" t="s">
        <v>105</v>
      </c>
      <c r="B88" s="1">
        <v>7.5272476784201938E-10</v>
      </c>
      <c r="C88" s="2">
        <f t="shared" si="37"/>
        <v>-1</v>
      </c>
      <c r="D88" s="2">
        <f t="shared" si="37"/>
        <v>-1</v>
      </c>
      <c r="E88" s="2">
        <f t="shared" si="37"/>
        <v>2.9E-5</v>
      </c>
      <c r="F88" s="2">
        <f t="shared" si="37"/>
        <v>2.0000000000000002E-5</v>
      </c>
      <c r="G88" s="2">
        <f t="shared" si="37"/>
        <v>-1</v>
      </c>
      <c r="H88" s="2">
        <f t="shared" si="37"/>
        <v>-1</v>
      </c>
      <c r="I88" s="2">
        <f t="shared" si="26"/>
        <v>1.4999999999999999E-7</v>
      </c>
      <c r="J88" s="2">
        <f t="shared" si="27"/>
        <v>6.8999999999999997E-5</v>
      </c>
      <c r="K88" s="2">
        <f t="shared" si="28"/>
        <v>3.1000000000000001E-5</v>
      </c>
      <c r="L88" s="2">
        <f t="shared" si="29"/>
        <v>1.5E-5</v>
      </c>
      <c r="M88" s="2">
        <f t="shared" si="30"/>
        <v>1.4999999999999999E-7</v>
      </c>
      <c r="N88" s="2">
        <f t="shared" si="31"/>
        <v>9</v>
      </c>
      <c r="O88" s="2">
        <f t="shared" si="32"/>
        <v>1E-3</v>
      </c>
      <c r="P88" t="s">
        <v>104</v>
      </c>
      <c r="Q88">
        <v>2.9000000000000102E-3</v>
      </c>
      <c r="R88" s="4">
        <f t="shared" si="33"/>
        <v>243</v>
      </c>
      <c r="S88">
        <v>87</v>
      </c>
      <c r="T88" s="1">
        <f t="shared" si="34"/>
        <v>7.5272476784201938E-10</v>
      </c>
      <c r="U88" t="b">
        <f>_xll.SigFig(T88,5)=_xll.SigFig(B88,5)</f>
        <v>1</v>
      </c>
      <c r="V88" t="b">
        <f>_xll.SigFig(B88,1)=_xll.SigFig(T88,1)</f>
        <v>1</v>
      </c>
    </row>
    <row r="89" spans="1:22">
      <c r="A89" t="s">
        <v>134</v>
      </c>
      <c r="B89" s="1">
        <v>1.2018781740878508E-5</v>
      </c>
      <c r="C89" s="2">
        <f t="shared" si="37"/>
        <v>-1</v>
      </c>
      <c r="D89" s="2">
        <f t="shared" si="37"/>
        <v>-1</v>
      </c>
      <c r="E89" s="2">
        <f t="shared" si="37"/>
        <v>1.6000000000000001E-8</v>
      </c>
      <c r="F89" s="2">
        <f t="shared" si="37"/>
        <v>1.2E-8</v>
      </c>
      <c r="G89" s="2">
        <f t="shared" si="37"/>
        <v>-1</v>
      </c>
      <c r="H89" s="2">
        <f t="shared" si="37"/>
        <v>-1</v>
      </c>
      <c r="I89" s="2">
        <f t="shared" si="26"/>
        <v>3E-10</v>
      </c>
      <c r="J89" s="2">
        <f t="shared" si="27"/>
        <v>1.0999999999999999E-8</v>
      </c>
      <c r="K89" s="2">
        <f t="shared" si="28"/>
        <v>1.7E-8</v>
      </c>
      <c r="L89" s="2">
        <f t="shared" si="29"/>
        <v>2E-8</v>
      </c>
      <c r="M89" s="2">
        <f t="shared" si="30"/>
        <v>3E-10</v>
      </c>
      <c r="N89" s="2">
        <f t="shared" si="31"/>
        <v>0</v>
      </c>
      <c r="O89" s="2">
        <f t="shared" si="32"/>
        <v>0</v>
      </c>
      <c r="P89" t="s">
        <v>136</v>
      </c>
      <c r="Q89">
        <v>0.83</v>
      </c>
      <c r="R89" s="4">
        <f t="shared" si="33"/>
        <v>242</v>
      </c>
      <c r="S89">
        <v>88</v>
      </c>
      <c r="T89" s="1">
        <f t="shared" si="34"/>
        <v>1.2018781740878508E-5</v>
      </c>
      <c r="U89" t="b">
        <f t="shared" si="35"/>
        <v>1</v>
      </c>
      <c r="V89" t="b">
        <f>_xll.SigFig(B89,1)=_xll.SigFig(T89,1)</f>
        <v>1</v>
      </c>
    </row>
    <row r="90" spans="1:22">
      <c r="A90" t="s">
        <v>134</v>
      </c>
      <c r="B90" s="1">
        <v>1.2018781740878508E-5</v>
      </c>
      <c r="C90" s="2">
        <f t="shared" si="37"/>
        <v>-1</v>
      </c>
      <c r="D90" s="2">
        <f t="shared" si="37"/>
        <v>-1</v>
      </c>
      <c r="E90" s="2">
        <f t="shared" si="37"/>
        <v>1.6000000000000001E-8</v>
      </c>
      <c r="F90" s="2">
        <f t="shared" si="37"/>
        <v>1.2E-8</v>
      </c>
      <c r="G90" s="2">
        <f t="shared" si="37"/>
        <v>-1</v>
      </c>
      <c r="H90" s="2">
        <f t="shared" si="37"/>
        <v>-1</v>
      </c>
      <c r="I90" s="2">
        <f t="shared" si="26"/>
        <v>3E-10</v>
      </c>
      <c r="J90" s="2">
        <f t="shared" si="27"/>
        <v>1.0999999999999999E-8</v>
      </c>
      <c r="K90" s="2">
        <f t="shared" si="28"/>
        <v>1.7E-8</v>
      </c>
      <c r="L90" s="2">
        <f t="shared" si="29"/>
        <v>2E-8</v>
      </c>
      <c r="M90" s="2">
        <f t="shared" si="30"/>
        <v>3E-10</v>
      </c>
      <c r="N90" s="2">
        <f t="shared" si="31"/>
        <v>0</v>
      </c>
      <c r="O90" s="2">
        <f t="shared" si="32"/>
        <v>0</v>
      </c>
      <c r="P90" t="s">
        <v>133</v>
      </c>
      <c r="Q90">
        <v>0.17</v>
      </c>
      <c r="R90" s="4">
        <f t="shared" si="33"/>
        <v>242</v>
      </c>
      <c r="S90">
        <v>89</v>
      </c>
      <c r="T90" s="1">
        <f t="shared" si="34"/>
        <v>1.2018781740878508E-5</v>
      </c>
      <c r="U90" t="b">
        <f t="shared" si="35"/>
        <v>1</v>
      </c>
      <c r="V90" t="b">
        <f>_xll.SigFig(B90,1)=_xll.SigFig(T90,1)</f>
        <v>1</v>
      </c>
    </row>
    <row r="91" spans="1:22">
      <c r="A91" t="s">
        <v>136</v>
      </c>
      <c r="B91" s="1">
        <v>4.9254278069968099E-8</v>
      </c>
      <c r="C91" s="2">
        <f t="shared" si="37"/>
        <v>-1</v>
      </c>
      <c r="D91" s="2">
        <f t="shared" si="37"/>
        <v>-1</v>
      </c>
      <c r="E91" s="2">
        <f t="shared" si="37"/>
        <v>4.7999999999999998E-6</v>
      </c>
      <c r="F91" s="2">
        <f t="shared" si="37"/>
        <v>3.7000000000000002E-6</v>
      </c>
      <c r="G91" s="2">
        <f t="shared" si="37"/>
        <v>-1</v>
      </c>
      <c r="H91" s="2">
        <f t="shared" si="37"/>
        <v>-1</v>
      </c>
      <c r="I91" s="2">
        <f t="shared" si="26"/>
        <v>1.2E-8</v>
      </c>
      <c r="J91" s="2">
        <f t="shared" si="27"/>
        <v>3.3000000000000002E-6</v>
      </c>
      <c r="K91" s="2">
        <f t="shared" si="28"/>
        <v>5.2000000000000002E-6</v>
      </c>
      <c r="L91" s="2">
        <f t="shared" si="29"/>
        <v>5.9000000000000003E-6</v>
      </c>
      <c r="M91" s="2">
        <f t="shared" si="30"/>
        <v>1.2E-8</v>
      </c>
      <c r="N91" s="2">
        <f t="shared" si="31"/>
        <v>40</v>
      </c>
      <c r="O91" s="2">
        <f t="shared" si="32"/>
        <v>0.01</v>
      </c>
      <c r="P91" t="s">
        <v>97</v>
      </c>
      <c r="Q91">
        <v>1</v>
      </c>
      <c r="R91" s="4">
        <f t="shared" si="33"/>
        <v>242</v>
      </c>
      <c r="S91">
        <v>90</v>
      </c>
      <c r="T91" s="1">
        <f t="shared" si="34"/>
        <v>4.9254278069968099E-8</v>
      </c>
      <c r="U91" t="b">
        <f>_xll.SigFig(T91,5)=_xll.SigFig(B91,5)</f>
        <v>1</v>
      </c>
      <c r="V91" t="b">
        <f>_xll.SigFig(B91,1)=_xll.SigFig(T91,1)</f>
        <v>1</v>
      </c>
    </row>
    <row r="92" spans="1:22">
      <c r="A92" t="s">
        <v>97</v>
      </c>
      <c r="B92" s="1">
        <v>2.5045049858187148E-10</v>
      </c>
      <c r="C92" s="2">
        <f t="shared" ref="C92:H101" si="38">IF(ISNA(VLOOKUP($A92,_68inh,COLUMN(C92)-1,FALSE)),-1,VLOOKUP($A92,_68inh,COLUMN(C92)-1,FALSE))</f>
        <v>-1</v>
      </c>
      <c r="D92" s="2">
        <f t="shared" si="38"/>
        <v>-1</v>
      </c>
      <c r="E92" s="2">
        <f t="shared" si="38"/>
        <v>4.3000000000000002E-5</v>
      </c>
      <c r="F92" s="2">
        <f t="shared" si="38"/>
        <v>3.0000000000000001E-5</v>
      </c>
      <c r="G92" s="2">
        <f t="shared" si="38"/>
        <v>1.5E-5</v>
      </c>
      <c r="H92" s="2">
        <f t="shared" si="38"/>
        <v>1.1E-5</v>
      </c>
      <c r="I92" s="2">
        <f t="shared" si="26"/>
        <v>2.2999999999999999E-7</v>
      </c>
      <c r="J92" s="2">
        <f t="shared" si="27"/>
        <v>1.1E-4</v>
      </c>
      <c r="K92" s="2">
        <f t="shared" si="28"/>
        <v>4.6E-5</v>
      </c>
      <c r="L92" s="2">
        <f t="shared" si="29"/>
        <v>1.5999999999999999E-5</v>
      </c>
      <c r="M92" s="2">
        <f t="shared" si="30"/>
        <v>2.2999999999999999E-7</v>
      </c>
      <c r="N92" s="2">
        <f t="shared" si="31"/>
        <v>10</v>
      </c>
      <c r="O92" s="2">
        <f t="shared" si="32"/>
        <v>1E-3</v>
      </c>
      <c r="P92" t="s">
        <v>89</v>
      </c>
      <c r="Q92">
        <v>1</v>
      </c>
      <c r="R92" s="4">
        <f t="shared" si="33"/>
        <v>238</v>
      </c>
      <c r="S92">
        <v>91</v>
      </c>
      <c r="T92" s="1">
        <f t="shared" si="34"/>
        <v>2.5045049858187148E-10</v>
      </c>
      <c r="U92" t="b">
        <f t="shared" si="35"/>
        <v>1</v>
      </c>
      <c r="V92" t="b">
        <f>_xll.SigFig(B92,1)=_xll.SigFig(T92,1)</f>
        <v>1</v>
      </c>
    </row>
    <row r="93" spans="1:22">
      <c r="A93" t="s">
        <v>135</v>
      </c>
      <c r="B93" s="1">
        <v>1.5478864500091704E-10</v>
      </c>
      <c r="C93" s="2">
        <f t="shared" si="38"/>
        <v>-1</v>
      </c>
      <c r="D93" s="2">
        <f t="shared" si="38"/>
        <v>-1</v>
      </c>
      <c r="E93" s="2">
        <f t="shared" si="38"/>
        <v>3.4999999999999997E-5</v>
      </c>
      <c r="F93" s="2">
        <f t="shared" si="38"/>
        <v>2.4000000000000001E-5</v>
      </c>
      <c r="G93" s="2">
        <f t="shared" si="38"/>
        <v>-1</v>
      </c>
      <c r="H93" s="2">
        <f t="shared" si="38"/>
        <v>-1</v>
      </c>
      <c r="I93" s="2">
        <f t="shared" si="26"/>
        <v>1.9000000000000001E-7</v>
      </c>
      <c r="J93" s="2">
        <f t="shared" si="27"/>
        <v>9.2E-5</v>
      </c>
      <c r="K93" s="2">
        <f t="shared" si="28"/>
        <v>3.6999999999999998E-5</v>
      </c>
      <c r="L93" s="2">
        <f t="shared" si="29"/>
        <v>1.1E-5</v>
      </c>
      <c r="M93" s="2">
        <f t="shared" si="30"/>
        <v>1.9000000000000001E-7</v>
      </c>
      <c r="N93" s="2">
        <f t="shared" si="31"/>
        <v>10</v>
      </c>
      <c r="O93" s="2">
        <f t="shared" si="32"/>
        <v>1E-3</v>
      </c>
      <c r="P93" t="s">
        <v>134</v>
      </c>
      <c r="Q93" s="7">
        <v>0.99550000000000005</v>
      </c>
      <c r="R93" s="4">
        <f t="shared" si="33"/>
        <v>242</v>
      </c>
      <c r="S93">
        <v>92</v>
      </c>
      <c r="T93" s="1">
        <f t="shared" si="34"/>
        <v>1.5478864500091704E-10</v>
      </c>
      <c r="U93" t="b">
        <f>_xll.SigFig(T93,5)=_xll.SigFig(B93,5)</f>
        <v>1</v>
      </c>
      <c r="V93" t="b">
        <f>_xll.SigFig(B93,1)=_xll.SigFig(T93,1)</f>
        <v>1</v>
      </c>
    </row>
    <row r="94" spans="1:22">
      <c r="A94" t="s">
        <v>135</v>
      </c>
      <c r="B94" s="1">
        <v>1.5478864500091704E-10</v>
      </c>
      <c r="C94" s="2">
        <f t="shared" si="38"/>
        <v>-1</v>
      </c>
      <c r="D94" s="2">
        <f t="shared" si="38"/>
        <v>-1</v>
      </c>
      <c r="E94" s="2">
        <f t="shared" si="38"/>
        <v>3.4999999999999997E-5</v>
      </c>
      <c r="F94" s="2">
        <f t="shared" si="38"/>
        <v>2.4000000000000001E-5</v>
      </c>
      <c r="G94" s="2">
        <f t="shared" si="38"/>
        <v>-1</v>
      </c>
      <c r="H94" s="2">
        <f t="shared" si="38"/>
        <v>-1</v>
      </c>
      <c r="I94" s="2">
        <f t="shared" si="26"/>
        <v>1.9000000000000001E-7</v>
      </c>
      <c r="J94" s="2">
        <f t="shared" si="27"/>
        <v>9.2E-5</v>
      </c>
      <c r="K94" s="2">
        <f t="shared" si="28"/>
        <v>3.6999999999999998E-5</v>
      </c>
      <c r="L94" s="2">
        <f t="shared" si="29"/>
        <v>1.1E-5</v>
      </c>
      <c r="M94" s="2">
        <f t="shared" si="30"/>
        <v>1.9000000000000001E-7</v>
      </c>
      <c r="N94" s="2">
        <f t="shared" si="31"/>
        <v>10</v>
      </c>
      <c r="O94" s="2">
        <f t="shared" si="32"/>
        <v>1E-3</v>
      </c>
      <c r="P94" t="s">
        <v>149</v>
      </c>
      <c r="Q94">
        <v>4.4999999999999997E-3</v>
      </c>
      <c r="R94" s="4">
        <f t="shared" si="33"/>
        <v>242</v>
      </c>
      <c r="S94">
        <v>93</v>
      </c>
      <c r="T94" s="1">
        <f t="shared" si="34"/>
        <v>1.5478864500091704E-10</v>
      </c>
      <c r="U94" t="b">
        <f>_xll.SigFig(T94,5)=_xll.SigFig(B94,5)</f>
        <v>1</v>
      </c>
      <c r="V94" t="b">
        <f>_xll.SigFig(B94,1)=_xll.SigFig(T94,1)</f>
        <v>1</v>
      </c>
    </row>
    <row r="95" spans="1:22">
      <c r="A95" t="s">
        <v>149</v>
      </c>
      <c r="B95" s="1">
        <v>3.8215294679352184E-6</v>
      </c>
      <c r="C95" s="2">
        <f t="shared" si="38"/>
        <v>-1</v>
      </c>
      <c r="D95" s="2">
        <f t="shared" si="38"/>
        <v>-1</v>
      </c>
      <c r="E95" s="2">
        <f t="shared" si="38"/>
        <v>2.0000000000000001E-9</v>
      </c>
      <c r="F95" s="2">
        <f t="shared" si="38"/>
        <v>1.6999999999999999E-9</v>
      </c>
      <c r="G95" s="2">
        <f t="shared" si="38"/>
        <v>-1</v>
      </c>
      <c r="H95" s="2">
        <f t="shared" si="38"/>
        <v>-1</v>
      </c>
      <c r="I95" s="2">
        <f t="shared" si="26"/>
        <v>9.0999999999999996E-10</v>
      </c>
      <c r="J95" s="2">
        <f t="shared" si="27"/>
        <v>3.4999999999999999E-9</v>
      </c>
      <c r="K95" s="2">
        <f t="shared" si="28"/>
        <v>2.1000000000000002E-9</v>
      </c>
      <c r="L95" s="2">
        <f t="shared" si="29"/>
        <v>1.5E-9</v>
      </c>
      <c r="M95" s="2">
        <f t="shared" si="30"/>
        <v>9.0999999999999996E-10</v>
      </c>
      <c r="N95" s="2">
        <f t="shared" si="31"/>
        <v>0</v>
      </c>
      <c r="O95" s="2">
        <f t="shared" si="32"/>
        <v>0</v>
      </c>
      <c r="P95" t="s">
        <v>97</v>
      </c>
      <c r="Q95">
        <v>1</v>
      </c>
      <c r="R95" s="4">
        <f t="shared" si="33"/>
        <v>238</v>
      </c>
      <c r="S95">
        <v>94</v>
      </c>
      <c r="T95" s="1">
        <f t="shared" si="34"/>
        <v>3.8215294679352184E-6</v>
      </c>
      <c r="U95" t="b">
        <f>_xll.SigFig(T95,5)=_xll.SigFig(B95,5)</f>
        <v>1</v>
      </c>
      <c r="V95" t="b">
        <f>_xll.SigFig(B95,1)=_xll.SigFig(T95,1)</f>
        <v>1</v>
      </c>
    </row>
    <row r="96" spans="1:22">
      <c r="A96" t="s">
        <v>131</v>
      </c>
      <c r="B96" s="1">
        <v>1.4170650790729113E-13</v>
      </c>
      <c r="C96" s="2">
        <f t="shared" si="38"/>
        <v>-1</v>
      </c>
      <c r="D96" s="2">
        <f t="shared" si="38"/>
        <v>-1</v>
      </c>
      <c r="E96" s="2">
        <f t="shared" si="38"/>
        <v>3.0000000000000001E-6</v>
      </c>
      <c r="F96" s="2">
        <f t="shared" si="38"/>
        <v>1.9999999999999999E-6</v>
      </c>
      <c r="G96" s="2">
        <f t="shared" si="38"/>
        <v>-1</v>
      </c>
      <c r="H96" s="2">
        <f t="shared" si="38"/>
        <v>-1</v>
      </c>
      <c r="I96" s="2">
        <f t="shared" si="26"/>
        <v>1.7E-8</v>
      </c>
      <c r="J96" s="2">
        <f t="shared" si="27"/>
        <v>7.9999999999999996E-6</v>
      </c>
      <c r="K96" s="2">
        <f t="shared" si="28"/>
        <v>3.1999999999999999E-6</v>
      </c>
      <c r="L96" s="2">
        <f t="shared" si="29"/>
        <v>9.9999999999999995E-7</v>
      </c>
      <c r="M96" s="2">
        <f t="shared" si="30"/>
        <v>1.7E-8</v>
      </c>
      <c r="N96" s="2">
        <f t="shared" si="31"/>
        <v>9</v>
      </c>
      <c r="O96" s="2">
        <f t="shared" si="32"/>
        <v>0.02</v>
      </c>
      <c r="P96" t="s">
        <v>94</v>
      </c>
      <c r="Q96">
        <f>1-Q97</f>
        <v>0.88</v>
      </c>
      <c r="R96" s="4">
        <f t="shared" si="33"/>
        <v>236</v>
      </c>
      <c r="S96">
        <v>95</v>
      </c>
      <c r="T96" s="1">
        <f t="shared" si="34"/>
        <v>1.4170650790729113E-13</v>
      </c>
      <c r="U96" t="b">
        <f>_xll.SigFig(T96,5)=_xll.SigFig(B96,5)</f>
        <v>1</v>
      </c>
      <c r="V96" t="b">
        <f>_xll.SigFig(B96,1)=_xll.SigFig(T96,1)</f>
        <v>1</v>
      </c>
    </row>
    <row r="97" spans="1:22">
      <c r="A97" t="s">
        <v>131</v>
      </c>
      <c r="B97" s="1">
        <v>1.4170650790729113E-13</v>
      </c>
      <c r="C97" s="2">
        <f t="shared" si="38"/>
        <v>-1</v>
      </c>
      <c r="D97" s="2">
        <f t="shared" si="38"/>
        <v>-1</v>
      </c>
      <c r="E97" s="2">
        <f t="shared" si="38"/>
        <v>3.0000000000000001E-6</v>
      </c>
      <c r="F97" s="2">
        <f t="shared" si="38"/>
        <v>1.9999999999999999E-6</v>
      </c>
      <c r="G97" s="2">
        <f t="shared" si="38"/>
        <v>-1</v>
      </c>
      <c r="H97" s="2">
        <f t="shared" si="38"/>
        <v>-1</v>
      </c>
      <c r="I97" s="2">
        <f t="shared" si="26"/>
        <v>1.7E-8</v>
      </c>
      <c r="J97" s="2">
        <f t="shared" si="27"/>
        <v>7.9999999999999996E-6</v>
      </c>
      <c r="K97" s="2">
        <f t="shared" si="28"/>
        <v>3.1999999999999999E-6</v>
      </c>
      <c r="L97" s="2">
        <f t="shared" si="29"/>
        <v>9.9999999999999995E-7</v>
      </c>
      <c r="M97" s="2">
        <f t="shared" si="30"/>
        <v>1.7E-8</v>
      </c>
      <c r="N97" s="2">
        <f t="shared" si="31"/>
        <v>9</v>
      </c>
      <c r="O97" s="2">
        <f t="shared" si="32"/>
        <v>0.02</v>
      </c>
      <c r="P97" t="s">
        <v>132</v>
      </c>
      <c r="Q97">
        <v>0.12</v>
      </c>
      <c r="R97" s="4">
        <f t="shared" si="33"/>
        <v>236</v>
      </c>
      <c r="S97">
        <v>96</v>
      </c>
      <c r="T97" s="1">
        <f t="shared" si="34"/>
        <v>1.4170650790729113E-13</v>
      </c>
      <c r="U97" t="b">
        <f>_xll.SigFig(T97,5)=_xll.SigFig(B97,5)</f>
        <v>1</v>
      </c>
      <c r="V97" t="b">
        <f>_xll.SigFig(B97,1)=_xll.SigFig(T97,1)</f>
        <v>1</v>
      </c>
    </row>
    <row r="98" spans="1:22">
      <c r="A98" t="s">
        <v>132</v>
      </c>
      <c r="B98" s="1">
        <v>7.6852724722288765E-9</v>
      </c>
      <c r="C98" s="2">
        <f t="shared" si="38"/>
        <v>-1</v>
      </c>
      <c r="D98" s="2">
        <f t="shared" si="38"/>
        <v>-1</v>
      </c>
      <c r="E98" s="2">
        <f t="shared" si="38"/>
        <v>1.8E-5</v>
      </c>
      <c r="F98" s="2">
        <f t="shared" si="38"/>
        <v>1.2999999999999999E-5</v>
      </c>
      <c r="G98" s="2">
        <f t="shared" si="38"/>
        <v>9.5999999999999996E-6</v>
      </c>
      <c r="H98" s="2">
        <f t="shared" si="38"/>
        <v>7.4000000000000003E-6</v>
      </c>
      <c r="I98" s="2">
        <f t="shared" ref="I98:I130" si="39">IF(ISNA(VLOOKUP(A98,_68ing,2,FALSE)),-1,VLOOKUP(A98,_68ing,2,FALSE))</f>
        <v>8.6000000000000002E-8</v>
      </c>
      <c r="J98" s="2">
        <f t="shared" ref="J98:J130" si="40">IF(ISNA(VLOOKUP($A98,_72inh,2,FALSE)),-1,VLOOKUP($A98,_72inh,2,FALSE))</f>
        <v>4.0000000000000003E-5</v>
      </c>
      <c r="K98" s="2">
        <f t="shared" ref="K98:K130" si="41">IF(ISNA(VLOOKUP($A98,_72inh,2,FALSE)),-1,VLOOKUP($A98,_72inh,3,FALSE))</f>
        <v>2.0000000000000002E-5</v>
      </c>
      <c r="L98" s="2">
        <f t="shared" ref="L98:L130" si="42">IF(ISNA(VLOOKUP($A98,_72inh,2,FALSE)),-1,VLOOKUP($A98,_72inh,4,FALSE))</f>
        <v>1.0000000000000001E-5</v>
      </c>
      <c r="M98" s="2">
        <f t="shared" ref="M98:M130" si="43">IF(ISNA(VLOOKUP(A98,_72ing,2,FALSE)),-1,VLOOKUP(A98,_72ing,2,FALSE))</f>
        <v>8.6999999999999998E-8</v>
      </c>
      <c r="N98" s="2">
        <f t="shared" ref="N98:N130" si="44">VLOOKUP($A98,A1A2,2,FALSE)</f>
        <v>30</v>
      </c>
      <c r="O98" s="2">
        <f t="shared" ref="O98:O130" si="45">VLOOKUP($A98,A1A2,3,FALSE)</f>
        <v>3.0000000000000001E-3</v>
      </c>
      <c r="P98" t="s">
        <v>107</v>
      </c>
      <c r="Q98">
        <v>1</v>
      </c>
      <c r="R98" s="4">
        <f t="shared" ref="R98:R130" si="46">VALUE(IF(RIGHT(RIGHT(A98,SEARCH("-",A98)),1)="M", RIGHT(LEFT(A98,LEN(A98)-1),LEN(LEFT(A98,LEN(A98)-1))-SEARCH("-",A98)),RIGHT(A98,LEN(A98)-SEARCH("-",A98))))</f>
        <v>236</v>
      </c>
      <c r="S98">
        <v>97</v>
      </c>
      <c r="T98" s="1">
        <f t="shared" ref="T98:T130" si="47">VLOOKUP(A98,_lambda,2,FALSE)</f>
        <v>7.6852724722288765E-9</v>
      </c>
      <c r="U98" t="b">
        <f>_xll.SigFig(T98,5)=_xll.SigFig(B98,5)</f>
        <v>1</v>
      </c>
      <c r="V98" t="b">
        <f>_xll.SigFig(B98,1)=_xll.SigFig(T98,1)</f>
        <v>1</v>
      </c>
    </row>
    <row r="99" spans="1:22">
      <c r="A99" t="s">
        <v>107</v>
      </c>
      <c r="B99" s="1">
        <v>3.1878822533570577E-10</v>
      </c>
      <c r="C99" s="2">
        <f t="shared" si="38"/>
        <v>3.9999999999999998E-6</v>
      </c>
      <c r="D99" s="2">
        <f t="shared" si="38"/>
        <v>4.6999999999999999E-6</v>
      </c>
      <c r="E99" s="2">
        <f t="shared" si="38"/>
        <v>7.1999999999999997E-6</v>
      </c>
      <c r="F99" s="2">
        <f t="shared" si="38"/>
        <v>4.7999999999999998E-6</v>
      </c>
      <c r="G99" s="2">
        <f t="shared" si="38"/>
        <v>3.4999999999999997E-5</v>
      </c>
      <c r="H99" s="2">
        <f t="shared" si="38"/>
        <v>2.5999999999999998E-5</v>
      </c>
      <c r="I99" s="2">
        <f t="shared" si="39"/>
        <v>3.7E-8</v>
      </c>
      <c r="J99" s="2">
        <f t="shared" si="40"/>
        <v>3.9999999999999998E-6</v>
      </c>
      <c r="K99" s="2">
        <f t="shared" si="41"/>
        <v>7.7999999999999999E-6</v>
      </c>
      <c r="L99" s="2">
        <f t="shared" si="42"/>
        <v>3.6999999999999998E-5</v>
      </c>
      <c r="M99" s="2">
        <f t="shared" si="43"/>
        <v>3.3000000000000002E-7</v>
      </c>
      <c r="N99" s="2">
        <f t="shared" si="44"/>
        <v>10</v>
      </c>
      <c r="O99" s="2">
        <f t="shared" si="45"/>
        <v>1E-3</v>
      </c>
      <c r="P99" t="s">
        <v>79</v>
      </c>
      <c r="Q99">
        <v>1</v>
      </c>
      <c r="R99" s="4">
        <f t="shared" si="46"/>
        <v>232</v>
      </c>
      <c r="S99">
        <v>98</v>
      </c>
      <c r="T99" s="1">
        <f t="shared" si="47"/>
        <v>3.1878822533570577E-10</v>
      </c>
      <c r="U99" t="b">
        <f>_xll.SigFig(T99,5)=_xll.SigFig(B99,5)</f>
        <v>1</v>
      </c>
      <c r="V99" t="b">
        <f>_xll.SigFig(B99,1)=_xll.SigFig(T99,1)</f>
        <v>1</v>
      </c>
    </row>
    <row r="100" spans="1:22">
      <c r="A100" t="s">
        <v>72</v>
      </c>
      <c r="B100" s="1">
        <v>5.2535029601329802E-4</v>
      </c>
      <c r="C100" s="2">
        <f t="shared" si="38"/>
        <v>9.0999999999999996E-10</v>
      </c>
      <c r="D100" s="2">
        <f t="shared" si="38"/>
        <v>1.3000000000000001E-9</v>
      </c>
      <c r="E100" s="2">
        <f t="shared" si="38"/>
        <v>-1</v>
      </c>
      <c r="F100" s="2">
        <f t="shared" si="38"/>
        <v>-1</v>
      </c>
      <c r="G100" s="2">
        <f t="shared" si="38"/>
        <v>-1</v>
      </c>
      <c r="H100" s="2">
        <f t="shared" si="38"/>
        <v>-1</v>
      </c>
      <c r="I100" s="2">
        <f t="shared" si="39"/>
        <v>2.2999999999999999E-9</v>
      </c>
      <c r="J100" s="2">
        <f t="shared" si="40"/>
        <v>8.9000000000000003E-10</v>
      </c>
      <c r="K100" s="2">
        <f t="shared" si="41"/>
        <v>-1</v>
      </c>
      <c r="L100" s="2">
        <f t="shared" si="42"/>
        <v>-1</v>
      </c>
      <c r="M100" s="2">
        <f t="shared" si="43"/>
        <v>2.4E-9</v>
      </c>
      <c r="N100" s="2">
        <f t="shared" si="44"/>
        <v>0</v>
      </c>
      <c r="O100" s="2">
        <f t="shared" si="45"/>
        <v>0</v>
      </c>
      <c r="P100" t="s">
        <v>71</v>
      </c>
      <c r="Q100">
        <v>0.99994000000000005</v>
      </c>
      <c r="R100" s="4">
        <f t="shared" si="46"/>
        <v>223</v>
      </c>
      <c r="S100">
        <v>99</v>
      </c>
      <c r="T100" s="1">
        <f t="shared" si="47"/>
        <v>5.2535029601329802E-4</v>
      </c>
      <c r="U100" t="b">
        <f>_xll.SigFig(T100,5)=_xll.SigFig(B100,5)</f>
        <v>1</v>
      </c>
      <c r="V100" t="b">
        <f>_xll.SigFig(B100,1)=_xll.SigFig(T100,1)</f>
        <v>1</v>
      </c>
    </row>
    <row r="101" spans="1:22">
      <c r="A101" t="s">
        <v>67</v>
      </c>
      <c r="B101" s="1">
        <v>1.2377628224284737E-2</v>
      </c>
      <c r="C101" s="2">
        <f t="shared" si="38"/>
        <v>-1</v>
      </c>
      <c r="D101" s="2">
        <f t="shared" si="38"/>
        <v>-1</v>
      </c>
      <c r="E101" s="2">
        <f t="shared" si="38"/>
        <v>-1</v>
      </c>
      <c r="F101" s="2">
        <f t="shared" si="38"/>
        <v>-1</v>
      </c>
      <c r="G101" s="2">
        <f t="shared" si="38"/>
        <v>-1</v>
      </c>
      <c r="H101" s="2">
        <f t="shared" si="38"/>
        <v>-1</v>
      </c>
      <c r="I101" s="2">
        <f t="shared" si="39"/>
        <v>-1</v>
      </c>
      <c r="J101" s="2">
        <f t="shared" si="40"/>
        <v>-1</v>
      </c>
      <c r="K101" s="2">
        <f t="shared" si="41"/>
        <v>-1</v>
      </c>
      <c r="L101" s="2">
        <f t="shared" si="42"/>
        <v>-1</v>
      </c>
      <c r="M101" s="2">
        <f t="shared" si="43"/>
        <v>-1</v>
      </c>
      <c r="N101" s="2">
        <f t="shared" si="44"/>
        <v>0</v>
      </c>
      <c r="O101" s="2">
        <f t="shared" si="45"/>
        <v>0</v>
      </c>
      <c r="P101" t="s">
        <v>59</v>
      </c>
      <c r="Q101">
        <v>0.93600000000000005</v>
      </c>
      <c r="R101" s="4">
        <f t="shared" si="46"/>
        <v>219</v>
      </c>
      <c r="S101">
        <v>100</v>
      </c>
      <c r="T101" s="1">
        <f t="shared" si="47"/>
        <v>1.2377628224284737E-2</v>
      </c>
      <c r="U101" t="b">
        <f t="shared" si="35"/>
        <v>1</v>
      </c>
      <c r="V101" t="b">
        <f>_xll.SigFig(B101,1)=_xll.SigFig(T101,1)</f>
        <v>1</v>
      </c>
    </row>
    <row r="102" spans="1:22">
      <c r="A102" t="s">
        <v>67</v>
      </c>
      <c r="B102" s="1">
        <v>1.2377628224284737E-2</v>
      </c>
      <c r="C102" s="2">
        <f t="shared" ref="C102:H111" si="48">IF(ISNA(VLOOKUP($A102,_68inh,COLUMN(C102)-1,FALSE)),-1,VLOOKUP($A102,_68inh,COLUMN(C102)-1,FALSE))</f>
        <v>-1</v>
      </c>
      <c r="D102" s="2">
        <f t="shared" si="48"/>
        <v>-1</v>
      </c>
      <c r="E102" s="2">
        <f t="shared" si="48"/>
        <v>-1</v>
      </c>
      <c r="F102" s="2">
        <f t="shared" si="48"/>
        <v>-1</v>
      </c>
      <c r="G102" s="2">
        <f t="shared" si="48"/>
        <v>-1</v>
      </c>
      <c r="H102" s="2">
        <f t="shared" si="48"/>
        <v>-1</v>
      </c>
      <c r="I102" s="2">
        <f t="shared" si="39"/>
        <v>-1</v>
      </c>
      <c r="J102" s="2">
        <f t="shared" si="40"/>
        <v>-1</v>
      </c>
      <c r="K102" s="2">
        <f t="shared" si="41"/>
        <v>-1</v>
      </c>
      <c r="L102" s="2">
        <f t="shared" si="42"/>
        <v>-1</v>
      </c>
      <c r="M102" s="2">
        <f t="shared" si="43"/>
        <v>-1</v>
      </c>
      <c r="N102" s="2">
        <f t="shared" si="44"/>
        <v>0</v>
      </c>
      <c r="O102" s="2">
        <f t="shared" si="45"/>
        <v>0</v>
      </c>
      <c r="P102" t="s">
        <v>66</v>
      </c>
      <c r="Q102">
        <v>6.4000000000000001E-2</v>
      </c>
      <c r="R102" s="4">
        <f t="shared" si="46"/>
        <v>219</v>
      </c>
      <c r="S102">
        <v>101</v>
      </c>
      <c r="T102" s="1">
        <f t="shared" si="47"/>
        <v>1.2377628224284737E-2</v>
      </c>
      <c r="U102" t="b">
        <f t="shared" si="35"/>
        <v>1</v>
      </c>
      <c r="V102" t="b">
        <f>_xll.SigFig(B102,1)=_xll.SigFig(T102,1)</f>
        <v>1</v>
      </c>
    </row>
    <row r="103" spans="1:22">
      <c r="A103" t="s">
        <v>59</v>
      </c>
      <c r="B103" s="1">
        <v>1.520059606491108E-3</v>
      </c>
      <c r="C103" s="2">
        <f t="shared" si="48"/>
        <v>-1</v>
      </c>
      <c r="D103" s="2">
        <f t="shared" si="48"/>
        <v>-1</v>
      </c>
      <c r="E103" s="2">
        <f t="shared" si="48"/>
        <v>-1</v>
      </c>
      <c r="F103" s="2">
        <f t="shared" si="48"/>
        <v>-1</v>
      </c>
      <c r="G103" s="2">
        <f t="shared" si="48"/>
        <v>-1</v>
      </c>
      <c r="H103" s="2">
        <f t="shared" si="48"/>
        <v>-1</v>
      </c>
      <c r="I103" s="2">
        <f t="shared" si="39"/>
        <v>-1</v>
      </c>
      <c r="J103" s="2">
        <f t="shared" si="40"/>
        <v>-1</v>
      </c>
      <c r="K103" s="2">
        <f t="shared" si="41"/>
        <v>-1</v>
      </c>
      <c r="L103" s="2">
        <f t="shared" si="42"/>
        <v>-1</v>
      </c>
      <c r="M103" s="2">
        <f t="shared" si="43"/>
        <v>-1</v>
      </c>
      <c r="N103" s="2">
        <f t="shared" si="44"/>
        <v>0</v>
      </c>
      <c r="O103" s="2">
        <f t="shared" si="45"/>
        <v>0</v>
      </c>
      <c r="P103" t="s">
        <v>58</v>
      </c>
      <c r="Q103">
        <v>1</v>
      </c>
      <c r="R103" s="4">
        <f t="shared" si="46"/>
        <v>215</v>
      </c>
      <c r="S103">
        <v>102</v>
      </c>
      <c r="T103" s="1">
        <f t="shared" si="47"/>
        <v>1.520059606491108E-3</v>
      </c>
      <c r="U103" t="b">
        <f t="shared" si="35"/>
        <v>1</v>
      </c>
      <c r="V103" t="b">
        <f>_xll.SigFig(B103,1)=_xll.SigFig(T103,1)</f>
        <v>1</v>
      </c>
    </row>
    <row r="104" spans="1:22">
      <c r="A104" t="s">
        <v>53</v>
      </c>
      <c r="B104" s="1">
        <v>2.5330438330371259E-4</v>
      </c>
      <c r="C104" s="2">
        <f t="shared" si="48"/>
        <v>1.0999999999999999E-8</v>
      </c>
      <c r="D104" s="2">
        <f t="shared" si="48"/>
        <v>1.7999999999999999E-8</v>
      </c>
      <c r="E104" s="2">
        <f t="shared" si="48"/>
        <v>2.9000000000000002E-8</v>
      </c>
      <c r="F104" s="2">
        <f t="shared" si="48"/>
        <v>4.1000000000000003E-8</v>
      </c>
      <c r="G104" s="2">
        <f t="shared" si="48"/>
        <v>-1</v>
      </c>
      <c r="H104" s="2">
        <f t="shared" si="48"/>
        <v>-1</v>
      </c>
      <c r="I104" s="2">
        <f t="shared" si="39"/>
        <v>2.0000000000000001E-10</v>
      </c>
      <c r="J104" s="2">
        <f t="shared" si="40"/>
        <v>1E-8</v>
      </c>
      <c r="K104" s="2">
        <f t="shared" si="41"/>
        <v>2.9999999999999997E-8</v>
      </c>
      <c r="L104" s="2">
        <f t="shared" si="42"/>
        <v>-1</v>
      </c>
      <c r="M104" s="2">
        <f t="shared" si="43"/>
        <v>2.0000000000000001E-10</v>
      </c>
      <c r="N104" s="2">
        <f t="shared" si="44"/>
        <v>0</v>
      </c>
      <c r="O104" s="2">
        <f t="shared" si="45"/>
        <v>0</v>
      </c>
      <c r="P104" t="s">
        <v>41</v>
      </c>
      <c r="Q104">
        <v>2.1399999999999975E-2</v>
      </c>
      <c r="R104" s="4">
        <f t="shared" si="46"/>
        <v>213</v>
      </c>
      <c r="S104">
        <v>103</v>
      </c>
      <c r="T104" s="1">
        <f t="shared" si="47"/>
        <v>2.5330438330371259E-4</v>
      </c>
      <c r="U104" t="b">
        <f>_xll.SigFig(T104,5)=_xll.SigFig(B104,5)</f>
        <v>1</v>
      </c>
      <c r="V104" t="b">
        <f>_xll.SigFig(B104,1)=_xll.SigFig(T104,1)</f>
        <v>1</v>
      </c>
    </row>
    <row r="105" spans="1:22">
      <c r="A105" t="s">
        <v>130</v>
      </c>
      <c r="B105" s="1">
        <v>4.631908208694671E-9</v>
      </c>
      <c r="C105" s="2">
        <f t="shared" si="48"/>
        <v>-1</v>
      </c>
      <c r="D105" s="2">
        <f t="shared" si="48"/>
        <v>-1</v>
      </c>
      <c r="E105" s="2">
        <f t="shared" si="48"/>
        <v>6.5000000000000003E-9</v>
      </c>
      <c r="F105" s="2">
        <f t="shared" si="48"/>
        <v>4.6999999999999999E-9</v>
      </c>
      <c r="G105" s="2">
        <f t="shared" si="48"/>
        <v>-1</v>
      </c>
      <c r="H105" s="2">
        <f t="shared" si="48"/>
        <v>-1</v>
      </c>
      <c r="I105" s="2">
        <f t="shared" si="39"/>
        <v>3.1999999999999998E-10</v>
      </c>
      <c r="J105" s="2">
        <f t="shared" si="40"/>
        <v>-1</v>
      </c>
      <c r="K105" s="2">
        <f t="shared" si="41"/>
        <v>6.8999999999999997E-9</v>
      </c>
      <c r="L105" s="2">
        <f t="shared" si="42"/>
        <v>-1</v>
      </c>
      <c r="M105" s="2">
        <f t="shared" si="43"/>
        <v>3.1999999999999998E-10</v>
      </c>
      <c r="N105" s="2">
        <f t="shared" si="44"/>
        <v>20</v>
      </c>
      <c r="O105" s="2">
        <f t="shared" si="45"/>
        <v>3</v>
      </c>
      <c r="P105" t="s">
        <v>142</v>
      </c>
      <c r="Q105">
        <v>1</v>
      </c>
      <c r="R105" s="4">
        <f t="shared" si="46"/>
        <v>155</v>
      </c>
      <c r="S105">
        <v>104</v>
      </c>
      <c r="T105" s="1">
        <f t="shared" si="47"/>
        <v>4.631908208694671E-9</v>
      </c>
      <c r="U105" t="b">
        <f>_xll.SigFig(T105,5)=_xll.SigFig(B105,5)</f>
        <v>1</v>
      </c>
      <c r="V105" t="b">
        <f>_xll.SigFig(B105,1)=_xll.SigFig(T105,1)</f>
        <v>1</v>
      </c>
    </row>
    <row r="106" spans="1:22">
      <c r="A106" t="s">
        <v>129</v>
      </c>
      <c r="B106" s="1">
        <v>2.5566882464940203E-9</v>
      </c>
      <c r="C106" s="2">
        <f t="shared" si="48"/>
        <v>-1</v>
      </c>
      <c r="D106" s="2">
        <f t="shared" si="48"/>
        <v>-1</v>
      </c>
      <c r="E106" s="2">
        <f t="shared" si="48"/>
        <v>4.9999999999999998E-8</v>
      </c>
      <c r="F106" s="2">
        <f t="shared" si="48"/>
        <v>3.5000000000000002E-8</v>
      </c>
      <c r="G106" s="2">
        <f t="shared" si="48"/>
        <v>-1</v>
      </c>
      <c r="H106" s="2">
        <f t="shared" si="48"/>
        <v>-1</v>
      </c>
      <c r="I106" s="2">
        <f t="shared" si="39"/>
        <v>2.0000000000000001E-9</v>
      </c>
      <c r="J106" s="2">
        <f t="shared" si="40"/>
        <v>-1</v>
      </c>
      <c r="K106" s="2">
        <f t="shared" si="41"/>
        <v>5.2999999999999998E-8</v>
      </c>
      <c r="L106" s="2">
        <f t="shared" si="42"/>
        <v>-1</v>
      </c>
      <c r="M106" s="2">
        <f t="shared" si="43"/>
        <v>2.0000000000000001E-9</v>
      </c>
      <c r="N106" s="2">
        <f t="shared" si="44"/>
        <v>0.9</v>
      </c>
      <c r="O106" s="2">
        <f t="shared" si="45"/>
        <v>0.60000000000000009</v>
      </c>
      <c r="P106" t="s">
        <v>142</v>
      </c>
      <c r="Q106">
        <v>1</v>
      </c>
      <c r="R106" s="4">
        <f t="shared" si="46"/>
        <v>154</v>
      </c>
      <c r="S106">
        <v>105</v>
      </c>
      <c r="T106" s="1">
        <f t="shared" si="47"/>
        <v>2.5566882464940203E-9</v>
      </c>
      <c r="U106" t="b">
        <f>_xll.SigFig(T106,5)=_xll.SigFig(B106,5)</f>
        <v>1</v>
      </c>
      <c r="V106" t="b">
        <f>_xll.SigFig(B106,1)=_xll.SigFig(T106,1)</f>
        <v>1</v>
      </c>
    </row>
    <row r="107" spans="1:22">
      <c r="A107" t="s">
        <v>36</v>
      </c>
      <c r="B107" s="1">
        <v>1.6249544074595049E-9</v>
      </c>
      <c r="C107" s="2">
        <f t="shared" si="48"/>
        <v>-1</v>
      </c>
      <c r="D107" s="2">
        <f t="shared" si="48"/>
        <v>-1</v>
      </c>
      <c r="E107" s="2">
        <f t="shared" si="48"/>
        <v>3.8999999999999998E-8</v>
      </c>
      <c r="F107" s="2">
        <f t="shared" si="48"/>
        <v>2.7E-8</v>
      </c>
      <c r="G107" s="2">
        <f t="shared" si="48"/>
        <v>-1</v>
      </c>
      <c r="H107" s="2">
        <f t="shared" si="48"/>
        <v>-1</v>
      </c>
      <c r="I107" s="2">
        <f t="shared" si="39"/>
        <v>1.3999999999999999E-9</v>
      </c>
      <c r="J107" s="2">
        <f t="shared" si="40"/>
        <v>-1</v>
      </c>
      <c r="K107" s="2">
        <f t="shared" si="41"/>
        <v>4.1999999999999999E-8</v>
      </c>
      <c r="L107" s="2">
        <f t="shared" si="42"/>
        <v>-1</v>
      </c>
      <c r="M107" s="2">
        <f t="shared" si="43"/>
        <v>1.3999999999999999E-9</v>
      </c>
      <c r="N107" s="2">
        <f t="shared" si="44"/>
        <v>1</v>
      </c>
      <c r="O107" s="2">
        <f t="shared" si="45"/>
        <v>1</v>
      </c>
      <c r="P107" t="s">
        <v>142</v>
      </c>
      <c r="Q107">
        <v>0.7208</v>
      </c>
      <c r="R107" s="4">
        <f t="shared" si="46"/>
        <v>152</v>
      </c>
      <c r="S107">
        <v>106</v>
      </c>
      <c r="T107" s="1">
        <f t="shared" si="47"/>
        <v>1.6249544074595049E-9</v>
      </c>
      <c r="U107" t="b">
        <f>_xll.SigFig(T107,5)=_xll.SigFig(B107,5)</f>
        <v>1</v>
      </c>
      <c r="V107" t="b">
        <f>_xll.SigFig(B107,1)=_xll.SigFig(T107,1)</f>
        <v>1</v>
      </c>
    </row>
    <row r="108" spans="1:22">
      <c r="A108" t="s">
        <v>36</v>
      </c>
      <c r="B108" s="1">
        <v>1.6249544074595049E-9</v>
      </c>
      <c r="C108" s="2">
        <f t="shared" si="48"/>
        <v>-1</v>
      </c>
      <c r="D108" s="2">
        <f t="shared" si="48"/>
        <v>-1</v>
      </c>
      <c r="E108" s="2">
        <f t="shared" si="48"/>
        <v>3.8999999999999998E-8</v>
      </c>
      <c r="F108" s="2">
        <f t="shared" si="48"/>
        <v>2.7E-8</v>
      </c>
      <c r="G108" s="2">
        <f t="shared" si="48"/>
        <v>-1</v>
      </c>
      <c r="H108" s="2">
        <f t="shared" si="48"/>
        <v>-1</v>
      </c>
      <c r="I108" s="2">
        <f t="shared" si="39"/>
        <v>1.3999999999999999E-9</v>
      </c>
      <c r="J108" s="2">
        <f t="shared" si="40"/>
        <v>-1</v>
      </c>
      <c r="K108" s="2">
        <f t="shared" si="41"/>
        <v>4.1999999999999999E-8</v>
      </c>
      <c r="L108" s="2">
        <f t="shared" si="42"/>
        <v>-1</v>
      </c>
      <c r="M108" s="2">
        <f t="shared" si="43"/>
        <v>1.3999999999999999E-9</v>
      </c>
      <c r="N108" s="2">
        <f t="shared" si="44"/>
        <v>1</v>
      </c>
      <c r="O108" s="2">
        <f t="shared" si="45"/>
        <v>1</v>
      </c>
      <c r="P108" t="s">
        <v>35</v>
      </c>
      <c r="Q108">
        <v>0.2792</v>
      </c>
      <c r="R108" s="4">
        <f t="shared" si="46"/>
        <v>152</v>
      </c>
      <c r="S108">
        <v>107</v>
      </c>
      <c r="T108" s="1">
        <f t="shared" si="47"/>
        <v>1.6249544074595049E-9</v>
      </c>
      <c r="U108" t="b">
        <f>_xll.SigFig(T108,5)=_xll.SigFig(B108,5)</f>
        <v>1</v>
      </c>
      <c r="V108" t="b">
        <f>_xll.SigFig(B108,1)=_xll.SigFig(T108,1)</f>
        <v>1</v>
      </c>
    </row>
    <row r="109" spans="1:22">
      <c r="A109" t="s">
        <v>35</v>
      </c>
      <c r="B109" s="1">
        <v>2.0337508079287153E-22</v>
      </c>
      <c r="C109" s="2">
        <f t="shared" si="48"/>
        <v>1.9000000000000001E-5</v>
      </c>
      <c r="D109" s="2">
        <f t="shared" si="48"/>
        <v>2.1999999999999999E-5</v>
      </c>
      <c r="E109" s="2">
        <f t="shared" si="48"/>
        <v>7.4000000000000003E-6</v>
      </c>
      <c r="F109" s="2">
        <f t="shared" si="48"/>
        <v>5.0000000000000004E-6</v>
      </c>
      <c r="G109" s="2">
        <f t="shared" si="48"/>
        <v>-1</v>
      </c>
      <c r="H109" s="2">
        <f t="shared" si="48"/>
        <v>-1</v>
      </c>
      <c r="I109" s="2">
        <f t="shared" si="39"/>
        <v>4.1000000000000003E-8</v>
      </c>
      <c r="J109" s="2">
        <f t="shared" si="40"/>
        <v>1.9000000000000001E-5</v>
      </c>
      <c r="K109" s="2">
        <f t="shared" si="41"/>
        <v>7.9999999999999996E-6</v>
      </c>
      <c r="L109" s="2">
        <f t="shared" si="42"/>
        <v>-1</v>
      </c>
      <c r="M109" s="2">
        <f t="shared" si="43"/>
        <v>4.1000000000000003E-8</v>
      </c>
      <c r="N109" s="2">
        <f t="shared" si="44"/>
        <v>0</v>
      </c>
      <c r="O109" s="2">
        <f t="shared" si="45"/>
        <v>0</v>
      </c>
      <c r="P109" t="s">
        <v>34</v>
      </c>
      <c r="Q109">
        <v>1</v>
      </c>
      <c r="R109" s="4">
        <f t="shared" si="46"/>
        <v>152</v>
      </c>
      <c r="S109">
        <v>108</v>
      </c>
      <c r="T109" s="1">
        <f t="shared" si="47"/>
        <v>2.0337508079287153E-22</v>
      </c>
      <c r="U109" t="b">
        <f t="shared" si="35"/>
        <v>1</v>
      </c>
      <c r="V109" t="b">
        <f>_xll.SigFig(B109,1)=_xll.SigFig(T109,1)</f>
        <v>1</v>
      </c>
    </row>
    <row r="110" spans="1:22">
      <c r="A110" t="s">
        <v>34</v>
      </c>
      <c r="B110" s="1">
        <v>3.211185486203235E-24</v>
      </c>
      <c r="C110" s="2">
        <f t="shared" si="48"/>
        <v>-1</v>
      </c>
      <c r="D110" s="2">
        <f t="shared" si="48"/>
        <v>-1</v>
      </c>
      <c r="E110" s="2">
        <f t="shared" si="48"/>
        <v>-1</v>
      </c>
      <c r="F110" s="2">
        <f t="shared" si="48"/>
        <v>-1</v>
      </c>
      <c r="G110" s="2">
        <f t="shared" si="48"/>
        <v>-1</v>
      </c>
      <c r="H110" s="2">
        <f t="shared" si="48"/>
        <v>-1</v>
      </c>
      <c r="I110" s="2">
        <f t="shared" si="39"/>
        <v>-1</v>
      </c>
      <c r="J110" s="2">
        <f t="shared" si="40"/>
        <v>-1</v>
      </c>
      <c r="K110" s="2">
        <f t="shared" si="41"/>
        <v>-1</v>
      </c>
      <c r="L110" s="2">
        <f t="shared" si="42"/>
        <v>-1</v>
      </c>
      <c r="M110" s="2">
        <f t="shared" si="43"/>
        <v>-1</v>
      </c>
      <c r="N110" s="2">
        <f t="shared" si="44"/>
        <v>0</v>
      </c>
      <c r="O110" s="2">
        <f t="shared" si="45"/>
        <v>0</v>
      </c>
      <c r="P110" t="s">
        <v>33</v>
      </c>
      <c r="Q110">
        <v>1</v>
      </c>
      <c r="R110" s="4">
        <f t="shared" si="46"/>
        <v>148</v>
      </c>
      <c r="S110">
        <v>109</v>
      </c>
      <c r="T110" s="1">
        <f t="shared" si="47"/>
        <v>3.211185486203235E-24</v>
      </c>
      <c r="U110" t="b">
        <f>_xll.SigFig(T110,5)=_xll.SigFig(B110,5)</f>
        <v>1</v>
      </c>
      <c r="V110" t="b">
        <f>_xll.SigFig(B110,1)=_xll.SigFig(T110,1)</f>
        <v>1</v>
      </c>
    </row>
    <row r="111" spans="1:22">
      <c r="A111" t="s">
        <v>33</v>
      </c>
      <c r="B111" s="1">
        <v>9.5914885264760378E-24</v>
      </c>
      <c r="C111" s="2">
        <f t="shared" si="48"/>
        <v>-1</v>
      </c>
      <c r="D111" s="2">
        <f t="shared" si="48"/>
        <v>-1</v>
      </c>
      <c r="E111" s="2">
        <f t="shared" si="48"/>
        <v>-1</v>
      </c>
      <c r="F111" s="2">
        <f t="shared" si="48"/>
        <v>-1</v>
      </c>
      <c r="G111" s="2">
        <f t="shared" si="48"/>
        <v>-1</v>
      </c>
      <c r="H111" s="2">
        <f t="shared" si="48"/>
        <v>-1</v>
      </c>
      <c r="I111" s="2">
        <f t="shared" si="39"/>
        <v>-1</v>
      </c>
      <c r="J111" s="2">
        <f t="shared" si="40"/>
        <v>-1</v>
      </c>
      <c r="K111" s="2">
        <f t="shared" si="41"/>
        <v>-1</v>
      </c>
      <c r="L111" s="2">
        <f t="shared" si="42"/>
        <v>-1</v>
      </c>
      <c r="M111" s="2">
        <f t="shared" si="43"/>
        <v>-1</v>
      </c>
      <c r="N111" s="2">
        <f t="shared" si="44"/>
        <v>0</v>
      </c>
      <c r="O111" s="2">
        <f t="shared" si="45"/>
        <v>0</v>
      </c>
      <c r="P111" t="s">
        <v>142</v>
      </c>
      <c r="Q111">
        <v>1</v>
      </c>
      <c r="R111" s="4">
        <f t="shared" si="46"/>
        <v>144</v>
      </c>
      <c r="S111">
        <v>110</v>
      </c>
      <c r="T111" s="1">
        <f t="shared" si="47"/>
        <v>9.5914885264760378E-24</v>
      </c>
      <c r="U111" t="b">
        <f t="shared" si="35"/>
        <v>1</v>
      </c>
      <c r="V111" t="b">
        <f>_xll.SigFig(B111,1)=_xll.SigFig(T111,1)</f>
        <v>1</v>
      </c>
    </row>
    <row r="112" spans="1:22">
      <c r="A112" t="s">
        <v>128</v>
      </c>
      <c r="B112" s="1">
        <v>2.3218296750137555E-10</v>
      </c>
      <c r="C112" s="2">
        <f t="shared" ref="C112:H122" si="49">IF(ISNA(VLOOKUP($A112,_68inh,COLUMN(C112)-1,FALSE)),-1,VLOOKUP($A112,_68inh,COLUMN(C112)-1,FALSE))</f>
        <v>-1</v>
      </c>
      <c r="D112" s="2">
        <f t="shared" si="49"/>
        <v>-1</v>
      </c>
      <c r="E112" s="2">
        <f t="shared" si="49"/>
        <v>3.7E-9</v>
      </c>
      <c r="F112" s="2">
        <f t="shared" si="49"/>
        <v>2.6000000000000001E-9</v>
      </c>
      <c r="G112" s="2">
        <f t="shared" si="49"/>
        <v>-1</v>
      </c>
      <c r="H112" s="2">
        <f t="shared" si="49"/>
        <v>-1</v>
      </c>
      <c r="I112" s="2">
        <f t="shared" si="39"/>
        <v>9.7999999999999998E-11</v>
      </c>
      <c r="J112" s="2">
        <f t="shared" si="40"/>
        <v>-1</v>
      </c>
      <c r="K112" s="2">
        <f t="shared" si="41"/>
        <v>4.0000000000000002E-9</v>
      </c>
      <c r="L112" s="2">
        <f t="shared" si="42"/>
        <v>-1</v>
      </c>
      <c r="M112" s="2">
        <f t="shared" si="43"/>
        <v>9.7999999999999998E-11</v>
      </c>
      <c r="N112" s="2">
        <f t="shared" si="44"/>
        <v>40</v>
      </c>
      <c r="O112" s="2">
        <f t="shared" si="45"/>
        <v>10</v>
      </c>
      <c r="P112" t="s">
        <v>142</v>
      </c>
      <c r="Q112">
        <v>1</v>
      </c>
      <c r="R112" s="4">
        <f t="shared" si="46"/>
        <v>151</v>
      </c>
      <c r="S112">
        <v>111</v>
      </c>
      <c r="T112" s="1">
        <f t="shared" si="47"/>
        <v>2.3218296750137555E-10</v>
      </c>
      <c r="U112" t="b">
        <f>_xll.SigFig(T112,5)=_xll.SigFig(B112,5)</f>
        <v>1</v>
      </c>
      <c r="V112" t="b">
        <f>_xll.SigFig(B112,1)=_xll.SigFig(T112,1)</f>
        <v>1</v>
      </c>
    </row>
    <row r="113" spans="1:22">
      <c r="A113" t="s">
        <v>127</v>
      </c>
      <c r="B113" s="1">
        <v>8.3724074976481746E-9</v>
      </c>
      <c r="C113" s="2">
        <f t="shared" si="49"/>
        <v>-1</v>
      </c>
      <c r="D113" s="2">
        <f t="shared" si="49"/>
        <v>-1</v>
      </c>
      <c r="E113" s="2">
        <f t="shared" si="49"/>
        <v>4.6999999999999999E-9</v>
      </c>
      <c r="F113" s="2">
        <f t="shared" si="49"/>
        <v>3.4999999999999999E-9</v>
      </c>
      <c r="G113" s="2">
        <f t="shared" si="49"/>
        <v>4.5999999999999998E-9</v>
      </c>
      <c r="H113" s="2">
        <f t="shared" si="49"/>
        <v>3.2000000000000001E-9</v>
      </c>
      <c r="I113" s="2">
        <f t="shared" si="39"/>
        <v>2.5999999999999998E-10</v>
      </c>
      <c r="J113" s="2">
        <f t="shared" si="40"/>
        <v>-1</v>
      </c>
      <c r="K113" s="2">
        <f t="shared" si="41"/>
        <v>5.0000000000000001E-9</v>
      </c>
      <c r="L113" s="2">
        <f t="shared" si="42"/>
        <v>4.9E-9</v>
      </c>
      <c r="M113" s="2">
        <f t="shared" si="43"/>
        <v>2.5999999999999998E-10</v>
      </c>
      <c r="N113" s="2">
        <f t="shared" si="44"/>
        <v>40</v>
      </c>
      <c r="O113" s="2">
        <f t="shared" si="45"/>
        <v>2</v>
      </c>
      <c r="P113" t="s">
        <v>148</v>
      </c>
      <c r="Q113">
        <v>1</v>
      </c>
      <c r="R113" s="4">
        <f t="shared" si="46"/>
        <v>147</v>
      </c>
      <c r="S113">
        <v>112</v>
      </c>
      <c r="T113" s="1">
        <f t="shared" si="47"/>
        <v>8.3724074976481746E-9</v>
      </c>
      <c r="U113" t="b">
        <f>_xll.SigFig(T113,5)=_xll.SigFig(B113,5)</f>
        <v>1</v>
      </c>
      <c r="V113" t="b">
        <f>_xll.SigFig(B113,1)=_xll.SigFig(T113,1)</f>
        <v>1</v>
      </c>
    </row>
    <row r="114" spans="1:22">
      <c r="A114" t="s">
        <v>148</v>
      </c>
      <c r="B114" s="1">
        <v>2.0527578248252456E-19</v>
      </c>
      <c r="C114" s="2">
        <f t="shared" si="49"/>
        <v>-1</v>
      </c>
      <c r="D114" s="2">
        <f t="shared" si="49"/>
        <v>-1</v>
      </c>
      <c r="E114" s="2">
        <f t="shared" si="49"/>
        <v>8.8999999999999995E-6</v>
      </c>
      <c r="F114" s="2">
        <f t="shared" si="49"/>
        <v>6.1E-6</v>
      </c>
      <c r="G114" s="2">
        <f t="shared" si="49"/>
        <v>-1</v>
      </c>
      <c r="H114" s="2">
        <f t="shared" si="49"/>
        <v>-1</v>
      </c>
      <c r="I114" s="2">
        <f t="shared" si="39"/>
        <v>4.9000000000000002E-8</v>
      </c>
      <c r="J114" s="2">
        <f t="shared" si="40"/>
        <v>-1</v>
      </c>
      <c r="K114" s="2">
        <f t="shared" si="41"/>
        <v>9.5999999999999996E-6</v>
      </c>
      <c r="L114" s="2">
        <f t="shared" si="42"/>
        <v>-1</v>
      </c>
      <c r="M114" s="2">
        <f t="shared" si="43"/>
        <v>4.9000000000000002E-8</v>
      </c>
      <c r="N114" s="2">
        <f t="shared" si="44"/>
        <v>-1</v>
      </c>
      <c r="O114" s="2">
        <f t="shared" si="45"/>
        <v>-1</v>
      </c>
      <c r="P114" t="s">
        <v>142</v>
      </c>
      <c r="Q114">
        <v>1</v>
      </c>
      <c r="R114" s="4">
        <f t="shared" si="46"/>
        <v>147</v>
      </c>
      <c r="S114">
        <v>113</v>
      </c>
      <c r="T114" s="1">
        <f t="shared" si="47"/>
        <v>2.0527578248252456E-19</v>
      </c>
      <c r="U114" t="b">
        <f>_xll.SigFig(T114,5)=_xll.SigFig(B114,5)</f>
        <v>1</v>
      </c>
      <c r="V114" t="b">
        <f>_xll.SigFig(B114,1)=_xll.SigFig(T114,1)</f>
        <v>1</v>
      </c>
    </row>
    <row r="115" spans="1:22">
      <c r="A115" t="s">
        <v>126</v>
      </c>
      <c r="B115" s="1">
        <v>3.9718822288662075E-9</v>
      </c>
      <c r="C115" s="2">
        <f t="shared" si="49"/>
        <v>-1</v>
      </c>
      <c r="D115" s="2">
        <f t="shared" si="49"/>
        <v>-1</v>
      </c>
      <c r="E115" s="2">
        <f t="shared" si="49"/>
        <v>1.9000000000000001E-8</v>
      </c>
      <c r="F115" s="2">
        <f t="shared" si="49"/>
        <v>1.3000000000000001E-8</v>
      </c>
      <c r="G115" s="2">
        <f t="shared" si="49"/>
        <v>1.6000000000000001E-8</v>
      </c>
      <c r="H115" s="2">
        <f t="shared" si="49"/>
        <v>8.9999999999999995E-9</v>
      </c>
      <c r="I115" s="2">
        <f t="shared" si="39"/>
        <v>8.9999999999999999E-10</v>
      </c>
      <c r="J115" s="2">
        <f t="shared" si="40"/>
        <v>-1</v>
      </c>
      <c r="K115" s="2">
        <f t="shared" si="41"/>
        <v>2.0999999999999999E-8</v>
      </c>
      <c r="L115" s="2">
        <f t="shared" si="42"/>
        <v>1.7E-8</v>
      </c>
      <c r="M115" s="2">
        <f t="shared" si="43"/>
        <v>8.9999999999999999E-10</v>
      </c>
      <c r="N115" s="2">
        <f t="shared" si="44"/>
        <v>0</v>
      </c>
      <c r="O115" s="2">
        <f t="shared" si="45"/>
        <v>0</v>
      </c>
      <c r="P115" t="s">
        <v>142</v>
      </c>
      <c r="Q115">
        <v>0.65700000000000003</v>
      </c>
      <c r="R115" s="4">
        <f t="shared" si="46"/>
        <v>146</v>
      </c>
      <c r="S115">
        <v>114</v>
      </c>
      <c r="T115" s="1">
        <f t="shared" si="47"/>
        <v>3.9718822288662075E-9</v>
      </c>
      <c r="U115" t="b">
        <f>_xll.SigFig(T115,5)=_xll.SigFig(B115,5)</f>
        <v>1</v>
      </c>
      <c r="V115" t="b">
        <f>_xll.SigFig(B115,1)=_xll.SigFig(T115,1)</f>
        <v>1</v>
      </c>
    </row>
    <row r="116" spans="1:22">
      <c r="A116" t="s">
        <v>126</v>
      </c>
      <c r="B116" s="1">
        <v>3.9718822288662075E-9</v>
      </c>
      <c r="C116" s="2">
        <f t="shared" si="49"/>
        <v>-1</v>
      </c>
      <c r="D116" s="2">
        <f t="shared" si="49"/>
        <v>-1</v>
      </c>
      <c r="E116" s="2">
        <f t="shared" si="49"/>
        <v>1.9000000000000001E-8</v>
      </c>
      <c r="F116" s="2">
        <f t="shared" si="49"/>
        <v>1.3000000000000001E-8</v>
      </c>
      <c r="G116" s="2">
        <f t="shared" si="49"/>
        <v>1.6000000000000001E-8</v>
      </c>
      <c r="H116" s="2">
        <f t="shared" si="49"/>
        <v>8.9999999999999995E-9</v>
      </c>
      <c r="I116" s="2">
        <f t="shared" si="39"/>
        <v>8.9999999999999999E-10</v>
      </c>
      <c r="J116" s="2">
        <f t="shared" si="40"/>
        <v>-1</v>
      </c>
      <c r="K116" s="2">
        <f t="shared" si="41"/>
        <v>2.0999999999999999E-8</v>
      </c>
      <c r="L116" s="2">
        <f t="shared" si="42"/>
        <v>1.7E-8</v>
      </c>
      <c r="M116" s="2">
        <f t="shared" si="43"/>
        <v>8.9999999999999999E-10</v>
      </c>
      <c r="N116" s="2">
        <f t="shared" si="44"/>
        <v>0</v>
      </c>
      <c r="O116" s="2">
        <f t="shared" si="45"/>
        <v>0</v>
      </c>
      <c r="P116" t="s">
        <v>147</v>
      </c>
      <c r="Q116">
        <v>0.34300000000000003</v>
      </c>
      <c r="R116" s="4">
        <f t="shared" si="46"/>
        <v>146</v>
      </c>
      <c r="S116">
        <v>115</v>
      </c>
      <c r="T116" s="1">
        <f t="shared" si="47"/>
        <v>3.9718822288662075E-9</v>
      </c>
      <c r="U116" t="b">
        <f>_xll.SigFig(T116,5)=_xll.SigFig(B116,5)</f>
        <v>1</v>
      </c>
      <c r="V116" t="b">
        <f>_xll.SigFig(B116,1)=_xll.SigFig(T116,1)</f>
        <v>1</v>
      </c>
    </row>
    <row r="117" spans="1:22">
      <c r="A117" t="s">
        <v>147</v>
      </c>
      <c r="B117" s="1">
        <v>3.2300748125926656E-16</v>
      </c>
      <c r="C117" s="2">
        <f t="shared" si="49"/>
        <v>-1</v>
      </c>
      <c r="D117" s="2">
        <f t="shared" si="49"/>
        <v>-1</v>
      </c>
      <c r="E117" s="2">
        <f t="shared" si="49"/>
        <v>9.9000000000000001E-6</v>
      </c>
      <c r="F117" s="2">
        <f t="shared" si="49"/>
        <v>6.7000000000000002E-6</v>
      </c>
      <c r="G117" s="2">
        <f t="shared" si="49"/>
        <v>-1</v>
      </c>
      <c r="H117" s="2">
        <f t="shared" si="49"/>
        <v>-1</v>
      </c>
      <c r="I117" s="2">
        <f t="shared" si="39"/>
        <v>5.4E-8</v>
      </c>
      <c r="J117" s="2">
        <f t="shared" si="40"/>
        <v>-1</v>
      </c>
      <c r="K117" s="2">
        <f t="shared" si="41"/>
        <v>1.1E-5</v>
      </c>
      <c r="L117" s="2">
        <f t="shared" si="42"/>
        <v>-1</v>
      </c>
      <c r="M117" s="2">
        <f t="shared" si="43"/>
        <v>5.4E-8</v>
      </c>
      <c r="N117" s="2">
        <f t="shared" si="44"/>
        <v>0</v>
      </c>
      <c r="O117" s="2">
        <f t="shared" si="45"/>
        <v>0</v>
      </c>
      <c r="P117" t="s">
        <v>142</v>
      </c>
      <c r="Q117">
        <v>1</v>
      </c>
      <c r="R117" s="4">
        <f t="shared" si="46"/>
        <v>146</v>
      </c>
      <c r="S117">
        <v>116</v>
      </c>
      <c r="T117" s="1">
        <f t="shared" si="47"/>
        <v>3.2300748125926656E-16</v>
      </c>
      <c r="U117" t="b">
        <f>_xll.SigFig(T117,5)=_xll.SigFig(B117,5)</f>
        <v>1</v>
      </c>
      <c r="V117" t="b">
        <f>_xll.SigFig(B117,1)=_xll.SigFig(T117,1)</f>
        <v>1</v>
      </c>
    </row>
    <row r="118" spans="1:22">
      <c r="A118" t="s">
        <v>124</v>
      </c>
      <c r="B118" s="1">
        <v>2.8160516178528967E-8</v>
      </c>
      <c r="C118" s="2">
        <f t="shared" si="49"/>
        <v>-1</v>
      </c>
      <c r="D118" s="2">
        <f t="shared" si="49"/>
        <v>-1</v>
      </c>
      <c r="E118" s="2">
        <f t="shared" si="49"/>
        <v>3.4E-8</v>
      </c>
      <c r="F118" s="2">
        <f t="shared" si="49"/>
        <v>2.3000000000000001E-8</v>
      </c>
      <c r="G118" s="2">
        <f t="shared" si="49"/>
        <v>4.9000000000000002E-8</v>
      </c>
      <c r="H118" s="2">
        <f t="shared" si="49"/>
        <v>2.9000000000000002E-8</v>
      </c>
      <c r="I118" s="2">
        <f t="shared" si="39"/>
        <v>5.2000000000000002E-9</v>
      </c>
      <c r="J118" s="2">
        <f t="shared" si="40"/>
        <v>4.0000000000000001E-8</v>
      </c>
      <c r="K118" s="2">
        <f t="shared" si="41"/>
        <v>3.5999999999999998E-8</v>
      </c>
      <c r="L118" s="2">
        <f t="shared" si="42"/>
        <v>5.2999999999999998E-8</v>
      </c>
      <c r="M118" s="2">
        <f t="shared" si="43"/>
        <v>5.2000000000000002E-9</v>
      </c>
      <c r="N118" s="2">
        <f t="shared" si="44"/>
        <v>0.2</v>
      </c>
      <c r="O118" s="2">
        <f t="shared" si="45"/>
        <v>0.2</v>
      </c>
      <c r="P118" t="s">
        <v>125</v>
      </c>
      <c r="Q118">
        <v>1</v>
      </c>
      <c r="R118" s="4">
        <f t="shared" si="46"/>
        <v>144</v>
      </c>
      <c r="S118">
        <v>117</v>
      </c>
      <c r="T118" s="1">
        <f t="shared" si="47"/>
        <v>2.8160516178528967E-8</v>
      </c>
      <c r="U118" t="b">
        <f>_xll.SigFig(T118,5)=_xll.SigFig(B118,5)</f>
        <v>1</v>
      </c>
      <c r="V118" t="b">
        <f>_xll.SigFig(B118,1)=_xll.SigFig(T118,1)</f>
        <v>1</v>
      </c>
    </row>
    <row r="119" spans="1:22">
      <c r="A119" t="s">
        <v>125</v>
      </c>
      <c r="B119" s="1">
        <v>6.6854473433636686E-4</v>
      </c>
      <c r="C119" s="2">
        <f t="shared" si="49"/>
        <v>-1</v>
      </c>
      <c r="D119" s="2">
        <f t="shared" si="49"/>
        <v>-1</v>
      </c>
      <c r="E119" s="2">
        <f t="shared" si="49"/>
        <v>1.7999999999999999E-11</v>
      </c>
      <c r="F119" s="2">
        <f t="shared" si="49"/>
        <v>2.9E-11</v>
      </c>
      <c r="G119" s="2">
        <f t="shared" si="49"/>
        <v>1.8999999999999999E-11</v>
      </c>
      <c r="H119" s="2">
        <f t="shared" si="49"/>
        <v>3E-11</v>
      </c>
      <c r="I119" s="2">
        <f t="shared" si="39"/>
        <v>5.0000000000000002E-11</v>
      </c>
      <c r="J119" s="2">
        <f t="shared" si="40"/>
        <v>-1</v>
      </c>
      <c r="K119" s="2">
        <f t="shared" si="41"/>
        <v>1.7999999999999999E-11</v>
      </c>
      <c r="L119" s="2">
        <f t="shared" si="42"/>
        <v>1.7999999999999999E-11</v>
      </c>
      <c r="M119" s="2">
        <f t="shared" si="43"/>
        <v>5.0000000000000002E-11</v>
      </c>
      <c r="N119" s="2">
        <f t="shared" si="44"/>
        <v>0</v>
      </c>
      <c r="O119" s="2">
        <f t="shared" si="45"/>
        <v>0</v>
      </c>
      <c r="P119" t="s">
        <v>33</v>
      </c>
      <c r="Q119">
        <v>1</v>
      </c>
      <c r="R119" s="4">
        <f t="shared" si="46"/>
        <v>144</v>
      </c>
      <c r="S119">
        <v>118</v>
      </c>
      <c r="T119" s="1">
        <f t="shared" si="47"/>
        <v>6.6854473433636686E-4</v>
      </c>
      <c r="U119" t="b">
        <f t="shared" si="35"/>
        <v>1</v>
      </c>
      <c r="V119" t="b">
        <f>_xll.SigFig(B119,1)=_xll.SigFig(T119,1)</f>
        <v>1</v>
      </c>
    </row>
    <row r="120" spans="1:22">
      <c r="A120" t="s">
        <v>31</v>
      </c>
      <c r="B120" s="1">
        <v>7.319794956386885E-10</v>
      </c>
      <c r="C120" s="2">
        <f t="shared" si="49"/>
        <v>4.8E-9</v>
      </c>
      <c r="D120" s="2">
        <f t="shared" si="49"/>
        <v>6.6999999999999996E-9</v>
      </c>
      <c r="E120" s="2">
        <f t="shared" si="49"/>
        <v>-1</v>
      </c>
      <c r="F120" s="2">
        <f t="shared" si="49"/>
        <v>-1</v>
      </c>
      <c r="G120" s="2">
        <f t="shared" si="49"/>
        <v>-1</v>
      </c>
      <c r="H120" s="2">
        <f t="shared" si="49"/>
        <v>-1</v>
      </c>
      <c r="I120" s="2">
        <f t="shared" si="39"/>
        <v>1.3000000000000001E-8</v>
      </c>
      <c r="J120" s="2">
        <f t="shared" si="40"/>
        <v>4.5999999999999998E-9</v>
      </c>
      <c r="K120" s="2">
        <f t="shared" si="41"/>
        <v>9.6999999999999992E-9</v>
      </c>
      <c r="L120" s="2">
        <f t="shared" si="42"/>
        <v>3.8999999999999998E-8</v>
      </c>
      <c r="M120" s="2">
        <f t="shared" si="43"/>
        <v>1.3000000000000001E-8</v>
      </c>
      <c r="N120" s="2">
        <f t="shared" si="44"/>
        <v>2</v>
      </c>
      <c r="O120" s="2">
        <f t="shared" si="45"/>
        <v>0.60000000000000009</v>
      </c>
      <c r="P120" t="s">
        <v>32</v>
      </c>
      <c r="Q120">
        <v>0.94699999999999995</v>
      </c>
      <c r="R120" s="4">
        <f t="shared" si="46"/>
        <v>137</v>
      </c>
      <c r="S120">
        <v>119</v>
      </c>
      <c r="T120" s="1">
        <f t="shared" si="47"/>
        <v>7.319794956386885E-10</v>
      </c>
      <c r="U120" t="b">
        <f>_xll.SigFig(T120,5)=_xll.SigFig(B120,5)</f>
        <v>1</v>
      </c>
      <c r="V120" t="b">
        <f>_xll.SigFig(B120,1)=_xll.SigFig(T120,1)</f>
        <v>1</v>
      </c>
    </row>
    <row r="121" spans="1:22">
      <c r="A121" t="s">
        <v>31</v>
      </c>
      <c r="B121" s="1">
        <v>7.319794956386885E-10</v>
      </c>
      <c r="C121" s="2">
        <f t="shared" si="49"/>
        <v>4.8E-9</v>
      </c>
      <c r="D121" s="2">
        <f t="shared" si="49"/>
        <v>6.6999999999999996E-9</v>
      </c>
      <c r="E121" s="2">
        <f t="shared" si="49"/>
        <v>-1</v>
      </c>
      <c r="F121" s="2">
        <f t="shared" si="49"/>
        <v>-1</v>
      </c>
      <c r="G121" s="2">
        <f t="shared" si="49"/>
        <v>-1</v>
      </c>
      <c r="H121" s="2">
        <f t="shared" si="49"/>
        <v>-1</v>
      </c>
      <c r="I121" s="2">
        <f t="shared" ref="I121" si="50">IF(ISNA(VLOOKUP(A121,_68ing,2,FALSE)),-1,VLOOKUP(A121,_68ing,2,FALSE))</f>
        <v>1.3000000000000001E-8</v>
      </c>
      <c r="J121" s="2">
        <f t="shared" si="40"/>
        <v>4.5999999999999998E-9</v>
      </c>
      <c r="K121" s="2">
        <f t="shared" si="41"/>
        <v>9.6999999999999992E-9</v>
      </c>
      <c r="L121" s="2">
        <f t="shared" si="42"/>
        <v>3.8999999999999998E-8</v>
      </c>
      <c r="M121" s="2">
        <f t="shared" ref="M121" si="51">IF(ISNA(VLOOKUP(A121,_72ing,2,FALSE)),-1,VLOOKUP(A121,_72ing,2,FALSE))</f>
        <v>1.3000000000000001E-8</v>
      </c>
      <c r="N121" s="2">
        <f t="shared" si="44"/>
        <v>2</v>
      </c>
      <c r="O121" s="2">
        <f t="shared" si="45"/>
        <v>0.60000000000000009</v>
      </c>
      <c r="P121" t="s">
        <v>142</v>
      </c>
      <c r="Q121">
        <f>1-Q120</f>
        <v>5.3000000000000047E-2</v>
      </c>
      <c r="R121" s="4">
        <f t="shared" ref="R121" si="52">VALUE(IF(RIGHT(RIGHT(A121,SEARCH("-",A121)),1)="M", RIGHT(LEFT(A121,LEN(A121)-1),LEN(LEFT(A121,LEN(A121)-1))-SEARCH("-",A121)),RIGHT(A121,LEN(A121)-SEARCH("-",A121))))</f>
        <v>137</v>
      </c>
      <c r="S121">
        <v>119.1</v>
      </c>
      <c r="T121" s="1">
        <f t="shared" ref="T121" si="53">VLOOKUP(A121,_lambda,2,FALSE)</f>
        <v>7.319794956386885E-10</v>
      </c>
      <c r="U121" t="b">
        <f>_xll.SigFig(T121,5)=_xll.SigFig(B121,5)</f>
        <v>1</v>
      </c>
      <c r="V121" t="b">
        <f>_xll.SigFig(B121,1)=_xll.SigFig(T121,1)</f>
        <v>1</v>
      </c>
    </row>
    <row r="122" spans="1:22">
      <c r="A122" t="s">
        <v>32</v>
      </c>
      <c r="B122" s="1">
        <v>4.5271780740388824E-3</v>
      </c>
      <c r="C122" s="2">
        <f t="shared" si="49"/>
        <v>-1</v>
      </c>
      <c r="D122" s="2">
        <f t="shared" si="49"/>
        <v>-1</v>
      </c>
      <c r="E122" s="2">
        <f t="shared" si="49"/>
        <v>-1</v>
      </c>
      <c r="F122" s="2">
        <f t="shared" si="49"/>
        <v>-1</v>
      </c>
      <c r="G122" s="2">
        <f t="shared" si="49"/>
        <v>-1</v>
      </c>
      <c r="H122" s="2">
        <f t="shared" si="49"/>
        <v>-1</v>
      </c>
      <c r="I122" s="2">
        <f t="shared" si="39"/>
        <v>-1</v>
      </c>
      <c r="J122" s="2">
        <f t="shared" si="40"/>
        <v>-1</v>
      </c>
      <c r="K122" s="2">
        <f t="shared" si="41"/>
        <v>-1</v>
      </c>
      <c r="L122" s="2">
        <f t="shared" si="42"/>
        <v>-1</v>
      </c>
      <c r="M122" s="2">
        <f t="shared" si="43"/>
        <v>-1</v>
      </c>
      <c r="N122" s="2">
        <f t="shared" si="44"/>
        <v>0</v>
      </c>
      <c r="O122" s="2">
        <f t="shared" si="45"/>
        <v>0</v>
      </c>
      <c r="P122" t="s">
        <v>142</v>
      </c>
      <c r="Q122">
        <v>1</v>
      </c>
      <c r="R122" s="4">
        <f t="shared" si="46"/>
        <v>137</v>
      </c>
      <c r="S122">
        <v>120</v>
      </c>
      <c r="T122" s="1">
        <f t="shared" si="47"/>
        <v>4.5271780740388824E-3</v>
      </c>
      <c r="U122" t="b">
        <f>_xll.SigFig(T122,5)=_xll.SigFig(B122,5)</f>
        <v>1</v>
      </c>
      <c r="V122" t="b">
        <f>_xll.SigFig(B122,1)=_xll.SigFig(T122,1)</f>
        <v>1</v>
      </c>
    </row>
    <row r="123" spans="1:22">
      <c r="A123" t="s">
        <v>123</v>
      </c>
      <c r="B123" s="1">
        <v>1.6514668214759492E-14</v>
      </c>
      <c r="C123" s="2">
        <f t="shared" ref="C123:H132" si="54">IF(ISNA(VLOOKUP($A123,_68inh,COLUMN(C123)-1,FALSE)),-1,VLOOKUP($A123,_68inh,COLUMN(C123)-1,FALSE))</f>
        <v>7.1000000000000003E-10</v>
      </c>
      <c r="D123" s="2">
        <f t="shared" si="54"/>
        <v>9.900000000000001E-10</v>
      </c>
      <c r="E123" s="2">
        <f t="shared" si="54"/>
        <v>-1</v>
      </c>
      <c r="F123" s="2">
        <f t="shared" si="54"/>
        <v>-1</v>
      </c>
      <c r="G123" s="2">
        <f t="shared" si="54"/>
        <v>-1</v>
      </c>
      <c r="H123" s="2">
        <f t="shared" si="54"/>
        <v>-1</v>
      </c>
      <c r="I123" s="2">
        <f t="shared" si="39"/>
        <v>2.0000000000000001E-9</v>
      </c>
      <c r="J123" s="2">
        <f t="shared" si="40"/>
        <v>6.9E-10</v>
      </c>
      <c r="K123" s="2">
        <f t="shared" si="41"/>
        <v>3.1E-9</v>
      </c>
      <c r="L123" s="2">
        <f t="shared" si="42"/>
        <v>8.5999999999999993E-9</v>
      </c>
      <c r="M123" s="2">
        <f t="shared" si="43"/>
        <v>2.0000000000000001E-9</v>
      </c>
      <c r="N123" s="2">
        <f t="shared" si="44"/>
        <v>40</v>
      </c>
      <c r="O123" s="2">
        <f t="shared" si="45"/>
        <v>1</v>
      </c>
      <c r="P123" t="s">
        <v>142</v>
      </c>
      <c r="Q123">
        <v>1</v>
      </c>
      <c r="R123" s="4">
        <f t="shared" si="46"/>
        <v>135</v>
      </c>
      <c r="S123">
        <v>121</v>
      </c>
      <c r="T123" s="1">
        <f t="shared" si="47"/>
        <v>1.6514668214759492E-14</v>
      </c>
      <c r="U123" t="b">
        <f>_xll.SigFig(T123,5)=_xll.SigFig(B123,5)</f>
        <v>1</v>
      </c>
      <c r="V123" t="b">
        <f>_xll.SigFig(B123,1)=_xll.SigFig(T123,1)</f>
        <v>1</v>
      </c>
    </row>
    <row r="124" spans="1:22">
      <c r="A124" t="s">
        <v>122</v>
      </c>
      <c r="B124" s="1">
        <v>1.0633476338899172E-8</v>
      </c>
      <c r="C124" s="2">
        <f t="shared" si="54"/>
        <v>6.7999999999999997E-9</v>
      </c>
      <c r="D124" s="2">
        <f t="shared" si="54"/>
        <v>9.5999999999999999E-9</v>
      </c>
      <c r="E124" s="2">
        <f t="shared" si="54"/>
        <v>-1</v>
      </c>
      <c r="F124" s="2">
        <f t="shared" si="54"/>
        <v>-1</v>
      </c>
      <c r="G124" s="2">
        <f t="shared" si="54"/>
        <v>-1</v>
      </c>
      <c r="H124" s="2">
        <f t="shared" si="54"/>
        <v>-1</v>
      </c>
      <c r="I124" s="2">
        <f t="shared" si="39"/>
        <v>1.9000000000000001E-8</v>
      </c>
      <c r="J124" s="2">
        <f t="shared" si="40"/>
        <v>6.6000000000000004E-9</v>
      </c>
      <c r="K124" s="2">
        <f t="shared" si="41"/>
        <v>9.1000000000000004E-9</v>
      </c>
      <c r="L124" s="2">
        <f t="shared" si="42"/>
        <v>2E-8</v>
      </c>
      <c r="M124" s="2">
        <f t="shared" si="43"/>
        <v>1.9000000000000001E-8</v>
      </c>
      <c r="N124" s="2">
        <f t="shared" si="44"/>
        <v>0.70000000000000007</v>
      </c>
      <c r="O124" s="2">
        <f t="shared" si="45"/>
        <v>0.70000000000000007</v>
      </c>
      <c r="P124" t="s">
        <v>142</v>
      </c>
      <c r="Q124">
        <v>1</v>
      </c>
      <c r="R124" s="4">
        <f t="shared" si="46"/>
        <v>134</v>
      </c>
      <c r="S124">
        <v>122</v>
      </c>
      <c r="T124" s="1">
        <f t="shared" si="47"/>
        <v>1.0633476338899172E-8</v>
      </c>
      <c r="U124" t="b">
        <f>_xll.SigFig(T124,5)=_xll.SigFig(B124,5)</f>
        <v>1</v>
      </c>
      <c r="V124" t="b">
        <f>_xll.SigFig(B124,1)=_xll.SigFig(T124,1)</f>
        <v>1</v>
      </c>
    </row>
    <row r="125" spans="1:22">
      <c r="A125" t="s">
        <v>30</v>
      </c>
      <c r="B125" s="1">
        <v>9.9973043379022319E-7</v>
      </c>
      <c r="C125" s="2">
        <f t="shared" si="54"/>
        <v>7.6000000000000002E-9</v>
      </c>
      <c r="D125" s="2">
        <f t="shared" si="54"/>
        <v>1.0999999999999999E-8</v>
      </c>
      <c r="E125" s="2">
        <f t="shared" si="54"/>
        <v>-1</v>
      </c>
      <c r="F125" s="2">
        <f t="shared" si="54"/>
        <v>-1</v>
      </c>
      <c r="G125" s="2">
        <f t="shared" si="54"/>
        <v>-1</v>
      </c>
      <c r="H125" s="2">
        <f t="shared" si="54"/>
        <v>-1</v>
      </c>
      <c r="I125" s="2">
        <f t="shared" si="39"/>
        <v>2.1999999999999998E-8</v>
      </c>
      <c r="J125" s="2">
        <f t="shared" si="40"/>
        <v>7.4000000000000001E-9</v>
      </c>
      <c r="K125" s="2">
        <f t="shared" si="41"/>
        <v>2.4E-9</v>
      </c>
      <c r="L125" s="2">
        <f t="shared" si="42"/>
        <v>1.6000000000000001E-9</v>
      </c>
      <c r="M125" s="2">
        <f t="shared" si="43"/>
        <v>2.1999999999999998E-8</v>
      </c>
      <c r="N125" s="2">
        <f t="shared" si="44"/>
        <v>3</v>
      </c>
      <c r="O125" s="2">
        <f t="shared" si="45"/>
        <v>0.70000000000000007</v>
      </c>
      <c r="P125" t="s">
        <v>29</v>
      </c>
      <c r="Q125">
        <v>1</v>
      </c>
      <c r="R125" s="4">
        <f t="shared" si="46"/>
        <v>131</v>
      </c>
      <c r="S125">
        <v>123</v>
      </c>
      <c r="T125" s="1">
        <f t="shared" si="47"/>
        <v>9.9973043379022319E-7</v>
      </c>
      <c r="U125" t="b">
        <f>_xll.SigFig(T125,5)=_xll.SigFig(B125,5)</f>
        <v>1</v>
      </c>
      <c r="V125" t="b">
        <f>_xll.SigFig(B125,1)=_xll.SigFig(T125,1)</f>
        <v>1</v>
      </c>
    </row>
    <row r="126" spans="1:22">
      <c r="A126" t="s">
        <v>29</v>
      </c>
      <c r="B126" s="1">
        <v>6.7241109815073378E-7</v>
      </c>
      <c r="C126" s="2">
        <f t="shared" si="54"/>
        <v>-1</v>
      </c>
      <c r="D126" s="2">
        <f t="shared" si="54"/>
        <v>-1</v>
      </c>
      <c r="E126" s="2">
        <f t="shared" si="54"/>
        <v>-1</v>
      </c>
      <c r="F126" s="2">
        <f t="shared" si="54"/>
        <v>-1</v>
      </c>
      <c r="G126" s="2">
        <f t="shared" si="54"/>
        <v>-1</v>
      </c>
      <c r="H126" s="2">
        <f t="shared" si="54"/>
        <v>-1</v>
      </c>
      <c r="I126" s="2">
        <f t="shared" si="39"/>
        <v>-1</v>
      </c>
      <c r="J126" s="2">
        <f t="shared" si="40"/>
        <v>-1</v>
      </c>
      <c r="K126" s="2">
        <f t="shared" si="41"/>
        <v>-1</v>
      </c>
      <c r="L126" s="2">
        <f t="shared" si="42"/>
        <v>-1</v>
      </c>
      <c r="M126" s="2">
        <f t="shared" si="43"/>
        <v>-1</v>
      </c>
      <c r="N126" s="2">
        <f t="shared" si="44"/>
        <v>40</v>
      </c>
      <c r="O126" s="2">
        <f t="shared" si="45"/>
        <v>40</v>
      </c>
      <c r="P126" t="s">
        <v>142</v>
      </c>
      <c r="Q126">
        <v>1</v>
      </c>
      <c r="R126" s="4">
        <f t="shared" si="46"/>
        <v>131</v>
      </c>
      <c r="S126">
        <v>124</v>
      </c>
      <c r="T126" s="1">
        <f t="shared" si="47"/>
        <v>6.7241109815073378E-7</v>
      </c>
      <c r="U126" t="b">
        <f>_xll.SigFig(T126,5)=_xll.SigFig(B126,5)</f>
        <v>1</v>
      </c>
      <c r="V126" t="b">
        <f>_xll.SigFig(B126,1)=_xll.SigFig(T126,1)</f>
        <v>1</v>
      </c>
    </row>
    <row r="127" spans="1:22">
      <c r="A127" t="s">
        <v>28</v>
      </c>
      <c r="B127" s="1">
        <v>1.3642552003496974E-15</v>
      </c>
      <c r="C127" s="2">
        <f t="shared" si="54"/>
        <v>3.7E-8</v>
      </c>
      <c r="D127" s="2">
        <f t="shared" si="54"/>
        <v>5.1E-8</v>
      </c>
      <c r="E127" s="2">
        <f t="shared" si="54"/>
        <v>-1</v>
      </c>
      <c r="F127" s="2">
        <f t="shared" si="54"/>
        <v>-1</v>
      </c>
      <c r="G127" s="2">
        <f t="shared" si="54"/>
        <v>-1</v>
      </c>
      <c r="H127" s="2">
        <f t="shared" si="54"/>
        <v>-1</v>
      </c>
      <c r="I127" s="2">
        <f t="shared" si="39"/>
        <v>1.1000000000000001E-7</v>
      </c>
      <c r="J127" s="2">
        <f t="shared" si="40"/>
        <v>3.5999999999999998E-8</v>
      </c>
      <c r="K127" s="2">
        <f t="shared" si="41"/>
        <v>1.4999999999999999E-8</v>
      </c>
      <c r="L127" s="2">
        <f t="shared" si="42"/>
        <v>9.8000000000000001E-9</v>
      </c>
      <c r="M127" s="2">
        <f t="shared" si="43"/>
        <v>1.1000000000000001E-7</v>
      </c>
      <c r="N127" s="2">
        <f t="shared" si="44"/>
        <v>-1</v>
      </c>
      <c r="O127" s="2">
        <f t="shared" si="45"/>
        <v>-1</v>
      </c>
      <c r="P127" t="s">
        <v>142</v>
      </c>
      <c r="Q127">
        <v>1</v>
      </c>
      <c r="R127" s="4">
        <f t="shared" si="46"/>
        <v>129</v>
      </c>
      <c r="S127">
        <v>125</v>
      </c>
      <c r="T127" s="1">
        <f t="shared" si="47"/>
        <v>1.3642552003496974E-15</v>
      </c>
      <c r="U127" t="b">
        <f>_xll.SigFig(T127,5)=_xll.SigFig(B127,5)</f>
        <v>1</v>
      </c>
      <c r="V127" t="b">
        <f>_xll.SigFig(B127,1)=_xll.SigFig(T127,1)</f>
        <v>1</v>
      </c>
    </row>
    <row r="128" spans="1:22">
      <c r="A128" t="s">
        <v>121</v>
      </c>
      <c r="B128" s="1">
        <v>6.5223876520621164E-7</v>
      </c>
      <c r="C128" s="2">
        <f t="shared" si="54"/>
        <v>1.0999999999999999E-9</v>
      </c>
      <c r="D128" s="2">
        <f t="shared" si="54"/>
        <v>1.6999999999999999E-9</v>
      </c>
      <c r="E128" s="2">
        <f t="shared" si="54"/>
        <v>2.7000000000000002E-9</v>
      </c>
      <c r="F128" s="2">
        <f t="shared" si="54"/>
        <v>3.2000000000000001E-9</v>
      </c>
      <c r="G128" s="2">
        <f t="shared" si="54"/>
        <v>-1</v>
      </c>
      <c r="H128" s="2">
        <f t="shared" si="54"/>
        <v>-1</v>
      </c>
      <c r="I128" s="2">
        <f t="shared" si="39"/>
        <v>2.4E-9</v>
      </c>
      <c r="J128" s="2">
        <f t="shared" si="40"/>
        <v>1.0000000000000001E-9</v>
      </c>
      <c r="K128" s="2">
        <f t="shared" si="41"/>
        <v>2.7999999999999998E-9</v>
      </c>
      <c r="L128" s="2">
        <f t="shared" si="42"/>
        <v>3.2000000000000001E-9</v>
      </c>
      <c r="M128" s="2">
        <f t="shared" si="43"/>
        <v>2.4E-9</v>
      </c>
      <c r="N128" s="2">
        <f t="shared" si="44"/>
        <v>0.4</v>
      </c>
      <c r="O128" s="2">
        <f t="shared" si="45"/>
        <v>0.4</v>
      </c>
      <c r="P128" t="s">
        <v>142</v>
      </c>
      <c r="Q128">
        <v>1</v>
      </c>
      <c r="R128" s="4">
        <f t="shared" si="46"/>
        <v>126</v>
      </c>
      <c r="S128">
        <v>126</v>
      </c>
      <c r="T128" s="1">
        <f t="shared" si="47"/>
        <v>6.5223876520621164E-7</v>
      </c>
      <c r="U128" t="b">
        <f>_xll.SigFig(T128,5)=_xll.SigFig(B128,5)</f>
        <v>1</v>
      </c>
      <c r="V128" t="b">
        <f>_xll.SigFig(B128,1)=_xll.SigFig(T128,1)</f>
        <v>1</v>
      </c>
    </row>
    <row r="129" spans="1:22">
      <c r="A129" t="s">
        <v>120</v>
      </c>
      <c r="B129" s="1">
        <v>6.0484047169279695E-4</v>
      </c>
      <c r="C129" s="2">
        <f t="shared" si="54"/>
        <v>1.3E-11</v>
      </c>
      <c r="D129" s="2">
        <f t="shared" si="54"/>
        <v>2.3000000000000001E-11</v>
      </c>
      <c r="E129" s="2">
        <f t="shared" si="54"/>
        <v>1.9999999999999999E-11</v>
      </c>
      <c r="F129" s="2">
        <f t="shared" si="54"/>
        <v>3.3000000000000002E-11</v>
      </c>
      <c r="G129" s="2">
        <f t="shared" si="54"/>
        <v>-1</v>
      </c>
      <c r="H129" s="2">
        <f t="shared" si="54"/>
        <v>-1</v>
      </c>
      <c r="I129" s="2">
        <f t="shared" si="39"/>
        <v>3.5999999999999998E-11</v>
      </c>
      <c r="J129" s="2">
        <f t="shared" si="40"/>
        <v>1.2000000000000001E-11</v>
      </c>
      <c r="K129" s="2">
        <f t="shared" si="41"/>
        <v>1.8999999999999999E-11</v>
      </c>
      <c r="L129" s="2">
        <f t="shared" si="42"/>
        <v>1.9999999999999999E-11</v>
      </c>
      <c r="M129" s="2">
        <f t="shared" si="43"/>
        <v>3.5999999999999998E-11</v>
      </c>
      <c r="N129" s="2">
        <f t="shared" si="44"/>
        <v>0</v>
      </c>
      <c r="O129" s="2">
        <f t="shared" si="45"/>
        <v>0</v>
      </c>
      <c r="P129" t="s">
        <v>142</v>
      </c>
      <c r="Q129">
        <v>0.81399999999999995</v>
      </c>
      <c r="R129" s="4">
        <f t="shared" si="46"/>
        <v>126</v>
      </c>
      <c r="S129">
        <v>127</v>
      </c>
      <c r="T129" s="1">
        <f t="shared" si="47"/>
        <v>6.0484047169279695E-4</v>
      </c>
      <c r="U129" t="b">
        <f>_xll.SigFig(T129,5)=_xll.SigFig(B129,5)</f>
        <v>1</v>
      </c>
      <c r="V129" t="b">
        <f>_xll.SigFig(B129,1)=_xll.SigFig(T129,1)</f>
        <v>1</v>
      </c>
    </row>
    <row r="130" spans="1:22">
      <c r="A130" t="s">
        <v>120</v>
      </c>
      <c r="B130" s="1">
        <v>6.0484047169279695E-4</v>
      </c>
      <c r="C130" s="2">
        <f t="shared" si="54"/>
        <v>1.3E-11</v>
      </c>
      <c r="D130" s="2">
        <f t="shared" si="54"/>
        <v>2.3000000000000001E-11</v>
      </c>
      <c r="E130" s="2">
        <f t="shared" si="54"/>
        <v>1.9999999999999999E-11</v>
      </c>
      <c r="F130" s="2">
        <f t="shared" si="54"/>
        <v>3.3000000000000002E-11</v>
      </c>
      <c r="G130" s="2">
        <f t="shared" si="54"/>
        <v>-1</v>
      </c>
      <c r="H130" s="2">
        <f t="shared" si="54"/>
        <v>-1</v>
      </c>
      <c r="I130" s="2">
        <f t="shared" si="39"/>
        <v>3.5999999999999998E-11</v>
      </c>
      <c r="J130" s="2">
        <f t="shared" si="40"/>
        <v>1.2000000000000001E-11</v>
      </c>
      <c r="K130" s="2">
        <f t="shared" si="41"/>
        <v>1.8999999999999999E-11</v>
      </c>
      <c r="L130" s="2">
        <f t="shared" si="42"/>
        <v>1.9999999999999999E-11</v>
      </c>
      <c r="M130" s="2">
        <f t="shared" si="43"/>
        <v>3.5999999999999998E-11</v>
      </c>
      <c r="N130" s="2">
        <f t="shared" si="44"/>
        <v>0</v>
      </c>
      <c r="O130" s="2">
        <f t="shared" si="45"/>
        <v>0</v>
      </c>
      <c r="P130" t="s">
        <v>121</v>
      </c>
      <c r="Q130">
        <v>0.186</v>
      </c>
      <c r="R130" s="4">
        <f t="shared" si="46"/>
        <v>126</v>
      </c>
      <c r="S130">
        <v>128</v>
      </c>
      <c r="T130" s="1">
        <f t="shared" si="47"/>
        <v>6.0484047169279695E-4</v>
      </c>
      <c r="U130" t="b">
        <f>_xll.SigFig(T130,5)=_xll.SigFig(B130,5)</f>
        <v>1</v>
      </c>
      <c r="V130" t="b">
        <f>_xll.SigFig(B130,1)=_xll.SigFig(T130,1)</f>
        <v>1</v>
      </c>
    </row>
    <row r="131" spans="1:22">
      <c r="A131" t="s">
        <v>119</v>
      </c>
      <c r="B131" s="1">
        <v>1.109318622506572E-13</v>
      </c>
      <c r="C131" s="2">
        <f t="shared" si="54"/>
        <v>1.0999999999999999E-8</v>
      </c>
      <c r="D131" s="2">
        <f t="shared" si="54"/>
        <v>1.4E-8</v>
      </c>
      <c r="E131" s="2">
        <f t="shared" si="54"/>
        <v>2.7E-8</v>
      </c>
      <c r="F131" s="2">
        <f t="shared" si="54"/>
        <v>1.7999999999999999E-8</v>
      </c>
      <c r="G131" s="2">
        <f t="shared" si="54"/>
        <v>-1</v>
      </c>
      <c r="H131" s="2">
        <f t="shared" si="54"/>
        <v>-1</v>
      </c>
      <c r="I131" s="2">
        <f t="shared" ref="I131:I162" si="55">IF(ISNA(VLOOKUP(A131,_68ing,2,FALSE)),-1,VLOOKUP(A131,_68ing,2,FALSE))</f>
        <v>4.6999999999999999E-9</v>
      </c>
      <c r="J131" s="2">
        <f t="shared" ref="J131:J162" si="56">IF(ISNA(VLOOKUP($A131,_72inh,2,FALSE)),-1,VLOOKUP($A131,_72inh,2,FALSE))</f>
        <v>1.0999999999999999E-8</v>
      </c>
      <c r="K131" s="2">
        <f t="shared" ref="K131:K162" si="57">IF(ISNA(VLOOKUP($A131,_72inh,2,FALSE)),-1,VLOOKUP($A131,_72inh,3,FALSE))</f>
        <v>2.7999999999999999E-8</v>
      </c>
      <c r="L131" s="2">
        <f t="shared" ref="L131:L162" si="58">IF(ISNA(VLOOKUP($A131,_72inh,2,FALSE)),-1,VLOOKUP($A131,_72inh,4,FALSE))</f>
        <v>-1</v>
      </c>
      <c r="M131" s="2">
        <f t="shared" ref="M131:M162" si="59">IF(ISNA(VLOOKUP(A131,_72ing,2,FALSE)),-1,VLOOKUP(A131,_72ing,2,FALSE))</f>
        <v>4.6999999999999999E-9</v>
      </c>
      <c r="N131" s="2">
        <f t="shared" ref="N131:N162" si="60">VLOOKUP($A131,A1A2,2,FALSE)</f>
        <v>0.60000000000000009</v>
      </c>
      <c r="O131" s="2">
        <f t="shared" ref="O131:O162" si="61">VLOOKUP($A131,A1A2,3,FALSE)</f>
        <v>0.4</v>
      </c>
      <c r="P131" t="s">
        <v>120</v>
      </c>
      <c r="Q131">
        <v>1</v>
      </c>
      <c r="R131" s="4">
        <f t="shared" ref="R131:R162" si="62">VALUE(IF(RIGHT(RIGHT(A131,SEARCH("-",A131)),1)="M", RIGHT(LEFT(A131,LEN(A131)-1),LEN(LEFT(A131,LEN(A131)-1))-SEARCH("-",A131)),RIGHT(A131,LEN(A131)-SEARCH("-",A131))))</f>
        <v>126</v>
      </c>
      <c r="S131">
        <v>129</v>
      </c>
      <c r="T131" s="1">
        <f t="shared" ref="T131:T162" si="63">VLOOKUP(A131,_lambda,2,FALSE)</f>
        <v>1.109318622506572E-13</v>
      </c>
      <c r="U131" t="b">
        <f>_xll.SigFig(T131,5)=_xll.SigFig(B131,5)</f>
        <v>1</v>
      </c>
      <c r="V131" t="b">
        <f>_xll.SigFig(B131,1)=_xll.SigFig(T131,1)</f>
        <v>1</v>
      </c>
    </row>
    <row r="132" spans="1:22">
      <c r="A132" t="s">
        <v>27</v>
      </c>
      <c r="B132" s="1">
        <v>1.3506408990262978E-7</v>
      </c>
      <c r="C132" s="2">
        <f t="shared" si="54"/>
        <v>5.3000000000000003E-9</v>
      </c>
      <c r="D132" s="2">
        <f t="shared" si="54"/>
        <v>7.3E-9</v>
      </c>
      <c r="E132" s="2">
        <f t="shared" si="54"/>
        <v>-1</v>
      </c>
      <c r="F132" s="2">
        <f t="shared" si="54"/>
        <v>-1</v>
      </c>
      <c r="G132" s="2">
        <f t="shared" si="54"/>
        <v>-1</v>
      </c>
      <c r="H132" s="2">
        <f t="shared" si="54"/>
        <v>-1</v>
      </c>
      <c r="I132" s="2">
        <f t="shared" si="55"/>
        <v>1.4999999999999999E-8</v>
      </c>
      <c r="J132" s="2">
        <f t="shared" si="56"/>
        <v>5.1000000000000002E-9</v>
      </c>
      <c r="K132" s="2">
        <f t="shared" si="57"/>
        <v>1.3999999999999999E-9</v>
      </c>
      <c r="L132" s="2">
        <f t="shared" si="58"/>
        <v>3.7999999999999998E-10</v>
      </c>
      <c r="M132" s="2">
        <f t="shared" si="59"/>
        <v>1.4999999999999999E-8</v>
      </c>
      <c r="N132" s="2">
        <f t="shared" si="60"/>
        <v>20</v>
      </c>
      <c r="O132" s="2">
        <f t="shared" si="61"/>
        <v>3</v>
      </c>
      <c r="P132" t="s">
        <v>142</v>
      </c>
      <c r="Q132">
        <v>1</v>
      </c>
      <c r="R132" s="4">
        <f t="shared" si="62"/>
        <v>125</v>
      </c>
      <c r="S132">
        <v>130</v>
      </c>
      <c r="T132" s="1">
        <f t="shared" si="63"/>
        <v>1.3506408990262978E-7</v>
      </c>
      <c r="U132" t="b">
        <f>_xll.SigFig(T132,5)=_xll.SigFig(B132,5)</f>
        <v>1</v>
      </c>
      <c r="V132" t="b">
        <f>_xll.SigFig(B132,1)=_xll.SigFig(T132,1)</f>
        <v>1</v>
      </c>
    </row>
    <row r="133" spans="1:22">
      <c r="A133" t="s">
        <v>117</v>
      </c>
      <c r="B133" s="1">
        <v>7.964792662592061E-9</v>
      </c>
      <c r="C133" s="2">
        <f t="shared" ref="C133:H142" si="64">IF(ISNA(VLOOKUP($A133,_68inh,COLUMN(C133)-1,FALSE)),-1,VLOOKUP($A133,_68inh,COLUMN(C133)-1,FALSE))</f>
        <v>1.3999999999999999E-9</v>
      </c>
      <c r="D133" s="2">
        <f t="shared" si="64"/>
        <v>1.6999999999999999E-9</v>
      </c>
      <c r="E133" s="2">
        <f t="shared" si="64"/>
        <v>4.4999999999999998E-9</v>
      </c>
      <c r="F133" s="2">
        <f t="shared" si="64"/>
        <v>3.3000000000000002E-9</v>
      </c>
      <c r="G133" s="2">
        <f t="shared" si="64"/>
        <v>-1</v>
      </c>
      <c r="H133" s="2">
        <f t="shared" si="64"/>
        <v>-1</v>
      </c>
      <c r="I133" s="2">
        <f t="shared" si="55"/>
        <v>1.0999999999999999E-9</v>
      </c>
      <c r="J133" s="2">
        <f t="shared" si="56"/>
        <v>1.3999999999999999E-9</v>
      </c>
      <c r="K133" s="2">
        <f t="shared" si="57"/>
        <v>4.8E-9</v>
      </c>
      <c r="L133" s="2">
        <f t="shared" si="58"/>
        <v>1.2E-8</v>
      </c>
      <c r="M133" s="2">
        <f t="shared" si="59"/>
        <v>1.0999999999999999E-9</v>
      </c>
      <c r="N133" s="2">
        <f t="shared" si="60"/>
        <v>2</v>
      </c>
      <c r="O133" s="2">
        <f t="shared" si="61"/>
        <v>1</v>
      </c>
      <c r="P133" t="s">
        <v>118</v>
      </c>
      <c r="Q133">
        <v>1</v>
      </c>
      <c r="R133" s="4">
        <f t="shared" si="62"/>
        <v>125</v>
      </c>
      <c r="S133">
        <v>131</v>
      </c>
      <c r="T133" s="1">
        <f t="shared" si="63"/>
        <v>7.964792662592061E-9</v>
      </c>
      <c r="U133" t="b">
        <f>_xll.SigFig(T133,5)=_xll.SigFig(B133,5)</f>
        <v>1</v>
      </c>
      <c r="V133" t="b">
        <f>_xll.SigFig(B133,1)=_xll.SigFig(T133,1)</f>
        <v>1</v>
      </c>
    </row>
    <row r="134" spans="1:22">
      <c r="A134" t="s">
        <v>118</v>
      </c>
      <c r="B134" s="1">
        <v>1.3976544968704536E-7</v>
      </c>
      <c r="C134" s="2">
        <f t="shared" si="64"/>
        <v>5.1E-10</v>
      </c>
      <c r="D134" s="2">
        <f t="shared" si="64"/>
        <v>6.6999999999999996E-10</v>
      </c>
      <c r="E134" s="2">
        <f t="shared" si="64"/>
        <v>3.3000000000000002E-9</v>
      </c>
      <c r="F134" s="2">
        <f t="shared" si="64"/>
        <v>2.8999999999999999E-9</v>
      </c>
      <c r="G134" s="2">
        <f t="shared" si="64"/>
        <v>-1</v>
      </c>
      <c r="H134" s="2">
        <f t="shared" si="64"/>
        <v>-1</v>
      </c>
      <c r="I134" s="2">
        <f t="shared" si="55"/>
        <v>8.6999999999999999E-10</v>
      </c>
      <c r="J134" s="2">
        <f t="shared" si="56"/>
        <v>5.1E-10</v>
      </c>
      <c r="K134" s="2">
        <f t="shared" si="57"/>
        <v>3.3999999999999998E-9</v>
      </c>
      <c r="L134" s="2">
        <f t="shared" si="58"/>
        <v>4.2000000000000004E-9</v>
      </c>
      <c r="M134" s="2">
        <f t="shared" si="59"/>
        <v>8.6999999999999999E-10</v>
      </c>
      <c r="N134" s="2">
        <f t="shared" si="60"/>
        <v>20</v>
      </c>
      <c r="O134" s="2">
        <f t="shared" si="61"/>
        <v>0.9</v>
      </c>
      <c r="P134" t="s">
        <v>142</v>
      </c>
      <c r="Q134">
        <v>1</v>
      </c>
      <c r="R134" s="4">
        <f t="shared" si="62"/>
        <v>125</v>
      </c>
      <c r="S134">
        <v>132</v>
      </c>
      <c r="T134" s="1">
        <f t="shared" si="63"/>
        <v>1.3976544968704536E-7</v>
      </c>
      <c r="U134" t="b">
        <f t="shared" ref="U134:U177" si="65">T134=B134</f>
        <v>1</v>
      </c>
      <c r="V134" t="b">
        <f>_xll.SigFig(B134,1)=_xll.SigFig(T134,1)</f>
        <v>1</v>
      </c>
    </row>
    <row r="135" spans="1:22">
      <c r="A135" t="s">
        <v>26</v>
      </c>
      <c r="B135" s="1">
        <v>1.9211055584378362E-6</v>
      </c>
      <c r="C135" s="2">
        <f t="shared" si="64"/>
        <v>4.4999999999999998E-9</v>
      </c>
      <c r="D135" s="2">
        <f t="shared" si="64"/>
        <v>6.3000000000000002E-9</v>
      </c>
      <c r="E135" s="2">
        <f t="shared" si="64"/>
        <v>-1</v>
      </c>
      <c r="F135" s="2">
        <f t="shared" si="64"/>
        <v>-1</v>
      </c>
      <c r="G135" s="2">
        <f t="shared" si="64"/>
        <v>-1</v>
      </c>
      <c r="H135" s="2">
        <f t="shared" si="64"/>
        <v>-1</v>
      </c>
      <c r="I135" s="2">
        <f t="shared" si="55"/>
        <v>1.3000000000000001E-8</v>
      </c>
      <c r="J135" s="2">
        <f t="shared" si="56"/>
        <v>4.3999999999999997E-9</v>
      </c>
      <c r="K135" s="2">
        <f t="shared" si="57"/>
        <v>1.2E-9</v>
      </c>
      <c r="L135" s="2">
        <f t="shared" si="58"/>
        <v>7.7000000000000003E-10</v>
      </c>
      <c r="M135" s="2">
        <f t="shared" si="59"/>
        <v>1.3000000000000001E-8</v>
      </c>
      <c r="N135" s="2">
        <f t="shared" si="60"/>
        <v>1</v>
      </c>
      <c r="O135" s="2">
        <f t="shared" si="61"/>
        <v>1</v>
      </c>
      <c r="P135" t="s">
        <v>142</v>
      </c>
      <c r="Q135">
        <v>1</v>
      </c>
      <c r="R135" s="4">
        <f t="shared" si="62"/>
        <v>124</v>
      </c>
      <c r="S135">
        <v>133</v>
      </c>
      <c r="T135" s="1">
        <f t="shared" si="63"/>
        <v>1.9211055584378362E-6</v>
      </c>
      <c r="U135" t="b">
        <f t="shared" si="65"/>
        <v>1</v>
      </c>
      <c r="V135" t="b">
        <f>_xll.SigFig(B135,1)=_xll.SigFig(T135,1)</f>
        <v>1</v>
      </c>
    </row>
    <row r="136" spans="1:22">
      <c r="A136" t="s">
        <v>25</v>
      </c>
      <c r="B136" s="1">
        <v>1.4561169145109901E-5</v>
      </c>
      <c r="C136" s="2">
        <f t="shared" si="64"/>
        <v>7.5999999999999996E-11</v>
      </c>
      <c r="D136" s="2">
        <f t="shared" si="64"/>
        <v>1.0999999999999999E-10</v>
      </c>
      <c r="E136" s="2">
        <f t="shared" si="64"/>
        <v>-1</v>
      </c>
      <c r="F136" s="2">
        <f t="shared" si="64"/>
        <v>-1</v>
      </c>
      <c r="G136" s="2">
        <f t="shared" si="64"/>
        <v>-1</v>
      </c>
      <c r="H136" s="2">
        <f t="shared" si="64"/>
        <v>-1</v>
      </c>
      <c r="I136" s="2">
        <f t="shared" si="55"/>
        <v>2.1E-10</v>
      </c>
      <c r="J136" s="2">
        <f t="shared" si="56"/>
        <v>7.4000000000000003E-11</v>
      </c>
      <c r="K136" s="2">
        <f t="shared" si="57"/>
        <v>6.3999999999999999E-11</v>
      </c>
      <c r="L136" s="2">
        <f t="shared" si="58"/>
        <v>6E-11</v>
      </c>
      <c r="M136" s="2">
        <f t="shared" si="59"/>
        <v>2.1E-10</v>
      </c>
      <c r="N136" s="2">
        <f t="shared" si="60"/>
        <v>6</v>
      </c>
      <c r="O136" s="2">
        <f t="shared" si="61"/>
        <v>3</v>
      </c>
      <c r="P136" t="s">
        <v>142</v>
      </c>
      <c r="Q136">
        <v>1</v>
      </c>
      <c r="R136" s="4">
        <f t="shared" si="62"/>
        <v>123</v>
      </c>
      <c r="S136">
        <v>134</v>
      </c>
      <c r="T136" s="1">
        <f t="shared" si="63"/>
        <v>1.4561169145109901E-5</v>
      </c>
      <c r="U136" t="b">
        <f>_xll.SigFig(T136,5)=_xll.SigFig(B136,5)</f>
        <v>1</v>
      </c>
      <c r="V136" t="b">
        <f>_xll.SigFig(B136,1)=_xll.SigFig(T136,1)</f>
        <v>1</v>
      </c>
    </row>
    <row r="137" spans="1:22">
      <c r="A137" t="s">
        <v>116</v>
      </c>
      <c r="B137" s="1">
        <v>5.0033049488906898E-10</v>
      </c>
      <c r="C137" s="2">
        <f t="shared" si="64"/>
        <v>8.0000000000000003E-10</v>
      </c>
      <c r="D137" s="2">
        <f t="shared" si="64"/>
        <v>9.6999999999999996E-10</v>
      </c>
      <c r="E137" s="2">
        <f t="shared" si="64"/>
        <v>4.2000000000000004E-9</v>
      </c>
      <c r="F137" s="2">
        <f t="shared" si="64"/>
        <v>3.3000000000000002E-9</v>
      </c>
      <c r="G137" s="2">
        <f t="shared" si="64"/>
        <v>-1</v>
      </c>
      <c r="H137" s="2">
        <f t="shared" si="64"/>
        <v>-1</v>
      </c>
      <c r="I137" s="2">
        <f t="shared" si="55"/>
        <v>3.7999999999999998E-10</v>
      </c>
      <c r="J137" s="2">
        <f t="shared" si="56"/>
        <v>8.0000000000000003E-10</v>
      </c>
      <c r="K137" s="2">
        <f t="shared" si="57"/>
        <v>4.4999999999999998E-9</v>
      </c>
      <c r="L137" s="2">
        <f t="shared" si="58"/>
        <v>-1</v>
      </c>
      <c r="M137" s="2">
        <f t="shared" si="59"/>
        <v>3.7999999999999998E-10</v>
      </c>
      <c r="N137" s="2">
        <f t="shared" si="60"/>
        <v>40</v>
      </c>
      <c r="O137" s="2">
        <f t="shared" si="61"/>
        <v>0.9</v>
      </c>
      <c r="P137" t="s">
        <v>146</v>
      </c>
      <c r="Q137">
        <v>1</v>
      </c>
      <c r="R137" s="4">
        <f t="shared" si="62"/>
        <v>121</v>
      </c>
      <c r="S137">
        <v>135</v>
      </c>
      <c r="T137" s="1">
        <f t="shared" si="63"/>
        <v>5.0033049488906898E-10</v>
      </c>
      <c r="U137" t="b">
        <f>_xll.SigFig(T137,5)=_xll.SigFig(B137,5)</f>
        <v>1</v>
      </c>
      <c r="V137" t="b">
        <f>_xll.SigFig(B137,1)=_xll.SigFig(T137,1)</f>
        <v>1</v>
      </c>
    </row>
    <row r="138" spans="1:22">
      <c r="A138" t="s">
        <v>146</v>
      </c>
      <c r="B138" s="1">
        <v>7.1179624210304511E-6</v>
      </c>
      <c r="C138" s="2">
        <f t="shared" si="64"/>
        <v>6.3999999999999999E-11</v>
      </c>
      <c r="D138" s="2">
        <f t="shared" si="64"/>
        <v>1E-10</v>
      </c>
      <c r="E138" s="2">
        <f t="shared" si="64"/>
        <v>2.1999999999999999E-10</v>
      </c>
      <c r="F138" s="2">
        <f t="shared" si="64"/>
        <v>2.8000000000000002E-10</v>
      </c>
      <c r="G138" s="2">
        <f t="shared" si="64"/>
        <v>-1</v>
      </c>
      <c r="H138" s="2">
        <f t="shared" si="64"/>
        <v>-1</v>
      </c>
      <c r="I138" s="2">
        <f t="shared" si="55"/>
        <v>2.3000000000000001E-10</v>
      </c>
      <c r="J138" s="2">
        <f t="shared" si="56"/>
        <v>6E-11</v>
      </c>
      <c r="K138" s="2">
        <f t="shared" si="57"/>
        <v>2.3000000000000001E-10</v>
      </c>
      <c r="L138" s="2">
        <f t="shared" si="58"/>
        <v>-1</v>
      </c>
      <c r="M138" s="2">
        <f t="shared" si="59"/>
        <v>2.3000000000000001E-10</v>
      </c>
      <c r="N138" s="2">
        <f t="shared" si="60"/>
        <v>0</v>
      </c>
      <c r="O138" s="2">
        <f t="shared" si="61"/>
        <v>0</v>
      </c>
      <c r="P138" t="s">
        <v>142</v>
      </c>
      <c r="Q138">
        <v>1</v>
      </c>
      <c r="R138" s="4">
        <f t="shared" si="62"/>
        <v>121</v>
      </c>
      <c r="S138">
        <v>136</v>
      </c>
      <c r="T138" s="1">
        <f t="shared" si="63"/>
        <v>7.1179624210304511E-6</v>
      </c>
      <c r="U138" t="b">
        <f>_xll.SigFig(T138,5)=_xll.SigFig(B138,5)</f>
        <v>1</v>
      </c>
      <c r="V138" t="b">
        <f>_xll.SigFig(B138,1)=_xll.SigFig(T138,1)</f>
        <v>1</v>
      </c>
    </row>
    <row r="139" spans="1:22">
      <c r="A139" t="s">
        <v>116</v>
      </c>
      <c r="B139" s="1">
        <v>5.0033049488906898E-10</v>
      </c>
      <c r="C139" s="2">
        <f t="shared" si="64"/>
        <v>8.0000000000000003E-10</v>
      </c>
      <c r="D139" s="2">
        <f t="shared" si="64"/>
        <v>9.6999999999999996E-10</v>
      </c>
      <c r="E139" s="2">
        <f t="shared" si="64"/>
        <v>4.2000000000000004E-9</v>
      </c>
      <c r="F139" s="2">
        <f t="shared" si="64"/>
        <v>3.3000000000000002E-9</v>
      </c>
      <c r="G139" s="2">
        <f t="shared" si="64"/>
        <v>-1</v>
      </c>
      <c r="H139" s="2">
        <f t="shared" si="64"/>
        <v>-1</v>
      </c>
      <c r="I139" s="2">
        <f t="shared" si="55"/>
        <v>3.7999999999999998E-10</v>
      </c>
      <c r="J139" s="2">
        <f t="shared" si="56"/>
        <v>8.0000000000000003E-10</v>
      </c>
      <c r="K139" s="2">
        <f t="shared" si="57"/>
        <v>4.4999999999999998E-9</v>
      </c>
      <c r="L139" s="2">
        <f t="shared" si="58"/>
        <v>-1</v>
      </c>
      <c r="M139" s="2">
        <f t="shared" si="59"/>
        <v>3.7999999999999998E-10</v>
      </c>
      <c r="N139" s="2">
        <f t="shared" si="60"/>
        <v>40</v>
      </c>
      <c r="O139" s="2">
        <f t="shared" si="61"/>
        <v>0.9</v>
      </c>
      <c r="P139" t="s">
        <v>142</v>
      </c>
      <c r="Q139">
        <v>1</v>
      </c>
      <c r="R139" s="4">
        <f t="shared" si="62"/>
        <v>121</v>
      </c>
      <c r="S139">
        <v>137</v>
      </c>
      <c r="T139" s="1">
        <f t="shared" si="63"/>
        <v>5.0033049488906898E-10</v>
      </c>
      <c r="U139" t="b">
        <f>_xll.SigFig(T139,5)=_xll.SigFig(B139,5)</f>
        <v>1</v>
      </c>
      <c r="V139" t="b">
        <f>_xll.SigFig(B139,1)=_xll.SigFig(T139,1)</f>
        <v>1</v>
      </c>
    </row>
    <row r="140" spans="1:22">
      <c r="A140" t="s">
        <v>145</v>
      </c>
      <c r="B140" s="1">
        <v>2.7319040703520057E-24</v>
      </c>
      <c r="C140" s="2">
        <f t="shared" si="64"/>
        <v>1.1999999999999999E-7</v>
      </c>
      <c r="D140" s="2">
        <f t="shared" si="64"/>
        <v>1.4000000000000001E-7</v>
      </c>
      <c r="E140" s="2">
        <f t="shared" si="64"/>
        <v>5.2999999999999998E-8</v>
      </c>
      <c r="F140" s="2">
        <f t="shared" si="64"/>
        <v>4.3000000000000001E-8</v>
      </c>
      <c r="G140" s="2">
        <f t="shared" si="64"/>
        <v>2.4999999999999999E-8</v>
      </c>
      <c r="H140" s="2">
        <f t="shared" si="64"/>
        <v>2.0999999999999999E-8</v>
      </c>
      <c r="I140" s="2">
        <f t="shared" si="55"/>
        <v>2.4999999999999999E-8</v>
      </c>
      <c r="J140" s="2">
        <f t="shared" si="56"/>
        <v>1.1999999999999999E-7</v>
      </c>
      <c r="K140" s="2">
        <f t="shared" si="57"/>
        <v>5.5000000000000003E-8</v>
      </c>
      <c r="L140" s="2">
        <f t="shared" si="58"/>
        <v>2.6000000000000001E-8</v>
      </c>
      <c r="M140" s="2">
        <f t="shared" si="59"/>
        <v>2.4999999999999999E-8</v>
      </c>
      <c r="N140" s="2">
        <f t="shared" si="60"/>
        <v>0</v>
      </c>
      <c r="O140" s="2">
        <f t="shared" si="61"/>
        <v>0</v>
      </c>
      <c r="P140" t="s">
        <v>142</v>
      </c>
      <c r="Q140">
        <v>1</v>
      </c>
      <c r="R140" s="4">
        <f t="shared" si="62"/>
        <v>113</v>
      </c>
      <c r="S140">
        <v>138</v>
      </c>
      <c r="T140" s="1">
        <f t="shared" si="63"/>
        <v>2.7319040703520057E-24</v>
      </c>
      <c r="U140" t="b">
        <f>_xll.SigFig(T140,5)=_xll.SigFig(B140,5)</f>
        <v>1</v>
      </c>
      <c r="V140" t="b">
        <f>_xll.SigFig(B140,1)=_xll.SigFig(T140,1)</f>
        <v>1</v>
      </c>
    </row>
    <row r="141" spans="1:22">
      <c r="A141" t="s">
        <v>115</v>
      </c>
      <c r="B141" s="1">
        <v>1.5813181227955456E-9</v>
      </c>
      <c r="C141" s="2">
        <f t="shared" si="64"/>
        <v>1.1000000000000001E-7</v>
      </c>
      <c r="D141" s="2">
        <f t="shared" si="64"/>
        <v>1.3E-7</v>
      </c>
      <c r="E141" s="2">
        <f t="shared" si="64"/>
        <v>4.9999999999999998E-8</v>
      </c>
      <c r="F141" s="2">
        <f t="shared" si="64"/>
        <v>4.0000000000000001E-8</v>
      </c>
      <c r="G141" s="2">
        <f t="shared" si="64"/>
        <v>2.9999999999999997E-8</v>
      </c>
      <c r="H141" s="2">
        <f t="shared" si="64"/>
        <v>2.4E-8</v>
      </c>
      <c r="I141" s="2">
        <f t="shared" si="55"/>
        <v>2.3000000000000001E-8</v>
      </c>
      <c r="J141" s="2">
        <f t="shared" si="56"/>
        <v>1.1000000000000001E-7</v>
      </c>
      <c r="K141" s="2">
        <f t="shared" si="57"/>
        <v>5.2000000000000002E-8</v>
      </c>
      <c r="L141" s="2">
        <f t="shared" si="58"/>
        <v>3.1E-8</v>
      </c>
      <c r="M141" s="2">
        <f t="shared" si="59"/>
        <v>2.3000000000000001E-8</v>
      </c>
      <c r="N141" s="2">
        <f t="shared" si="60"/>
        <v>40</v>
      </c>
      <c r="O141" s="2">
        <f t="shared" si="61"/>
        <v>0.5</v>
      </c>
      <c r="P141" t="s">
        <v>142</v>
      </c>
      <c r="Q141">
        <v>0.99036000000000002</v>
      </c>
      <c r="R141" s="4">
        <f t="shared" si="62"/>
        <v>113</v>
      </c>
      <c r="S141">
        <v>139</v>
      </c>
      <c r="T141" s="1">
        <f t="shared" si="63"/>
        <v>1.5813181227955456E-9</v>
      </c>
      <c r="U141" t="b">
        <f>_xll.SigFig(T141,5)=_xll.SigFig(B141,5)</f>
        <v>1</v>
      </c>
      <c r="V141" t="b">
        <f>_xll.SigFig(B141,1)=_xll.SigFig(T141,1)</f>
        <v>1</v>
      </c>
    </row>
    <row r="142" spans="1:22">
      <c r="A142" t="s">
        <v>115</v>
      </c>
      <c r="B142" s="1">
        <v>1.5813181227955456E-9</v>
      </c>
      <c r="C142" s="2">
        <f t="shared" si="64"/>
        <v>1.1000000000000001E-7</v>
      </c>
      <c r="D142" s="2">
        <f t="shared" si="64"/>
        <v>1.3E-7</v>
      </c>
      <c r="E142" s="2">
        <f t="shared" si="64"/>
        <v>4.9999999999999998E-8</v>
      </c>
      <c r="F142" s="2">
        <f t="shared" si="64"/>
        <v>4.0000000000000001E-8</v>
      </c>
      <c r="G142" s="2">
        <f t="shared" si="64"/>
        <v>2.9999999999999997E-8</v>
      </c>
      <c r="H142" s="2">
        <f t="shared" si="64"/>
        <v>2.4E-8</v>
      </c>
      <c r="I142" s="2">
        <f t="shared" si="55"/>
        <v>2.3000000000000001E-8</v>
      </c>
      <c r="J142" s="2">
        <f t="shared" si="56"/>
        <v>1.1000000000000001E-7</v>
      </c>
      <c r="K142" s="2">
        <f t="shared" si="57"/>
        <v>5.2000000000000002E-8</v>
      </c>
      <c r="L142" s="2">
        <f t="shared" si="58"/>
        <v>3.1E-8</v>
      </c>
      <c r="M142" s="2">
        <f t="shared" si="59"/>
        <v>2.3000000000000001E-8</v>
      </c>
      <c r="N142" s="2">
        <f t="shared" si="60"/>
        <v>40</v>
      </c>
      <c r="O142" s="2">
        <f t="shared" si="61"/>
        <v>0.5</v>
      </c>
      <c r="P142" t="s">
        <v>145</v>
      </c>
      <c r="Q142">
        <v>9.64E-2</v>
      </c>
      <c r="R142" s="4">
        <f t="shared" si="62"/>
        <v>113</v>
      </c>
      <c r="S142">
        <v>140</v>
      </c>
      <c r="T142" s="1">
        <f t="shared" si="63"/>
        <v>1.5813181227955456E-9</v>
      </c>
      <c r="U142" t="b">
        <f>_xll.SigFig(T142,5)=_xll.SigFig(B142,5)</f>
        <v>1</v>
      </c>
      <c r="V142" t="b">
        <f>_xll.SigFig(B142,1)=_xll.SigFig(T142,1)</f>
        <v>1</v>
      </c>
    </row>
    <row r="143" spans="1:22">
      <c r="A143" t="s">
        <v>114</v>
      </c>
      <c r="B143" s="1">
        <v>3.3791551885584809E-15</v>
      </c>
      <c r="C143" s="2">
        <f t="shared" ref="C143:H152" si="66">IF(ISNA(VLOOKUP($A143,_68inh,COLUMN(C143)-1,FALSE)),-1,VLOOKUP($A143,_68inh,COLUMN(C143)-1,FALSE))</f>
        <v>2.6000000000000001E-11</v>
      </c>
      <c r="D143" s="2">
        <f t="shared" si="66"/>
        <v>3.3000000000000002E-11</v>
      </c>
      <c r="E143" s="2">
        <f t="shared" si="66"/>
        <v>7.9999999999999995E-11</v>
      </c>
      <c r="F143" s="2">
        <f t="shared" si="66"/>
        <v>5.2000000000000001E-11</v>
      </c>
      <c r="G143" s="2">
        <f t="shared" si="66"/>
        <v>5.4999999999999996E-10</v>
      </c>
      <c r="H143" s="2">
        <f t="shared" si="66"/>
        <v>2.8999999999999998E-10</v>
      </c>
      <c r="I143" s="2">
        <f t="shared" si="55"/>
        <v>3.7000000000000001E-11</v>
      </c>
      <c r="J143" s="2">
        <f t="shared" si="56"/>
        <v>2.5000000000000001E-11</v>
      </c>
      <c r="K143" s="2">
        <f t="shared" si="57"/>
        <v>8.5000000000000004E-11</v>
      </c>
      <c r="L143" s="2">
        <f t="shared" si="58"/>
        <v>5.9000000000000003E-10</v>
      </c>
      <c r="M143" s="2">
        <f t="shared" si="59"/>
        <v>3.7000000000000001E-11</v>
      </c>
      <c r="N143" s="2">
        <f t="shared" si="60"/>
        <v>-1</v>
      </c>
      <c r="O143" s="2">
        <f t="shared" si="61"/>
        <v>-1</v>
      </c>
      <c r="P143" t="s">
        <v>142</v>
      </c>
      <c r="Q143">
        <v>1</v>
      </c>
      <c r="R143" s="4">
        <f t="shared" si="62"/>
        <v>107</v>
      </c>
      <c r="S143">
        <v>141</v>
      </c>
      <c r="T143" s="1">
        <f t="shared" si="63"/>
        <v>3.3791551885584809E-15</v>
      </c>
      <c r="U143" t="b">
        <f>_xll.SigFig(T143,5)=_xll.SigFig(B143,5)</f>
        <v>1</v>
      </c>
      <c r="V143" t="b">
        <f>_xll.SigFig(B143,1)=_xll.SigFig(T143,1)</f>
        <v>1</v>
      </c>
    </row>
    <row r="144" spans="1:22">
      <c r="A144" t="s">
        <v>112</v>
      </c>
      <c r="B144" s="1">
        <v>2.1577560010856383E-8</v>
      </c>
      <c r="C144" s="2">
        <f t="shared" si="66"/>
        <v>8.0000000000000005E-9</v>
      </c>
      <c r="D144" s="2">
        <f t="shared" si="66"/>
        <v>9.8000000000000001E-9</v>
      </c>
      <c r="E144" s="2">
        <f t="shared" si="66"/>
        <v>2.6000000000000001E-8</v>
      </c>
      <c r="F144" s="2">
        <f t="shared" si="66"/>
        <v>1.7E-8</v>
      </c>
      <c r="G144" s="2">
        <f t="shared" si="66"/>
        <v>6.1999999999999999E-8</v>
      </c>
      <c r="H144" s="2">
        <f t="shared" si="66"/>
        <v>3.5000000000000002E-8</v>
      </c>
      <c r="I144" s="2">
        <f t="shared" si="55"/>
        <v>6.9999999999999998E-9</v>
      </c>
      <c r="J144" s="2">
        <f t="shared" si="56"/>
        <v>7.8999999999999996E-9</v>
      </c>
      <c r="K144" s="2">
        <f t="shared" si="57"/>
        <v>2.7999999999999999E-8</v>
      </c>
      <c r="L144" s="2">
        <f t="shared" si="58"/>
        <v>6.5999999999999995E-8</v>
      </c>
      <c r="M144" s="2">
        <f t="shared" si="59"/>
        <v>6.9999999999999998E-9</v>
      </c>
      <c r="N144" s="2">
        <f t="shared" si="60"/>
        <v>0.2</v>
      </c>
      <c r="O144" s="2">
        <f t="shared" si="61"/>
        <v>0.2</v>
      </c>
      <c r="P144" t="s">
        <v>113</v>
      </c>
      <c r="Q144">
        <v>1</v>
      </c>
      <c r="R144" s="4">
        <f t="shared" si="62"/>
        <v>106</v>
      </c>
      <c r="S144">
        <v>142</v>
      </c>
      <c r="T144" s="1">
        <f t="shared" si="63"/>
        <v>2.1577560010856383E-8</v>
      </c>
      <c r="U144" t="b">
        <f>_xll.SigFig(T144,5)=_xll.SigFig(B144,5)</f>
        <v>1</v>
      </c>
      <c r="V144" t="b">
        <f>_xll.SigFig(B144,1)=_xll.SigFig(T144,1)</f>
        <v>1</v>
      </c>
    </row>
    <row r="145" spans="1:22">
      <c r="A145" t="s">
        <v>113</v>
      </c>
      <c r="B145" s="1">
        <v>2.3051120071830571E-2</v>
      </c>
      <c r="C145" s="2">
        <f t="shared" si="66"/>
        <v>-1</v>
      </c>
      <c r="D145" s="2">
        <f t="shared" si="66"/>
        <v>-1</v>
      </c>
      <c r="E145" s="2">
        <f t="shared" si="66"/>
        <v>-1</v>
      </c>
      <c r="F145" s="2">
        <f t="shared" si="66"/>
        <v>-1</v>
      </c>
      <c r="G145" s="2">
        <f t="shared" si="66"/>
        <v>-1</v>
      </c>
      <c r="H145" s="2">
        <f t="shared" si="66"/>
        <v>-1</v>
      </c>
      <c r="I145" s="2">
        <f t="shared" si="55"/>
        <v>-1</v>
      </c>
      <c r="J145" s="2">
        <f t="shared" si="56"/>
        <v>-1</v>
      </c>
      <c r="K145" s="2">
        <f t="shared" si="57"/>
        <v>-1</v>
      </c>
      <c r="L145" s="2">
        <f t="shared" si="58"/>
        <v>-1</v>
      </c>
      <c r="M145" s="2">
        <f t="shared" si="59"/>
        <v>-1</v>
      </c>
      <c r="N145" s="2">
        <f t="shared" si="60"/>
        <v>0</v>
      </c>
      <c r="O145" s="2">
        <f t="shared" si="61"/>
        <v>0</v>
      </c>
      <c r="P145" t="s">
        <v>142</v>
      </c>
      <c r="Q145">
        <v>1</v>
      </c>
      <c r="R145" s="4">
        <f t="shared" si="62"/>
        <v>106</v>
      </c>
      <c r="S145">
        <v>143</v>
      </c>
      <c r="T145" s="1">
        <f t="shared" si="63"/>
        <v>2.3051120071830571E-2</v>
      </c>
      <c r="U145" t="b">
        <f t="shared" si="65"/>
        <v>1</v>
      </c>
      <c r="V145" t="b">
        <f>_xll.SigFig(B145,1)=_xll.SigFig(T145,1)</f>
        <v>1</v>
      </c>
    </row>
    <row r="146" spans="1:22">
      <c r="A146" t="s">
        <v>24</v>
      </c>
      <c r="B146" s="1">
        <v>4.9829421192772684E-7</v>
      </c>
      <c r="C146" s="2">
        <f t="shared" si="66"/>
        <v>3.3E-10</v>
      </c>
      <c r="D146" s="2">
        <f t="shared" si="66"/>
        <v>4.8999999999999996E-10</v>
      </c>
      <c r="E146" s="2">
        <f t="shared" si="66"/>
        <v>7.2999999999999996E-10</v>
      </c>
      <c r="F146" s="2">
        <f t="shared" si="66"/>
        <v>8.1999999999999996E-10</v>
      </c>
      <c r="G146" s="2">
        <f t="shared" si="66"/>
        <v>8.3000000000000003E-10</v>
      </c>
      <c r="H146" s="2">
        <f t="shared" si="66"/>
        <v>8.9000000000000003E-10</v>
      </c>
      <c r="I146" s="2">
        <f t="shared" si="55"/>
        <v>5.1E-10</v>
      </c>
      <c r="J146" s="2">
        <f t="shared" si="56"/>
        <v>3.1999999999999998E-10</v>
      </c>
      <c r="K146" s="2">
        <f t="shared" si="57"/>
        <v>7.7000000000000003E-10</v>
      </c>
      <c r="L146" s="2">
        <f t="shared" si="58"/>
        <v>8.6999999999999999E-10</v>
      </c>
      <c r="M146" s="2">
        <f t="shared" si="59"/>
        <v>5.1E-10</v>
      </c>
      <c r="N146" s="2">
        <f t="shared" si="60"/>
        <v>2</v>
      </c>
      <c r="O146" s="2">
        <f t="shared" si="61"/>
        <v>2</v>
      </c>
      <c r="P146" t="s">
        <v>142</v>
      </c>
      <c r="Q146">
        <v>1</v>
      </c>
      <c r="R146" s="4">
        <f t="shared" si="62"/>
        <v>99</v>
      </c>
      <c r="S146">
        <v>144</v>
      </c>
      <c r="T146" s="1">
        <f t="shared" si="63"/>
        <v>4.9829421192772684E-7</v>
      </c>
      <c r="U146" t="b">
        <f t="shared" si="65"/>
        <v>1</v>
      </c>
      <c r="V146" t="b">
        <f>_xll.SigFig(B146,1)=_xll.SigFig(T146,1)</f>
        <v>1</v>
      </c>
    </row>
    <row r="147" spans="1:22">
      <c r="A147" t="s">
        <v>22</v>
      </c>
      <c r="B147" s="1">
        <v>1.0409719775180154E-13</v>
      </c>
      <c r="C147" s="2">
        <f t="shared" si="66"/>
        <v>2.8999999999999998E-10</v>
      </c>
      <c r="D147" s="2">
        <f t="shared" si="66"/>
        <v>4.0000000000000001E-10</v>
      </c>
      <c r="E147" s="2">
        <f t="shared" si="66"/>
        <v>3.9000000000000002E-9</v>
      </c>
      <c r="F147" s="2">
        <f t="shared" si="66"/>
        <v>3.2000000000000001E-9</v>
      </c>
      <c r="G147" s="2">
        <f t="shared" si="66"/>
        <v>-1</v>
      </c>
      <c r="H147" s="2">
        <f t="shared" si="66"/>
        <v>-1</v>
      </c>
      <c r="I147" s="2">
        <f t="shared" si="55"/>
        <v>7.7999999999999999E-10</v>
      </c>
      <c r="J147" s="2">
        <f t="shared" si="56"/>
        <v>2.8999999999999998E-10</v>
      </c>
      <c r="K147" s="2">
        <f t="shared" si="57"/>
        <v>4.0000000000000002E-9</v>
      </c>
      <c r="L147" s="2">
        <f t="shared" si="58"/>
        <v>1.3000000000000001E-8</v>
      </c>
      <c r="M147" s="2">
        <f t="shared" si="59"/>
        <v>6.3999999999999996E-10</v>
      </c>
      <c r="N147" s="2">
        <f t="shared" si="60"/>
        <v>40</v>
      </c>
      <c r="O147" s="2">
        <f t="shared" si="61"/>
        <v>0.9</v>
      </c>
      <c r="P147" t="s">
        <v>142</v>
      </c>
      <c r="Q147">
        <v>1</v>
      </c>
      <c r="R147" s="4">
        <f t="shared" si="62"/>
        <v>99</v>
      </c>
      <c r="S147">
        <v>145</v>
      </c>
      <c r="T147" s="1">
        <f t="shared" si="63"/>
        <v>1.0409719775180154E-13</v>
      </c>
      <c r="U147" t="b">
        <f>_xll.SigFig(T147,5)=_xll.SigFig(B147,5)</f>
        <v>1</v>
      </c>
      <c r="V147" t="b">
        <f>_xll.SigFig(B147,1)=_xll.SigFig(T147,1)</f>
        <v>1</v>
      </c>
    </row>
    <row r="148" spans="1:22">
      <c r="A148" t="s">
        <v>23</v>
      </c>
      <c r="B148" s="1">
        <v>3.2051151680267957E-5</v>
      </c>
      <c r="C148" s="2">
        <f t="shared" si="66"/>
        <v>1.2000000000000001E-11</v>
      </c>
      <c r="D148" s="2">
        <f t="shared" si="66"/>
        <v>1.9999999999999999E-11</v>
      </c>
      <c r="E148" s="2">
        <f t="shared" si="66"/>
        <v>1.8999999999999999E-11</v>
      </c>
      <c r="F148" s="2">
        <f t="shared" si="66"/>
        <v>2.9E-11</v>
      </c>
      <c r="G148" s="2">
        <f t="shared" si="66"/>
        <v>-1</v>
      </c>
      <c r="H148" s="2">
        <f t="shared" si="66"/>
        <v>-1</v>
      </c>
      <c r="I148" s="2">
        <f t="shared" si="55"/>
        <v>2.2000000000000002E-11</v>
      </c>
      <c r="J148" s="2">
        <f t="shared" si="56"/>
        <v>1.2000000000000001E-11</v>
      </c>
      <c r="K148" s="2">
        <f t="shared" si="57"/>
        <v>1.8999999999999999E-11</v>
      </c>
      <c r="L148" s="2">
        <f t="shared" si="58"/>
        <v>1.9999999999999999E-11</v>
      </c>
      <c r="M148" s="2">
        <f t="shared" si="59"/>
        <v>2.2000000000000002E-11</v>
      </c>
      <c r="N148" s="2">
        <f t="shared" si="60"/>
        <v>10</v>
      </c>
      <c r="O148" s="2">
        <f t="shared" si="61"/>
        <v>4</v>
      </c>
      <c r="P148" t="s">
        <v>22</v>
      </c>
      <c r="Q148">
        <v>0.99996300000000005</v>
      </c>
      <c r="R148" s="4">
        <f t="shared" si="62"/>
        <v>99</v>
      </c>
      <c r="S148">
        <v>146</v>
      </c>
      <c r="T148" s="1">
        <f t="shared" si="63"/>
        <v>3.2051151680267957E-5</v>
      </c>
      <c r="U148" t="b">
        <f>_xll.SigFig(T148,5)=_xll.SigFig(B148,5)</f>
        <v>1</v>
      </c>
      <c r="V148" t="b">
        <f>_xll.SigFig(B148,1)=_xll.SigFig(T148,1)</f>
        <v>1</v>
      </c>
    </row>
    <row r="149" spans="1:22">
      <c r="A149" t="s">
        <v>23</v>
      </c>
      <c r="B149" s="1">
        <v>3.2051151680267957E-5</v>
      </c>
      <c r="C149" s="2">
        <f t="shared" si="66"/>
        <v>1.2000000000000001E-11</v>
      </c>
      <c r="D149" s="2">
        <f t="shared" si="66"/>
        <v>1.9999999999999999E-11</v>
      </c>
      <c r="E149" s="2">
        <f t="shared" si="66"/>
        <v>1.8999999999999999E-11</v>
      </c>
      <c r="F149" s="2">
        <f t="shared" si="66"/>
        <v>2.9E-11</v>
      </c>
      <c r="G149" s="2">
        <f t="shared" si="66"/>
        <v>-1</v>
      </c>
      <c r="H149" s="2">
        <f t="shared" si="66"/>
        <v>-1</v>
      </c>
      <c r="I149" s="2">
        <f t="shared" si="55"/>
        <v>2.2000000000000002E-11</v>
      </c>
      <c r="J149" s="2">
        <f t="shared" si="56"/>
        <v>1.2000000000000001E-11</v>
      </c>
      <c r="K149" s="2">
        <f t="shared" si="57"/>
        <v>1.8999999999999999E-11</v>
      </c>
      <c r="L149" s="2">
        <f t="shared" si="58"/>
        <v>1.9999999999999999E-11</v>
      </c>
      <c r="M149" s="2">
        <f t="shared" si="59"/>
        <v>2.2000000000000002E-11</v>
      </c>
      <c r="N149" s="2">
        <f t="shared" si="60"/>
        <v>10</v>
      </c>
      <c r="O149" s="2">
        <f t="shared" si="61"/>
        <v>4</v>
      </c>
      <c r="P149" t="s">
        <v>142</v>
      </c>
      <c r="Q149">
        <f>1-Q148</f>
        <v>3.6999999999953737E-5</v>
      </c>
      <c r="R149" s="4">
        <f t="shared" si="62"/>
        <v>99</v>
      </c>
      <c r="S149">
        <v>147</v>
      </c>
      <c r="T149" s="1">
        <f t="shared" si="63"/>
        <v>3.2051151680267957E-5</v>
      </c>
      <c r="U149" t="b">
        <f>_xll.SigFig(T149,5)=_xll.SigFig(B149,5)</f>
        <v>1</v>
      </c>
      <c r="V149" t="b">
        <f>_xll.SigFig(B149,1)=_xll.SigFig(T149,1)</f>
        <v>1</v>
      </c>
    </row>
    <row r="150" spans="1:22">
      <c r="A150" t="s">
        <v>784</v>
      </c>
      <c r="B150" s="1">
        <v>1.2528949294159802E-7</v>
      </c>
      <c r="C150" s="2">
        <f t="shared" si="66"/>
        <v>2.5000000000000001E-9</v>
      </c>
      <c r="D150" s="2">
        <f t="shared" si="66"/>
        <v>3E-9</v>
      </c>
      <c r="E150" s="2">
        <f t="shared" si="66"/>
        <v>4.4999999999999998E-9</v>
      </c>
      <c r="F150" s="2">
        <f t="shared" si="66"/>
        <v>3.6E-9</v>
      </c>
      <c r="G150" s="2">
        <f t="shared" si="66"/>
        <v>5.4999999999999996E-9</v>
      </c>
      <c r="H150" s="2">
        <f t="shared" si="66"/>
        <v>4.2000000000000004E-9</v>
      </c>
      <c r="I150" s="2">
        <f t="shared" si="55"/>
        <v>8.7999999999999996E-10</v>
      </c>
      <c r="J150" s="2">
        <f t="shared" si="56"/>
        <v>2.5000000000000001E-9</v>
      </c>
      <c r="K150" s="2">
        <f t="shared" si="57"/>
        <v>4.8E-9</v>
      </c>
      <c r="L150" s="2">
        <f t="shared" si="58"/>
        <v>5.8999999999999999E-9</v>
      </c>
      <c r="M150" s="2">
        <f t="shared" si="59"/>
        <v>9.5000000000000003E-10</v>
      </c>
      <c r="N150" s="2">
        <f t="shared" si="60"/>
        <v>2</v>
      </c>
      <c r="O150" s="2">
        <f t="shared" si="61"/>
        <v>0.8</v>
      </c>
      <c r="P150" t="s">
        <v>502</v>
      </c>
      <c r="Q150">
        <v>1</v>
      </c>
      <c r="R150" s="4">
        <f t="shared" si="62"/>
        <v>95</v>
      </c>
      <c r="S150">
        <v>148</v>
      </c>
      <c r="T150" s="1">
        <f t="shared" si="63"/>
        <v>1.2528949294159802E-7</v>
      </c>
      <c r="U150" t="b">
        <f t="shared" si="65"/>
        <v>1</v>
      </c>
      <c r="V150" t="b">
        <f>_xll.SigFig(B150,1)=_xll.SigFig(T150,1)</f>
        <v>1</v>
      </c>
    </row>
    <row r="151" spans="1:22">
      <c r="A151" t="s">
        <v>110</v>
      </c>
      <c r="B151" s="1">
        <v>1.3642552003496973E-14</v>
      </c>
      <c r="C151" s="2">
        <f t="shared" si="66"/>
        <v>2.4999999999999999E-8</v>
      </c>
      <c r="D151" s="2">
        <f t="shared" si="66"/>
        <v>2.9000000000000002E-8</v>
      </c>
      <c r="E151" s="2">
        <f t="shared" si="66"/>
        <v>9.5999999999999999E-9</v>
      </c>
      <c r="F151" s="2">
        <f t="shared" si="66"/>
        <v>6.6000000000000004E-9</v>
      </c>
      <c r="G151" s="2">
        <f t="shared" si="66"/>
        <v>3.1E-9</v>
      </c>
      <c r="H151" s="2">
        <f t="shared" si="66"/>
        <v>1.6999999999999999E-9</v>
      </c>
      <c r="I151" s="2">
        <f t="shared" si="55"/>
        <v>2.8000000000000002E-10</v>
      </c>
      <c r="J151" s="2">
        <f t="shared" si="56"/>
        <v>2.4999999999999999E-8</v>
      </c>
      <c r="K151" s="2">
        <f t="shared" si="57"/>
        <v>1E-8</v>
      </c>
      <c r="L151" s="2">
        <f t="shared" si="58"/>
        <v>3.3000000000000002E-9</v>
      </c>
      <c r="M151" s="2">
        <f t="shared" si="59"/>
        <v>1.0999999999999999E-9</v>
      </c>
      <c r="N151" s="2">
        <f t="shared" si="60"/>
        <v>-1</v>
      </c>
      <c r="O151" s="2">
        <f t="shared" si="61"/>
        <v>-1</v>
      </c>
      <c r="P151" t="s">
        <v>111</v>
      </c>
      <c r="Q151">
        <v>1</v>
      </c>
      <c r="R151" s="4">
        <f t="shared" si="62"/>
        <v>93</v>
      </c>
      <c r="S151">
        <v>149</v>
      </c>
      <c r="T151" s="1">
        <f t="shared" si="63"/>
        <v>1.3642552003496973E-14</v>
      </c>
      <c r="U151" t="b">
        <f>_xll.SigFig(T151,5)=_xll.SigFig(B151,5)</f>
        <v>1</v>
      </c>
      <c r="V151" t="b">
        <f>_xll.SigFig(B151,1)=_xll.SigFig(T151,1)</f>
        <v>1</v>
      </c>
    </row>
    <row r="152" spans="1:22">
      <c r="A152" t="s">
        <v>502</v>
      </c>
      <c r="B152" s="1">
        <v>2.2927429373371449E-7</v>
      </c>
      <c r="C152" s="2">
        <f t="shared" si="66"/>
        <v>-1</v>
      </c>
      <c r="D152" s="2">
        <f t="shared" si="66"/>
        <v>-1</v>
      </c>
      <c r="E152" s="2">
        <f t="shared" si="66"/>
        <v>1.3999999999999999E-9</v>
      </c>
      <c r="F152" s="2">
        <f t="shared" si="66"/>
        <v>1.3000000000000001E-9</v>
      </c>
      <c r="G152" s="2">
        <f t="shared" si="66"/>
        <v>1.6000000000000001E-9</v>
      </c>
      <c r="H152" s="2">
        <f t="shared" si="66"/>
        <v>1.3000000000000001E-9</v>
      </c>
      <c r="I152" s="2">
        <f t="shared" si="55"/>
        <v>5.7999999999999996E-10</v>
      </c>
      <c r="J152" s="2">
        <f t="shared" si="56"/>
        <v>5.7E-10</v>
      </c>
      <c r="K152" s="2">
        <f t="shared" si="57"/>
        <v>1.5E-9</v>
      </c>
      <c r="L152" s="2">
        <f t="shared" si="58"/>
        <v>1.8E-9</v>
      </c>
      <c r="M152" s="2">
        <f t="shared" si="59"/>
        <v>5.7999999999999996E-10</v>
      </c>
      <c r="N152" s="2">
        <f t="shared" si="60"/>
        <v>10</v>
      </c>
      <c r="O152" s="2">
        <f t="shared" si="61"/>
        <v>1000000</v>
      </c>
      <c r="P152" t="s">
        <v>142</v>
      </c>
      <c r="Q152">
        <v>1</v>
      </c>
      <c r="R152" s="4">
        <f t="shared" si="62"/>
        <v>95</v>
      </c>
      <c r="S152">
        <v>150</v>
      </c>
      <c r="T152" s="1">
        <f t="shared" si="63"/>
        <v>2.2927429373371449E-7</v>
      </c>
      <c r="U152" t="b">
        <f t="shared" si="65"/>
        <v>1</v>
      </c>
      <c r="V152" t="b">
        <f>_xll.SigFig(B152,1)=_xll.SigFig(T152,1)</f>
        <v>1</v>
      </c>
    </row>
    <row r="153" spans="1:22">
      <c r="A153" t="s">
        <v>111</v>
      </c>
      <c r="B153" s="1">
        <v>1.3625625760316455E-9</v>
      </c>
      <c r="C153" s="2">
        <f t="shared" ref="C153:H162" si="67">IF(ISNA(VLOOKUP($A153,_68inh,COLUMN(C153)-1,FALSE)),-1,VLOOKUP($A153,_68inh,COLUMN(C153)-1,FALSE))</f>
        <v>-1</v>
      </c>
      <c r="D153" s="2">
        <f t="shared" si="67"/>
        <v>-1</v>
      </c>
      <c r="E153" s="2">
        <f t="shared" si="67"/>
        <v>4.6000000000000001E-10</v>
      </c>
      <c r="F153" s="2">
        <f t="shared" si="67"/>
        <v>2.8999999999999998E-10</v>
      </c>
      <c r="G153" s="2">
        <f t="shared" si="67"/>
        <v>1.6000000000000001E-9</v>
      </c>
      <c r="H153" s="2">
        <f t="shared" si="67"/>
        <v>8.6000000000000003E-10</v>
      </c>
      <c r="I153" s="2">
        <f t="shared" si="55"/>
        <v>1.2E-10</v>
      </c>
      <c r="J153" s="2">
        <f t="shared" si="56"/>
        <v>2.1999999999999999E-10</v>
      </c>
      <c r="K153" s="2">
        <f t="shared" si="57"/>
        <v>5.1E-10</v>
      </c>
      <c r="L153" s="2">
        <f t="shared" si="58"/>
        <v>1.8E-9</v>
      </c>
      <c r="M153" s="2">
        <f t="shared" si="59"/>
        <v>1.2E-10</v>
      </c>
      <c r="N153" s="2">
        <f t="shared" si="60"/>
        <v>40</v>
      </c>
      <c r="O153" s="2">
        <f t="shared" si="61"/>
        <v>30</v>
      </c>
      <c r="P153" t="s">
        <v>142</v>
      </c>
      <c r="Q153">
        <v>1</v>
      </c>
      <c r="R153" s="4">
        <f t="shared" si="62"/>
        <v>93</v>
      </c>
      <c r="S153">
        <v>151</v>
      </c>
      <c r="T153" s="1">
        <f t="shared" si="63"/>
        <v>1.3625625760316455E-9</v>
      </c>
      <c r="U153" t="b">
        <f>_xll.SigFig(T153,5)=_xll.SigFig(B153,5)</f>
        <v>1</v>
      </c>
      <c r="V153" t="b">
        <f>_xll.SigFig(B153,1)=_xll.SigFig(T153,1)</f>
        <v>1</v>
      </c>
    </row>
    <row r="154" spans="1:22">
      <c r="A154" t="s">
        <v>501</v>
      </c>
      <c r="B154" s="1">
        <v>1.0766916041975553E-12</v>
      </c>
      <c r="C154" s="2">
        <f t="shared" si="67"/>
        <v>-1</v>
      </c>
      <c r="D154" s="2">
        <f t="shared" si="67"/>
        <v>-1</v>
      </c>
      <c r="E154" s="2">
        <f t="shared" si="67"/>
        <v>1E-8</v>
      </c>
      <c r="F154" s="2">
        <f t="shared" si="67"/>
        <v>7.2E-9</v>
      </c>
      <c r="G154" s="2">
        <f t="shared" si="67"/>
        <v>4.4999999999999999E-8</v>
      </c>
      <c r="H154" s="2">
        <f t="shared" si="67"/>
        <v>2.4999999999999999E-8</v>
      </c>
      <c r="I154" s="2">
        <f t="shared" si="55"/>
        <v>1.6999999999999999E-9</v>
      </c>
      <c r="J154" s="2">
        <f t="shared" si="56"/>
        <v>5.7999999999999998E-9</v>
      </c>
      <c r="K154" s="2">
        <f t="shared" si="57"/>
        <v>1.0999999999999999E-8</v>
      </c>
      <c r="L154" s="2">
        <f t="shared" si="58"/>
        <v>4.9000000000000002E-8</v>
      </c>
      <c r="M154" s="2">
        <f t="shared" si="59"/>
        <v>1.6999999999999999E-9</v>
      </c>
      <c r="N154" s="2">
        <f t="shared" si="60"/>
        <v>10</v>
      </c>
      <c r="O154" s="2">
        <f t="shared" si="61"/>
        <v>1000000</v>
      </c>
      <c r="P154" t="s">
        <v>142</v>
      </c>
      <c r="Q154">
        <v>1</v>
      </c>
      <c r="R154" s="4">
        <f t="shared" si="62"/>
        <v>94</v>
      </c>
      <c r="S154">
        <v>152</v>
      </c>
      <c r="T154" s="1">
        <f t="shared" si="63"/>
        <v>1.0766916041975553E-12</v>
      </c>
      <c r="U154" t="b">
        <f>_xll.SigFig(T154,5)=_xll.SigFig(B154,5)</f>
        <v>1</v>
      </c>
      <c r="V154" t="b">
        <f>_xll.SigFig(B154,1)=_xll.SigFig(T154,1)</f>
        <v>1</v>
      </c>
    </row>
    <row r="155" spans="1:22">
      <c r="A155" t="s">
        <v>21</v>
      </c>
      <c r="B155" s="1">
        <v>7.5975471205915351E-10</v>
      </c>
      <c r="C155" s="2">
        <f t="shared" si="67"/>
        <v>2.4E-8</v>
      </c>
      <c r="D155" s="2">
        <f t="shared" si="67"/>
        <v>2.9999999999999997E-8</v>
      </c>
      <c r="E155" s="2">
        <f t="shared" si="67"/>
        <v>-1</v>
      </c>
      <c r="F155" s="2">
        <f t="shared" si="67"/>
        <v>-1</v>
      </c>
      <c r="G155" s="2">
        <f t="shared" si="67"/>
        <v>1.4999999999999999E-7</v>
      </c>
      <c r="H155" s="2">
        <f t="shared" si="67"/>
        <v>7.7000000000000001E-8</v>
      </c>
      <c r="I155" s="2">
        <f t="shared" si="55"/>
        <v>2.7999999999999999E-8</v>
      </c>
      <c r="J155" s="2">
        <f t="shared" si="56"/>
        <v>2.4E-8</v>
      </c>
      <c r="K155" s="2">
        <f t="shared" si="57"/>
        <v>3.5999999999999998E-8</v>
      </c>
      <c r="L155" s="2">
        <f t="shared" si="58"/>
        <v>1.6E-7</v>
      </c>
      <c r="M155" s="2">
        <f t="shared" si="59"/>
        <v>2.7999999999999999E-8</v>
      </c>
      <c r="N155" s="2">
        <f t="shared" si="60"/>
        <v>0.30000000000000004</v>
      </c>
      <c r="O155" s="2">
        <f t="shared" si="61"/>
        <v>0.30000000000000004</v>
      </c>
      <c r="P155" t="s">
        <v>20</v>
      </c>
      <c r="Q155">
        <v>1</v>
      </c>
      <c r="R155" s="4">
        <f t="shared" si="62"/>
        <v>90</v>
      </c>
      <c r="S155">
        <v>153</v>
      </c>
      <c r="T155" s="1">
        <f t="shared" si="63"/>
        <v>7.5975471205915351E-10</v>
      </c>
      <c r="U155" t="b">
        <f>_xll.SigFig(T155,5)=_xll.SigFig(B155,5)</f>
        <v>1</v>
      </c>
      <c r="V155" t="b">
        <f>_xll.SigFig(B155,1)=_xll.SigFig(T155,1)</f>
        <v>1</v>
      </c>
    </row>
    <row r="156" spans="1:22">
      <c r="A156" t="s">
        <v>20</v>
      </c>
      <c r="B156" s="1">
        <v>3.0062905331929187E-6</v>
      </c>
      <c r="C156" s="2">
        <f t="shared" si="67"/>
        <v>-1</v>
      </c>
      <c r="D156" s="2">
        <f t="shared" si="67"/>
        <v>-1</v>
      </c>
      <c r="E156" s="2">
        <f t="shared" si="67"/>
        <v>1.3999999999999999E-9</v>
      </c>
      <c r="F156" s="2">
        <f t="shared" si="67"/>
        <v>1.6000000000000001E-9</v>
      </c>
      <c r="G156" s="2">
        <f t="shared" si="67"/>
        <v>1.5E-9</v>
      </c>
      <c r="H156" s="2">
        <f t="shared" si="67"/>
        <v>1.6999999999999999E-9</v>
      </c>
      <c r="I156" s="2">
        <f t="shared" si="55"/>
        <v>2.7000000000000002E-9</v>
      </c>
      <c r="J156" s="2">
        <f t="shared" si="56"/>
        <v>-1</v>
      </c>
      <c r="K156" s="2">
        <f t="shared" si="57"/>
        <v>1.3999999999999999E-9</v>
      </c>
      <c r="L156" s="2">
        <f t="shared" si="58"/>
        <v>1.5E-9</v>
      </c>
      <c r="M156" s="2">
        <f t="shared" si="59"/>
        <v>2.7000000000000002E-9</v>
      </c>
      <c r="N156" s="2">
        <f t="shared" si="60"/>
        <v>0.30000000000000004</v>
      </c>
      <c r="O156" s="2">
        <f t="shared" si="61"/>
        <v>0.30000000000000004</v>
      </c>
      <c r="P156" t="s">
        <v>142</v>
      </c>
      <c r="Q156">
        <v>1</v>
      </c>
      <c r="R156" s="4">
        <f t="shared" si="62"/>
        <v>90</v>
      </c>
      <c r="S156">
        <v>154</v>
      </c>
      <c r="T156" s="1">
        <f t="shared" si="63"/>
        <v>3.0062905331929187E-6</v>
      </c>
      <c r="U156" t="b">
        <f>_xll.SigFig(T156,5)=_xll.SigFig(B156,5)</f>
        <v>1</v>
      </c>
      <c r="V156" t="b">
        <f>_xll.SigFig(B156,1)=_xll.SigFig(T156,1)</f>
        <v>1</v>
      </c>
    </row>
    <row r="157" spans="1:22">
      <c r="A157" t="s">
        <v>19</v>
      </c>
      <c r="B157" s="1">
        <v>4.2967901087442581E-7</v>
      </c>
      <c r="C157" s="2">
        <f t="shared" si="67"/>
        <v>9.5999999999999999E-10</v>
      </c>
      <c r="D157" s="2">
        <f t="shared" si="67"/>
        <v>1.3000000000000001E-9</v>
      </c>
      <c r="E157" s="2">
        <f t="shared" si="67"/>
        <v>-1</v>
      </c>
      <c r="F157" s="2">
        <f t="shared" si="67"/>
        <v>-1</v>
      </c>
      <c r="G157" s="2">
        <f t="shared" si="67"/>
        <v>-1</v>
      </c>
      <c r="H157" s="2">
        <f t="shared" si="67"/>
        <v>-1</v>
      </c>
      <c r="I157" s="2">
        <f t="shared" si="55"/>
        <v>2.7999999999999998E-9</v>
      </c>
      <c r="J157" s="2">
        <f t="shared" si="56"/>
        <v>9.2999999999999999E-10</v>
      </c>
      <c r="K157" s="2">
        <f t="shared" si="57"/>
        <v>-1</v>
      </c>
      <c r="L157" s="2">
        <f t="shared" si="58"/>
        <v>-1</v>
      </c>
      <c r="M157" s="2">
        <f t="shared" si="59"/>
        <v>2.7999999999999998E-9</v>
      </c>
      <c r="N157" s="2">
        <f t="shared" si="60"/>
        <v>0.5</v>
      </c>
      <c r="O157" s="2">
        <f t="shared" si="61"/>
        <v>0.5</v>
      </c>
      <c r="P157" t="s">
        <v>142</v>
      </c>
      <c r="Q157">
        <v>1</v>
      </c>
      <c r="R157" s="4">
        <f t="shared" si="62"/>
        <v>86</v>
      </c>
      <c r="S157">
        <v>155</v>
      </c>
      <c r="T157" s="1">
        <f t="shared" si="63"/>
        <v>4.2967901087442581E-7</v>
      </c>
      <c r="U157" t="b">
        <f>_xll.SigFig(T157,5)=_xll.SigFig(B157,5)</f>
        <v>1</v>
      </c>
      <c r="V157" t="b">
        <f>_xll.SigFig(B157,1)=_xll.SigFig(T157,1)</f>
        <v>1</v>
      </c>
    </row>
    <row r="158" spans="1:22">
      <c r="A158" t="s">
        <v>18</v>
      </c>
      <c r="B158" s="1">
        <v>2.0470185205619876E-9</v>
      </c>
      <c r="C158" s="2">
        <f t="shared" si="67"/>
        <v>-1</v>
      </c>
      <c r="D158" s="2">
        <f t="shared" si="67"/>
        <v>-1</v>
      </c>
      <c r="E158" s="2">
        <f t="shared" si="67"/>
        <v>-1</v>
      </c>
      <c r="F158" s="2">
        <f t="shared" si="67"/>
        <v>-1</v>
      </c>
      <c r="G158" s="2">
        <f t="shared" si="67"/>
        <v>-1</v>
      </c>
      <c r="H158" s="2">
        <f t="shared" si="67"/>
        <v>-1</v>
      </c>
      <c r="I158" s="2">
        <f t="shared" si="55"/>
        <v>-1</v>
      </c>
      <c r="J158" s="2">
        <f t="shared" si="56"/>
        <v>-1</v>
      </c>
      <c r="K158" s="2">
        <f t="shared" si="57"/>
        <v>-1</v>
      </c>
      <c r="L158" s="2">
        <f t="shared" si="58"/>
        <v>-1</v>
      </c>
      <c r="M158" s="2">
        <f t="shared" si="59"/>
        <v>-1</v>
      </c>
      <c r="N158" s="2">
        <f t="shared" si="60"/>
        <v>10</v>
      </c>
      <c r="O158" s="2">
        <f t="shared" si="61"/>
        <v>10</v>
      </c>
      <c r="P158" t="s">
        <v>142</v>
      </c>
      <c r="Q158">
        <v>0.78800000000000003</v>
      </c>
      <c r="R158" s="4">
        <f t="shared" si="62"/>
        <v>85</v>
      </c>
      <c r="S158">
        <v>156</v>
      </c>
      <c r="T158" s="1">
        <f t="shared" si="63"/>
        <v>2.0470185205619876E-9</v>
      </c>
      <c r="U158" t="b">
        <f>_xll.SigFig(T158,5)=_xll.SigFig(B158,5)</f>
        <v>1</v>
      </c>
      <c r="V158" t="b">
        <f>_xll.SigFig(B158,1)=_xll.SigFig(T158,1)</f>
        <v>1</v>
      </c>
    </row>
    <row r="159" spans="1:22">
      <c r="A159" t="s">
        <v>18</v>
      </c>
      <c r="B159" s="1">
        <v>2.0470185205619876E-9</v>
      </c>
      <c r="C159" s="2">
        <f t="shared" si="67"/>
        <v>-1</v>
      </c>
      <c r="D159" s="2">
        <f t="shared" si="67"/>
        <v>-1</v>
      </c>
      <c r="E159" s="2">
        <f t="shared" si="67"/>
        <v>-1</v>
      </c>
      <c r="F159" s="2">
        <f t="shared" si="67"/>
        <v>-1</v>
      </c>
      <c r="G159" s="2">
        <f t="shared" si="67"/>
        <v>-1</v>
      </c>
      <c r="H159" s="2">
        <f t="shared" si="67"/>
        <v>-1</v>
      </c>
      <c r="I159" s="2">
        <f t="shared" si="55"/>
        <v>-1</v>
      </c>
      <c r="J159" s="2">
        <f t="shared" si="56"/>
        <v>-1</v>
      </c>
      <c r="K159" s="2">
        <f t="shared" si="57"/>
        <v>-1</v>
      </c>
      <c r="L159" s="2">
        <f t="shared" si="58"/>
        <v>-1</v>
      </c>
      <c r="M159" s="2">
        <f t="shared" si="59"/>
        <v>-1</v>
      </c>
      <c r="N159" s="2">
        <f t="shared" si="60"/>
        <v>10</v>
      </c>
      <c r="O159" s="2">
        <f t="shared" si="61"/>
        <v>10</v>
      </c>
      <c r="P159" t="s">
        <v>2033</v>
      </c>
      <c r="Q159">
        <v>0.21199999999999999</v>
      </c>
      <c r="R159" s="4">
        <f t="shared" si="62"/>
        <v>85</v>
      </c>
      <c r="S159">
        <v>157</v>
      </c>
      <c r="T159" s="1">
        <f t="shared" si="63"/>
        <v>2.0470185205619876E-9</v>
      </c>
      <c r="U159" t="b">
        <f>_xll.SigFig(T159,5)=_xll.SigFig(B159,5)</f>
        <v>1</v>
      </c>
      <c r="V159" t="b">
        <f>_xll.SigFig(B159,1)=_xll.SigFig(T159,1)</f>
        <v>1</v>
      </c>
    </row>
    <row r="160" spans="1:22">
      <c r="A160" t="s">
        <v>2033</v>
      </c>
      <c r="B160" s="1">
        <v>4.2977875778766441E-5</v>
      </c>
      <c r="C160" s="2">
        <f t="shared" si="67"/>
        <v>-1</v>
      </c>
      <c r="D160" s="2">
        <f t="shared" si="67"/>
        <v>-1</v>
      </c>
      <c r="E160" s="2">
        <f t="shared" si="67"/>
        <v>-1</v>
      </c>
      <c r="F160" s="2">
        <f t="shared" si="67"/>
        <v>-1</v>
      </c>
      <c r="G160" s="2">
        <f t="shared" si="67"/>
        <v>-1</v>
      </c>
      <c r="H160" s="2">
        <f t="shared" si="67"/>
        <v>-1</v>
      </c>
      <c r="I160" s="2">
        <f t="shared" si="55"/>
        <v>-1</v>
      </c>
      <c r="J160" s="2">
        <f t="shared" si="56"/>
        <v>-1</v>
      </c>
      <c r="K160" s="2">
        <f t="shared" si="57"/>
        <v>-1</v>
      </c>
      <c r="L160" s="2">
        <f t="shared" si="58"/>
        <v>-1</v>
      </c>
      <c r="M160" s="2">
        <f t="shared" si="59"/>
        <v>-1</v>
      </c>
      <c r="N160" s="2">
        <f t="shared" si="60"/>
        <v>8</v>
      </c>
      <c r="O160" s="2">
        <f t="shared" si="61"/>
        <v>3</v>
      </c>
      <c r="P160" t="s">
        <v>142</v>
      </c>
      <c r="Q160">
        <v>1</v>
      </c>
      <c r="R160" s="4">
        <f t="shared" si="62"/>
        <v>85</v>
      </c>
      <c r="S160">
        <v>158</v>
      </c>
      <c r="T160" s="1">
        <f t="shared" si="63"/>
        <v>4.2977875778766441E-5</v>
      </c>
      <c r="U160" t="b">
        <f>_xll.SigFig(T160,5)=_xll.SigFig(B160,5)</f>
        <v>1</v>
      </c>
      <c r="V160" t="b">
        <f>_xll.SigFig(B160,1)=_xll.SigFig(T160,1)</f>
        <v>1</v>
      </c>
    </row>
    <row r="161" spans="1:22">
      <c r="A161" t="s">
        <v>109</v>
      </c>
      <c r="B161" s="1">
        <v>6.7169751454526387E-14</v>
      </c>
      <c r="C161" s="2">
        <f t="shared" si="67"/>
        <v>1.2E-9</v>
      </c>
      <c r="D161" s="2">
        <f t="shared" si="67"/>
        <v>1.6000000000000001E-9</v>
      </c>
      <c r="E161" s="2">
        <f t="shared" si="67"/>
        <v>2.8999999999999999E-9</v>
      </c>
      <c r="F161" s="2">
        <f t="shared" si="67"/>
        <v>3.1E-9</v>
      </c>
      <c r="G161" s="2">
        <f t="shared" si="67"/>
        <v>-1</v>
      </c>
      <c r="H161" s="2">
        <f t="shared" si="67"/>
        <v>-1</v>
      </c>
      <c r="I161" s="2">
        <f t="shared" si="55"/>
        <v>2.8999999999999999E-9</v>
      </c>
      <c r="J161" s="2">
        <f t="shared" si="56"/>
        <v>1.0999999999999999E-9</v>
      </c>
      <c r="K161" s="2">
        <f t="shared" si="57"/>
        <v>2.6000000000000001E-9</v>
      </c>
      <c r="L161" s="2">
        <f t="shared" si="58"/>
        <v>6.7999999999999997E-9</v>
      </c>
      <c r="M161" s="2">
        <f t="shared" si="59"/>
        <v>2.8999999999999999E-9</v>
      </c>
      <c r="N161" s="2">
        <f t="shared" si="60"/>
        <v>40</v>
      </c>
      <c r="O161" s="2">
        <f t="shared" si="61"/>
        <v>2</v>
      </c>
      <c r="P161" t="s">
        <v>142</v>
      </c>
      <c r="Q161">
        <v>1</v>
      </c>
      <c r="R161" s="4">
        <f t="shared" si="62"/>
        <v>79</v>
      </c>
      <c r="S161">
        <v>159</v>
      </c>
      <c r="T161" s="1">
        <f t="shared" si="63"/>
        <v>6.7169751454526387E-14</v>
      </c>
      <c r="U161" t="b">
        <f>_xll.SigFig(T161,5)=_xll.SigFig(B161,5)</f>
        <v>1</v>
      </c>
      <c r="V161" t="b">
        <f>_xll.SigFig(B161,1)=_xll.SigFig(T161,1)</f>
        <v>1</v>
      </c>
    </row>
    <row r="162" spans="1:22">
      <c r="A162" t="s">
        <v>17</v>
      </c>
      <c r="B162" s="1">
        <v>3.2888684507999854E-8</v>
      </c>
      <c r="C162" s="2">
        <f t="shared" si="67"/>
        <v>-1</v>
      </c>
      <c r="D162" s="2">
        <f t="shared" si="67"/>
        <v>-1</v>
      </c>
      <c r="E162" s="2">
        <f t="shared" si="67"/>
        <v>-1</v>
      </c>
      <c r="F162" s="2">
        <f t="shared" si="67"/>
        <v>-1</v>
      </c>
      <c r="G162" s="2">
        <f t="shared" si="67"/>
        <v>2.8999999999999999E-9</v>
      </c>
      <c r="H162" s="2">
        <f t="shared" si="67"/>
        <v>2.7999999999999998E-9</v>
      </c>
      <c r="I162" s="2">
        <f t="shared" si="55"/>
        <v>3.9000000000000002E-9</v>
      </c>
      <c r="J162" s="2">
        <f t="shared" si="56"/>
        <v>2.1999999999999998E-9</v>
      </c>
      <c r="K162" s="2">
        <f t="shared" si="57"/>
        <v>1.6000000000000001E-9</v>
      </c>
      <c r="L162" s="2">
        <f t="shared" si="58"/>
        <v>2.0000000000000001E-9</v>
      </c>
      <c r="M162" s="2">
        <f t="shared" si="59"/>
        <v>3.9000000000000002E-9</v>
      </c>
      <c r="N162" s="2">
        <f t="shared" si="60"/>
        <v>2</v>
      </c>
      <c r="O162" s="2">
        <f t="shared" si="61"/>
        <v>2</v>
      </c>
      <c r="P162" t="s">
        <v>142</v>
      </c>
      <c r="Q162">
        <v>1</v>
      </c>
      <c r="R162" s="4">
        <f t="shared" si="62"/>
        <v>65</v>
      </c>
      <c r="S162">
        <v>160</v>
      </c>
      <c r="T162" s="1">
        <f t="shared" si="63"/>
        <v>3.2888684507999854E-8</v>
      </c>
      <c r="U162" t="b">
        <f t="shared" si="65"/>
        <v>1</v>
      </c>
      <c r="V162" t="b">
        <f>_xll.SigFig(B162,1)=_xll.SigFig(T162,1)</f>
        <v>1</v>
      </c>
    </row>
    <row r="163" spans="1:22">
      <c r="A163" t="s">
        <v>16</v>
      </c>
      <c r="B163" s="1">
        <v>1.5159863904263049E-5</v>
      </c>
      <c r="C163" s="2">
        <f t="shared" ref="C163:H172" si="68">IF(ISNA(VLOOKUP($A163,_68inh,COLUMN(C163)-1,FALSE)),-1,VLOOKUP($A163,_68inh,COLUMN(C163)-1,FALSE))</f>
        <v>3.7999999999999998E-11</v>
      </c>
      <c r="D163" s="2">
        <f t="shared" si="68"/>
        <v>6.7999999999999998E-11</v>
      </c>
      <c r="E163" s="2">
        <f t="shared" si="68"/>
        <v>1.0999999999999999E-10</v>
      </c>
      <c r="F163" s="2">
        <f t="shared" si="68"/>
        <v>1.5E-10</v>
      </c>
      <c r="G163" s="2">
        <f t="shared" si="68"/>
        <v>1.2E-10</v>
      </c>
      <c r="H163" s="2">
        <f t="shared" si="68"/>
        <v>1.5E-10</v>
      </c>
      <c r="I163" s="2">
        <f t="shared" ref="I163:I183" si="69">IF(ISNA(VLOOKUP(A163,_68ing,2,FALSE)),-1,VLOOKUP(A163,_68ing,2,FALSE))</f>
        <v>1.2E-10</v>
      </c>
      <c r="J163" s="2">
        <f t="shared" ref="J163:J183" si="70">IF(ISNA(VLOOKUP($A163,_72inh,2,FALSE)),-1,VLOOKUP($A163,_72inh,2,FALSE))</f>
        <v>3.5000000000000002E-11</v>
      </c>
      <c r="K163" s="2">
        <f t="shared" ref="K163:K183" si="71">IF(ISNA(VLOOKUP($A163,_72inh,2,FALSE)),-1,VLOOKUP($A163,_72inh,3,FALSE))</f>
        <v>1.0999999999999999E-10</v>
      </c>
      <c r="L163" s="2">
        <f t="shared" ref="L163:L183" si="72">IF(ISNA(VLOOKUP($A163,_72inh,2,FALSE)),-1,VLOOKUP($A163,_72inh,4,FALSE))</f>
        <v>1.2E-10</v>
      </c>
      <c r="M163" s="2">
        <f t="shared" ref="M163:M183" si="73">IF(ISNA(VLOOKUP(A163,_72ing,2,FALSE)),-1,VLOOKUP(A163,_72ing,2,FALSE))</f>
        <v>1.2E-10</v>
      </c>
      <c r="N163" s="2">
        <f t="shared" ref="N163:N183" si="74">VLOOKUP($A163,A1A2,2,FALSE)</f>
        <v>6</v>
      </c>
      <c r="O163" s="2">
        <f t="shared" ref="O163:O183" si="75">VLOOKUP($A163,A1A2,3,FALSE)</f>
        <v>1</v>
      </c>
      <c r="P163" t="s">
        <v>142</v>
      </c>
      <c r="Q163">
        <v>1</v>
      </c>
      <c r="R163" s="4">
        <f t="shared" ref="R163:R183" si="76">VALUE(IF(RIGHT(RIGHT(A163,SEARCH("-",A163)),1)="M", RIGHT(LEFT(A163,LEN(A163)-1),LEN(LEFT(A163,LEN(A163)-1))-SEARCH("-",A163)),RIGHT(A163,LEN(A163)-SEARCH("-",A163))))</f>
        <v>64</v>
      </c>
      <c r="S163">
        <v>161</v>
      </c>
      <c r="T163" s="1">
        <f t="shared" ref="T163:T183" si="77">VLOOKUP(A163,_lambda,2,FALSE)</f>
        <v>1.5159863904263049E-5</v>
      </c>
      <c r="U163" t="b">
        <f>_xll.SigFig(T163,5)=_xll.SigFig(B163,5)</f>
        <v>1</v>
      </c>
      <c r="V163" t="b">
        <f>_xll.SigFig(B163,1)=_xll.SigFig(T163,1)</f>
        <v>1</v>
      </c>
    </row>
    <row r="164" spans="1:22">
      <c r="A164" t="s">
        <v>15</v>
      </c>
      <c r="B164" s="1">
        <v>2.1790187227807665E-10</v>
      </c>
      <c r="C164" s="2">
        <f t="shared" si="68"/>
        <v>4.3999999999999998E-10</v>
      </c>
      <c r="D164" s="2">
        <f t="shared" si="68"/>
        <v>5.1999999999999996E-10</v>
      </c>
      <c r="E164" s="2">
        <f t="shared" si="68"/>
        <v>4.3999999999999998E-10</v>
      </c>
      <c r="F164" s="2">
        <f t="shared" si="68"/>
        <v>3.1000000000000002E-10</v>
      </c>
      <c r="G164" s="2">
        <f t="shared" si="68"/>
        <v>-1</v>
      </c>
      <c r="H164" s="2">
        <f t="shared" si="68"/>
        <v>-1</v>
      </c>
      <c r="I164" s="2">
        <f t="shared" si="69"/>
        <v>1.5E-10</v>
      </c>
      <c r="J164" s="2">
        <f t="shared" si="70"/>
        <v>4.3999999999999998E-10</v>
      </c>
      <c r="K164" s="2">
        <f t="shared" si="71"/>
        <v>4.8E-10</v>
      </c>
      <c r="L164" s="2">
        <f t="shared" si="72"/>
        <v>1.3000000000000001E-9</v>
      </c>
      <c r="M164" s="2">
        <f t="shared" si="73"/>
        <v>1.5E-10</v>
      </c>
      <c r="N164" s="2">
        <f t="shared" si="74"/>
        <v>40</v>
      </c>
      <c r="O164" s="2">
        <f t="shared" si="75"/>
        <v>30</v>
      </c>
      <c r="P164" t="s">
        <v>142</v>
      </c>
      <c r="Q164">
        <v>1</v>
      </c>
      <c r="R164" s="4">
        <f t="shared" si="76"/>
        <v>63</v>
      </c>
      <c r="S164">
        <v>162</v>
      </c>
      <c r="T164" s="1">
        <f t="shared" si="77"/>
        <v>2.1790187227807665E-10</v>
      </c>
      <c r="U164" t="b">
        <f>_xll.SigFig(T164,5)=_xll.SigFig(B164,5)</f>
        <v>1</v>
      </c>
      <c r="V164" t="b">
        <f>_xll.SigFig(B164,1)=_xll.SigFig(T164,1)</f>
        <v>1</v>
      </c>
    </row>
    <row r="165" spans="1:22">
      <c r="A165" t="s">
        <v>14</v>
      </c>
      <c r="B165" s="1">
        <v>4.1670477567122229E-9</v>
      </c>
      <c r="C165" s="2">
        <f t="shared" si="68"/>
        <v>-1</v>
      </c>
      <c r="D165" s="2">
        <f t="shared" si="68"/>
        <v>-1</v>
      </c>
      <c r="E165" s="2">
        <f t="shared" si="68"/>
        <v>9.5999999999999999E-9</v>
      </c>
      <c r="F165" s="2">
        <f t="shared" si="68"/>
        <v>7.0999999999999999E-9</v>
      </c>
      <c r="G165" s="2">
        <f t="shared" si="68"/>
        <v>2.9000000000000002E-8</v>
      </c>
      <c r="H165" s="2">
        <f t="shared" si="68"/>
        <v>1.7E-8</v>
      </c>
      <c r="I165" s="2">
        <f t="shared" si="69"/>
        <v>3.3999999999999998E-9</v>
      </c>
      <c r="J165" s="2">
        <f t="shared" si="70"/>
        <v>5.2000000000000002E-9</v>
      </c>
      <c r="K165" s="2">
        <f t="shared" si="71"/>
        <v>1E-8</v>
      </c>
      <c r="L165" s="2">
        <f t="shared" si="72"/>
        <v>3.1E-8</v>
      </c>
      <c r="M165" s="2">
        <f t="shared" si="73"/>
        <v>3.3999999999999998E-9</v>
      </c>
      <c r="N165" s="2">
        <f t="shared" si="74"/>
        <v>0.4</v>
      </c>
      <c r="O165" s="2">
        <f t="shared" si="75"/>
        <v>0.4</v>
      </c>
      <c r="P165" t="s">
        <v>142</v>
      </c>
      <c r="Q165">
        <v>1</v>
      </c>
      <c r="R165" s="4">
        <f t="shared" si="76"/>
        <v>60</v>
      </c>
      <c r="S165">
        <v>163</v>
      </c>
      <c r="T165" s="1">
        <f t="shared" si="77"/>
        <v>4.1670477567122229E-9</v>
      </c>
      <c r="U165" t="b">
        <f>_xll.SigFig(T165,5)=_xll.SigFig(B165,5)</f>
        <v>1</v>
      </c>
      <c r="V165" t="b">
        <f>_xll.SigFig(B165,1)=_xll.SigFig(T165,1)</f>
        <v>1</v>
      </c>
    </row>
    <row r="166" spans="1:22">
      <c r="A166" t="s">
        <v>144</v>
      </c>
      <c r="B166" s="1">
        <v>8.4530143970725034E-3</v>
      </c>
      <c r="C166" s="2">
        <f t="shared" si="68"/>
        <v>-1</v>
      </c>
      <c r="D166" s="2">
        <f t="shared" si="68"/>
        <v>-1</v>
      </c>
      <c r="E166" s="2">
        <f t="shared" si="68"/>
        <v>-1</v>
      </c>
      <c r="F166" s="2">
        <f t="shared" si="68"/>
        <v>-1</v>
      </c>
      <c r="G166" s="2">
        <f t="shared" si="68"/>
        <v>-1</v>
      </c>
      <c r="H166" s="2">
        <f t="shared" si="68"/>
        <v>-1</v>
      </c>
      <c r="I166" s="2">
        <f t="shared" si="69"/>
        <v>-1</v>
      </c>
      <c r="J166" s="2">
        <f t="shared" si="70"/>
        <v>-1</v>
      </c>
      <c r="K166" s="2">
        <f t="shared" si="71"/>
        <v>-1</v>
      </c>
      <c r="L166" s="2">
        <f t="shared" si="72"/>
        <v>-1</v>
      </c>
      <c r="M166" s="2">
        <f t="shared" si="73"/>
        <v>-1</v>
      </c>
      <c r="N166" s="2">
        <f t="shared" si="74"/>
        <v>0</v>
      </c>
      <c r="O166" s="2">
        <f t="shared" si="75"/>
        <v>0</v>
      </c>
      <c r="P166" t="s">
        <v>108</v>
      </c>
      <c r="Q166">
        <v>1</v>
      </c>
      <c r="R166" s="4">
        <f t="shared" si="76"/>
        <v>59</v>
      </c>
      <c r="S166">
        <v>164</v>
      </c>
      <c r="T166" s="1">
        <f t="shared" si="77"/>
        <v>8.4530143970725034E-3</v>
      </c>
      <c r="U166" t="b">
        <f>_xll.SigFig(T166,5)=_xll.SigFig(B166,5)</f>
        <v>1</v>
      </c>
      <c r="V166" t="b">
        <f>_xll.SigFig(B166,1)=_xll.SigFig(T166,1)</f>
        <v>1</v>
      </c>
    </row>
    <row r="167" spans="1:22">
      <c r="A167" t="s">
        <v>108</v>
      </c>
      <c r="B167" s="1">
        <v>2.7116677439049537E-13</v>
      </c>
      <c r="C167" s="2">
        <f t="shared" si="68"/>
        <v>1.8E-10</v>
      </c>
      <c r="D167" s="2">
        <f t="shared" si="68"/>
        <v>2.1999999999999999E-10</v>
      </c>
      <c r="E167" s="2">
        <f t="shared" si="68"/>
        <v>1.2999999999999999E-10</v>
      </c>
      <c r="F167" s="2">
        <f t="shared" si="68"/>
        <v>9.3999999999999999E-11</v>
      </c>
      <c r="G167" s="2">
        <f t="shared" si="68"/>
        <v>-1</v>
      </c>
      <c r="H167" s="2">
        <f t="shared" si="68"/>
        <v>-1</v>
      </c>
      <c r="I167" s="2">
        <f t="shared" si="69"/>
        <v>6.3000000000000002E-11</v>
      </c>
      <c r="J167" s="2">
        <f t="shared" si="70"/>
        <v>1.8E-10</v>
      </c>
      <c r="K167" s="2">
        <f t="shared" si="71"/>
        <v>1.2999999999999999E-10</v>
      </c>
      <c r="L167" s="2">
        <f t="shared" si="72"/>
        <v>4.3999999999999998E-10</v>
      </c>
      <c r="M167" s="2">
        <f t="shared" si="73"/>
        <v>6.3000000000000002E-11</v>
      </c>
      <c r="N167" s="2">
        <f t="shared" si="74"/>
        <v>-1</v>
      </c>
      <c r="O167" s="2">
        <f t="shared" si="75"/>
        <v>-1</v>
      </c>
      <c r="P167" t="s">
        <v>142</v>
      </c>
      <c r="Q167">
        <v>1</v>
      </c>
      <c r="R167" s="4">
        <f t="shared" si="76"/>
        <v>59</v>
      </c>
      <c r="S167">
        <v>165</v>
      </c>
      <c r="T167" s="1">
        <f t="shared" si="77"/>
        <v>2.7116677439049537E-13</v>
      </c>
      <c r="U167" t="b">
        <f>_xll.SigFig(T167,5)=_xll.SigFig(B167,5)</f>
        <v>1</v>
      </c>
      <c r="V167" t="b">
        <f>_xll.SigFig(B167,1)=_xll.SigFig(T167,1)</f>
        <v>1</v>
      </c>
    </row>
    <row r="168" spans="1:22">
      <c r="A168" t="s">
        <v>13</v>
      </c>
      <c r="B168" s="1">
        <v>1.80301984763151E-7</v>
      </c>
      <c r="C168" s="2">
        <f t="shared" si="68"/>
        <v>2.1999999999999998E-9</v>
      </c>
      <c r="D168" s="2">
        <f t="shared" si="68"/>
        <v>3E-9</v>
      </c>
      <c r="E168" s="2">
        <f t="shared" si="68"/>
        <v>3.4999999999999999E-9</v>
      </c>
      <c r="F168" s="2">
        <f t="shared" si="68"/>
        <v>3.2000000000000001E-9</v>
      </c>
      <c r="G168" s="2">
        <f t="shared" si="68"/>
        <v>-1</v>
      </c>
      <c r="H168" s="2">
        <f t="shared" si="68"/>
        <v>-1</v>
      </c>
      <c r="I168" s="2">
        <f t="shared" si="69"/>
        <v>1.8E-9</v>
      </c>
      <c r="J168" s="2">
        <f t="shared" si="70"/>
        <v>2.1999999999999998E-9</v>
      </c>
      <c r="K168" s="2">
        <f t="shared" si="71"/>
        <v>3.7E-9</v>
      </c>
      <c r="L168" s="2">
        <f t="shared" si="72"/>
        <v>4.0000000000000002E-9</v>
      </c>
      <c r="M168" s="2">
        <f t="shared" si="73"/>
        <v>1.8E-9</v>
      </c>
      <c r="N168" s="2">
        <f t="shared" si="74"/>
        <v>0.9</v>
      </c>
      <c r="O168" s="2">
        <f t="shared" si="75"/>
        <v>0.9</v>
      </c>
      <c r="P168" t="s">
        <v>142</v>
      </c>
      <c r="Q168">
        <v>1</v>
      </c>
      <c r="R168" s="4">
        <f t="shared" si="76"/>
        <v>59</v>
      </c>
      <c r="S168">
        <v>166</v>
      </c>
      <c r="T168" s="1">
        <f t="shared" si="77"/>
        <v>1.80301984763151E-7</v>
      </c>
      <c r="U168" t="b">
        <f t="shared" si="65"/>
        <v>1</v>
      </c>
      <c r="V168" t="b">
        <f>_xll.SigFig(B168,1)=_xll.SigFig(T168,1)</f>
        <v>1</v>
      </c>
    </row>
    <row r="169" spans="1:22">
      <c r="A169" t="s">
        <v>143</v>
      </c>
      <c r="B169" s="1">
        <v>3.8064095582643889</v>
      </c>
      <c r="C169" s="2">
        <f t="shared" si="68"/>
        <v>-1</v>
      </c>
      <c r="D169" s="2">
        <f t="shared" si="68"/>
        <v>-1</v>
      </c>
      <c r="E169" s="2">
        <f t="shared" si="68"/>
        <v>-1</v>
      </c>
      <c r="F169" s="2">
        <f t="shared" si="68"/>
        <v>-1</v>
      </c>
      <c r="G169" s="2">
        <f t="shared" si="68"/>
        <v>-1</v>
      </c>
      <c r="H169" s="2">
        <f t="shared" si="68"/>
        <v>-1</v>
      </c>
      <c r="I169" s="2">
        <f t="shared" si="69"/>
        <v>-1</v>
      </c>
      <c r="J169" s="2">
        <f t="shared" si="70"/>
        <v>-1</v>
      </c>
      <c r="K169" s="2">
        <f t="shared" si="71"/>
        <v>-1</v>
      </c>
      <c r="L169" s="2">
        <f t="shared" si="72"/>
        <v>-1</v>
      </c>
      <c r="M169" s="2">
        <f t="shared" si="73"/>
        <v>-1</v>
      </c>
      <c r="N169" s="2">
        <f t="shared" si="74"/>
        <v>0</v>
      </c>
      <c r="O169" s="2">
        <f t="shared" si="75"/>
        <v>0</v>
      </c>
      <c r="P169" t="s">
        <v>144</v>
      </c>
      <c r="Q169">
        <v>1</v>
      </c>
      <c r="R169" s="4">
        <f t="shared" si="76"/>
        <v>59</v>
      </c>
      <c r="S169">
        <v>167</v>
      </c>
      <c r="T169" s="1">
        <f t="shared" si="77"/>
        <v>3.8064095582643889</v>
      </c>
      <c r="U169" t="b">
        <f>_xll.SigFig(T169,5)=_xll.SigFig(B169,5)</f>
        <v>1</v>
      </c>
      <c r="V169" t="b">
        <f>_xll.SigFig(B169,1)=_xll.SigFig(T169,1)</f>
        <v>1</v>
      </c>
    </row>
    <row r="170" spans="1:22">
      <c r="A170" t="s">
        <v>12</v>
      </c>
      <c r="B170" s="1">
        <v>2.9516323811760131E-8</v>
      </c>
      <c r="C170" s="2">
        <f t="shared" si="68"/>
        <v>-1</v>
      </c>
      <c r="D170" s="2">
        <f t="shared" si="68"/>
        <v>-1</v>
      </c>
      <c r="E170" s="2">
        <f t="shared" si="68"/>
        <v>5.1999999999999996E-10</v>
      </c>
      <c r="F170" s="2">
        <f t="shared" si="68"/>
        <v>3.9E-10</v>
      </c>
      <c r="G170" s="2">
        <f t="shared" si="68"/>
        <v>9.4000000000000006E-10</v>
      </c>
      <c r="H170" s="2">
        <f t="shared" si="68"/>
        <v>6E-10</v>
      </c>
      <c r="I170" s="2">
        <f t="shared" si="69"/>
        <v>2.1E-10</v>
      </c>
      <c r="J170" s="2">
        <f t="shared" si="70"/>
        <v>1.8999999999999999E-10</v>
      </c>
      <c r="K170" s="2">
        <f t="shared" si="71"/>
        <v>5.4999999999999996E-10</v>
      </c>
      <c r="L170" s="2">
        <f t="shared" si="72"/>
        <v>1.0000000000000001E-9</v>
      </c>
      <c r="M170" s="2">
        <f t="shared" si="73"/>
        <v>2.1E-10</v>
      </c>
      <c r="N170" s="2">
        <f t="shared" si="74"/>
        <v>10</v>
      </c>
      <c r="O170" s="2">
        <f t="shared" si="75"/>
        <v>10</v>
      </c>
      <c r="P170" t="s">
        <v>142</v>
      </c>
      <c r="Q170">
        <v>1</v>
      </c>
      <c r="R170" s="4">
        <f t="shared" si="76"/>
        <v>57</v>
      </c>
      <c r="S170">
        <v>168</v>
      </c>
      <c r="T170" s="1">
        <f t="shared" si="77"/>
        <v>2.9516323811760131E-8</v>
      </c>
      <c r="U170" t="b">
        <f>_xll.SigFig(T170,5)=_xll.SigFig(B170,5)</f>
        <v>1</v>
      </c>
      <c r="V170" t="b">
        <f>_xll.SigFig(B170,1)=_xll.SigFig(T170,1)</f>
        <v>1</v>
      </c>
    </row>
    <row r="171" spans="1:22">
      <c r="A171" t="s">
        <v>11</v>
      </c>
      <c r="B171" s="1">
        <v>7.9697056333926444E-9</v>
      </c>
      <c r="C171" s="2">
        <f t="shared" si="68"/>
        <v>7.7000000000000003E-10</v>
      </c>
      <c r="D171" s="2">
        <f t="shared" si="68"/>
        <v>9.2000000000000003E-10</v>
      </c>
      <c r="E171" s="2">
        <f t="shared" si="68"/>
        <v>3.7000000000000001E-10</v>
      </c>
      <c r="F171" s="2">
        <f t="shared" si="68"/>
        <v>3.3E-10</v>
      </c>
      <c r="G171" s="2">
        <f t="shared" si="68"/>
        <v>-1</v>
      </c>
      <c r="H171" s="2">
        <f t="shared" si="68"/>
        <v>-1</v>
      </c>
      <c r="I171" s="2">
        <f t="shared" si="69"/>
        <v>3.3E-10</v>
      </c>
      <c r="J171" s="2">
        <f t="shared" si="70"/>
        <v>7.7000000000000003E-10</v>
      </c>
      <c r="K171" s="2">
        <f t="shared" si="71"/>
        <v>3.7999999999999998E-10</v>
      </c>
      <c r="L171" s="2">
        <f t="shared" si="72"/>
        <v>1.8E-10</v>
      </c>
      <c r="M171" s="2">
        <f t="shared" si="73"/>
        <v>3.3E-10</v>
      </c>
      <c r="N171" s="2">
        <f t="shared" si="74"/>
        <v>40</v>
      </c>
      <c r="O171" s="2">
        <f t="shared" si="75"/>
        <v>40</v>
      </c>
      <c r="P171" t="s">
        <v>142</v>
      </c>
      <c r="Q171">
        <v>1</v>
      </c>
      <c r="R171" s="4">
        <f t="shared" si="76"/>
        <v>55</v>
      </c>
      <c r="S171">
        <v>169</v>
      </c>
      <c r="T171" s="1">
        <f t="shared" si="77"/>
        <v>7.9697056333926444E-9</v>
      </c>
      <c r="U171" t="b">
        <f>_xll.SigFig(T171,5)=_xll.SigFig(B171,5)</f>
        <v>1</v>
      </c>
      <c r="V171" t="b">
        <f>_xll.SigFig(B171,1)=_xll.SigFig(T171,1)</f>
        <v>1</v>
      </c>
    </row>
    <row r="172" spans="1:22">
      <c r="A172" t="s">
        <v>10</v>
      </c>
      <c r="B172" s="1">
        <v>2.5705020224403725E-8</v>
      </c>
      <c r="C172" s="2">
        <f t="shared" si="68"/>
        <v>8.6999999999999999E-10</v>
      </c>
      <c r="D172" s="2">
        <f t="shared" si="68"/>
        <v>1.0999999999999999E-9</v>
      </c>
      <c r="E172" s="2">
        <f t="shared" si="68"/>
        <v>1.5E-9</v>
      </c>
      <c r="F172" s="2">
        <f t="shared" si="68"/>
        <v>1.2E-9</v>
      </c>
      <c r="G172" s="2">
        <f t="shared" si="68"/>
        <v>-1</v>
      </c>
      <c r="H172" s="2">
        <f t="shared" si="68"/>
        <v>-1</v>
      </c>
      <c r="I172" s="2">
        <f t="shared" si="69"/>
        <v>7.1000000000000003E-10</v>
      </c>
      <c r="J172" s="2">
        <f t="shared" si="70"/>
        <v>8.4999999999999996E-10</v>
      </c>
      <c r="K172" s="2">
        <f t="shared" si="71"/>
        <v>1.5E-9</v>
      </c>
      <c r="L172" s="2">
        <f t="shared" si="72"/>
        <v>-1</v>
      </c>
      <c r="M172" s="2">
        <f t="shared" si="73"/>
        <v>7.1000000000000003E-10</v>
      </c>
      <c r="N172" s="2">
        <f t="shared" si="74"/>
        <v>1</v>
      </c>
      <c r="O172" s="2">
        <f t="shared" si="75"/>
        <v>1</v>
      </c>
      <c r="P172" t="s">
        <v>142</v>
      </c>
      <c r="Q172">
        <v>1</v>
      </c>
      <c r="R172" s="4">
        <f t="shared" si="76"/>
        <v>54</v>
      </c>
      <c r="S172">
        <v>170</v>
      </c>
      <c r="T172" s="1">
        <f t="shared" si="77"/>
        <v>2.5705020224403725E-8</v>
      </c>
      <c r="U172" t="b">
        <f>_xll.SigFig(T172,5)=_xll.SigFig(B172,5)</f>
        <v>1</v>
      </c>
      <c r="V172" t="b">
        <f>_xll.SigFig(B172,1)=_xll.SigFig(T172,1)</f>
        <v>1</v>
      </c>
    </row>
    <row r="173" spans="1:22">
      <c r="A173" t="s">
        <v>9</v>
      </c>
      <c r="B173" s="1">
        <v>2.8961808537192254E-7</v>
      </c>
      <c r="C173" s="2">
        <f t="shared" ref="C173:H183" si="78">IF(ISNA(VLOOKUP($A173,_68inh,COLUMN(C173)-1,FALSE)),-1,VLOOKUP($A173,_68inh,COLUMN(C173)-1,FALSE))</f>
        <v>2.0999999999999999E-11</v>
      </c>
      <c r="D173" s="2">
        <f t="shared" si="78"/>
        <v>3E-11</v>
      </c>
      <c r="E173" s="2">
        <f t="shared" si="78"/>
        <v>3.1000000000000003E-11</v>
      </c>
      <c r="F173" s="2">
        <f t="shared" si="78"/>
        <v>3.3999999999999999E-11</v>
      </c>
      <c r="G173" s="2">
        <f t="shared" si="78"/>
        <v>3.5999999999999998E-11</v>
      </c>
      <c r="H173" s="2">
        <f t="shared" si="78"/>
        <v>3.5999999999999998E-11</v>
      </c>
      <c r="I173" s="2">
        <f t="shared" si="69"/>
        <v>3.7999999999999998E-11</v>
      </c>
      <c r="J173" s="2">
        <f t="shared" si="70"/>
        <v>1.9999999999999999E-11</v>
      </c>
      <c r="K173" s="2">
        <f t="shared" si="71"/>
        <v>3.1999999999999999E-11</v>
      </c>
      <c r="L173" s="2">
        <f t="shared" si="72"/>
        <v>3.7000000000000001E-11</v>
      </c>
      <c r="M173" s="2">
        <f t="shared" si="73"/>
        <v>3.7999999999999998E-11</v>
      </c>
      <c r="N173" s="2">
        <f t="shared" si="74"/>
        <v>30</v>
      </c>
      <c r="O173" s="2">
        <f t="shared" si="75"/>
        <v>30</v>
      </c>
      <c r="P173" t="s">
        <v>142</v>
      </c>
      <c r="Q173">
        <v>1</v>
      </c>
      <c r="R173" s="4">
        <f t="shared" si="76"/>
        <v>51</v>
      </c>
      <c r="S173">
        <v>171</v>
      </c>
      <c r="T173" s="1">
        <f t="shared" si="77"/>
        <v>2.8961808537192254E-7</v>
      </c>
      <c r="U173" t="b">
        <f>_xll.SigFig(T173,5)=_xll.SigFig(B173,5)</f>
        <v>1</v>
      </c>
      <c r="V173" t="b">
        <f>_xll.SigFig(B173,1)=_xll.SigFig(T173,1)</f>
        <v>1</v>
      </c>
    </row>
    <row r="174" spans="1:22">
      <c r="A174" t="s">
        <v>8</v>
      </c>
      <c r="B174" s="1">
        <v>4.9336060586903648E-8</v>
      </c>
      <c r="C174" s="2">
        <f t="shared" si="78"/>
        <v>-1</v>
      </c>
      <c r="D174" s="2">
        <f t="shared" si="78"/>
        <v>-1</v>
      </c>
      <c r="E174" s="2">
        <f t="shared" si="78"/>
        <v>2.7000000000000002E-9</v>
      </c>
      <c r="F174" s="2">
        <f t="shared" si="78"/>
        <v>2.2999999999999999E-9</v>
      </c>
      <c r="G174" s="2">
        <f t="shared" si="78"/>
        <v>-1</v>
      </c>
      <c r="H174" s="2">
        <f t="shared" si="78"/>
        <v>-1</v>
      </c>
      <c r="I174" s="2">
        <f t="shared" si="69"/>
        <v>7.5999999999999996E-10</v>
      </c>
      <c r="J174" s="2">
        <f t="shared" si="70"/>
        <v>4.6000000000000001E-10</v>
      </c>
      <c r="K174" s="2">
        <f t="shared" si="71"/>
        <v>2.7000000000000002E-9</v>
      </c>
      <c r="L174" s="2">
        <f t="shared" si="72"/>
        <v>3.7E-9</v>
      </c>
      <c r="M174" s="2">
        <f t="shared" si="73"/>
        <v>7.1000000000000003E-10</v>
      </c>
      <c r="N174" s="2">
        <f t="shared" si="74"/>
        <v>40</v>
      </c>
      <c r="O174" s="2">
        <f t="shared" si="75"/>
        <v>1</v>
      </c>
      <c r="P174" t="s">
        <v>142</v>
      </c>
      <c r="Q174">
        <v>1</v>
      </c>
      <c r="R174" s="4">
        <f t="shared" si="76"/>
        <v>45</v>
      </c>
      <c r="S174">
        <v>172</v>
      </c>
      <c r="T174" s="1">
        <f t="shared" si="77"/>
        <v>4.9336060586903648E-8</v>
      </c>
      <c r="U174" t="b">
        <f t="shared" si="65"/>
        <v>1</v>
      </c>
      <c r="V174" t="b">
        <f>_xll.SigFig(B174,1)=_xll.SigFig(T174,1)</f>
        <v>1</v>
      </c>
    </row>
    <row r="175" spans="1:22">
      <c r="A175" t="s">
        <v>7</v>
      </c>
      <c r="B175" s="1">
        <v>7.2971789786146596E-14</v>
      </c>
      <c r="C175" s="2">
        <f t="shared" si="78"/>
        <v>3.4000000000000001E-10</v>
      </c>
      <c r="D175" s="2">
        <f t="shared" si="78"/>
        <v>4.8999999999999996E-10</v>
      </c>
      <c r="E175" s="2">
        <f t="shared" si="78"/>
        <v>6.8999999999999997E-9</v>
      </c>
      <c r="F175" s="2">
        <f t="shared" si="78"/>
        <v>5.1000000000000002E-9</v>
      </c>
      <c r="G175" s="2">
        <f t="shared" si="78"/>
        <v>-1</v>
      </c>
      <c r="H175" s="2">
        <f t="shared" si="78"/>
        <v>-1</v>
      </c>
      <c r="I175" s="2">
        <f t="shared" si="69"/>
        <v>9.2999999999999999E-10</v>
      </c>
      <c r="J175" s="2">
        <f t="shared" si="70"/>
        <v>3.3E-10</v>
      </c>
      <c r="K175" s="2">
        <f t="shared" si="71"/>
        <v>7.3E-9</v>
      </c>
      <c r="L175" s="2">
        <f t="shared" si="72"/>
        <v>-1</v>
      </c>
      <c r="M175" s="2">
        <f t="shared" si="73"/>
        <v>9.2999999999999999E-10</v>
      </c>
      <c r="N175" s="2">
        <f t="shared" si="74"/>
        <v>10</v>
      </c>
      <c r="O175" s="2">
        <f t="shared" si="75"/>
        <v>0.60000000000000009</v>
      </c>
      <c r="P175" t="s">
        <v>142</v>
      </c>
      <c r="Q175">
        <v>1</v>
      </c>
      <c r="R175" s="4">
        <f t="shared" si="76"/>
        <v>36</v>
      </c>
      <c r="S175">
        <v>173</v>
      </c>
      <c r="T175" s="1">
        <f t="shared" si="77"/>
        <v>7.2971789786146596E-14</v>
      </c>
      <c r="U175" t="b">
        <f t="shared" si="65"/>
        <v>1</v>
      </c>
      <c r="V175" t="b">
        <f>_xll.SigFig(B175,1)=_xll.SigFig(T175,1)</f>
        <v>1</v>
      </c>
    </row>
    <row r="176" spans="1:22">
      <c r="A176" t="s">
        <v>6</v>
      </c>
      <c r="B176" s="1">
        <v>9.1843581133788259E-8</v>
      </c>
      <c r="C176" s="2">
        <f t="shared" si="78"/>
        <v>5.2999999999999998E-11</v>
      </c>
      <c r="D176" s="2">
        <f t="shared" si="78"/>
        <v>7.9999999999999995E-11</v>
      </c>
      <c r="E176" s="2">
        <f t="shared" si="78"/>
        <v>1.3000000000000001E-9</v>
      </c>
      <c r="F176" s="2">
        <f t="shared" si="78"/>
        <v>1.0999999999999999E-9</v>
      </c>
      <c r="G176" s="2">
        <f t="shared" si="78"/>
        <v>-1</v>
      </c>
      <c r="H176" s="2">
        <f t="shared" si="78"/>
        <v>-1</v>
      </c>
      <c r="I176" s="2">
        <f t="shared" si="69"/>
        <v>7.7000000000000003E-10</v>
      </c>
      <c r="J176" s="2">
        <f t="shared" si="70"/>
        <v>5.0999999999999998E-11</v>
      </c>
      <c r="K176" s="2">
        <f t="shared" si="71"/>
        <v>1.3999999999999999E-9</v>
      </c>
      <c r="L176" s="2">
        <f t="shared" si="72"/>
        <v>1.9000000000000001E-9</v>
      </c>
      <c r="M176" s="2">
        <f t="shared" si="73"/>
        <v>7.7000000000000003E-10</v>
      </c>
      <c r="N176" s="2">
        <f t="shared" si="74"/>
        <v>40</v>
      </c>
      <c r="O176" s="2">
        <f t="shared" si="75"/>
        <v>3</v>
      </c>
      <c r="P176" t="s">
        <v>142</v>
      </c>
      <c r="Q176">
        <v>1</v>
      </c>
      <c r="R176" s="4">
        <f t="shared" si="76"/>
        <v>35</v>
      </c>
      <c r="S176">
        <v>174</v>
      </c>
      <c r="T176" s="1">
        <f t="shared" si="77"/>
        <v>9.1843581133788259E-8</v>
      </c>
      <c r="U176" t="b">
        <f>_xll.SigFig(T176,5)=_xll.SigFig(B176,5)</f>
        <v>1</v>
      </c>
      <c r="V176" t="b">
        <f>_xll.SigFig(B176,1)=_xll.SigFig(T176,1)</f>
        <v>1</v>
      </c>
    </row>
    <row r="177" spans="1:22">
      <c r="A177" t="s">
        <v>5</v>
      </c>
      <c r="B177" s="1">
        <v>3.1647088015922699E-7</v>
      </c>
      <c r="C177" s="2">
        <f t="shared" si="78"/>
        <v>9.6000000000000005E-11</v>
      </c>
      <c r="D177" s="2">
        <f t="shared" si="78"/>
        <v>1.4000000000000001E-10</v>
      </c>
      <c r="E177" s="2">
        <f t="shared" si="78"/>
        <v>1.3999999999999999E-9</v>
      </c>
      <c r="F177" s="2">
        <f t="shared" si="78"/>
        <v>1.3000000000000001E-9</v>
      </c>
      <c r="G177" s="2">
        <f t="shared" si="78"/>
        <v>-1</v>
      </c>
      <c r="H177" s="2">
        <f t="shared" si="78"/>
        <v>-1</v>
      </c>
      <c r="I177" s="2">
        <f t="shared" si="69"/>
        <v>2.4E-10</v>
      </c>
      <c r="J177" s="2">
        <f t="shared" si="70"/>
        <v>9.2000000000000005E-11</v>
      </c>
      <c r="K177" s="2">
        <f t="shared" si="71"/>
        <v>1.5E-9</v>
      </c>
      <c r="L177" s="2">
        <f t="shared" si="72"/>
        <v>-1</v>
      </c>
      <c r="M177" s="2">
        <f t="shared" si="73"/>
        <v>2.4E-10</v>
      </c>
      <c r="N177" s="2">
        <f t="shared" si="74"/>
        <v>40</v>
      </c>
      <c r="O177" s="2">
        <f t="shared" si="75"/>
        <v>1</v>
      </c>
      <c r="P177" t="s">
        <v>142</v>
      </c>
      <c r="Q177">
        <v>1</v>
      </c>
      <c r="R177" s="4">
        <f t="shared" si="76"/>
        <v>33</v>
      </c>
      <c r="S177">
        <v>175</v>
      </c>
      <c r="T177" s="1">
        <f t="shared" si="77"/>
        <v>3.1647088015922699E-7</v>
      </c>
      <c r="U177" t="b">
        <f t="shared" si="65"/>
        <v>1</v>
      </c>
      <c r="V177" t="b">
        <f>_xll.SigFig(B177,1)=_xll.SigFig(T177,1)</f>
        <v>1</v>
      </c>
    </row>
    <row r="178" spans="1:22">
      <c r="A178" t="s">
        <v>4</v>
      </c>
      <c r="B178" s="1">
        <v>5.6231420845562514E-7</v>
      </c>
      <c r="C178" s="2">
        <f t="shared" si="78"/>
        <v>8.0000000000000003E-10</v>
      </c>
      <c r="D178" s="2">
        <f t="shared" si="78"/>
        <v>1.0999999999999999E-9</v>
      </c>
      <c r="E178" s="2">
        <f t="shared" si="78"/>
        <v>3.2000000000000001E-9</v>
      </c>
      <c r="F178" s="2">
        <f t="shared" si="78"/>
        <v>2.8999999999999999E-9</v>
      </c>
      <c r="G178" s="2">
        <f t="shared" si="78"/>
        <v>-1</v>
      </c>
      <c r="H178" s="2">
        <f t="shared" si="78"/>
        <v>-1</v>
      </c>
      <c r="I178" s="2">
        <f t="shared" si="69"/>
        <v>2.4E-9</v>
      </c>
      <c r="J178" s="2">
        <f t="shared" si="70"/>
        <v>7.7000000000000003E-10</v>
      </c>
      <c r="K178" s="2">
        <f t="shared" si="71"/>
        <v>3.3999999999999998E-9</v>
      </c>
      <c r="L178" s="2">
        <f t="shared" si="72"/>
        <v>-1</v>
      </c>
      <c r="M178" s="2">
        <f t="shared" si="73"/>
        <v>2.4E-9</v>
      </c>
      <c r="N178" s="2">
        <f t="shared" si="74"/>
        <v>0.5</v>
      </c>
      <c r="O178" s="2">
        <f t="shared" si="75"/>
        <v>0.5</v>
      </c>
      <c r="P178" t="s">
        <v>142</v>
      </c>
      <c r="Q178">
        <v>1</v>
      </c>
      <c r="R178" s="4">
        <f t="shared" si="76"/>
        <v>32</v>
      </c>
      <c r="S178">
        <v>176</v>
      </c>
      <c r="T178" s="1">
        <f t="shared" si="77"/>
        <v>5.6231420845562514E-7</v>
      </c>
      <c r="U178" t="b">
        <f>_xll.SigFig(T178,5)=_xll.SigFig(B178,5)</f>
        <v>1</v>
      </c>
      <c r="V178" t="b">
        <f>_xll.SigFig(B178,1)=_xll.SigFig(T178,1)</f>
        <v>1</v>
      </c>
    </row>
    <row r="179" spans="1:22">
      <c r="A179" t="s">
        <v>3</v>
      </c>
      <c r="B179" s="1">
        <v>8.4417190228794834E-9</v>
      </c>
      <c r="C179" s="2">
        <f t="shared" si="78"/>
        <v>1.3000000000000001E-9</v>
      </c>
      <c r="D179" s="2">
        <f t="shared" si="78"/>
        <v>2.0000000000000001E-9</v>
      </c>
      <c r="E179" s="2">
        <f t="shared" si="78"/>
        <v>-1</v>
      </c>
      <c r="F179" s="2">
        <f t="shared" si="78"/>
        <v>-1</v>
      </c>
      <c r="G179" s="2">
        <f t="shared" si="78"/>
        <v>-1</v>
      </c>
      <c r="H179" s="2">
        <f t="shared" si="78"/>
        <v>-1</v>
      </c>
      <c r="I179" s="2">
        <f t="shared" si="69"/>
        <v>3.2000000000000001E-9</v>
      </c>
      <c r="J179" s="2">
        <f t="shared" si="70"/>
        <v>1.3000000000000001E-9</v>
      </c>
      <c r="K179" s="2">
        <f t="shared" si="71"/>
        <v>-1</v>
      </c>
      <c r="L179" s="2">
        <f t="shared" si="72"/>
        <v>-1</v>
      </c>
      <c r="M179" s="2">
        <f t="shared" si="73"/>
        <v>3.2000000000000001E-9</v>
      </c>
      <c r="N179" s="2">
        <f t="shared" si="74"/>
        <v>0.5</v>
      </c>
      <c r="O179" s="2">
        <f t="shared" si="75"/>
        <v>0.5</v>
      </c>
      <c r="P179" t="s">
        <v>142</v>
      </c>
      <c r="Q179">
        <v>1</v>
      </c>
      <c r="R179" s="4">
        <f t="shared" si="76"/>
        <v>22</v>
      </c>
      <c r="S179">
        <v>177</v>
      </c>
      <c r="T179" s="1">
        <f t="shared" si="77"/>
        <v>8.4417190228794834E-9</v>
      </c>
      <c r="U179" t="b">
        <f>_xll.SigFig(T179,5)=_xll.SigFig(B179,5)</f>
        <v>1</v>
      </c>
      <c r="V179" t="b">
        <f>_xll.SigFig(B179,1)=_xll.SigFig(T179,1)</f>
        <v>1</v>
      </c>
    </row>
    <row r="180" spans="1:22">
      <c r="A180" t="s">
        <v>2</v>
      </c>
      <c r="B180" s="1">
        <v>3.8629104336317492E-12</v>
      </c>
      <c r="C180" s="2">
        <f t="shared" si="78"/>
        <v>-1</v>
      </c>
      <c r="D180" s="2">
        <f t="shared" si="78"/>
        <v>-1</v>
      </c>
      <c r="E180" s="2">
        <f t="shared" si="78"/>
        <v>-1</v>
      </c>
      <c r="F180" s="2">
        <f t="shared" si="78"/>
        <v>-1</v>
      </c>
      <c r="G180" s="2">
        <f t="shared" si="78"/>
        <v>-1</v>
      </c>
      <c r="H180" s="2">
        <f t="shared" si="78"/>
        <v>-1</v>
      </c>
      <c r="I180" s="2">
        <f t="shared" si="69"/>
        <v>5.7999999999999996E-10</v>
      </c>
      <c r="J180" s="2">
        <f t="shared" si="70"/>
        <v>2.0000000000000001E-10</v>
      </c>
      <c r="K180" s="2">
        <f t="shared" si="71"/>
        <v>2.0000000000000001E-9</v>
      </c>
      <c r="L180" s="2">
        <f t="shared" si="72"/>
        <v>5.7999999999999998E-9</v>
      </c>
      <c r="M180" s="2">
        <f t="shared" si="73"/>
        <v>5.7999999999999996E-10</v>
      </c>
      <c r="N180" s="2">
        <f t="shared" si="74"/>
        <v>40</v>
      </c>
      <c r="O180" s="2">
        <f t="shared" si="75"/>
        <v>3</v>
      </c>
      <c r="P180" t="s">
        <v>142</v>
      </c>
      <c r="Q180">
        <v>1</v>
      </c>
      <c r="R180" s="4">
        <f t="shared" si="76"/>
        <v>14</v>
      </c>
      <c r="S180">
        <v>178</v>
      </c>
      <c r="T180" s="1">
        <f t="shared" si="77"/>
        <v>3.8629104336317492E-12</v>
      </c>
      <c r="U180" t="b">
        <f>_xll.SigFig(T180,5)=_xll.SigFig(B180,5)</f>
        <v>1</v>
      </c>
      <c r="V180" t="b">
        <f>_xll.SigFig(B180,1)=_xll.SigFig(T180,1)</f>
        <v>1</v>
      </c>
    </row>
    <row r="181" spans="1:22">
      <c r="A181" t="s">
        <v>1</v>
      </c>
      <c r="B181" s="1">
        <v>1.7825296601740065E-9</v>
      </c>
      <c r="C181" s="2">
        <f t="shared" si="78"/>
        <v>-1</v>
      </c>
      <c r="D181" s="2">
        <f t="shared" si="78"/>
        <v>-1</v>
      </c>
      <c r="E181" s="2">
        <f t="shared" si="78"/>
        <v>-1</v>
      </c>
      <c r="F181" s="2">
        <f t="shared" si="78"/>
        <v>-1</v>
      </c>
      <c r="G181" s="2">
        <f t="shared" si="78"/>
        <v>-1</v>
      </c>
      <c r="H181" s="2">
        <f t="shared" si="78"/>
        <v>-1</v>
      </c>
      <c r="I181" s="2">
        <f t="shared" si="69"/>
        <v>4.1999999999999997E-11</v>
      </c>
      <c r="J181" s="2">
        <f t="shared" si="70"/>
        <v>6.2000000000000002E-12</v>
      </c>
      <c r="K181" s="2">
        <f t="shared" si="71"/>
        <v>4.5E-11</v>
      </c>
      <c r="L181" s="2">
        <f t="shared" si="72"/>
        <v>2.5999999999999998E-10</v>
      </c>
      <c r="M181" s="2">
        <f t="shared" si="73"/>
        <v>4.1999999999999997E-11</v>
      </c>
      <c r="N181" s="2">
        <f t="shared" si="74"/>
        <v>0</v>
      </c>
      <c r="O181" s="2">
        <f t="shared" si="75"/>
        <v>0</v>
      </c>
      <c r="P181" t="s">
        <v>142</v>
      </c>
      <c r="Q181">
        <v>1</v>
      </c>
      <c r="R181" s="4">
        <f t="shared" si="76"/>
        <v>3</v>
      </c>
      <c r="S181">
        <v>179</v>
      </c>
      <c r="T181" s="1">
        <f t="shared" si="77"/>
        <v>1.7825296601740065E-9</v>
      </c>
      <c r="U181" t="b">
        <f>_xll.SigFig(T181,5)=_xll.SigFig(B181,5)</f>
        <v>1</v>
      </c>
      <c r="V181" t="b">
        <f>_xll.SigFig(B181,1)=_xll.SigFig(T181,1)</f>
        <v>1</v>
      </c>
    </row>
    <row r="182" spans="1:22">
      <c r="A182" t="s">
        <v>285</v>
      </c>
      <c r="B182" s="1">
        <v>1.7365550049864506E-8</v>
      </c>
      <c r="C182" s="2">
        <f t="shared" si="78"/>
        <v>8.0999999999999997E-9</v>
      </c>
      <c r="D182" s="2">
        <f t="shared" si="78"/>
        <v>9.5999999999999999E-9</v>
      </c>
      <c r="E182" s="2">
        <f t="shared" si="78"/>
        <v>6.2000000000000001E-9</v>
      </c>
      <c r="F182" s="2">
        <f t="shared" si="78"/>
        <v>5.1000000000000002E-9</v>
      </c>
      <c r="G182" s="2">
        <f t="shared" si="78"/>
        <v>5.7999999999999998E-9</v>
      </c>
      <c r="H182" s="2">
        <f t="shared" si="78"/>
        <v>4.3999999999999997E-9</v>
      </c>
      <c r="I182" s="2">
        <f t="shared" si="69"/>
        <v>2.0000000000000001E-9</v>
      </c>
      <c r="J182" s="2">
        <f t="shared" si="70"/>
        <v>8.0999999999999997E-9</v>
      </c>
      <c r="K182" s="2">
        <f t="shared" si="71"/>
        <v>6.6000000000000004E-9</v>
      </c>
      <c r="L182" s="2">
        <f t="shared" si="72"/>
        <v>6.2000000000000001E-9</v>
      </c>
      <c r="M182" s="2">
        <f t="shared" si="73"/>
        <v>2.0000000000000001E-9</v>
      </c>
      <c r="N182" s="2">
        <f t="shared" si="74"/>
        <v>30</v>
      </c>
      <c r="O182" s="2">
        <f t="shared" si="75"/>
        <v>2</v>
      </c>
      <c r="P182" t="s">
        <v>142</v>
      </c>
      <c r="Q182">
        <v>1</v>
      </c>
      <c r="R182" s="4">
        <f t="shared" si="76"/>
        <v>109</v>
      </c>
      <c r="S182">
        <v>180</v>
      </c>
      <c r="T182" s="1">
        <f t="shared" si="77"/>
        <v>1.7365550049864506E-8</v>
      </c>
      <c r="U182" t="b">
        <f>_xll.SigFig(T182,5)=_xll.SigFig(B182,5)</f>
        <v>1</v>
      </c>
      <c r="V182" t="b">
        <f>_xll.SigFig(B182,1)=_xll.SigFig(T182,1)</f>
        <v>1</v>
      </c>
    </row>
    <row r="183" spans="1:22">
      <c r="A183" t="s">
        <v>191</v>
      </c>
      <c r="B183" s="1">
        <v>1.0527687871883301E-4</v>
      </c>
      <c r="C183" s="2">
        <f t="shared" si="78"/>
        <v>3E-11</v>
      </c>
      <c r="D183" s="2">
        <f t="shared" si="78"/>
        <v>5.4000000000000001E-11</v>
      </c>
      <c r="E183" s="2">
        <f t="shared" si="78"/>
        <v>5.6999999999999997E-11</v>
      </c>
      <c r="F183" s="2">
        <f t="shared" si="78"/>
        <v>8.9000000000000003E-11</v>
      </c>
      <c r="G183" s="2">
        <f t="shared" si="78"/>
        <v>6E-11</v>
      </c>
      <c r="H183" s="2">
        <f t="shared" si="78"/>
        <v>9.3000000000000002E-11</v>
      </c>
      <c r="I183" s="2">
        <f t="shared" si="69"/>
        <v>4.8999999999999999E-11</v>
      </c>
      <c r="J183" s="2">
        <f t="shared" si="70"/>
        <v>2.8E-11</v>
      </c>
      <c r="K183" s="2">
        <f t="shared" si="71"/>
        <v>5.6E-11</v>
      </c>
      <c r="L183" s="2">
        <f t="shared" si="72"/>
        <v>5.9000000000000003E-11</v>
      </c>
      <c r="M183" s="2">
        <f t="shared" si="73"/>
        <v>4.8999999999999999E-11</v>
      </c>
      <c r="N183" s="2">
        <f t="shared" si="74"/>
        <v>1</v>
      </c>
      <c r="O183" s="2">
        <f t="shared" si="75"/>
        <v>0.60000000000000009</v>
      </c>
      <c r="P183" t="s">
        <v>142</v>
      </c>
      <c r="Q183">
        <v>1</v>
      </c>
      <c r="R183" s="4">
        <f t="shared" si="76"/>
        <v>18</v>
      </c>
      <c r="S183">
        <v>181</v>
      </c>
      <c r="T183" s="1">
        <f t="shared" si="77"/>
        <v>1.0527687871883301E-4</v>
      </c>
      <c r="U183" t="b">
        <f>_xll.SigFig(T183,5)=_xll.SigFig(B183,5)</f>
        <v>1</v>
      </c>
      <c r="V183" t="b">
        <f>_xll.SigFig(B183,1)=_xll.SigFig(T183,1)</f>
        <v>1</v>
      </c>
    </row>
  </sheetData>
  <autoFilter ref="A1:V183" xr:uid="{00000000-0001-0000-0000-000000000000}"/>
  <sortState xmlns:xlrd2="http://schemas.microsoft.com/office/spreadsheetml/2017/richdata2" ref="A2:S183">
    <sortCondition ref="S2:S183"/>
    <sortCondition descending="1" ref="R2:R183"/>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3822"/>
  <sheetViews>
    <sheetView tabSelected="1" topLeftCell="A2489" workbookViewId="0">
      <selection activeCell="A2500" sqref="A2500:A2519"/>
    </sheetView>
  </sheetViews>
  <sheetFormatPr defaultRowHeight="15"/>
  <sheetData>
    <row r="1" spans="1:1">
      <c r="A1" t="s">
        <v>836</v>
      </c>
    </row>
    <row r="2" spans="1:1">
      <c r="A2" t="s">
        <v>837</v>
      </c>
    </row>
    <row r="3" spans="1:1">
      <c r="A3" t="s">
        <v>838</v>
      </c>
    </row>
    <row r="4" spans="1:1">
      <c r="A4" t="s">
        <v>839</v>
      </c>
    </row>
    <row r="5" spans="1:1">
      <c r="A5" t="s">
        <v>840</v>
      </c>
    </row>
    <row r="6" spans="1:1">
      <c r="A6" t="s">
        <v>841</v>
      </c>
    </row>
    <row r="7" spans="1:1">
      <c r="A7" t="s">
        <v>842</v>
      </c>
    </row>
    <row r="8" spans="1:1">
      <c r="A8" t="s">
        <v>843</v>
      </c>
    </row>
    <row r="9" spans="1:1">
      <c r="A9" t="s">
        <v>844</v>
      </c>
    </row>
    <row r="10" spans="1:1">
      <c r="A10" t="s">
        <v>845</v>
      </c>
    </row>
    <row r="11" spans="1:1">
      <c r="A11" t="s">
        <v>846</v>
      </c>
    </row>
    <row r="12" spans="1:1">
      <c r="A12" t="s">
        <v>847</v>
      </c>
    </row>
    <row r="13" spans="1:1">
      <c r="A13" t="s">
        <v>848</v>
      </c>
    </row>
    <row r="14" spans="1:1">
      <c r="A14" t="s">
        <v>849</v>
      </c>
    </row>
    <row r="15" spans="1:1">
      <c r="A15" t="s">
        <v>850</v>
      </c>
    </row>
    <row r="16" spans="1:1">
      <c r="A16" t="s">
        <v>851</v>
      </c>
    </row>
    <row r="17" spans="1:1">
      <c r="A17" t="s">
        <v>4548</v>
      </c>
    </row>
    <row r="18" spans="1:1">
      <c r="A18" t="s">
        <v>4549</v>
      </c>
    </row>
    <row r="19" spans="1:1">
      <c r="A19" t="s">
        <v>810</v>
      </c>
    </row>
    <row r="20" spans="1:1">
      <c r="A20" t="s">
        <v>811</v>
      </c>
    </row>
    <row r="21" spans="1:1">
      <c r="A21" t="s">
        <v>151</v>
      </c>
    </row>
    <row r="22" spans="1:1">
      <c r="A22" t="s">
        <v>836</v>
      </c>
    </row>
    <row r="23" spans="1:1">
      <c r="A23" t="s">
        <v>852</v>
      </c>
    </row>
    <row r="24" spans="1:1">
      <c r="A24" t="s">
        <v>838</v>
      </c>
    </row>
    <row r="25" spans="1:1">
      <c r="A25" t="s">
        <v>839</v>
      </c>
    </row>
    <row r="26" spans="1:1">
      <c r="A26" t="s">
        <v>853</v>
      </c>
    </row>
    <row r="27" spans="1:1">
      <c r="A27" t="s">
        <v>854</v>
      </c>
    </row>
    <row r="28" spans="1:1">
      <c r="A28" t="s">
        <v>855</v>
      </c>
    </row>
    <row r="29" spans="1:1">
      <c r="A29" t="s">
        <v>856</v>
      </c>
    </row>
    <row r="30" spans="1:1">
      <c r="A30" t="s">
        <v>857</v>
      </c>
    </row>
    <row r="31" spans="1:1">
      <c r="A31" t="s">
        <v>858</v>
      </c>
    </row>
    <row r="32" spans="1:1">
      <c r="A32" t="s">
        <v>859</v>
      </c>
    </row>
    <row r="33" spans="1:1">
      <c r="A33" t="s">
        <v>860</v>
      </c>
    </row>
    <row r="34" spans="1:1">
      <c r="A34" t="s">
        <v>861</v>
      </c>
    </row>
    <row r="35" spans="1:1">
      <c r="A35" t="s">
        <v>862</v>
      </c>
    </row>
    <row r="36" spans="1:1">
      <c r="A36" t="s">
        <v>863</v>
      </c>
    </row>
    <row r="37" spans="1:1">
      <c r="A37" t="s">
        <v>864</v>
      </c>
    </row>
    <row r="38" spans="1:1">
      <c r="A38" t="s">
        <v>4550</v>
      </c>
    </row>
    <row r="39" spans="1:1">
      <c r="A39" t="s">
        <v>812</v>
      </c>
    </row>
    <row r="40" spans="1:1">
      <c r="A40" t="s">
        <v>810</v>
      </c>
    </row>
    <row r="41" spans="1:1">
      <c r="A41" t="s">
        <v>811</v>
      </c>
    </row>
    <row r="42" spans="1:1">
      <c r="A42" t="s">
        <v>151</v>
      </c>
    </row>
    <row r="43" spans="1:1">
      <c r="A43" t="s">
        <v>836</v>
      </c>
    </row>
    <row r="44" spans="1:1">
      <c r="A44" t="s">
        <v>865</v>
      </c>
    </row>
    <row r="45" spans="1:1">
      <c r="A45" t="s">
        <v>866</v>
      </c>
    </row>
    <row r="46" spans="1:1">
      <c r="A46" t="s">
        <v>867</v>
      </c>
    </row>
    <row r="47" spans="1:1">
      <c r="A47" t="s">
        <v>868</v>
      </c>
    </row>
    <row r="48" spans="1:1">
      <c r="A48" t="s">
        <v>869</v>
      </c>
    </row>
    <row r="49" spans="1:1">
      <c r="A49" t="s">
        <v>870</v>
      </c>
    </row>
    <row r="50" spans="1:1">
      <c r="A50" t="s">
        <v>871</v>
      </c>
    </row>
    <row r="51" spans="1:1">
      <c r="A51" t="s">
        <v>872</v>
      </c>
    </row>
    <row r="52" spans="1:1">
      <c r="A52" t="s">
        <v>873</v>
      </c>
    </row>
    <row r="53" spans="1:1">
      <c r="A53" t="s">
        <v>874</v>
      </c>
    </row>
    <row r="54" spans="1:1">
      <c r="A54" t="s">
        <v>875</v>
      </c>
    </row>
    <row r="55" spans="1:1">
      <c r="A55" t="s">
        <v>876</v>
      </c>
    </row>
    <row r="56" spans="1:1">
      <c r="A56" t="s">
        <v>877</v>
      </c>
    </row>
    <row r="57" spans="1:1">
      <c r="A57" t="s">
        <v>878</v>
      </c>
    </row>
    <row r="58" spans="1:1">
      <c r="A58" t="s">
        <v>879</v>
      </c>
    </row>
    <row r="59" spans="1:1">
      <c r="A59" t="s">
        <v>4551</v>
      </c>
    </row>
    <row r="60" spans="1:1">
      <c r="A60" t="s">
        <v>812</v>
      </c>
    </row>
    <row r="61" spans="1:1">
      <c r="A61" t="s">
        <v>810</v>
      </c>
    </row>
    <row r="62" spans="1:1">
      <c r="A62" t="s">
        <v>811</v>
      </c>
    </row>
    <row r="63" spans="1:1">
      <c r="A63" t="s">
        <v>151</v>
      </c>
    </row>
    <row r="64" spans="1:1">
      <c r="A64" t="s">
        <v>836</v>
      </c>
    </row>
    <row r="65" spans="1:1">
      <c r="A65" t="s">
        <v>880</v>
      </c>
    </row>
    <row r="66" spans="1:1">
      <c r="A66" t="s">
        <v>838</v>
      </c>
    </row>
    <row r="67" spans="1:1">
      <c r="A67" t="s">
        <v>839</v>
      </c>
    </row>
    <row r="68" spans="1:1">
      <c r="A68" t="s">
        <v>881</v>
      </c>
    </row>
    <row r="69" spans="1:1">
      <c r="A69" t="s">
        <v>882</v>
      </c>
    </row>
    <row r="70" spans="1:1">
      <c r="A70" t="s">
        <v>883</v>
      </c>
    </row>
    <row r="71" spans="1:1">
      <c r="A71" t="s">
        <v>884</v>
      </c>
    </row>
    <row r="72" spans="1:1">
      <c r="A72" t="s">
        <v>885</v>
      </c>
    </row>
    <row r="73" spans="1:1">
      <c r="A73" t="s">
        <v>886</v>
      </c>
    </row>
    <row r="74" spans="1:1">
      <c r="A74" t="s">
        <v>887</v>
      </c>
    </row>
    <row r="75" spans="1:1">
      <c r="A75" t="s">
        <v>888</v>
      </c>
    </row>
    <row r="76" spans="1:1">
      <c r="A76" t="s">
        <v>889</v>
      </c>
    </row>
    <row r="77" spans="1:1">
      <c r="A77" t="s">
        <v>890</v>
      </c>
    </row>
    <row r="78" spans="1:1">
      <c r="A78" t="s">
        <v>891</v>
      </c>
    </row>
    <row r="79" spans="1:1">
      <c r="A79" t="s">
        <v>892</v>
      </c>
    </row>
    <row r="80" spans="1:1">
      <c r="A80" t="s">
        <v>4552</v>
      </c>
    </row>
    <row r="81" spans="1:1">
      <c r="A81" t="s">
        <v>812</v>
      </c>
    </row>
    <row r="82" spans="1:1">
      <c r="A82" t="s">
        <v>810</v>
      </c>
    </row>
    <row r="83" spans="1:1">
      <c r="A83" t="s">
        <v>811</v>
      </c>
    </row>
    <row r="84" spans="1:1">
      <c r="A84" t="s">
        <v>151</v>
      </c>
    </row>
    <row r="85" spans="1:1">
      <c r="A85" t="s">
        <v>836</v>
      </c>
    </row>
    <row r="86" spans="1:1">
      <c r="A86" t="s">
        <v>893</v>
      </c>
    </row>
    <row r="87" spans="1:1">
      <c r="A87" t="s">
        <v>838</v>
      </c>
    </row>
    <row r="88" spans="1:1">
      <c r="A88" t="s">
        <v>839</v>
      </c>
    </row>
    <row r="89" spans="1:1">
      <c r="A89" t="s">
        <v>894</v>
      </c>
    </row>
    <row r="90" spans="1:1">
      <c r="A90" t="s">
        <v>895</v>
      </c>
    </row>
    <row r="91" spans="1:1">
      <c r="A91" t="s">
        <v>842</v>
      </c>
    </row>
    <row r="92" spans="1:1">
      <c r="A92" t="s">
        <v>843</v>
      </c>
    </row>
    <row r="93" spans="1:1">
      <c r="A93" t="s">
        <v>896</v>
      </c>
    </row>
    <row r="94" spans="1:1">
      <c r="A94" t="s">
        <v>897</v>
      </c>
    </row>
    <row r="95" spans="1:1">
      <c r="A95" t="s">
        <v>898</v>
      </c>
    </row>
    <row r="96" spans="1:1">
      <c r="A96" t="s">
        <v>899</v>
      </c>
    </row>
    <row r="97" spans="1:1">
      <c r="A97" t="s">
        <v>900</v>
      </c>
    </row>
    <row r="98" spans="1:1">
      <c r="A98" t="s">
        <v>901</v>
      </c>
    </row>
    <row r="99" spans="1:1">
      <c r="A99" t="s">
        <v>902</v>
      </c>
    </row>
    <row r="100" spans="1:1">
      <c r="A100" t="s">
        <v>903</v>
      </c>
    </row>
    <row r="101" spans="1:1">
      <c r="A101" t="s">
        <v>904</v>
      </c>
    </row>
    <row r="102" spans="1:1">
      <c r="A102" t="s">
        <v>813</v>
      </c>
    </row>
    <row r="103" spans="1:1">
      <c r="A103" t="s">
        <v>810</v>
      </c>
    </row>
    <row r="104" spans="1:1">
      <c r="A104" t="s">
        <v>811</v>
      </c>
    </row>
    <row r="105" spans="1:1">
      <c r="A105" t="s">
        <v>151</v>
      </c>
    </row>
    <row r="106" spans="1:1">
      <c r="A106" t="s">
        <v>836</v>
      </c>
    </row>
    <row r="107" spans="1:1">
      <c r="A107" t="s">
        <v>893</v>
      </c>
    </row>
    <row r="108" spans="1:1">
      <c r="A108" t="s">
        <v>838</v>
      </c>
    </row>
    <row r="109" spans="1:1">
      <c r="A109" t="s">
        <v>839</v>
      </c>
    </row>
    <row r="110" spans="1:1">
      <c r="A110" t="s">
        <v>894</v>
      </c>
    </row>
    <row r="111" spans="1:1">
      <c r="A111" t="s">
        <v>895</v>
      </c>
    </row>
    <row r="112" spans="1:1">
      <c r="A112" t="s">
        <v>842</v>
      </c>
    </row>
    <row r="113" spans="1:1">
      <c r="A113" t="s">
        <v>843</v>
      </c>
    </row>
    <row r="114" spans="1:1">
      <c r="A114" t="s">
        <v>896</v>
      </c>
    </row>
    <row r="115" spans="1:1">
      <c r="A115" t="s">
        <v>897</v>
      </c>
    </row>
    <row r="116" spans="1:1">
      <c r="A116" t="s">
        <v>898</v>
      </c>
    </row>
    <row r="117" spans="1:1">
      <c r="A117" t="s">
        <v>899</v>
      </c>
    </row>
    <row r="118" spans="1:1">
      <c r="A118" t="s">
        <v>900</v>
      </c>
    </row>
    <row r="119" spans="1:1">
      <c r="A119" t="s">
        <v>901</v>
      </c>
    </row>
    <row r="120" spans="1:1">
      <c r="A120" t="s">
        <v>902</v>
      </c>
    </row>
    <row r="121" spans="1:1">
      <c r="A121" t="s">
        <v>905</v>
      </c>
    </row>
    <row r="122" spans="1:1">
      <c r="A122" t="s">
        <v>904</v>
      </c>
    </row>
    <row r="123" spans="1:1">
      <c r="A123" t="s">
        <v>814</v>
      </c>
    </row>
    <row r="124" spans="1:1">
      <c r="A124" t="s">
        <v>810</v>
      </c>
    </row>
    <row r="125" spans="1:1">
      <c r="A125" t="s">
        <v>811</v>
      </c>
    </row>
    <row r="126" spans="1:1">
      <c r="A126" t="s">
        <v>151</v>
      </c>
    </row>
    <row r="127" spans="1:1">
      <c r="A127" t="s">
        <v>836</v>
      </c>
    </row>
    <row r="128" spans="1:1">
      <c r="A128" t="s">
        <v>906</v>
      </c>
    </row>
    <row r="129" spans="1:1">
      <c r="A129" t="s">
        <v>907</v>
      </c>
    </row>
    <row r="130" spans="1:1">
      <c r="A130" t="s">
        <v>908</v>
      </c>
    </row>
    <row r="131" spans="1:1">
      <c r="A131" t="s">
        <v>909</v>
      </c>
    </row>
    <row r="132" spans="1:1">
      <c r="A132" t="s">
        <v>910</v>
      </c>
    </row>
    <row r="133" spans="1:1">
      <c r="A133" t="s">
        <v>911</v>
      </c>
    </row>
    <row r="134" spans="1:1">
      <c r="A134" t="s">
        <v>912</v>
      </c>
    </row>
    <row r="135" spans="1:1">
      <c r="A135" t="s">
        <v>913</v>
      </c>
    </row>
    <row r="136" spans="1:1">
      <c r="A136" t="s">
        <v>914</v>
      </c>
    </row>
    <row r="137" spans="1:1">
      <c r="A137" t="s">
        <v>915</v>
      </c>
    </row>
    <row r="138" spans="1:1">
      <c r="A138" t="s">
        <v>916</v>
      </c>
    </row>
    <row r="139" spans="1:1">
      <c r="A139" t="s">
        <v>917</v>
      </c>
    </row>
    <row r="140" spans="1:1">
      <c r="A140" t="s">
        <v>918</v>
      </c>
    </row>
    <row r="141" spans="1:1">
      <c r="A141" t="s">
        <v>919</v>
      </c>
    </row>
    <row r="142" spans="1:1">
      <c r="A142" t="s">
        <v>920</v>
      </c>
    </row>
    <row r="143" spans="1:1">
      <c r="A143" t="s">
        <v>4553</v>
      </c>
    </row>
    <row r="144" spans="1:1">
      <c r="A144" t="s">
        <v>812</v>
      </c>
    </row>
    <row r="145" spans="1:1">
      <c r="A145" t="s">
        <v>810</v>
      </c>
    </row>
    <row r="146" spans="1:1">
      <c r="A146" t="s">
        <v>811</v>
      </c>
    </row>
    <row r="147" spans="1:1">
      <c r="A147" t="s">
        <v>151</v>
      </c>
    </row>
    <row r="148" spans="1:1">
      <c r="A148" t="s">
        <v>836</v>
      </c>
    </row>
    <row r="149" spans="1:1">
      <c r="A149" t="s">
        <v>921</v>
      </c>
    </row>
    <row r="150" spans="1:1">
      <c r="A150" t="s">
        <v>838</v>
      </c>
    </row>
    <row r="151" spans="1:1">
      <c r="A151" t="s">
        <v>839</v>
      </c>
    </row>
    <row r="152" spans="1:1">
      <c r="A152" t="s">
        <v>840</v>
      </c>
    </row>
    <row r="153" spans="1:1">
      <c r="A153" t="s">
        <v>922</v>
      </c>
    </row>
    <row r="154" spans="1:1">
      <c r="A154" t="s">
        <v>923</v>
      </c>
    </row>
    <row r="155" spans="1:1">
      <c r="A155" t="s">
        <v>924</v>
      </c>
    </row>
    <row r="156" spans="1:1">
      <c r="A156" t="s">
        <v>844</v>
      </c>
    </row>
    <row r="157" spans="1:1">
      <c r="A157" t="s">
        <v>925</v>
      </c>
    </row>
    <row r="158" spans="1:1">
      <c r="A158" t="s">
        <v>926</v>
      </c>
    </row>
    <row r="159" spans="1:1">
      <c r="A159" t="s">
        <v>927</v>
      </c>
    </row>
    <row r="160" spans="1:1">
      <c r="A160" t="s">
        <v>848</v>
      </c>
    </row>
    <row r="161" spans="1:1">
      <c r="A161" t="s">
        <v>862</v>
      </c>
    </row>
    <row r="162" spans="1:1">
      <c r="A162" t="s">
        <v>863</v>
      </c>
    </row>
    <row r="163" spans="1:1">
      <c r="A163" t="s">
        <v>928</v>
      </c>
    </row>
    <row r="164" spans="1:1">
      <c r="A164" t="s">
        <v>929</v>
      </c>
    </row>
    <row r="165" spans="1:1">
      <c r="A165" t="s">
        <v>812</v>
      </c>
    </row>
    <row r="166" spans="1:1">
      <c r="A166" t="s">
        <v>810</v>
      </c>
    </row>
    <row r="167" spans="1:1">
      <c r="A167" t="s">
        <v>811</v>
      </c>
    </row>
    <row r="168" spans="1:1">
      <c r="A168" t="s">
        <v>151</v>
      </c>
    </row>
    <row r="169" spans="1:1">
      <c r="A169" t="s">
        <v>836</v>
      </c>
    </row>
    <row r="170" spans="1:1">
      <c r="A170" t="s">
        <v>930</v>
      </c>
    </row>
    <row r="171" spans="1:1">
      <c r="A171" t="s">
        <v>838</v>
      </c>
    </row>
    <row r="172" spans="1:1">
      <c r="A172" t="s">
        <v>839</v>
      </c>
    </row>
    <row r="173" spans="1:1">
      <c r="A173" t="s">
        <v>931</v>
      </c>
    </row>
    <row r="174" spans="1:1">
      <c r="A174" t="s">
        <v>932</v>
      </c>
    </row>
    <row r="175" spans="1:1">
      <c r="A175" t="s">
        <v>842</v>
      </c>
    </row>
    <row r="176" spans="1:1">
      <c r="A176" t="s">
        <v>843</v>
      </c>
    </row>
    <row r="177" spans="1:1">
      <c r="A177" t="s">
        <v>933</v>
      </c>
    </row>
    <row r="178" spans="1:1">
      <c r="A178" t="s">
        <v>934</v>
      </c>
    </row>
    <row r="179" spans="1:1">
      <c r="A179" t="s">
        <v>915</v>
      </c>
    </row>
    <row r="180" spans="1:1">
      <c r="A180" t="s">
        <v>935</v>
      </c>
    </row>
    <row r="181" spans="1:1">
      <c r="A181" t="s">
        <v>936</v>
      </c>
    </row>
    <row r="182" spans="1:1">
      <c r="A182" t="s">
        <v>937</v>
      </c>
    </row>
    <row r="183" spans="1:1">
      <c r="A183" t="s">
        <v>938</v>
      </c>
    </row>
    <row r="184" spans="1:1">
      <c r="A184" t="s">
        <v>939</v>
      </c>
    </row>
    <row r="185" spans="1:1">
      <c r="A185" t="s">
        <v>940</v>
      </c>
    </row>
    <row r="186" spans="1:1">
      <c r="A186" t="s">
        <v>812</v>
      </c>
    </row>
    <row r="187" spans="1:1">
      <c r="A187" t="s">
        <v>810</v>
      </c>
    </row>
    <row r="188" spans="1:1">
      <c r="A188" t="s">
        <v>811</v>
      </c>
    </row>
    <row r="189" spans="1:1">
      <c r="A189" t="s">
        <v>151</v>
      </c>
    </row>
    <row r="190" spans="1:1">
      <c r="A190" t="s">
        <v>836</v>
      </c>
    </row>
    <row r="191" spans="1:1">
      <c r="A191" t="s">
        <v>941</v>
      </c>
    </row>
    <row r="192" spans="1:1">
      <c r="A192" t="s">
        <v>838</v>
      </c>
    </row>
    <row r="193" spans="1:1">
      <c r="A193" t="s">
        <v>839</v>
      </c>
    </row>
    <row r="194" spans="1:1">
      <c r="A194" t="s">
        <v>894</v>
      </c>
    </row>
    <row r="195" spans="1:1">
      <c r="A195" t="s">
        <v>895</v>
      </c>
    </row>
    <row r="196" spans="1:1">
      <c r="A196" t="s">
        <v>842</v>
      </c>
    </row>
    <row r="197" spans="1:1">
      <c r="A197" t="s">
        <v>843</v>
      </c>
    </row>
    <row r="198" spans="1:1">
      <c r="A198" t="s">
        <v>896</v>
      </c>
    </row>
    <row r="199" spans="1:1">
      <c r="A199" t="s">
        <v>897</v>
      </c>
    </row>
    <row r="200" spans="1:1">
      <c r="A200" t="s">
        <v>898</v>
      </c>
    </row>
    <row r="201" spans="1:1">
      <c r="A201" t="s">
        <v>899</v>
      </c>
    </row>
    <row r="202" spans="1:1">
      <c r="A202" t="s">
        <v>900</v>
      </c>
    </row>
    <row r="203" spans="1:1">
      <c r="A203" t="s">
        <v>890</v>
      </c>
    </row>
    <row r="204" spans="1:1">
      <c r="A204" t="s">
        <v>942</v>
      </c>
    </row>
    <row r="205" spans="1:1">
      <c r="A205" t="s">
        <v>943</v>
      </c>
    </row>
    <row r="206" spans="1:1">
      <c r="A206" t="s">
        <v>4554</v>
      </c>
    </row>
    <row r="207" spans="1:1">
      <c r="A207" t="s">
        <v>812</v>
      </c>
    </row>
    <row r="208" spans="1:1">
      <c r="A208" t="s">
        <v>810</v>
      </c>
    </row>
    <row r="209" spans="1:1">
      <c r="A209" t="s">
        <v>811</v>
      </c>
    </row>
    <row r="210" spans="1:1">
      <c r="A210" t="s">
        <v>151</v>
      </c>
    </row>
    <row r="211" spans="1:1">
      <c r="A211" t="s">
        <v>836</v>
      </c>
    </row>
    <row r="212" spans="1:1">
      <c r="A212" t="s">
        <v>944</v>
      </c>
    </row>
    <row r="213" spans="1:1">
      <c r="A213" t="s">
        <v>838</v>
      </c>
    </row>
    <row r="214" spans="1:1">
      <c r="A214" t="s">
        <v>839</v>
      </c>
    </row>
    <row r="215" spans="1:1">
      <c r="A215" t="s">
        <v>894</v>
      </c>
    </row>
    <row r="216" spans="1:1">
      <c r="A216" t="s">
        <v>895</v>
      </c>
    </row>
    <row r="217" spans="1:1">
      <c r="A217" t="s">
        <v>842</v>
      </c>
    </row>
    <row r="218" spans="1:1">
      <c r="A218" t="s">
        <v>843</v>
      </c>
    </row>
    <row r="219" spans="1:1">
      <c r="A219" t="s">
        <v>896</v>
      </c>
    </row>
    <row r="220" spans="1:1">
      <c r="A220" t="s">
        <v>897</v>
      </c>
    </row>
    <row r="221" spans="1:1">
      <c r="A221" t="s">
        <v>898</v>
      </c>
    </row>
    <row r="222" spans="1:1">
      <c r="A222" t="s">
        <v>899</v>
      </c>
    </row>
    <row r="223" spans="1:1">
      <c r="A223" t="s">
        <v>900</v>
      </c>
    </row>
    <row r="224" spans="1:1">
      <c r="A224" t="s">
        <v>901</v>
      </c>
    </row>
    <row r="225" spans="1:1">
      <c r="A225" t="s">
        <v>902</v>
      </c>
    </row>
    <row r="226" spans="1:1">
      <c r="A226" t="s">
        <v>945</v>
      </c>
    </row>
    <row r="227" spans="1:1">
      <c r="A227" t="s">
        <v>4555</v>
      </c>
    </row>
    <row r="228" spans="1:1">
      <c r="A228" t="s">
        <v>815</v>
      </c>
    </row>
    <row r="229" spans="1:1">
      <c r="A229" t="s">
        <v>810</v>
      </c>
    </row>
    <row r="230" spans="1:1">
      <c r="A230" t="s">
        <v>811</v>
      </c>
    </row>
    <row r="231" spans="1:1">
      <c r="A231" t="s">
        <v>151</v>
      </c>
    </row>
    <row r="232" spans="1:1">
      <c r="A232" t="s">
        <v>836</v>
      </c>
    </row>
    <row r="233" spans="1:1">
      <c r="A233" t="s">
        <v>944</v>
      </c>
    </row>
    <row r="234" spans="1:1">
      <c r="A234" t="s">
        <v>838</v>
      </c>
    </row>
    <row r="235" spans="1:1">
      <c r="A235" t="s">
        <v>839</v>
      </c>
    </row>
    <row r="236" spans="1:1">
      <c r="A236" t="s">
        <v>894</v>
      </c>
    </row>
    <row r="237" spans="1:1">
      <c r="A237" t="s">
        <v>895</v>
      </c>
    </row>
    <row r="238" spans="1:1">
      <c r="A238" t="s">
        <v>842</v>
      </c>
    </row>
    <row r="239" spans="1:1">
      <c r="A239" t="s">
        <v>843</v>
      </c>
    </row>
    <row r="240" spans="1:1">
      <c r="A240" t="s">
        <v>896</v>
      </c>
    </row>
    <row r="241" spans="1:1">
      <c r="A241" t="s">
        <v>897</v>
      </c>
    </row>
    <row r="242" spans="1:1">
      <c r="A242" t="s">
        <v>898</v>
      </c>
    </row>
    <row r="243" spans="1:1">
      <c r="A243" t="s">
        <v>899</v>
      </c>
    </row>
    <row r="244" spans="1:1">
      <c r="A244" t="s">
        <v>900</v>
      </c>
    </row>
    <row r="245" spans="1:1">
      <c r="A245" t="s">
        <v>901</v>
      </c>
    </row>
    <row r="246" spans="1:1">
      <c r="A246" t="s">
        <v>902</v>
      </c>
    </row>
    <row r="247" spans="1:1">
      <c r="A247" t="s">
        <v>946</v>
      </c>
    </row>
    <row r="248" spans="1:1">
      <c r="A248" t="s">
        <v>4555</v>
      </c>
    </row>
    <row r="249" spans="1:1">
      <c r="A249" t="s">
        <v>816</v>
      </c>
    </row>
    <row r="250" spans="1:1">
      <c r="A250" t="s">
        <v>810</v>
      </c>
    </row>
    <row r="251" spans="1:1">
      <c r="A251" t="s">
        <v>811</v>
      </c>
    </row>
    <row r="252" spans="1:1">
      <c r="A252" t="s">
        <v>151</v>
      </c>
    </row>
    <row r="253" spans="1:1">
      <c r="A253" t="s">
        <v>836</v>
      </c>
    </row>
    <row r="254" spans="1:1">
      <c r="A254" t="s">
        <v>947</v>
      </c>
    </row>
    <row r="255" spans="1:1">
      <c r="A255" t="s">
        <v>948</v>
      </c>
    </row>
    <row r="256" spans="1:1">
      <c r="A256" t="s">
        <v>949</v>
      </c>
    </row>
    <row r="257" spans="1:1">
      <c r="A257" t="s">
        <v>894</v>
      </c>
    </row>
    <row r="258" spans="1:1">
      <c r="A258" t="s">
        <v>895</v>
      </c>
    </row>
    <row r="259" spans="1:1">
      <c r="A259" t="s">
        <v>842</v>
      </c>
    </row>
    <row r="260" spans="1:1">
      <c r="A260" t="s">
        <v>843</v>
      </c>
    </row>
    <row r="261" spans="1:1">
      <c r="A261" t="s">
        <v>950</v>
      </c>
    </row>
    <row r="262" spans="1:1">
      <c r="A262" t="s">
        <v>951</v>
      </c>
    </row>
    <row r="263" spans="1:1">
      <c r="A263" t="s">
        <v>952</v>
      </c>
    </row>
    <row r="264" spans="1:1">
      <c r="A264" t="s">
        <v>953</v>
      </c>
    </row>
    <row r="265" spans="1:1">
      <c r="A265" t="s">
        <v>954</v>
      </c>
    </row>
    <row r="266" spans="1:1">
      <c r="A266" t="s">
        <v>901</v>
      </c>
    </row>
    <row r="267" spans="1:1">
      <c r="A267" t="s">
        <v>902</v>
      </c>
    </row>
    <row r="268" spans="1:1">
      <c r="A268" t="s">
        <v>955</v>
      </c>
    </row>
    <row r="269" spans="1:1">
      <c r="A269" t="s">
        <v>4556</v>
      </c>
    </row>
    <row r="270" spans="1:1">
      <c r="A270" t="s">
        <v>812</v>
      </c>
    </row>
    <row r="271" spans="1:1">
      <c r="A271" t="s">
        <v>810</v>
      </c>
    </row>
    <row r="272" spans="1:1">
      <c r="A272" t="s">
        <v>811</v>
      </c>
    </row>
    <row r="273" spans="1:1">
      <c r="A273" t="s">
        <v>151</v>
      </c>
    </row>
    <row r="274" spans="1:1">
      <c r="A274" t="s">
        <v>836</v>
      </c>
    </row>
    <row r="275" spans="1:1">
      <c r="A275" t="s">
        <v>956</v>
      </c>
    </row>
    <row r="276" spans="1:1">
      <c r="A276" t="s">
        <v>957</v>
      </c>
    </row>
    <row r="277" spans="1:1">
      <c r="A277" t="s">
        <v>958</v>
      </c>
    </row>
    <row r="278" spans="1:1">
      <c r="A278" t="s">
        <v>959</v>
      </c>
    </row>
    <row r="279" spans="1:1">
      <c r="A279" t="s">
        <v>960</v>
      </c>
    </row>
    <row r="280" spans="1:1">
      <c r="A280" t="s">
        <v>842</v>
      </c>
    </row>
    <row r="281" spans="1:1">
      <c r="A281" t="s">
        <v>843</v>
      </c>
    </row>
    <row r="282" spans="1:1">
      <c r="A282" t="s">
        <v>961</v>
      </c>
    </row>
    <row r="283" spans="1:1">
      <c r="A283" t="s">
        <v>962</v>
      </c>
    </row>
    <row r="284" spans="1:1">
      <c r="A284" t="s">
        <v>952</v>
      </c>
    </row>
    <row r="285" spans="1:1">
      <c r="A285" t="s">
        <v>899</v>
      </c>
    </row>
    <row r="286" spans="1:1">
      <c r="A286" t="s">
        <v>963</v>
      </c>
    </row>
    <row r="287" spans="1:1">
      <c r="A287" t="s">
        <v>901</v>
      </c>
    </row>
    <row r="288" spans="1:1">
      <c r="A288" t="s">
        <v>902</v>
      </c>
    </row>
    <row r="289" spans="1:1">
      <c r="A289" t="s">
        <v>964</v>
      </c>
    </row>
    <row r="290" spans="1:1">
      <c r="A290" t="s">
        <v>4557</v>
      </c>
    </row>
    <row r="291" spans="1:1">
      <c r="A291" t="s">
        <v>817</v>
      </c>
    </row>
    <row r="292" spans="1:1">
      <c r="A292" t="s">
        <v>810</v>
      </c>
    </row>
    <row r="293" spans="1:1">
      <c r="A293" t="s">
        <v>811</v>
      </c>
    </row>
    <row r="294" spans="1:1">
      <c r="A294" t="s">
        <v>151</v>
      </c>
    </row>
    <row r="295" spans="1:1">
      <c r="A295" t="s">
        <v>836</v>
      </c>
    </row>
    <row r="296" spans="1:1">
      <c r="A296" t="s">
        <v>956</v>
      </c>
    </row>
    <row r="297" spans="1:1">
      <c r="A297" t="s">
        <v>957</v>
      </c>
    </row>
    <row r="298" spans="1:1">
      <c r="A298" t="s">
        <v>958</v>
      </c>
    </row>
    <row r="299" spans="1:1">
      <c r="A299" t="s">
        <v>959</v>
      </c>
    </row>
    <row r="300" spans="1:1">
      <c r="A300" t="s">
        <v>960</v>
      </c>
    </row>
    <row r="301" spans="1:1">
      <c r="A301" t="s">
        <v>842</v>
      </c>
    </row>
    <row r="302" spans="1:1">
      <c r="A302" t="s">
        <v>843</v>
      </c>
    </row>
    <row r="303" spans="1:1">
      <c r="A303" t="s">
        <v>961</v>
      </c>
    </row>
    <row r="304" spans="1:1">
      <c r="A304" t="s">
        <v>962</v>
      </c>
    </row>
    <row r="305" spans="1:1">
      <c r="A305" t="s">
        <v>952</v>
      </c>
    </row>
    <row r="306" spans="1:1">
      <c r="A306" t="s">
        <v>899</v>
      </c>
    </row>
    <row r="307" spans="1:1">
      <c r="A307" t="s">
        <v>963</v>
      </c>
    </row>
    <row r="308" spans="1:1">
      <c r="A308" t="s">
        <v>901</v>
      </c>
    </row>
    <row r="309" spans="1:1">
      <c r="A309" t="s">
        <v>902</v>
      </c>
    </row>
    <row r="310" spans="1:1">
      <c r="A310" t="s">
        <v>965</v>
      </c>
    </row>
    <row r="311" spans="1:1">
      <c r="A311" t="s">
        <v>4557</v>
      </c>
    </row>
    <row r="312" spans="1:1">
      <c r="A312" t="s">
        <v>818</v>
      </c>
    </row>
    <row r="313" spans="1:1">
      <c r="A313" t="s">
        <v>810</v>
      </c>
    </row>
    <row r="314" spans="1:1">
      <c r="A314" t="s">
        <v>811</v>
      </c>
    </row>
    <row r="315" spans="1:1">
      <c r="A315" t="s">
        <v>151</v>
      </c>
    </row>
    <row r="316" spans="1:1">
      <c r="A316" t="s">
        <v>836</v>
      </c>
    </row>
    <row r="317" spans="1:1">
      <c r="A317" t="s">
        <v>966</v>
      </c>
    </row>
    <row r="318" spans="1:1">
      <c r="A318" t="s">
        <v>838</v>
      </c>
    </row>
    <row r="319" spans="1:1">
      <c r="A319" t="s">
        <v>839</v>
      </c>
    </row>
    <row r="320" spans="1:1">
      <c r="A320" t="s">
        <v>894</v>
      </c>
    </row>
    <row r="321" spans="1:1">
      <c r="A321" t="s">
        <v>895</v>
      </c>
    </row>
    <row r="322" spans="1:1">
      <c r="A322" t="s">
        <v>842</v>
      </c>
    </row>
    <row r="323" spans="1:1">
      <c r="A323" t="s">
        <v>843</v>
      </c>
    </row>
    <row r="324" spans="1:1">
      <c r="A324" t="s">
        <v>896</v>
      </c>
    </row>
    <row r="325" spans="1:1">
      <c r="A325" t="s">
        <v>897</v>
      </c>
    </row>
    <row r="326" spans="1:1">
      <c r="A326" t="s">
        <v>898</v>
      </c>
    </row>
    <row r="327" spans="1:1">
      <c r="A327" t="s">
        <v>899</v>
      </c>
    </row>
    <row r="328" spans="1:1">
      <c r="A328" t="s">
        <v>900</v>
      </c>
    </row>
    <row r="329" spans="1:1">
      <c r="A329" t="s">
        <v>901</v>
      </c>
    </row>
    <row r="330" spans="1:1">
      <c r="A330" t="s">
        <v>902</v>
      </c>
    </row>
    <row r="331" spans="1:1">
      <c r="A331" t="s">
        <v>967</v>
      </c>
    </row>
    <row r="332" spans="1:1">
      <c r="A332" t="s">
        <v>4558</v>
      </c>
    </row>
    <row r="333" spans="1:1">
      <c r="A333" t="s">
        <v>812</v>
      </c>
    </row>
    <row r="334" spans="1:1">
      <c r="A334" t="s">
        <v>810</v>
      </c>
    </row>
    <row r="335" spans="1:1">
      <c r="A335" t="s">
        <v>811</v>
      </c>
    </row>
    <row r="336" spans="1:1">
      <c r="A336" t="s">
        <v>151</v>
      </c>
    </row>
    <row r="337" spans="1:1">
      <c r="A337" t="s">
        <v>836</v>
      </c>
    </row>
    <row r="338" spans="1:1">
      <c r="A338" t="s">
        <v>968</v>
      </c>
    </row>
    <row r="339" spans="1:1">
      <c r="A339" t="s">
        <v>969</v>
      </c>
    </row>
    <row r="340" spans="1:1">
      <c r="A340" t="s">
        <v>970</v>
      </c>
    </row>
    <row r="341" spans="1:1">
      <c r="A341" t="s">
        <v>894</v>
      </c>
    </row>
    <row r="342" spans="1:1">
      <c r="A342" t="s">
        <v>895</v>
      </c>
    </row>
    <row r="343" spans="1:1">
      <c r="A343" t="s">
        <v>842</v>
      </c>
    </row>
    <row r="344" spans="1:1">
      <c r="A344" t="s">
        <v>843</v>
      </c>
    </row>
    <row r="345" spans="1:1">
      <c r="A345" t="s">
        <v>971</v>
      </c>
    </row>
    <row r="346" spans="1:1">
      <c r="A346" t="s">
        <v>972</v>
      </c>
    </row>
    <row r="347" spans="1:1">
      <c r="A347" t="s">
        <v>973</v>
      </c>
    </row>
    <row r="348" spans="1:1">
      <c r="A348" t="s">
        <v>974</v>
      </c>
    </row>
    <row r="349" spans="1:1">
      <c r="A349" t="s">
        <v>975</v>
      </c>
    </row>
    <row r="350" spans="1:1">
      <c r="A350" t="s">
        <v>976</v>
      </c>
    </row>
    <row r="351" spans="1:1">
      <c r="A351" t="s">
        <v>977</v>
      </c>
    </row>
    <row r="352" spans="1:1">
      <c r="A352" t="s">
        <v>978</v>
      </c>
    </row>
    <row r="353" spans="1:1">
      <c r="A353" t="s">
        <v>979</v>
      </c>
    </row>
    <row r="354" spans="1:1">
      <c r="A354" t="s">
        <v>812</v>
      </c>
    </row>
    <row r="355" spans="1:1">
      <c r="A355" t="s">
        <v>810</v>
      </c>
    </row>
    <row r="356" spans="1:1">
      <c r="A356" t="s">
        <v>811</v>
      </c>
    </row>
    <row r="357" spans="1:1">
      <c r="A357" t="s">
        <v>151</v>
      </c>
    </row>
    <row r="358" spans="1:1">
      <c r="A358" t="s">
        <v>836</v>
      </c>
    </row>
    <row r="359" spans="1:1">
      <c r="A359" t="s">
        <v>980</v>
      </c>
    </row>
    <row r="360" spans="1:1">
      <c r="A360" t="s">
        <v>981</v>
      </c>
    </row>
    <row r="361" spans="1:1">
      <c r="A361" t="s">
        <v>982</v>
      </c>
    </row>
    <row r="362" spans="1:1">
      <c r="A362" t="s">
        <v>983</v>
      </c>
    </row>
    <row r="363" spans="1:1">
      <c r="A363" t="s">
        <v>984</v>
      </c>
    </row>
    <row r="364" spans="1:1">
      <c r="A364" t="s">
        <v>842</v>
      </c>
    </row>
    <row r="365" spans="1:1">
      <c r="A365" t="s">
        <v>843</v>
      </c>
    </row>
    <row r="366" spans="1:1">
      <c r="A366" t="s">
        <v>985</v>
      </c>
    </row>
    <row r="367" spans="1:1">
      <c r="A367" t="s">
        <v>986</v>
      </c>
    </row>
    <row r="368" spans="1:1">
      <c r="A368" t="s">
        <v>987</v>
      </c>
    </row>
    <row r="369" spans="1:1">
      <c r="A369" t="s">
        <v>899</v>
      </c>
    </row>
    <row r="370" spans="1:1">
      <c r="A370" t="s">
        <v>988</v>
      </c>
    </row>
    <row r="371" spans="1:1">
      <c r="A371" t="s">
        <v>976</v>
      </c>
    </row>
    <row r="372" spans="1:1">
      <c r="A372" t="s">
        <v>989</v>
      </c>
    </row>
    <row r="373" spans="1:1">
      <c r="A373" t="s">
        <v>990</v>
      </c>
    </row>
    <row r="374" spans="1:1">
      <c r="A374" t="s">
        <v>991</v>
      </c>
    </row>
    <row r="375" spans="1:1">
      <c r="A375" t="s">
        <v>4559</v>
      </c>
    </row>
    <row r="376" spans="1:1">
      <c r="A376" t="s">
        <v>810</v>
      </c>
    </row>
    <row r="377" spans="1:1">
      <c r="A377" t="s">
        <v>811</v>
      </c>
    </row>
    <row r="378" spans="1:1">
      <c r="A378" t="s">
        <v>151</v>
      </c>
    </row>
    <row r="379" spans="1:1">
      <c r="A379" t="s">
        <v>836</v>
      </c>
    </row>
    <row r="380" spans="1:1">
      <c r="A380" t="s">
        <v>980</v>
      </c>
    </row>
    <row r="381" spans="1:1">
      <c r="A381" t="s">
        <v>981</v>
      </c>
    </row>
    <row r="382" spans="1:1">
      <c r="A382" t="s">
        <v>982</v>
      </c>
    </row>
    <row r="383" spans="1:1">
      <c r="A383" t="s">
        <v>983</v>
      </c>
    </row>
    <row r="384" spans="1:1">
      <c r="A384" t="s">
        <v>984</v>
      </c>
    </row>
    <row r="385" spans="1:1">
      <c r="A385" t="s">
        <v>842</v>
      </c>
    </row>
    <row r="386" spans="1:1">
      <c r="A386" t="s">
        <v>843</v>
      </c>
    </row>
    <row r="387" spans="1:1">
      <c r="A387" t="s">
        <v>985</v>
      </c>
    </row>
    <row r="388" spans="1:1">
      <c r="A388" t="s">
        <v>986</v>
      </c>
    </row>
    <row r="389" spans="1:1">
      <c r="A389" t="s">
        <v>987</v>
      </c>
    </row>
    <row r="390" spans="1:1">
      <c r="A390" t="s">
        <v>899</v>
      </c>
    </row>
    <row r="391" spans="1:1">
      <c r="A391" t="s">
        <v>988</v>
      </c>
    </row>
    <row r="392" spans="1:1">
      <c r="A392" t="s">
        <v>976</v>
      </c>
    </row>
    <row r="393" spans="1:1">
      <c r="A393" t="s">
        <v>989</v>
      </c>
    </row>
    <row r="394" spans="1:1">
      <c r="A394" t="s">
        <v>992</v>
      </c>
    </row>
    <row r="395" spans="1:1">
      <c r="A395" t="s">
        <v>991</v>
      </c>
    </row>
    <row r="396" spans="1:1">
      <c r="A396" t="s">
        <v>4560</v>
      </c>
    </row>
    <row r="397" spans="1:1">
      <c r="A397" t="s">
        <v>810</v>
      </c>
    </row>
    <row r="398" spans="1:1">
      <c r="A398" t="s">
        <v>811</v>
      </c>
    </row>
    <row r="399" spans="1:1">
      <c r="A399" t="s">
        <v>151</v>
      </c>
    </row>
    <row r="400" spans="1:1">
      <c r="A400" t="s">
        <v>836</v>
      </c>
    </row>
    <row r="401" spans="1:1">
      <c r="A401" t="s">
        <v>993</v>
      </c>
    </row>
    <row r="402" spans="1:1">
      <c r="A402" t="s">
        <v>994</v>
      </c>
    </row>
    <row r="403" spans="1:1">
      <c r="A403" t="s">
        <v>995</v>
      </c>
    </row>
    <row r="404" spans="1:1">
      <c r="A404" t="s">
        <v>996</v>
      </c>
    </row>
    <row r="405" spans="1:1">
      <c r="A405" t="s">
        <v>932</v>
      </c>
    </row>
    <row r="406" spans="1:1">
      <c r="A406" t="s">
        <v>842</v>
      </c>
    </row>
    <row r="407" spans="1:1">
      <c r="A407" t="s">
        <v>843</v>
      </c>
    </row>
    <row r="408" spans="1:1">
      <c r="A408" t="s">
        <v>857</v>
      </c>
    </row>
    <row r="409" spans="1:1">
      <c r="A409" t="s">
        <v>997</v>
      </c>
    </row>
    <row r="410" spans="1:1">
      <c r="A410" t="s">
        <v>998</v>
      </c>
    </row>
    <row r="411" spans="1:1">
      <c r="A411" t="s">
        <v>999</v>
      </c>
    </row>
    <row r="412" spans="1:1">
      <c r="A412" t="s">
        <v>1000</v>
      </c>
    </row>
    <row r="413" spans="1:1">
      <c r="A413" t="s">
        <v>918</v>
      </c>
    </row>
    <row r="414" spans="1:1">
      <c r="A414" t="s">
        <v>1001</v>
      </c>
    </row>
    <row r="415" spans="1:1">
      <c r="A415" t="s">
        <v>1002</v>
      </c>
    </row>
    <row r="416" spans="1:1">
      <c r="A416" t="s">
        <v>4561</v>
      </c>
    </row>
    <row r="417" spans="1:1">
      <c r="A417" t="s">
        <v>812</v>
      </c>
    </row>
    <row r="418" spans="1:1">
      <c r="A418" t="s">
        <v>810</v>
      </c>
    </row>
    <row r="419" spans="1:1">
      <c r="A419" t="s">
        <v>811</v>
      </c>
    </row>
    <row r="420" spans="1:1">
      <c r="A420" t="s">
        <v>151</v>
      </c>
    </row>
    <row r="421" spans="1:1">
      <c r="A421" t="s">
        <v>836</v>
      </c>
    </row>
    <row r="422" spans="1:1">
      <c r="A422" t="s">
        <v>1003</v>
      </c>
    </row>
    <row r="423" spans="1:1">
      <c r="A423" t="s">
        <v>838</v>
      </c>
    </row>
    <row r="424" spans="1:1">
      <c r="A424" t="s">
        <v>839</v>
      </c>
    </row>
    <row r="425" spans="1:1">
      <c r="A425" t="s">
        <v>1004</v>
      </c>
    </row>
    <row r="426" spans="1:1">
      <c r="A426" t="s">
        <v>1005</v>
      </c>
    </row>
    <row r="427" spans="1:1">
      <c r="A427" t="s">
        <v>1006</v>
      </c>
    </row>
    <row r="428" spans="1:1">
      <c r="A428" t="s">
        <v>1007</v>
      </c>
    </row>
    <row r="429" spans="1:1">
      <c r="A429" t="s">
        <v>1008</v>
      </c>
    </row>
    <row r="430" spans="1:1">
      <c r="A430" t="s">
        <v>897</v>
      </c>
    </row>
    <row r="431" spans="1:1">
      <c r="A431" t="s">
        <v>1009</v>
      </c>
    </row>
    <row r="432" spans="1:1">
      <c r="A432" t="s">
        <v>1010</v>
      </c>
    </row>
    <row r="433" spans="1:1">
      <c r="A433" t="s">
        <v>1011</v>
      </c>
    </row>
    <row r="434" spans="1:1">
      <c r="A434" t="s">
        <v>901</v>
      </c>
    </row>
    <row r="435" spans="1:1">
      <c r="A435" t="s">
        <v>902</v>
      </c>
    </row>
    <row r="436" spans="1:1">
      <c r="A436" t="s">
        <v>903</v>
      </c>
    </row>
    <row r="437" spans="1:1">
      <c r="A437" t="s">
        <v>4562</v>
      </c>
    </row>
    <row r="438" spans="1:1">
      <c r="A438" t="s">
        <v>812</v>
      </c>
    </row>
    <row r="439" spans="1:1">
      <c r="A439" t="s">
        <v>810</v>
      </c>
    </row>
    <row r="440" spans="1:1">
      <c r="A440" t="s">
        <v>811</v>
      </c>
    </row>
    <row r="441" spans="1:1">
      <c r="A441" t="s">
        <v>151</v>
      </c>
    </row>
    <row r="442" spans="1:1">
      <c r="A442" t="s">
        <v>836</v>
      </c>
    </row>
    <row r="443" spans="1:1">
      <c r="A443" t="s">
        <v>1012</v>
      </c>
    </row>
    <row r="444" spans="1:1">
      <c r="A444" t="s">
        <v>838</v>
      </c>
    </row>
    <row r="445" spans="1:1">
      <c r="A445" t="s">
        <v>839</v>
      </c>
    </row>
    <row r="446" spans="1:1">
      <c r="A446" t="s">
        <v>894</v>
      </c>
    </row>
    <row r="447" spans="1:1">
      <c r="A447" t="s">
        <v>895</v>
      </c>
    </row>
    <row r="448" spans="1:1">
      <c r="A448" t="s">
        <v>842</v>
      </c>
    </row>
    <row r="449" spans="1:1">
      <c r="A449" t="s">
        <v>843</v>
      </c>
    </row>
    <row r="450" spans="1:1">
      <c r="A450" t="s">
        <v>896</v>
      </c>
    </row>
    <row r="451" spans="1:1">
      <c r="A451" t="s">
        <v>897</v>
      </c>
    </row>
    <row r="452" spans="1:1">
      <c r="A452" t="s">
        <v>898</v>
      </c>
    </row>
    <row r="453" spans="1:1">
      <c r="A453" t="s">
        <v>899</v>
      </c>
    </row>
    <row r="454" spans="1:1">
      <c r="A454" t="s">
        <v>900</v>
      </c>
    </row>
    <row r="455" spans="1:1">
      <c r="A455" t="s">
        <v>901</v>
      </c>
    </row>
    <row r="456" spans="1:1">
      <c r="A456" t="s">
        <v>902</v>
      </c>
    </row>
    <row r="457" spans="1:1">
      <c r="A457" t="s">
        <v>955</v>
      </c>
    </row>
    <row r="458" spans="1:1">
      <c r="A458" t="s">
        <v>4563</v>
      </c>
    </row>
    <row r="459" spans="1:1">
      <c r="A459" t="s">
        <v>4564</v>
      </c>
    </row>
    <row r="460" spans="1:1">
      <c r="A460" t="s">
        <v>810</v>
      </c>
    </row>
    <row r="461" spans="1:1">
      <c r="A461" t="s">
        <v>811</v>
      </c>
    </row>
    <row r="462" spans="1:1">
      <c r="A462" t="s">
        <v>151</v>
      </c>
    </row>
    <row r="463" spans="1:1">
      <c r="A463" t="s">
        <v>836</v>
      </c>
    </row>
    <row r="464" spans="1:1">
      <c r="A464" t="s">
        <v>1012</v>
      </c>
    </row>
    <row r="465" spans="1:1">
      <c r="A465" t="s">
        <v>838</v>
      </c>
    </row>
    <row r="466" spans="1:1">
      <c r="A466" t="s">
        <v>839</v>
      </c>
    </row>
    <row r="467" spans="1:1">
      <c r="A467" t="s">
        <v>894</v>
      </c>
    </row>
    <row r="468" spans="1:1">
      <c r="A468" t="s">
        <v>895</v>
      </c>
    </row>
    <row r="469" spans="1:1">
      <c r="A469" t="s">
        <v>842</v>
      </c>
    </row>
    <row r="470" spans="1:1">
      <c r="A470" t="s">
        <v>843</v>
      </c>
    </row>
    <row r="471" spans="1:1">
      <c r="A471" t="s">
        <v>896</v>
      </c>
    </row>
    <row r="472" spans="1:1">
      <c r="A472" t="s">
        <v>897</v>
      </c>
    </row>
    <row r="473" spans="1:1">
      <c r="A473" t="s">
        <v>898</v>
      </c>
    </row>
    <row r="474" spans="1:1">
      <c r="A474" t="s">
        <v>899</v>
      </c>
    </row>
    <row r="475" spans="1:1">
      <c r="A475" t="s">
        <v>900</v>
      </c>
    </row>
    <row r="476" spans="1:1">
      <c r="A476" t="s">
        <v>901</v>
      </c>
    </row>
    <row r="477" spans="1:1">
      <c r="A477" t="s">
        <v>902</v>
      </c>
    </row>
    <row r="478" spans="1:1">
      <c r="A478" t="s">
        <v>1013</v>
      </c>
    </row>
    <row r="479" spans="1:1">
      <c r="A479" t="s">
        <v>4563</v>
      </c>
    </row>
    <row r="480" spans="1:1">
      <c r="A480" t="s">
        <v>4565</v>
      </c>
    </row>
    <row r="481" spans="1:1">
      <c r="A481" t="s">
        <v>810</v>
      </c>
    </row>
    <row r="482" spans="1:1">
      <c r="A482" t="s">
        <v>811</v>
      </c>
    </row>
    <row r="483" spans="1:1">
      <c r="A483" t="s">
        <v>151</v>
      </c>
    </row>
    <row r="484" spans="1:1">
      <c r="A484" t="s">
        <v>836</v>
      </c>
    </row>
    <row r="485" spans="1:1">
      <c r="A485" t="s">
        <v>1014</v>
      </c>
    </row>
    <row r="486" spans="1:1">
      <c r="A486" t="s">
        <v>838</v>
      </c>
    </row>
    <row r="487" spans="1:1">
      <c r="A487" t="s">
        <v>839</v>
      </c>
    </row>
    <row r="488" spans="1:1">
      <c r="A488" t="s">
        <v>894</v>
      </c>
    </row>
    <row r="489" spans="1:1">
      <c r="A489" t="s">
        <v>895</v>
      </c>
    </row>
    <row r="490" spans="1:1">
      <c r="A490" t="s">
        <v>842</v>
      </c>
    </row>
    <row r="491" spans="1:1">
      <c r="A491" t="s">
        <v>843</v>
      </c>
    </row>
    <row r="492" spans="1:1">
      <c r="A492" t="s">
        <v>896</v>
      </c>
    </row>
    <row r="493" spans="1:1">
      <c r="A493" t="s">
        <v>897</v>
      </c>
    </row>
    <row r="494" spans="1:1">
      <c r="A494" t="s">
        <v>898</v>
      </c>
    </row>
    <row r="495" spans="1:1">
      <c r="A495" t="s">
        <v>899</v>
      </c>
    </row>
    <row r="496" spans="1:1">
      <c r="A496" t="s">
        <v>900</v>
      </c>
    </row>
    <row r="497" spans="1:1">
      <c r="A497" t="s">
        <v>901</v>
      </c>
    </row>
    <row r="498" spans="1:1">
      <c r="A498" t="s">
        <v>902</v>
      </c>
    </row>
    <row r="499" spans="1:1">
      <c r="A499" t="s">
        <v>964</v>
      </c>
    </row>
    <row r="500" spans="1:1">
      <c r="A500" t="s">
        <v>4566</v>
      </c>
    </row>
    <row r="501" spans="1:1">
      <c r="A501" t="s">
        <v>812</v>
      </c>
    </row>
    <row r="502" spans="1:1">
      <c r="A502" t="s">
        <v>810</v>
      </c>
    </row>
    <row r="503" spans="1:1">
      <c r="A503" t="s">
        <v>811</v>
      </c>
    </row>
    <row r="504" spans="1:1">
      <c r="A504" t="s">
        <v>151</v>
      </c>
    </row>
    <row r="505" spans="1:1">
      <c r="A505" t="s">
        <v>836</v>
      </c>
    </row>
    <row r="506" spans="1:1">
      <c r="A506" t="s">
        <v>1015</v>
      </c>
    </row>
    <row r="507" spans="1:1">
      <c r="A507" t="s">
        <v>838</v>
      </c>
    </row>
    <row r="508" spans="1:1">
      <c r="A508" t="s">
        <v>839</v>
      </c>
    </row>
    <row r="509" spans="1:1">
      <c r="A509" t="s">
        <v>894</v>
      </c>
    </row>
    <row r="510" spans="1:1">
      <c r="A510" t="s">
        <v>895</v>
      </c>
    </row>
    <row r="511" spans="1:1">
      <c r="A511" t="s">
        <v>842</v>
      </c>
    </row>
    <row r="512" spans="1:1">
      <c r="A512" t="s">
        <v>843</v>
      </c>
    </row>
    <row r="513" spans="1:1">
      <c r="A513" t="s">
        <v>896</v>
      </c>
    </row>
    <row r="514" spans="1:1">
      <c r="A514" t="s">
        <v>897</v>
      </c>
    </row>
    <row r="515" spans="1:1">
      <c r="A515" t="s">
        <v>898</v>
      </c>
    </row>
    <row r="516" spans="1:1">
      <c r="A516" t="s">
        <v>899</v>
      </c>
    </row>
    <row r="517" spans="1:1">
      <c r="A517" t="s">
        <v>900</v>
      </c>
    </row>
    <row r="518" spans="1:1">
      <c r="A518" t="s">
        <v>901</v>
      </c>
    </row>
    <row r="519" spans="1:1">
      <c r="A519" t="s">
        <v>902</v>
      </c>
    </row>
    <row r="520" spans="1:1">
      <c r="A520" t="s">
        <v>967</v>
      </c>
    </row>
    <row r="521" spans="1:1">
      <c r="A521" t="s">
        <v>1016</v>
      </c>
    </row>
    <row r="522" spans="1:1">
      <c r="A522" t="s">
        <v>812</v>
      </c>
    </row>
    <row r="523" spans="1:1">
      <c r="A523" t="s">
        <v>810</v>
      </c>
    </row>
    <row r="524" spans="1:1">
      <c r="A524" t="s">
        <v>811</v>
      </c>
    </row>
    <row r="525" spans="1:1">
      <c r="A525" t="s">
        <v>151</v>
      </c>
    </row>
    <row r="526" spans="1:1">
      <c r="A526" t="s">
        <v>836</v>
      </c>
    </row>
    <row r="527" spans="1:1">
      <c r="A527" t="s">
        <v>1017</v>
      </c>
    </row>
    <row r="528" spans="1:1">
      <c r="A528" t="s">
        <v>838</v>
      </c>
    </row>
    <row r="529" spans="1:1">
      <c r="A529" t="s">
        <v>839</v>
      </c>
    </row>
    <row r="530" spans="1:1">
      <c r="A530" t="s">
        <v>894</v>
      </c>
    </row>
    <row r="531" spans="1:1">
      <c r="A531" t="s">
        <v>895</v>
      </c>
    </row>
    <row r="532" spans="1:1">
      <c r="A532" t="s">
        <v>842</v>
      </c>
    </row>
    <row r="533" spans="1:1">
      <c r="A533" t="s">
        <v>843</v>
      </c>
    </row>
    <row r="534" spans="1:1">
      <c r="A534" t="s">
        <v>896</v>
      </c>
    </row>
    <row r="535" spans="1:1">
      <c r="A535" t="s">
        <v>897</v>
      </c>
    </row>
    <row r="536" spans="1:1">
      <c r="A536" t="s">
        <v>898</v>
      </c>
    </row>
    <row r="537" spans="1:1">
      <c r="A537" t="s">
        <v>899</v>
      </c>
    </row>
    <row r="538" spans="1:1">
      <c r="A538" t="s">
        <v>900</v>
      </c>
    </row>
    <row r="539" spans="1:1">
      <c r="A539" t="s">
        <v>901</v>
      </c>
    </row>
    <row r="540" spans="1:1">
      <c r="A540" t="s">
        <v>902</v>
      </c>
    </row>
    <row r="541" spans="1:1">
      <c r="A541" t="s">
        <v>1002</v>
      </c>
    </row>
    <row r="542" spans="1:1">
      <c r="A542" t="s">
        <v>1018</v>
      </c>
    </row>
    <row r="543" spans="1:1">
      <c r="A543" t="s">
        <v>812</v>
      </c>
    </row>
    <row r="544" spans="1:1">
      <c r="A544" t="s">
        <v>810</v>
      </c>
    </row>
    <row r="545" spans="1:1">
      <c r="A545" t="s">
        <v>811</v>
      </c>
    </row>
    <row r="546" spans="1:1">
      <c r="A546" t="s">
        <v>151</v>
      </c>
    </row>
    <row r="547" spans="1:1">
      <c r="A547" t="s">
        <v>836</v>
      </c>
    </row>
    <row r="548" spans="1:1">
      <c r="A548" t="s">
        <v>837</v>
      </c>
    </row>
    <row r="549" spans="1:1">
      <c r="A549" t="s">
        <v>838</v>
      </c>
    </row>
    <row r="550" spans="1:1">
      <c r="A550" t="s">
        <v>839</v>
      </c>
    </row>
    <row r="551" spans="1:1">
      <c r="A551" t="s">
        <v>840</v>
      </c>
    </row>
    <row r="552" spans="1:1">
      <c r="A552" t="s">
        <v>841</v>
      </c>
    </row>
    <row r="553" spans="1:1">
      <c r="A553" t="s">
        <v>842</v>
      </c>
    </row>
    <row r="554" spans="1:1">
      <c r="A554" t="s">
        <v>843</v>
      </c>
    </row>
    <row r="555" spans="1:1">
      <c r="A555" t="s">
        <v>844</v>
      </c>
    </row>
    <row r="556" spans="1:1">
      <c r="A556" t="s">
        <v>845</v>
      </c>
    </row>
    <row r="557" spans="1:1">
      <c r="A557" t="s">
        <v>846</v>
      </c>
    </row>
    <row r="558" spans="1:1">
      <c r="A558" t="s">
        <v>847</v>
      </c>
    </row>
    <row r="559" spans="1:1">
      <c r="A559" t="s">
        <v>848</v>
      </c>
    </row>
    <row r="560" spans="1:1">
      <c r="A560" t="s">
        <v>849</v>
      </c>
    </row>
    <row r="561" spans="1:1">
      <c r="A561" t="s">
        <v>850</v>
      </c>
    </row>
    <row r="562" spans="1:1">
      <c r="A562" t="s">
        <v>1002</v>
      </c>
    </row>
    <row r="563" spans="1:1">
      <c r="A563" t="s">
        <v>4548</v>
      </c>
    </row>
    <row r="564" spans="1:1">
      <c r="A564" t="s">
        <v>819</v>
      </c>
    </row>
    <row r="565" spans="1:1">
      <c r="A565" t="s">
        <v>810</v>
      </c>
    </row>
    <row r="566" spans="1:1">
      <c r="A566" t="s">
        <v>811</v>
      </c>
    </row>
    <row r="567" spans="1:1">
      <c r="A567" t="s">
        <v>151</v>
      </c>
    </row>
    <row r="568" spans="1:1">
      <c r="A568" t="s">
        <v>836</v>
      </c>
    </row>
    <row r="569" spans="1:1">
      <c r="A569" t="s">
        <v>1019</v>
      </c>
    </row>
    <row r="570" spans="1:1">
      <c r="A570" t="s">
        <v>838</v>
      </c>
    </row>
    <row r="571" spans="1:1">
      <c r="A571" t="s">
        <v>839</v>
      </c>
    </row>
    <row r="572" spans="1:1">
      <c r="A572" t="s">
        <v>1020</v>
      </c>
    </row>
    <row r="573" spans="1:1">
      <c r="A573" t="s">
        <v>1021</v>
      </c>
    </row>
    <row r="574" spans="1:1">
      <c r="A574" t="s">
        <v>842</v>
      </c>
    </row>
    <row r="575" spans="1:1">
      <c r="A575" t="s">
        <v>843</v>
      </c>
    </row>
    <row r="576" spans="1:1">
      <c r="A576" t="s">
        <v>1022</v>
      </c>
    </row>
    <row r="577" spans="1:1">
      <c r="A577" t="s">
        <v>897</v>
      </c>
    </row>
    <row r="578" spans="1:1">
      <c r="A578" t="s">
        <v>1023</v>
      </c>
    </row>
    <row r="579" spans="1:1">
      <c r="A579" t="s">
        <v>899</v>
      </c>
    </row>
    <row r="580" spans="1:1">
      <c r="A580" t="s">
        <v>1024</v>
      </c>
    </row>
    <row r="581" spans="1:1">
      <c r="A581" t="s">
        <v>1025</v>
      </c>
    </row>
    <row r="582" spans="1:1">
      <c r="A582" t="s">
        <v>1026</v>
      </c>
    </row>
    <row r="583" spans="1:1">
      <c r="A583" t="s">
        <v>1027</v>
      </c>
    </row>
    <row r="584" spans="1:1">
      <c r="A584" t="s">
        <v>4567</v>
      </c>
    </row>
    <row r="585" spans="1:1">
      <c r="A585" t="s">
        <v>812</v>
      </c>
    </row>
    <row r="586" spans="1:1">
      <c r="A586" t="s">
        <v>810</v>
      </c>
    </row>
    <row r="587" spans="1:1">
      <c r="A587" t="s">
        <v>811</v>
      </c>
    </row>
    <row r="588" spans="1:1">
      <c r="A588" t="s">
        <v>151</v>
      </c>
    </row>
    <row r="589" spans="1:1">
      <c r="A589" t="s">
        <v>836</v>
      </c>
    </row>
    <row r="590" spans="1:1">
      <c r="A590" t="s">
        <v>1028</v>
      </c>
    </row>
    <row r="591" spans="1:1">
      <c r="A591" t="s">
        <v>838</v>
      </c>
    </row>
    <row r="592" spans="1:1">
      <c r="A592" t="s">
        <v>839</v>
      </c>
    </row>
    <row r="593" spans="1:1">
      <c r="A593" t="s">
        <v>840</v>
      </c>
    </row>
    <row r="594" spans="1:1">
      <c r="A594" t="s">
        <v>841</v>
      </c>
    </row>
    <row r="595" spans="1:1">
      <c r="A595" t="s">
        <v>842</v>
      </c>
    </row>
    <row r="596" spans="1:1">
      <c r="A596" t="s">
        <v>843</v>
      </c>
    </row>
    <row r="597" spans="1:1">
      <c r="A597" t="s">
        <v>844</v>
      </c>
    </row>
    <row r="598" spans="1:1">
      <c r="A598" t="s">
        <v>1029</v>
      </c>
    </row>
    <row r="599" spans="1:1">
      <c r="A599" t="s">
        <v>846</v>
      </c>
    </row>
    <row r="600" spans="1:1">
      <c r="A600" t="s">
        <v>847</v>
      </c>
    </row>
    <row r="601" spans="1:1">
      <c r="A601" t="s">
        <v>848</v>
      </c>
    </row>
    <row r="602" spans="1:1">
      <c r="A602" t="s">
        <v>849</v>
      </c>
    </row>
    <row r="603" spans="1:1">
      <c r="A603" t="s">
        <v>850</v>
      </c>
    </row>
    <row r="604" spans="1:1">
      <c r="A604" t="s">
        <v>1030</v>
      </c>
    </row>
    <row r="605" spans="1:1">
      <c r="A605" t="s">
        <v>4568</v>
      </c>
    </row>
    <row r="606" spans="1:1">
      <c r="A606" t="s">
        <v>812</v>
      </c>
    </row>
    <row r="607" spans="1:1">
      <c r="A607" t="s">
        <v>810</v>
      </c>
    </row>
    <row r="608" spans="1:1">
      <c r="A608" t="s">
        <v>811</v>
      </c>
    </row>
    <row r="609" spans="1:1">
      <c r="A609" t="s">
        <v>151</v>
      </c>
    </row>
    <row r="610" spans="1:1">
      <c r="A610" t="s">
        <v>836</v>
      </c>
    </row>
    <row r="611" spans="1:1">
      <c r="A611" t="s">
        <v>1031</v>
      </c>
    </row>
    <row r="612" spans="1:1">
      <c r="A612" t="s">
        <v>838</v>
      </c>
    </row>
    <row r="613" spans="1:1">
      <c r="A613" t="s">
        <v>839</v>
      </c>
    </row>
    <row r="614" spans="1:1">
      <c r="A614" t="s">
        <v>1032</v>
      </c>
    </row>
    <row r="615" spans="1:1">
      <c r="A615" t="s">
        <v>1033</v>
      </c>
    </row>
    <row r="616" spans="1:1">
      <c r="A616" t="s">
        <v>1034</v>
      </c>
    </row>
    <row r="617" spans="1:1">
      <c r="A617" t="s">
        <v>1035</v>
      </c>
    </row>
    <row r="618" spans="1:1">
      <c r="A618" t="s">
        <v>1036</v>
      </c>
    </row>
    <row r="619" spans="1:1">
      <c r="A619" t="s">
        <v>1037</v>
      </c>
    </row>
    <row r="620" spans="1:1">
      <c r="A620" t="s">
        <v>1038</v>
      </c>
    </row>
    <row r="621" spans="1:1">
      <c r="A621" t="s">
        <v>1039</v>
      </c>
    </row>
    <row r="622" spans="1:1">
      <c r="A622" t="s">
        <v>1040</v>
      </c>
    </row>
    <row r="623" spans="1:1">
      <c r="A623" t="s">
        <v>918</v>
      </c>
    </row>
    <row r="624" spans="1:1">
      <c r="A624" t="s">
        <v>1041</v>
      </c>
    </row>
    <row r="625" spans="1:1">
      <c r="A625" t="s">
        <v>1042</v>
      </c>
    </row>
    <row r="626" spans="1:1">
      <c r="A626" t="s">
        <v>4569</v>
      </c>
    </row>
    <row r="627" spans="1:1">
      <c r="A627" t="s">
        <v>4570</v>
      </c>
    </row>
    <row r="628" spans="1:1">
      <c r="A628" t="s">
        <v>810</v>
      </c>
    </row>
    <row r="629" spans="1:1">
      <c r="A629" t="s">
        <v>811</v>
      </c>
    </row>
    <row r="630" spans="1:1">
      <c r="A630" t="s">
        <v>151</v>
      </c>
    </row>
    <row r="631" spans="1:1">
      <c r="A631" t="s">
        <v>836</v>
      </c>
    </row>
    <row r="632" spans="1:1">
      <c r="A632" t="s">
        <v>1031</v>
      </c>
    </row>
    <row r="633" spans="1:1">
      <c r="A633" t="s">
        <v>838</v>
      </c>
    </row>
    <row r="634" spans="1:1">
      <c r="A634" t="s">
        <v>839</v>
      </c>
    </row>
    <row r="635" spans="1:1">
      <c r="A635" t="s">
        <v>1032</v>
      </c>
    </row>
    <row r="636" spans="1:1">
      <c r="A636" t="s">
        <v>1033</v>
      </c>
    </row>
    <row r="637" spans="1:1">
      <c r="A637" t="s">
        <v>1034</v>
      </c>
    </row>
    <row r="638" spans="1:1">
      <c r="A638" t="s">
        <v>1035</v>
      </c>
    </row>
    <row r="639" spans="1:1">
      <c r="A639" t="s">
        <v>1036</v>
      </c>
    </row>
    <row r="640" spans="1:1">
      <c r="A640" t="s">
        <v>1037</v>
      </c>
    </row>
    <row r="641" spans="1:1">
      <c r="A641" t="s">
        <v>1038</v>
      </c>
    </row>
    <row r="642" spans="1:1">
      <c r="A642" t="s">
        <v>1039</v>
      </c>
    </row>
    <row r="643" spans="1:1">
      <c r="A643" t="s">
        <v>1040</v>
      </c>
    </row>
    <row r="644" spans="1:1">
      <c r="A644" t="s">
        <v>918</v>
      </c>
    </row>
    <row r="645" spans="1:1">
      <c r="A645" t="s">
        <v>1041</v>
      </c>
    </row>
    <row r="646" spans="1:1">
      <c r="A646" t="s">
        <v>1043</v>
      </c>
    </row>
    <row r="647" spans="1:1">
      <c r="A647" t="s">
        <v>4569</v>
      </c>
    </row>
    <row r="648" spans="1:1">
      <c r="A648" t="s">
        <v>4571</v>
      </c>
    </row>
    <row r="649" spans="1:1">
      <c r="A649" t="s">
        <v>810</v>
      </c>
    </row>
    <row r="650" spans="1:1">
      <c r="A650" t="s">
        <v>811</v>
      </c>
    </row>
    <row r="651" spans="1:1">
      <c r="A651" t="s">
        <v>151</v>
      </c>
    </row>
    <row r="652" spans="1:1">
      <c r="A652" t="s">
        <v>836</v>
      </c>
    </row>
    <row r="653" spans="1:1">
      <c r="A653" t="s">
        <v>1044</v>
      </c>
    </row>
    <row r="654" spans="1:1">
      <c r="A654" t="s">
        <v>838</v>
      </c>
    </row>
    <row r="655" spans="1:1">
      <c r="A655" t="s">
        <v>839</v>
      </c>
    </row>
    <row r="656" spans="1:1">
      <c r="A656" t="s">
        <v>1045</v>
      </c>
    </row>
    <row r="657" spans="1:1">
      <c r="A657" t="s">
        <v>841</v>
      </c>
    </row>
    <row r="658" spans="1:1">
      <c r="A658" t="s">
        <v>842</v>
      </c>
    </row>
    <row r="659" spans="1:1">
      <c r="A659" t="s">
        <v>843</v>
      </c>
    </row>
    <row r="660" spans="1:1">
      <c r="A660" t="s">
        <v>1046</v>
      </c>
    </row>
    <row r="661" spans="1:1">
      <c r="A661" t="s">
        <v>1047</v>
      </c>
    </row>
    <row r="662" spans="1:1">
      <c r="A662" t="s">
        <v>846</v>
      </c>
    </row>
    <row r="663" spans="1:1">
      <c r="A663" t="s">
        <v>847</v>
      </c>
    </row>
    <row r="664" spans="1:1">
      <c r="A664" t="s">
        <v>1048</v>
      </c>
    </row>
    <row r="665" spans="1:1">
      <c r="A665" t="s">
        <v>862</v>
      </c>
    </row>
    <row r="666" spans="1:1">
      <c r="A666" t="s">
        <v>863</v>
      </c>
    </row>
    <row r="667" spans="1:1">
      <c r="A667" t="s">
        <v>1049</v>
      </c>
    </row>
    <row r="668" spans="1:1">
      <c r="A668" t="s">
        <v>1050</v>
      </c>
    </row>
    <row r="669" spans="1:1">
      <c r="A669" t="s">
        <v>812</v>
      </c>
    </row>
    <row r="670" spans="1:1">
      <c r="A670" t="s">
        <v>810</v>
      </c>
    </row>
    <row r="671" spans="1:1">
      <c r="A671" t="s">
        <v>811</v>
      </c>
    </row>
    <row r="672" spans="1:1">
      <c r="A672" t="s">
        <v>151</v>
      </c>
    </row>
    <row r="673" spans="1:1">
      <c r="A673" t="s">
        <v>836</v>
      </c>
    </row>
    <row r="674" spans="1:1">
      <c r="A674" t="s">
        <v>1051</v>
      </c>
    </row>
    <row r="675" spans="1:1">
      <c r="A675" t="s">
        <v>838</v>
      </c>
    </row>
    <row r="676" spans="1:1">
      <c r="A676" t="s">
        <v>839</v>
      </c>
    </row>
    <row r="677" spans="1:1">
      <c r="A677" t="s">
        <v>1052</v>
      </c>
    </row>
    <row r="678" spans="1:1">
      <c r="A678" t="s">
        <v>1053</v>
      </c>
    </row>
    <row r="679" spans="1:1">
      <c r="A679" t="s">
        <v>842</v>
      </c>
    </row>
    <row r="680" spans="1:1">
      <c r="A680" t="s">
        <v>843</v>
      </c>
    </row>
    <row r="681" spans="1:1">
      <c r="A681" t="s">
        <v>1054</v>
      </c>
    </row>
    <row r="682" spans="1:1">
      <c r="A682" t="s">
        <v>1055</v>
      </c>
    </row>
    <row r="683" spans="1:1">
      <c r="A683" t="s">
        <v>1056</v>
      </c>
    </row>
    <row r="684" spans="1:1">
      <c r="A684" t="s">
        <v>1057</v>
      </c>
    </row>
    <row r="685" spans="1:1">
      <c r="A685" t="s">
        <v>1058</v>
      </c>
    </row>
    <row r="686" spans="1:1">
      <c r="A686" t="s">
        <v>1059</v>
      </c>
    </row>
    <row r="687" spans="1:1">
      <c r="A687" t="s">
        <v>1060</v>
      </c>
    </row>
    <row r="688" spans="1:1">
      <c r="A688" t="s">
        <v>1061</v>
      </c>
    </row>
    <row r="689" spans="1:1">
      <c r="A689" t="s">
        <v>4572</v>
      </c>
    </row>
    <row r="690" spans="1:1">
      <c r="A690" t="s">
        <v>812</v>
      </c>
    </row>
    <row r="691" spans="1:1">
      <c r="A691" t="s">
        <v>810</v>
      </c>
    </row>
    <row r="692" spans="1:1">
      <c r="A692" t="s">
        <v>811</v>
      </c>
    </row>
    <row r="693" spans="1:1">
      <c r="A693" t="s">
        <v>151</v>
      </c>
    </row>
    <row r="694" spans="1:1">
      <c r="A694" t="s">
        <v>836</v>
      </c>
    </row>
    <row r="695" spans="1:1">
      <c r="A695" t="s">
        <v>1062</v>
      </c>
    </row>
    <row r="696" spans="1:1">
      <c r="A696" t="s">
        <v>838</v>
      </c>
    </row>
    <row r="697" spans="1:1">
      <c r="A697" t="s">
        <v>839</v>
      </c>
    </row>
    <row r="698" spans="1:1">
      <c r="A698" t="s">
        <v>1063</v>
      </c>
    </row>
    <row r="699" spans="1:1">
      <c r="A699" t="s">
        <v>1064</v>
      </c>
    </row>
    <row r="700" spans="1:1">
      <c r="A700" t="s">
        <v>1065</v>
      </c>
    </row>
    <row r="701" spans="1:1">
      <c r="A701" t="s">
        <v>1066</v>
      </c>
    </row>
    <row r="702" spans="1:1">
      <c r="A702" t="s">
        <v>1067</v>
      </c>
    </row>
    <row r="703" spans="1:1">
      <c r="A703" t="s">
        <v>897</v>
      </c>
    </row>
    <row r="704" spans="1:1">
      <c r="A704" t="s">
        <v>1068</v>
      </c>
    </row>
    <row r="705" spans="1:1">
      <c r="A705" t="s">
        <v>1069</v>
      </c>
    </row>
    <row r="706" spans="1:1">
      <c r="A706" t="s">
        <v>1070</v>
      </c>
    </row>
    <row r="707" spans="1:1">
      <c r="A707" t="s">
        <v>1071</v>
      </c>
    </row>
    <row r="708" spans="1:1">
      <c r="A708" t="s">
        <v>1072</v>
      </c>
    </row>
    <row r="709" spans="1:1">
      <c r="A709" t="s">
        <v>1073</v>
      </c>
    </row>
    <row r="710" spans="1:1">
      <c r="A710" t="s">
        <v>1074</v>
      </c>
    </row>
    <row r="711" spans="1:1">
      <c r="A711" t="s">
        <v>812</v>
      </c>
    </row>
    <row r="712" spans="1:1">
      <c r="A712" t="s">
        <v>810</v>
      </c>
    </row>
    <row r="713" spans="1:1">
      <c r="A713" t="s">
        <v>811</v>
      </c>
    </row>
    <row r="714" spans="1:1">
      <c r="A714" t="s">
        <v>151</v>
      </c>
    </row>
    <row r="715" spans="1:1">
      <c r="A715" t="s">
        <v>836</v>
      </c>
    </row>
    <row r="716" spans="1:1">
      <c r="A716" t="s">
        <v>1075</v>
      </c>
    </row>
    <row r="717" spans="1:1">
      <c r="A717" t="s">
        <v>1076</v>
      </c>
    </row>
    <row r="718" spans="1:1">
      <c r="A718" t="s">
        <v>1077</v>
      </c>
    </row>
    <row r="719" spans="1:1">
      <c r="A719" t="s">
        <v>931</v>
      </c>
    </row>
    <row r="720" spans="1:1">
      <c r="A720" t="s">
        <v>932</v>
      </c>
    </row>
    <row r="721" spans="1:1">
      <c r="A721" t="s">
        <v>1078</v>
      </c>
    </row>
    <row r="722" spans="1:1">
      <c r="A722" t="s">
        <v>1079</v>
      </c>
    </row>
    <row r="723" spans="1:1">
      <c r="A723" t="s">
        <v>1080</v>
      </c>
    </row>
    <row r="724" spans="1:1">
      <c r="A724" t="s">
        <v>1081</v>
      </c>
    </row>
    <row r="725" spans="1:1">
      <c r="A725" t="s">
        <v>1082</v>
      </c>
    </row>
    <row r="726" spans="1:1">
      <c r="A726" t="s">
        <v>1083</v>
      </c>
    </row>
    <row r="727" spans="1:1">
      <c r="A727" t="s">
        <v>1084</v>
      </c>
    </row>
    <row r="728" spans="1:1">
      <c r="A728" t="s">
        <v>918</v>
      </c>
    </row>
    <row r="729" spans="1:1">
      <c r="A729" t="s">
        <v>919</v>
      </c>
    </row>
    <row r="730" spans="1:1">
      <c r="A730" t="s">
        <v>1085</v>
      </c>
    </row>
    <row r="731" spans="1:1">
      <c r="A731" t="s">
        <v>4573</v>
      </c>
    </row>
    <row r="732" spans="1:1">
      <c r="A732" t="s">
        <v>812</v>
      </c>
    </row>
    <row r="733" spans="1:1">
      <c r="A733" t="s">
        <v>810</v>
      </c>
    </row>
    <row r="734" spans="1:1">
      <c r="A734" t="s">
        <v>811</v>
      </c>
    </row>
    <row r="735" spans="1:1">
      <c r="A735" t="s">
        <v>151</v>
      </c>
    </row>
    <row r="736" spans="1:1">
      <c r="A736" t="s">
        <v>836</v>
      </c>
    </row>
    <row r="737" spans="1:1">
      <c r="A737" t="s">
        <v>1086</v>
      </c>
    </row>
    <row r="738" spans="1:1">
      <c r="A738" t="s">
        <v>838</v>
      </c>
    </row>
    <row r="739" spans="1:1">
      <c r="A739" t="s">
        <v>839</v>
      </c>
    </row>
    <row r="740" spans="1:1">
      <c r="A740" t="s">
        <v>1087</v>
      </c>
    </row>
    <row r="741" spans="1:1">
      <c r="A741" t="s">
        <v>1088</v>
      </c>
    </row>
    <row r="742" spans="1:1">
      <c r="A742" t="s">
        <v>1089</v>
      </c>
    </row>
    <row r="743" spans="1:1">
      <c r="A743" t="s">
        <v>1090</v>
      </c>
    </row>
    <row r="744" spans="1:1">
      <c r="A744" t="s">
        <v>1091</v>
      </c>
    </row>
    <row r="745" spans="1:1">
      <c r="A745" t="s">
        <v>1092</v>
      </c>
    </row>
    <row r="746" spans="1:1">
      <c r="A746" t="s">
        <v>1093</v>
      </c>
    </row>
    <row r="747" spans="1:1">
      <c r="A747" t="s">
        <v>1094</v>
      </c>
    </row>
    <row r="748" spans="1:1">
      <c r="A748" t="s">
        <v>1095</v>
      </c>
    </row>
    <row r="749" spans="1:1">
      <c r="A749" t="s">
        <v>1071</v>
      </c>
    </row>
    <row r="750" spans="1:1">
      <c r="A750" t="s">
        <v>1096</v>
      </c>
    </row>
    <row r="751" spans="1:1">
      <c r="A751" t="s">
        <v>1097</v>
      </c>
    </row>
    <row r="752" spans="1:1">
      <c r="A752" t="s">
        <v>4574</v>
      </c>
    </row>
    <row r="753" spans="1:1">
      <c r="A753" t="s">
        <v>812</v>
      </c>
    </row>
    <row r="754" spans="1:1">
      <c r="A754" t="s">
        <v>810</v>
      </c>
    </row>
    <row r="755" spans="1:1">
      <c r="A755" t="s">
        <v>811</v>
      </c>
    </row>
    <row r="756" spans="1:1">
      <c r="A756" t="s">
        <v>151</v>
      </c>
    </row>
    <row r="757" spans="1:1">
      <c r="A757" t="s">
        <v>836</v>
      </c>
    </row>
    <row r="758" spans="1:1">
      <c r="A758" t="s">
        <v>1098</v>
      </c>
    </row>
    <row r="759" spans="1:1">
      <c r="A759" t="s">
        <v>838</v>
      </c>
    </row>
    <row r="760" spans="1:1">
      <c r="A760" t="s">
        <v>839</v>
      </c>
    </row>
    <row r="761" spans="1:1">
      <c r="A761" t="s">
        <v>1099</v>
      </c>
    </row>
    <row r="762" spans="1:1">
      <c r="A762" t="s">
        <v>1100</v>
      </c>
    </row>
    <row r="763" spans="1:1">
      <c r="A763" t="s">
        <v>842</v>
      </c>
    </row>
    <row r="764" spans="1:1">
      <c r="A764" t="s">
        <v>843</v>
      </c>
    </row>
    <row r="765" spans="1:1">
      <c r="A765" t="s">
        <v>1101</v>
      </c>
    </row>
    <row r="766" spans="1:1">
      <c r="A766" t="s">
        <v>1102</v>
      </c>
    </row>
    <row r="767" spans="1:1">
      <c r="A767" t="s">
        <v>1103</v>
      </c>
    </row>
    <row r="768" spans="1:1">
      <c r="A768" t="s">
        <v>1104</v>
      </c>
    </row>
    <row r="769" spans="1:1">
      <c r="A769" t="s">
        <v>1105</v>
      </c>
    </row>
    <row r="770" spans="1:1">
      <c r="A770" t="s">
        <v>937</v>
      </c>
    </row>
    <row r="771" spans="1:1">
      <c r="A771" t="s">
        <v>942</v>
      </c>
    </row>
    <row r="772" spans="1:1">
      <c r="A772" t="s">
        <v>1106</v>
      </c>
    </row>
    <row r="773" spans="1:1">
      <c r="A773" t="s">
        <v>4575</v>
      </c>
    </row>
    <row r="774" spans="1:1">
      <c r="A774" t="s">
        <v>812</v>
      </c>
    </row>
    <row r="775" spans="1:1">
      <c r="A775" t="s">
        <v>810</v>
      </c>
    </row>
    <row r="776" spans="1:1">
      <c r="A776" t="s">
        <v>811</v>
      </c>
    </row>
    <row r="777" spans="1:1">
      <c r="A777" t="s">
        <v>151</v>
      </c>
    </row>
    <row r="778" spans="1:1">
      <c r="A778" t="s">
        <v>836</v>
      </c>
    </row>
    <row r="779" spans="1:1">
      <c r="A779" t="s">
        <v>1107</v>
      </c>
    </row>
    <row r="780" spans="1:1">
      <c r="A780" t="s">
        <v>1108</v>
      </c>
    </row>
    <row r="781" spans="1:1">
      <c r="A781" t="s">
        <v>1109</v>
      </c>
    </row>
    <row r="782" spans="1:1">
      <c r="A782" t="s">
        <v>1110</v>
      </c>
    </row>
    <row r="783" spans="1:1">
      <c r="A783" t="s">
        <v>1111</v>
      </c>
    </row>
    <row r="784" spans="1:1">
      <c r="A784" t="s">
        <v>1112</v>
      </c>
    </row>
    <row r="785" spans="1:1">
      <c r="A785" t="s">
        <v>1113</v>
      </c>
    </row>
    <row r="786" spans="1:1">
      <c r="A786" t="s">
        <v>1114</v>
      </c>
    </row>
    <row r="787" spans="1:1">
      <c r="A787" t="s">
        <v>1115</v>
      </c>
    </row>
    <row r="788" spans="1:1">
      <c r="A788" t="s">
        <v>1116</v>
      </c>
    </row>
    <row r="789" spans="1:1">
      <c r="A789" t="s">
        <v>1117</v>
      </c>
    </row>
    <row r="790" spans="1:1">
      <c r="A790" t="s">
        <v>1118</v>
      </c>
    </row>
    <row r="791" spans="1:1">
      <c r="A791" t="s">
        <v>1119</v>
      </c>
    </row>
    <row r="792" spans="1:1">
      <c r="A792" t="s">
        <v>919</v>
      </c>
    </row>
    <row r="793" spans="1:1">
      <c r="A793" t="s">
        <v>1120</v>
      </c>
    </row>
    <row r="794" spans="1:1">
      <c r="A794" t="s">
        <v>4576</v>
      </c>
    </row>
    <row r="795" spans="1:1">
      <c r="A795" t="s">
        <v>812</v>
      </c>
    </row>
    <row r="796" spans="1:1">
      <c r="A796" t="s">
        <v>810</v>
      </c>
    </row>
    <row r="797" spans="1:1">
      <c r="A797" t="s">
        <v>811</v>
      </c>
    </row>
    <row r="798" spans="1:1">
      <c r="A798" t="s">
        <v>151</v>
      </c>
    </row>
    <row r="799" spans="1:1">
      <c r="A799" t="s">
        <v>836</v>
      </c>
    </row>
    <row r="800" spans="1:1">
      <c r="A800" t="s">
        <v>1121</v>
      </c>
    </row>
    <row r="801" spans="1:1">
      <c r="A801" t="s">
        <v>838</v>
      </c>
    </row>
    <row r="802" spans="1:1">
      <c r="A802" t="s">
        <v>839</v>
      </c>
    </row>
    <row r="803" spans="1:1">
      <c r="A803" t="s">
        <v>894</v>
      </c>
    </row>
    <row r="804" spans="1:1">
      <c r="A804" t="s">
        <v>895</v>
      </c>
    </row>
    <row r="805" spans="1:1">
      <c r="A805" t="s">
        <v>842</v>
      </c>
    </row>
    <row r="806" spans="1:1">
      <c r="A806" t="s">
        <v>843</v>
      </c>
    </row>
    <row r="807" spans="1:1">
      <c r="A807" t="s">
        <v>896</v>
      </c>
    </row>
    <row r="808" spans="1:1">
      <c r="A808" t="s">
        <v>897</v>
      </c>
    </row>
    <row r="809" spans="1:1">
      <c r="A809" t="s">
        <v>898</v>
      </c>
    </row>
    <row r="810" spans="1:1">
      <c r="A810" t="s">
        <v>899</v>
      </c>
    </row>
    <row r="811" spans="1:1">
      <c r="A811" t="s">
        <v>900</v>
      </c>
    </row>
    <row r="812" spans="1:1">
      <c r="A812" t="s">
        <v>901</v>
      </c>
    </row>
    <row r="813" spans="1:1">
      <c r="A813" t="s">
        <v>902</v>
      </c>
    </row>
    <row r="814" spans="1:1">
      <c r="A814" t="s">
        <v>1122</v>
      </c>
    </row>
    <row r="815" spans="1:1">
      <c r="A815" t="s">
        <v>4577</v>
      </c>
    </row>
    <row r="816" spans="1:1">
      <c r="A816" t="s">
        <v>812</v>
      </c>
    </row>
    <row r="817" spans="1:1">
      <c r="A817" t="s">
        <v>810</v>
      </c>
    </row>
    <row r="818" spans="1:1">
      <c r="A818" t="s">
        <v>811</v>
      </c>
    </row>
    <row r="819" spans="1:1">
      <c r="A819" t="s">
        <v>151</v>
      </c>
    </row>
    <row r="820" spans="1:1">
      <c r="A820" t="s">
        <v>836</v>
      </c>
    </row>
    <row r="821" spans="1:1">
      <c r="A821" t="s">
        <v>1123</v>
      </c>
    </row>
    <row r="822" spans="1:1">
      <c r="A822" t="s">
        <v>838</v>
      </c>
    </row>
    <row r="823" spans="1:1">
      <c r="A823" t="s">
        <v>839</v>
      </c>
    </row>
    <row r="824" spans="1:1">
      <c r="A824" t="s">
        <v>894</v>
      </c>
    </row>
    <row r="825" spans="1:1">
      <c r="A825" t="s">
        <v>895</v>
      </c>
    </row>
    <row r="826" spans="1:1">
      <c r="A826" t="s">
        <v>842</v>
      </c>
    </row>
    <row r="827" spans="1:1">
      <c r="A827" t="s">
        <v>843</v>
      </c>
    </row>
    <row r="828" spans="1:1">
      <c r="A828" t="s">
        <v>896</v>
      </c>
    </row>
    <row r="829" spans="1:1">
      <c r="A829" t="s">
        <v>897</v>
      </c>
    </row>
    <row r="830" spans="1:1">
      <c r="A830" t="s">
        <v>898</v>
      </c>
    </row>
    <row r="831" spans="1:1">
      <c r="A831" t="s">
        <v>899</v>
      </c>
    </row>
    <row r="832" spans="1:1">
      <c r="A832" t="s">
        <v>900</v>
      </c>
    </row>
    <row r="833" spans="1:1">
      <c r="A833" t="s">
        <v>901</v>
      </c>
    </row>
    <row r="834" spans="1:1">
      <c r="A834" t="s">
        <v>902</v>
      </c>
    </row>
    <row r="835" spans="1:1">
      <c r="A835" t="s">
        <v>1124</v>
      </c>
    </row>
    <row r="836" spans="1:1">
      <c r="A836" t="s">
        <v>4578</v>
      </c>
    </row>
    <row r="837" spans="1:1">
      <c r="A837" t="s">
        <v>820</v>
      </c>
    </row>
    <row r="838" spans="1:1">
      <c r="A838" t="s">
        <v>810</v>
      </c>
    </row>
    <row r="839" spans="1:1">
      <c r="A839" t="s">
        <v>811</v>
      </c>
    </row>
    <row r="840" spans="1:1">
      <c r="A840" t="s">
        <v>151</v>
      </c>
    </row>
    <row r="841" spans="1:1">
      <c r="A841" t="s">
        <v>836</v>
      </c>
    </row>
    <row r="842" spans="1:1">
      <c r="A842" t="s">
        <v>1123</v>
      </c>
    </row>
    <row r="843" spans="1:1">
      <c r="A843" t="s">
        <v>838</v>
      </c>
    </row>
    <row r="844" spans="1:1">
      <c r="A844" t="s">
        <v>839</v>
      </c>
    </row>
    <row r="845" spans="1:1">
      <c r="A845" t="s">
        <v>894</v>
      </c>
    </row>
    <row r="846" spans="1:1">
      <c r="A846" t="s">
        <v>895</v>
      </c>
    </row>
    <row r="847" spans="1:1">
      <c r="A847" t="s">
        <v>842</v>
      </c>
    </row>
    <row r="848" spans="1:1">
      <c r="A848" t="s">
        <v>843</v>
      </c>
    </row>
    <row r="849" spans="1:1">
      <c r="A849" t="s">
        <v>896</v>
      </c>
    </row>
    <row r="850" spans="1:1">
      <c r="A850" t="s">
        <v>897</v>
      </c>
    </row>
    <row r="851" spans="1:1">
      <c r="A851" t="s">
        <v>898</v>
      </c>
    </row>
    <row r="852" spans="1:1">
      <c r="A852" t="s">
        <v>899</v>
      </c>
    </row>
    <row r="853" spans="1:1">
      <c r="A853" t="s">
        <v>900</v>
      </c>
    </row>
    <row r="854" spans="1:1">
      <c r="A854" t="s">
        <v>901</v>
      </c>
    </row>
    <row r="855" spans="1:1">
      <c r="A855" t="s">
        <v>902</v>
      </c>
    </row>
    <row r="856" spans="1:1">
      <c r="A856" t="s">
        <v>1125</v>
      </c>
    </row>
    <row r="857" spans="1:1">
      <c r="A857" t="s">
        <v>4578</v>
      </c>
    </row>
    <row r="858" spans="1:1">
      <c r="A858" t="s">
        <v>821</v>
      </c>
    </row>
    <row r="859" spans="1:1">
      <c r="A859" t="s">
        <v>810</v>
      </c>
    </row>
    <row r="860" spans="1:1">
      <c r="A860" t="s">
        <v>811</v>
      </c>
    </row>
    <row r="861" spans="1:1">
      <c r="A861" t="s">
        <v>151</v>
      </c>
    </row>
    <row r="862" spans="1:1">
      <c r="A862" t="s">
        <v>836</v>
      </c>
    </row>
    <row r="863" spans="1:1">
      <c r="A863" t="s">
        <v>1126</v>
      </c>
    </row>
    <row r="864" spans="1:1">
      <c r="A864" t="s">
        <v>1127</v>
      </c>
    </row>
    <row r="865" spans="1:1">
      <c r="A865" t="s">
        <v>1128</v>
      </c>
    </row>
    <row r="866" spans="1:1">
      <c r="A866" t="s">
        <v>1129</v>
      </c>
    </row>
    <row r="867" spans="1:1">
      <c r="A867" t="s">
        <v>1130</v>
      </c>
    </row>
    <row r="868" spans="1:1">
      <c r="A868" t="s">
        <v>842</v>
      </c>
    </row>
    <row r="869" spans="1:1">
      <c r="A869" t="s">
        <v>843</v>
      </c>
    </row>
    <row r="870" spans="1:1">
      <c r="A870" t="s">
        <v>1131</v>
      </c>
    </row>
    <row r="871" spans="1:1">
      <c r="A871" t="s">
        <v>1132</v>
      </c>
    </row>
    <row r="872" spans="1:1">
      <c r="A872" t="s">
        <v>1133</v>
      </c>
    </row>
    <row r="873" spans="1:1">
      <c r="A873" t="s">
        <v>899</v>
      </c>
    </row>
    <row r="874" spans="1:1">
      <c r="A874" t="s">
        <v>1134</v>
      </c>
    </row>
    <row r="875" spans="1:1">
      <c r="A875" t="s">
        <v>901</v>
      </c>
    </row>
    <row r="876" spans="1:1">
      <c r="A876" t="s">
        <v>902</v>
      </c>
    </row>
    <row r="877" spans="1:1">
      <c r="A877" t="s">
        <v>1135</v>
      </c>
    </row>
    <row r="878" spans="1:1">
      <c r="A878" t="s">
        <v>4579</v>
      </c>
    </row>
    <row r="879" spans="1:1">
      <c r="A879" t="s">
        <v>4580</v>
      </c>
    </row>
    <row r="880" spans="1:1">
      <c r="A880" t="s">
        <v>810</v>
      </c>
    </row>
    <row r="881" spans="1:1">
      <c r="A881" t="s">
        <v>811</v>
      </c>
    </row>
    <row r="882" spans="1:1">
      <c r="A882" t="s">
        <v>151</v>
      </c>
    </row>
    <row r="883" spans="1:1">
      <c r="A883" t="s">
        <v>836</v>
      </c>
    </row>
    <row r="884" spans="1:1">
      <c r="A884" t="s">
        <v>1136</v>
      </c>
    </row>
    <row r="885" spans="1:1">
      <c r="A885" t="s">
        <v>838</v>
      </c>
    </row>
    <row r="886" spans="1:1">
      <c r="A886" t="s">
        <v>839</v>
      </c>
    </row>
    <row r="887" spans="1:1">
      <c r="A887" t="s">
        <v>894</v>
      </c>
    </row>
    <row r="888" spans="1:1">
      <c r="A888" t="s">
        <v>895</v>
      </c>
    </row>
    <row r="889" spans="1:1">
      <c r="A889" t="s">
        <v>842</v>
      </c>
    </row>
    <row r="890" spans="1:1">
      <c r="A890" t="s">
        <v>843</v>
      </c>
    </row>
    <row r="891" spans="1:1">
      <c r="A891" t="s">
        <v>896</v>
      </c>
    </row>
    <row r="892" spans="1:1">
      <c r="A892" t="s">
        <v>897</v>
      </c>
    </row>
    <row r="893" spans="1:1">
      <c r="A893" t="s">
        <v>898</v>
      </c>
    </row>
    <row r="894" spans="1:1">
      <c r="A894" t="s">
        <v>899</v>
      </c>
    </row>
    <row r="895" spans="1:1">
      <c r="A895" t="s">
        <v>900</v>
      </c>
    </row>
    <row r="896" spans="1:1">
      <c r="A896" t="s">
        <v>901</v>
      </c>
    </row>
    <row r="897" spans="1:1">
      <c r="A897" t="s">
        <v>902</v>
      </c>
    </row>
    <row r="898" spans="1:1">
      <c r="A898" t="s">
        <v>1137</v>
      </c>
    </row>
    <row r="899" spans="1:1">
      <c r="A899" t="s">
        <v>4581</v>
      </c>
    </row>
    <row r="900" spans="1:1">
      <c r="A900" t="s">
        <v>812</v>
      </c>
    </row>
    <row r="901" spans="1:1">
      <c r="A901" t="s">
        <v>810</v>
      </c>
    </row>
    <row r="902" spans="1:1">
      <c r="A902" t="s">
        <v>811</v>
      </c>
    </row>
    <row r="903" spans="1:1">
      <c r="A903" t="s">
        <v>151</v>
      </c>
    </row>
    <row r="904" spans="1:1">
      <c r="A904" t="s">
        <v>836</v>
      </c>
    </row>
    <row r="905" spans="1:1">
      <c r="A905" t="s">
        <v>1138</v>
      </c>
    </row>
    <row r="906" spans="1:1">
      <c r="A906" t="s">
        <v>1139</v>
      </c>
    </row>
    <row r="907" spans="1:1">
      <c r="A907" t="s">
        <v>1140</v>
      </c>
    </row>
    <row r="908" spans="1:1">
      <c r="A908" t="s">
        <v>894</v>
      </c>
    </row>
    <row r="909" spans="1:1">
      <c r="A909" t="s">
        <v>895</v>
      </c>
    </row>
    <row r="910" spans="1:1">
      <c r="A910" t="s">
        <v>842</v>
      </c>
    </row>
    <row r="911" spans="1:1">
      <c r="A911" t="s">
        <v>843</v>
      </c>
    </row>
    <row r="912" spans="1:1">
      <c r="A912" t="s">
        <v>1141</v>
      </c>
    </row>
    <row r="913" spans="1:1">
      <c r="A913" t="s">
        <v>1142</v>
      </c>
    </row>
    <row r="914" spans="1:1">
      <c r="A914" t="s">
        <v>1143</v>
      </c>
    </row>
    <row r="915" spans="1:1">
      <c r="A915" t="s">
        <v>1144</v>
      </c>
    </row>
    <row r="916" spans="1:1">
      <c r="A916" t="s">
        <v>1145</v>
      </c>
    </row>
    <row r="917" spans="1:1">
      <c r="A917" t="s">
        <v>901</v>
      </c>
    </row>
    <row r="918" spans="1:1">
      <c r="A918" t="s">
        <v>902</v>
      </c>
    </row>
    <row r="919" spans="1:1">
      <c r="A919" t="s">
        <v>1002</v>
      </c>
    </row>
    <row r="920" spans="1:1">
      <c r="A920" t="s">
        <v>4582</v>
      </c>
    </row>
    <row r="921" spans="1:1">
      <c r="A921" t="s">
        <v>812</v>
      </c>
    </row>
    <row r="922" spans="1:1">
      <c r="A922" t="s">
        <v>810</v>
      </c>
    </row>
    <row r="923" spans="1:1">
      <c r="A923" t="s">
        <v>811</v>
      </c>
    </row>
    <row r="924" spans="1:1">
      <c r="A924" t="s">
        <v>151</v>
      </c>
    </row>
    <row r="925" spans="1:1">
      <c r="A925" t="s">
        <v>836</v>
      </c>
    </row>
    <row r="926" spans="1:1">
      <c r="A926" t="s">
        <v>1146</v>
      </c>
    </row>
    <row r="927" spans="1:1">
      <c r="A927" t="s">
        <v>1147</v>
      </c>
    </row>
    <row r="928" spans="1:1">
      <c r="A928" t="s">
        <v>1148</v>
      </c>
    </row>
    <row r="929" spans="1:1">
      <c r="A929" t="s">
        <v>1149</v>
      </c>
    </row>
    <row r="930" spans="1:1">
      <c r="A930" t="s">
        <v>1150</v>
      </c>
    </row>
    <row r="931" spans="1:1">
      <c r="A931" t="s">
        <v>1151</v>
      </c>
    </row>
    <row r="932" spans="1:1">
      <c r="A932" t="s">
        <v>1152</v>
      </c>
    </row>
    <row r="933" spans="1:1">
      <c r="A933" t="s">
        <v>1153</v>
      </c>
    </row>
    <row r="934" spans="1:1">
      <c r="A934" t="s">
        <v>1154</v>
      </c>
    </row>
    <row r="935" spans="1:1">
      <c r="A935" t="s">
        <v>1155</v>
      </c>
    </row>
    <row r="936" spans="1:1">
      <c r="A936" t="s">
        <v>1156</v>
      </c>
    </row>
    <row r="937" spans="1:1">
      <c r="A937" t="s">
        <v>1157</v>
      </c>
    </row>
    <row r="938" spans="1:1">
      <c r="A938" t="s">
        <v>901</v>
      </c>
    </row>
    <row r="939" spans="1:1">
      <c r="A939" t="s">
        <v>902</v>
      </c>
    </row>
    <row r="940" spans="1:1">
      <c r="A940" t="s">
        <v>1049</v>
      </c>
    </row>
    <row r="941" spans="1:1">
      <c r="A941" t="s">
        <v>4583</v>
      </c>
    </row>
    <row r="942" spans="1:1">
      <c r="A942" t="s">
        <v>812</v>
      </c>
    </row>
    <row r="943" spans="1:1">
      <c r="A943" t="s">
        <v>810</v>
      </c>
    </row>
    <row r="944" spans="1:1">
      <c r="A944" t="s">
        <v>811</v>
      </c>
    </row>
    <row r="945" spans="1:1">
      <c r="A945" t="s">
        <v>151</v>
      </c>
    </row>
    <row r="946" spans="1:1">
      <c r="A946" t="s">
        <v>836</v>
      </c>
    </row>
    <row r="947" spans="1:1">
      <c r="A947" t="s">
        <v>1158</v>
      </c>
    </row>
    <row r="948" spans="1:1">
      <c r="A948" t="s">
        <v>838</v>
      </c>
    </row>
    <row r="949" spans="1:1">
      <c r="A949" t="s">
        <v>839</v>
      </c>
    </row>
    <row r="950" spans="1:1">
      <c r="A950" t="s">
        <v>894</v>
      </c>
    </row>
    <row r="951" spans="1:1">
      <c r="A951" t="s">
        <v>895</v>
      </c>
    </row>
    <row r="952" spans="1:1">
      <c r="A952" t="s">
        <v>842</v>
      </c>
    </row>
    <row r="953" spans="1:1">
      <c r="A953" t="s">
        <v>843</v>
      </c>
    </row>
    <row r="954" spans="1:1">
      <c r="A954" t="s">
        <v>896</v>
      </c>
    </row>
    <row r="955" spans="1:1">
      <c r="A955" t="s">
        <v>897</v>
      </c>
    </row>
    <row r="956" spans="1:1">
      <c r="A956" t="s">
        <v>898</v>
      </c>
    </row>
    <row r="957" spans="1:1">
      <c r="A957" t="s">
        <v>899</v>
      </c>
    </row>
    <row r="958" spans="1:1">
      <c r="A958" t="s">
        <v>900</v>
      </c>
    </row>
    <row r="959" spans="1:1">
      <c r="A959" t="s">
        <v>901</v>
      </c>
    </row>
    <row r="960" spans="1:1">
      <c r="A960" t="s">
        <v>902</v>
      </c>
    </row>
    <row r="961" spans="1:1">
      <c r="A961" t="s">
        <v>1135</v>
      </c>
    </row>
    <row r="962" spans="1:1">
      <c r="A962" t="s">
        <v>4584</v>
      </c>
    </row>
    <row r="963" spans="1:1">
      <c r="A963" t="s">
        <v>812</v>
      </c>
    </row>
    <row r="964" spans="1:1">
      <c r="A964" t="s">
        <v>810</v>
      </c>
    </row>
    <row r="965" spans="1:1">
      <c r="A965" t="s">
        <v>811</v>
      </c>
    </row>
    <row r="966" spans="1:1">
      <c r="A966" t="s">
        <v>151</v>
      </c>
    </row>
    <row r="967" spans="1:1">
      <c r="A967" t="s">
        <v>836</v>
      </c>
    </row>
    <row r="968" spans="1:1">
      <c r="A968" t="s">
        <v>1159</v>
      </c>
    </row>
    <row r="969" spans="1:1">
      <c r="A969" t="s">
        <v>838</v>
      </c>
    </row>
    <row r="970" spans="1:1">
      <c r="A970" t="s">
        <v>839</v>
      </c>
    </row>
    <row r="971" spans="1:1">
      <c r="A971" t="s">
        <v>894</v>
      </c>
    </row>
    <row r="972" spans="1:1">
      <c r="A972" t="s">
        <v>895</v>
      </c>
    </row>
    <row r="973" spans="1:1">
      <c r="A973" t="s">
        <v>842</v>
      </c>
    </row>
    <row r="974" spans="1:1">
      <c r="A974" t="s">
        <v>843</v>
      </c>
    </row>
    <row r="975" spans="1:1">
      <c r="A975" t="s">
        <v>896</v>
      </c>
    </row>
    <row r="976" spans="1:1">
      <c r="A976" t="s">
        <v>897</v>
      </c>
    </row>
    <row r="977" spans="1:1">
      <c r="A977" t="s">
        <v>898</v>
      </c>
    </row>
    <row r="978" spans="1:1">
      <c r="A978" t="s">
        <v>899</v>
      </c>
    </row>
    <row r="979" spans="1:1">
      <c r="A979" t="s">
        <v>900</v>
      </c>
    </row>
    <row r="980" spans="1:1">
      <c r="A980" t="s">
        <v>901</v>
      </c>
    </row>
    <row r="981" spans="1:1">
      <c r="A981" t="s">
        <v>902</v>
      </c>
    </row>
    <row r="982" spans="1:1">
      <c r="A982" t="s">
        <v>1137</v>
      </c>
    </row>
    <row r="983" spans="1:1">
      <c r="A983" t="s">
        <v>4585</v>
      </c>
    </row>
    <row r="984" spans="1:1">
      <c r="A984" t="s">
        <v>812</v>
      </c>
    </row>
    <row r="985" spans="1:1">
      <c r="A985" t="s">
        <v>810</v>
      </c>
    </row>
    <row r="986" spans="1:1">
      <c r="A986" t="s">
        <v>811</v>
      </c>
    </row>
    <row r="987" spans="1:1">
      <c r="A987" t="s">
        <v>151</v>
      </c>
    </row>
    <row r="988" spans="1:1">
      <c r="A988" t="s">
        <v>836</v>
      </c>
    </row>
    <row r="989" spans="1:1">
      <c r="A989" t="s">
        <v>1160</v>
      </c>
    </row>
    <row r="990" spans="1:1">
      <c r="A990" t="s">
        <v>838</v>
      </c>
    </row>
    <row r="991" spans="1:1">
      <c r="A991" t="s">
        <v>839</v>
      </c>
    </row>
    <row r="992" spans="1:1">
      <c r="A992" t="s">
        <v>1161</v>
      </c>
    </row>
    <row r="993" spans="1:1">
      <c r="A993" t="s">
        <v>1162</v>
      </c>
    </row>
    <row r="994" spans="1:1">
      <c r="A994" t="s">
        <v>842</v>
      </c>
    </row>
    <row r="995" spans="1:1">
      <c r="A995" t="s">
        <v>843</v>
      </c>
    </row>
    <row r="996" spans="1:1">
      <c r="A996" t="s">
        <v>1163</v>
      </c>
    </row>
    <row r="997" spans="1:1">
      <c r="A997" t="s">
        <v>1164</v>
      </c>
    </row>
    <row r="998" spans="1:1">
      <c r="A998" t="s">
        <v>1165</v>
      </c>
    </row>
    <row r="999" spans="1:1">
      <c r="A999" t="s">
        <v>1166</v>
      </c>
    </row>
    <row r="1000" spans="1:1">
      <c r="A1000" t="s">
        <v>1167</v>
      </c>
    </row>
    <row r="1001" spans="1:1">
      <c r="A1001" t="s">
        <v>1059</v>
      </c>
    </row>
    <row r="1002" spans="1:1">
      <c r="A1002" t="s">
        <v>1060</v>
      </c>
    </row>
    <row r="1003" spans="1:1">
      <c r="A1003" t="s">
        <v>1168</v>
      </c>
    </row>
    <row r="1004" spans="1:1">
      <c r="A1004" t="s">
        <v>4586</v>
      </c>
    </row>
    <row r="1005" spans="1:1">
      <c r="A1005" t="s">
        <v>812</v>
      </c>
    </row>
    <row r="1006" spans="1:1">
      <c r="A1006" t="s">
        <v>810</v>
      </c>
    </row>
    <row r="1007" spans="1:1">
      <c r="A1007" t="s">
        <v>811</v>
      </c>
    </row>
    <row r="1008" spans="1:1">
      <c r="A1008" t="s">
        <v>151</v>
      </c>
    </row>
    <row r="1009" spans="1:1">
      <c r="A1009" t="s">
        <v>836</v>
      </c>
    </row>
    <row r="1010" spans="1:1">
      <c r="A1010" t="s">
        <v>1169</v>
      </c>
    </row>
    <row r="1011" spans="1:1">
      <c r="A1011" t="s">
        <v>838</v>
      </c>
    </row>
    <row r="1012" spans="1:1">
      <c r="A1012" t="s">
        <v>839</v>
      </c>
    </row>
    <row r="1013" spans="1:1">
      <c r="A1013" t="s">
        <v>1170</v>
      </c>
    </row>
    <row r="1014" spans="1:1">
      <c r="A1014" t="s">
        <v>1171</v>
      </c>
    </row>
    <row r="1015" spans="1:1">
      <c r="A1015" t="s">
        <v>1172</v>
      </c>
    </row>
    <row r="1016" spans="1:1">
      <c r="A1016" t="s">
        <v>1173</v>
      </c>
    </row>
    <row r="1017" spans="1:1">
      <c r="A1017" t="s">
        <v>1174</v>
      </c>
    </row>
    <row r="1018" spans="1:1">
      <c r="A1018" t="s">
        <v>1175</v>
      </c>
    </row>
    <row r="1019" spans="1:1">
      <c r="A1019" t="s">
        <v>1176</v>
      </c>
    </row>
    <row r="1020" spans="1:1">
      <c r="A1020" t="s">
        <v>847</v>
      </c>
    </row>
    <row r="1021" spans="1:1">
      <c r="A1021" t="s">
        <v>1177</v>
      </c>
    </row>
    <row r="1022" spans="1:1">
      <c r="A1022" t="s">
        <v>862</v>
      </c>
    </row>
    <row r="1023" spans="1:1">
      <c r="A1023" t="s">
        <v>863</v>
      </c>
    </row>
    <row r="1024" spans="1:1">
      <c r="A1024" t="s">
        <v>1178</v>
      </c>
    </row>
    <row r="1025" spans="1:1">
      <c r="A1025" t="s">
        <v>4587</v>
      </c>
    </row>
    <row r="1026" spans="1:1">
      <c r="A1026" t="s">
        <v>812</v>
      </c>
    </row>
    <row r="1027" spans="1:1">
      <c r="A1027" t="s">
        <v>810</v>
      </c>
    </row>
    <row r="1028" spans="1:1">
      <c r="A1028" t="s">
        <v>811</v>
      </c>
    </row>
    <row r="1029" spans="1:1">
      <c r="A1029" t="s">
        <v>151</v>
      </c>
    </row>
    <row r="1030" spans="1:1">
      <c r="A1030" t="s">
        <v>836</v>
      </c>
    </row>
    <row r="1031" spans="1:1">
      <c r="A1031" t="s">
        <v>1179</v>
      </c>
    </row>
    <row r="1032" spans="1:1">
      <c r="A1032" t="s">
        <v>1180</v>
      </c>
    </row>
    <row r="1033" spans="1:1">
      <c r="A1033" t="s">
        <v>1181</v>
      </c>
    </row>
    <row r="1034" spans="1:1">
      <c r="A1034" t="s">
        <v>1182</v>
      </c>
    </row>
    <row r="1035" spans="1:1">
      <c r="A1035" t="s">
        <v>1183</v>
      </c>
    </row>
    <row r="1036" spans="1:1">
      <c r="A1036" t="s">
        <v>1112</v>
      </c>
    </row>
    <row r="1037" spans="1:1">
      <c r="A1037" t="s">
        <v>1184</v>
      </c>
    </row>
    <row r="1038" spans="1:1">
      <c r="A1038" t="s">
        <v>1185</v>
      </c>
    </row>
    <row r="1039" spans="1:1">
      <c r="A1039" t="s">
        <v>1186</v>
      </c>
    </row>
    <row r="1040" spans="1:1">
      <c r="A1040" t="s">
        <v>1187</v>
      </c>
    </row>
    <row r="1041" spans="1:1">
      <c r="A1041" t="s">
        <v>1188</v>
      </c>
    </row>
    <row r="1042" spans="1:1">
      <c r="A1042" t="s">
        <v>1189</v>
      </c>
    </row>
    <row r="1043" spans="1:1">
      <c r="A1043" t="s">
        <v>918</v>
      </c>
    </row>
    <row r="1044" spans="1:1">
      <c r="A1044" t="s">
        <v>919</v>
      </c>
    </row>
    <row r="1045" spans="1:1">
      <c r="A1045" t="s">
        <v>1190</v>
      </c>
    </row>
    <row r="1046" spans="1:1">
      <c r="A1046" t="s">
        <v>4588</v>
      </c>
    </row>
    <row r="1047" spans="1:1">
      <c r="A1047" t="s">
        <v>812</v>
      </c>
    </row>
    <row r="1048" spans="1:1">
      <c r="A1048" t="s">
        <v>810</v>
      </c>
    </row>
    <row r="1049" spans="1:1">
      <c r="A1049" t="s">
        <v>811</v>
      </c>
    </row>
    <row r="1050" spans="1:1">
      <c r="A1050" t="s">
        <v>151</v>
      </c>
    </row>
    <row r="1051" spans="1:1">
      <c r="A1051" t="s">
        <v>836</v>
      </c>
    </row>
    <row r="1052" spans="1:1">
      <c r="A1052" t="s">
        <v>1191</v>
      </c>
    </row>
    <row r="1053" spans="1:1">
      <c r="A1053" t="s">
        <v>838</v>
      </c>
    </row>
    <row r="1054" spans="1:1">
      <c r="A1054" t="s">
        <v>839</v>
      </c>
    </row>
    <row r="1055" spans="1:1">
      <c r="A1055" t="s">
        <v>1192</v>
      </c>
    </row>
    <row r="1056" spans="1:1">
      <c r="A1056" t="s">
        <v>1193</v>
      </c>
    </row>
    <row r="1057" spans="1:1">
      <c r="A1057" t="s">
        <v>1194</v>
      </c>
    </row>
    <row r="1058" spans="1:1">
      <c r="A1058" t="s">
        <v>1195</v>
      </c>
    </row>
    <row r="1059" spans="1:1">
      <c r="A1059" t="s">
        <v>1196</v>
      </c>
    </row>
    <row r="1060" spans="1:1">
      <c r="A1060" t="s">
        <v>858</v>
      </c>
    </row>
    <row r="1061" spans="1:1">
      <c r="A1061" t="s">
        <v>1197</v>
      </c>
    </row>
    <row r="1062" spans="1:1">
      <c r="A1062" t="s">
        <v>1198</v>
      </c>
    </row>
    <row r="1063" spans="1:1">
      <c r="A1063" t="s">
        <v>1199</v>
      </c>
    </row>
    <row r="1064" spans="1:1">
      <c r="A1064" t="s">
        <v>877</v>
      </c>
    </row>
    <row r="1065" spans="1:1">
      <c r="A1065" t="s">
        <v>878</v>
      </c>
    </row>
    <row r="1066" spans="1:1">
      <c r="A1066" t="s">
        <v>1200</v>
      </c>
    </row>
    <row r="1067" spans="1:1">
      <c r="A1067" t="s">
        <v>4589</v>
      </c>
    </row>
    <row r="1068" spans="1:1">
      <c r="A1068" t="s">
        <v>812</v>
      </c>
    </row>
    <row r="1069" spans="1:1">
      <c r="A1069" t="s">
        <v>810</v>
      </c>
    </row>
    <row r="1070" spans="1:1">
      <c r="A1070" t="s">
        <v>811</v>
      </c>
    </row>
    <row r="1071" spans="1:1">
      <c r="A1071" t="s">
        <v>151</v>
      </c>
    </row>
    <row r="1072" spans="1:1">
      <c r="A1072" t="s">
        <v>836</v>
      </c>
    </row>
    <row r="1073" spans="1:1">
      <c r="A1073" t="s">
        <v>1201</v>
      </c>
    </row>
    <row r="1074" spans="1:1">
      <c r="A1074" t="s">
        <v>838</v>
      </c>
    </row>
    <row r="1075" spans="1:1">
      <c r="A1075" t="s">
        <v>839</v>
      </c>
    </row>
    <row r="1076" spans="1:1">
      <c r="A1076" t="s">
        <v>868</v>
      </c>
    </row>
    <row r="1077" spans="1:1">
      <c r="A1077" t="s">
        <v>1202</v>
      </c>
    </row>
    <row r="1078" spans="1:1">
      <c r="A1078" t="s">
        <v>842</v>
      </c>
    </row>
    <row r="1079" spans="1:1">
      <c r="A1079" t="s">
        <v>843</v>
      </c>
    </row>
    <row r="1080" spans="1:1">
      <c r="A1080" t="s">
        <v>1203</v>
      </c>
    </row>
    <row r="1081" spans="1:1">
      <c r="A1081" t="s">
        <v>972</v>
      </c>
    </row>
    <row r="1082" spans="1:1">
      <c r="A1082" t="s">
        <v>1204</v>
      </c>
    </row>
    <row r="1083" spans="1:1">
      <c r="A1083" t="s">
        <v>847</v>
      </c>
    </row>
    <row r="1084" spans="1:1">
      <c r="A1084" t="s">
        <v>975</v>
      </c>
    </row>
    <row r="1085" spans="1:1">
      <c r="A1085" t="s">
        <v>1205</v>
      </c>
    </row>
    <row r="1086" spans="1:1">
      <c r="A1086" t="s">
        <v>1001</v>
      </c>
    </row>
    <row r="1087" spans="1:1">
      <c r="A1087" t="s">
        <v>1206</v>
      </c>
    </row>
    <row r="1088" spans="1:1">
      <c r="A1088" t="s">
        <v>1207</v>
      </c>
    </row>
    <row r="1089" spans="1:1">
      <c r="A1089" t="s">
        <v>812</v>
      </c>
    </row>
    <row r="1090" spans="1:1">
      <c r="A1090" t="s">
        <v>810</v>
      </c>
    </row>
    <row r="1091" spans="1:1">
      <c r="A1091" t="s">
        <v>811</v>
      </c>
    </row>
    <row r="1092" spans="1:1">
      <c r="A1092" t="s">
        <v>151</v>
      </c>
    </row>
    <row r="1093" spans="1:1">
      <c r="A1093" t="s">
        <v>836</v>
      </c>
    </row>
    <row r="1094" spans="1:1">
      <c r="A1094" t="s">
        <v>1208</v>
      </c>
    </row>
    <row r="1095" spans="1:1">
      <c r="A1095" t="s">
        <v>1209</v>
      </c>
    </row>
    <row r="1096" spans="1:1">
      <c r="A1096" t="s">
        <v>1210</v>
      </c>
    </row>
    <row r="1097" spans="1:1">
      <c r="A1097" t="s">
        <v>1211</v>
      </c>
    </row>
    <row r="1098" spans="1:1">
      <c r="A1098" t="s">
        <v>1212</v>
      </c>
    </row>
    <row r="1099" spans="1:1">
      <c r="A1099" t="s">
        <v>1213</v>
      </c>
    </row>
    <row r="1100" spans="1:1">
      <c r="A1100" t="s">
        <v>1214</v>
      </c>
    </row>
    <row r="1101" spans="1:1">
      <c r="A1101" t="s">
        <v>1215</v>
      </c>
    </row>
    <row r="1102" spans="1:1">
      <c r="A1102" t="s">
        <v>1216</v>
      </c>
    </row>
    <row r="1103" spans="1:1">
      <c r="A1103" t="s">
        <v>1217</v>
      </c>
    </row>
    <row r="1104" spans="1:1">
      <c r="A1104" t="s">
        <v>1218</v>
      </c>
    </row>
    <row r="1105" spans="1:1">
      <c r="A1105" t="s">
        <v>1219</v>
      </c>
    </row>
    <row r="1106" spans="1:1">
      <c r="A1106" t="s">
        <v>1205</v>
      </c>
    </row>
    <row r="1107" spans="1:1">
      <c r="A1107" t="s">
        <v>1220</v>
      </c>
    </row>
    <row r="1108" spans="1:1">
      <c r="A1108" t="s">
        <v>1221</v>
      </c>
    </row>
    <row r="1109" spans="1:1">
      <c r="A1109" t="s">
        <v>1222</v>
      </c>
    </row>
    <row r="1110" spans="1:1">
      <c r="A1110" t="s">
        <v>812</v>
      </c>
    </row>
    <row r="1111" spans="1:1">
      <c r="A1111" t="s">
        <v>810</v>
      </c>
    </row>
    <row r="1112" spans="1:1">
      <c r="A1112" t="s">
        <v>811</v>
      </c>
    </row>
    <row r="1113" spans="1:1">
      <c r="A1113" t="s">
        <v>151</v>
      </c>
    </row>
    <row r="1114" spans="1:1">
      <c r="A1114" t="s">
        <v>836</v>
      </c>
    </row>
    <row r="1115" spans="1:1">
      <c r="A1115" t="s">
        <v>1223</v>
      </c>
    </row>
    <row r="1116" spans="1:1">
      <c r="A1116" t="s">
        <v>838</v>
      </c>
    </row>
    <row r="1117" spans="1:1">
      <c r="A1117" t="s">
        <v>839</v>
      </c>
    </row>
    <row r="1118" spans="1:1">
      <c r="A1118" t="s">
        <v>1224</v>
      </c>
    </row>
    <row r="1119" spans="1:1">
      <c r="A1119" t="s">
        <v>1225</v>
      </c>
    </row>
    <row r="1120" spans="1:1">
      <c r="A1120" t="s">
        <v>1226</v>
      </c>
    </row>
    <row r="1121" spans="1:1">
      <c r="A1121" t="s">
        <v>1227</v>
      </c>
    </row>
    <row r="1122" spans="1:1">
      <c r="A1122" t="s">
        <v>1228</v>
      </c>
    </row>
    <row r="1123" spans="1:1">
      <c r="A1123" t="s">
        <v>1229</v>
      </c>
    </row>
    <row r="1124" spans="1:1">
      <c r="A1124" t="s">
        <v>1230</v>
      </c>
    </row>
    <row r="1125" spans="1:1">
      <c r="A1125" t="s">
        <v>1231</v>
      </c>
    </row>
    <row r="1126" spans="1:1">
      <c r="A1126" t="s">
        <v>1232</v>
      </c>
    </row>
    <row r="1127" spans="1:1">
      <c r="A1127" t="s">
        <v>1233</v>
      </c>
    </row>
    <row r="1128" spans="1:1">
      <c r="A1128" t="s">
        <v>863</v>
      </c>
    </row>
    <row r="1129" spans="1:1">
      <c r="A1129" t="s">
        <v>1234</v>
      </c>
    </row>
    <row r="1130" spans="1:1">
      <c r="A1130" t="s">
        <v>1235</v>
      </c>
    </row>
    <row r="1131" spans="1:1">
      <c r="A1131" t="s">
        <v>812</v>
      </c>
    </row>
    <row r="1132" spans="1:1">
      <c r="A1132" t="s">
        <v>810</v>
      </c>
    </row>
    <row r="1133" spans="1:1">
      <c r="A1133" t="s">
        <v>811</v>
      </c>
    </row>
    <row r="1134" spans="1:1">
      <c r="A1134" t="s">
        <v>151</v>
      </c>
    </row>
    <row r="1135" spans="1:1">
      <c r="A1135" t="s">
        <v>836</v>
      </c>
    </row>
    <row r="1136" spans="1:1">
      <c r="A1136" t="s">
        <v>1236</v>
      </c>
    </row>
    <row r="1137" spans="1:1">
      <c r="A1137" t="s">
        <v>838</v>
      </c>
    </row>
    <row r="1138" spans="1:1">
      <c r="A1138" t="s">
        <v>839</v>
      </c>
    </row>
    <row r="1139" spans="1:1">
      <c r="A1139" t="s">
        <v>1182</v>
      </c>
    </row>
    <row r="1140" spans="1:1">
      <c r="A1140" t="s">
        <v>1237</v>
      </c>
    </row>
    <row r="1141" spans="1:1">
      <c r="A1141" t="s">
        <v>842</v>
      </c>
    </row>
    <row r="1142" spans="1:1">
      <c r="A1142" t="s">
        <v>843</v>
      </c>
    </row>
    <row r="1143" spans="1:1">
      <c r="A1143" t="s">
        <v>1238</v>
      </c>
    </row>
    <row r="1144" spans="1:1">
      <c r="A1144" t="s">
        <v>1239</v>
      </c>
    </row>
    <row r="1145" spans="1:1">
      <c r="A1145" t="s">
        <v>1240</v>
      </c>
    </row>
    <row r="1146" spans="1:1">
      <c r="A1146" t="s">
        <v>1241</v>
      </c>
    </row>
    <row r="1147" spans="1:1">
      <c r="A1147" t="s">
        <v>1242</v>
      </c>
    </row>
    <row r="1148" spans="1:1">
      <c r="A1148" t="s">
        <v>1243</v>
      </c>
    </row>
    <row r="1149" spans="1:1">
      <c r="A1149" t="s">
        <v>1001</v>
      </c>
    </row>
    <row r="1150" spans="1:1">
      <c r="A1150" t="s">
        <v>1244</v>
      </c>
    </row>
    <row r="1151" spans="1:1">
      <c r="A1151" t="s">
        <v>4590</v>
      </c>
    </row>
    <row r="1152" spans="1:1">
      <c r="A1152" t="s">
        <v>812</v>
      </c>
    </row>
    <row r="1153" spans="1:1">
      <c r="A1153" t="s">
        <v>810</v>
      </c>
    </row>
    <row r="1154" spans="1:1">
      <c r="A1154" t="s">
        <v>811</v>
      </c>
    </row>
    <row r="1155" spans="1:1">
      <c r="A1155" t="s">
        <v>151</v>
      </c>
    </row>
    <row r="1156" spans="1:1">
      <c r="A1156" t="s">
        <v>836</v>
      </c>
    </row>
    <row r="1157" spans="1:1">
      <c r="A1157" t="s">
        <v>1245</v>
      </c>
    </row>
    <row r="1158" spans="1:1">
      <c r="A1158" t="s">
        <v>838</v>
      </c>
    </row>
    <row r="1159" spans="1:1">
      <c r="A1159" t="s">
        <v>839</v>
      </c>
    </row>
    <row r="1160" spans="1:1">
      <c r="A1160" t="s">
        <v>894</v>
      </c>
    </row>
    <row r="1161" spans="1:1">
      <c r="A1161" t="s">
        <v>895</v>
      </c>
    </row>
    <row r="1162" spans="1:1">
      <c r="A1162" t="s">
        <v>842</v>
      </c>
    </row>
    <row r="1163" spans="1:1">
      <c r="A1163" t="s">
        <v>843</v>
      </c>
    </row>
    <row r="1164" spans="1:1">
      <c r="A1164" t="s">
        <v>896</v>
      </c>
    </row>
    <row r="1165" spans="1:1">
      <c r="A1165" t="s">
        <v>897</v>
      </c>
    </row>
    <row r="1166" spans="1:1">
      <c r="A1166" t="s">
        <v>898</v>
      </c>
    </row>
    <row r="1167" spans="1:1">
      <c r="A1167" t="s">
        <v>899</v>
      </c>
    </row>
    <row r="1168" spans="1:1">
      <c r="A1168" t="s">
        <v>900</v>
      </c>
    </row>
    <row r="1169" spans="1:1">
      <c r="A1169" t="s">
        <v>901</v>
      </c>
    </row>
    <row r="1170" spans="1:1">
      <c r="A1170" t="s">
        <v>902</v>
      </c>
    </row>
    <row r="1171" spans="1:1">
      <c r="A1171" t="s">
        <v>1246</v>
      </c>
    </row>
    <row r="1172" spans="1:1">
      <c r="A1172" t="s">
        <v>1247</v>
      </c>
    </row>
    <row r="1173" spans="1:1">
      <c r="A1173" t="s">
        <v>812</v>
      </c>
    </row>
    <row r="1174" spans="1:1">
      <c r="A1174" t="s">
        <v>810</v>
      </c>
    </row>
    <row r="1175" spans="1:1">
      <c r="A1175" t="s">
        <v>811</v>
      </c>
    </row>
    <row r="1176" spans="1:1">
      <c r="A1176" t="s">
        <v>151</v>
      </c>
    </row>
    <row r="1177" spans="1:1">
      <c r="A1177" t="s">
        <v>836</v>
      </c>
    </row>
    <row r="1178" spans="1:1">
      <c r="A1178" t="s">
        <v>1248</v>
      </c>
    </row>
    <row r="1179" spans="1:1">
      <c r="A1179" t="s">
        <v>838</v>
      </c>
    </row>
    <row r="1180" spans="1:1">
      <c r="A1180" t="s">
        <v>839</v>
      </c>
    </row>
    <row r="1181" spans="1:1">
      <c r="A1181" t="s">
        <v>894</v>
      </c>
    </row>
    <row r="1182" spans="1:1">
      <c r="A1182" t="s">
        <v>895</v>
      </c>
    </row>
    <row r="1183" spans="1:1">
      <c r="A1183" t="s">
        <v>842</v>
      </c>
    </row>
    <row r="1184" spans="1:1">
      <c r="A1184" t="s">
        <v>843</v>
      </c>
    </row>
    <row r="1185" spans="1:1">
      <c r="A1185" t="s">
        <v>896</v>
      </c>
    </row>
    <row r="1186" spans="1:1">
      <c r="A1186" t="s">
        <v>897</v>
      </c>
    </row>
    <row r="1187" spans="1:1">
      <c r="A1187" t="s">
        <v>898</v>
      </c>
    </row>
    <row r="1188" spans="1:1">
      <c r="A1188" t="s">
        <v>899</v>
      </c>
    </row>
    <row r="1189" spans="1:1">
      <c r="A1189" t="s">
        <v>900</v>
      </c>
    </row>
    <row r="1190" spans="1:1">
      <c r="A1190" t="s">
        <v>901</v>
      </c>
    </row>
    <row r="1191" spans="1:1">
      <c r="A1191" t="s">
        <v>902</v>
      </c>
    </row>
    <row r="1192" spans="1:1">
      <c r="A1192" t="s">
        <v>1249</v>
      </c>
    </row>
    <row r="1193" spans="1:1">
      <c r="A1193" t="s">
        <v>4591</v>
      </c>
    </row>
    <row r="1194" spans="1:1">
      <c r="A1194" t="s">
        <v>812</v>
      </c>
    </row>
    <row r="1195" spans="1:1">
      <c r="A1195" t="s">
        <v>810</v>
      </c>
    </row>
    <row r="1196" spans="1:1">
      <c r="A1196" t="s">
        <v>811</v>
      </c>
    </row>
    <row r="1197" spans="1:1">
      <c r="A1197" t="s">
        <v>151</v>
      </c>
    </row>
    <row r="1198" spans="1:1">
      <c r="A1198" t="s">
        <v>836</v>
      </c>
    </row>
    <row r="1199" spans="1:1">
      <c r="A1199" t="s">
        <v>1250</v>
      </c>
    </row>
    <row r="1200" spans="1:1">
      <c r="A1200" t="s">
        <v>1251</v>
      </c>
    </row>
    <row r="1201" spans="1:1">
      <c r="A1201" t="s">
        <v>1252</v>
      </c>
    </row>
    <row r="1202" spans="1:1">
      <c r="A1202" t="s">
        <v>894</v>
      </c>
    </row>
    <row r="1203" spans="1:1">
      <c r="A1203" t="s">
        <v>895</v>
      </c>
    </row>
    <row r="1204" spans="1:1">
      <c r="A1204" t="s">
        <v>842</v>
      </c>
    </row>
    <row r="1205" spans="1:1">
      <c r="A1205" t="s">
        <v>843</v>
      </c>
    </row>
    <row r="1206" spans="1:1">
      <c r="A1206" t="s">
        <v>1253</v>
      </c>
    </row>
    <row r="1207" spans="1:1">
      <c r="A1207" t="s">
        <v>1254</v>
      </c>
    </row>
    <row r="1208" spans="1:1">
      <c r="A1208" t="s">
        <v>1255</v>
      </c>
    </row>
    <row r="1209" spans="1:1">
      <c r="A1209" t="s">
        <v>1256</v>
      </c>
    </row>
    <row r="1210" spans="1:1">
      <c r="A1210" t="s">
        <v>1257</v>
      </c>
    </row>
    <row r="1211" spans="1:1">
      <c r="A1211" t="s">
        <v>1258</v>
      </c>
    </row>
    <row r="1212" spans="1:1">
      <c r="A1212" t="s">
        <v>1259</v>
      </c>
    </row>
    <row r="1213" spans="1:1">
      <c r="A1213" t="s">
        <v>1260</v>
      </c>
    </row>
    <row r="1214" spans="1:1">
      <c r="A1214" t="s">
        <v>4592</v>
      </c>
    </row>
    <row r="1215" spans="1:1">
      <c r="A1215" t="s">
        <v>812</v>
      </c>
    </row>
    <row r="1216" spans="1:1">
      <c r="A1216" t="s">
        <v>810</v>
      </c>
    </row>
    <row r="1217" spans="1:1">
      <c r="A1217" t="s">
        <v>811</v>
      </c>
    </row>
    <row r="1218" spans="1:1">
      <c r="A1218" t="s">
        <v>151</v>
      </c>
    </row>
    <row r="1219" spans="1:1">
      <c r="A1219" t="s">
        <v>836</v>
      </c>
    </row>
    <row r="1220" spans="1:1">
      <c r="A1220" t="s">
        <v>1261</v>
      </c>
    </row>
    <row r="1221" spans="1:1">
      <c r="A1221" t="s">
        <v>1262</v>
      </c>
    </row>
    <row r="1222" spans="1:1">
      <c r="A1222" t="s">
        <v>1263</v>
      </c>
    </row>
    <row r="1223" spans="1:1">
      <c r="A1223" t="s">
        <v>1264</v>
      </c>
    </row>
    <row r="1224" spans="1:1">
      <c r="A1224" t="s">
        <v>1265</v>
      </c>
    </row>
    <row r="1225" spans="1:1">
      <c r="A1225" t="s">
        <v>842</v>
      </c>
    </row>
    <row r="1226" spans="1:1">
      <c r="A1226" t="s">
        <v>843</v>
      </c>
    </row>
    <row r="1227" spans="1:1">
      <c r="A1227" t="s">
        <v>1266</v>
      </c>
    </row>
    <row r="1228" spans="1:1">
      <c r="A1228" t="s">
        <v>1267</v>
      </c>
    </row>
    <row r="1229" spans="1:1">
      <c r="A1229" t="s">
        <v>1268</v>
      </c>
    </row>
    <row r="1230" spans="1:1">
      <c r="A1230" t="s">
        <v>899</v>
      </c>
    </row>
    <row r="1231" spans="1:1">
      <c r="A1231" t="s">
        <v>1269</v>
      </c>
    </row>
    <row r="1232" spans="1:1">
      <c r="A1232" t="s">
        <v>1258</v>
      </c>
    </row>
    <row r="1233" spans="1:1">
      <c r="A1233" t="s">
        <v>989</v>
      </c>
    </row>
    <row r="1234" spans="1:1">
      <c r="A1234" t="s">
        <v>1270</v>
      </c>
    </row>
    <row r="1235" spans="1:1">
      <c r="A1235" t="s">
        <v>4593</v>
      </c>
    </row>
    <row r="1236" spans="1:1">
      <c r="A1236" t="s">
        <v>822</v>
      </c>
    </row>
    <row r="1237" spans="1:1">
      <c r="A1237" t="s">
        <v>810</v>
      </c>
    </row>
    <row r="1238" spans="1:1">
      <c r="A1238" t="s">
        <v>811</v>
      </c>
    </row>
    <row r="1239" spans="1:1">
      <c r="A1239" t="s">
        <v>151</v>
      </c>
    </row>
    <row r="1240" spans="1:1">
      <c r="A1240" t="s">
        <v>836</v>
      </c>
    </row>
    <row r="1241" spans="1:1">
      <c r="A1241" t="s">
        <v>1261</v>
      </c>
    </row>
    <row r="1242" spans="1:1">
      <c r="A1242" t="s">
        <v>1262</v>
      </c>
    </row>
    <row r="1243" spans="1:1">
      <c r="A1243" t="s">
        <v>1263</v>
      </c>
    </row>
    <row r="1244" spans="1:1">
      <c r="A1244" t="s">
        <v>1264</v>
      </c>
    </row>
    <row r="1245" spans="1:1">
      <c r="A1245" t="s">
        <v>1265</v>
      </c>
    </row>
    <row r="1246" spans="1:1">
      <c r="A1246" t="s">
        <v>842</v>
      </c>
    </row>
    <row r="1247" spans="1:1">
      <c r="A1247" t="s">
        <v>843</v>
      </c>
    </row>
    <row r="1248" spans="1:1">
      <c r="A1248" t="s">
        <v>1266</v>
      </c>
    </row>
    <row r="1249" spans="1:1">
      <c r="A1249" t="s">
        <v>1267</v>
      </c>
    </row>
    <row r="1250" spans="1:1">
      <c r="A1250" t="s">
        <v>1268</v>
      </c>
    </row>
    <row r="1251" spans="1:1">
      <c r="A1251" t="s">
        <v>899</v>
      </c>
    </row>
    <row r="1252" spans="1:1">
      <c r="A1252" t="s">
        <v>1269</v>
      </c>
    </row>
    <row r="1253" spans="1:1">
      <c r="A1253" t="s">
        <v>1258</v>
      </c>
    </row>
    <row r="1254" spans="1:1">
      <c r="A1254" t="s">
        <v>989</v>
      </c>
    </row>
    <row r="1255" spans="1:1">
      <c r="A1255" t="s">
        <v>1271</v>
      </c>
    </row>
    <row r="1256" spans="1:1">
      <c r="A1256" t="s">
        <v>4593</v>
      </c>
    </row>
    <row r="1257" spans="1:1">
      <c r="A1257" t="s">
        <v>823</v>
      </c>
    </row>
    <row r="1258" spans="1:1">
      <c r="A1258" t="s">
        <v>810</v>
      </c>
    </row>
    <row r="1259" spans="1:1">
      <c r="A1259" t="s">
        <v>811</v>
      </c>
    </row>
    <row r="1260" spans="1:1">
      <c r="A1260" t="s">
        <v>151</v>
      </c>
    </row>
    <row r="1261" spans="1:1">
      <c r="A1261" t="s">
        <v>836</v>
      </c>
    </row>
    <row r="1262" spans="1:1">
      <c r="A1262" t="s">
        <v>1272</v>
      </c>
    </row>
    <row r="1263" spans="1:1">
      <c r="A1263" t="s">
        <v>838</v>
      </c>
    </row>
    <row r="1264" spans="1:1">
      <c r="A1264" t="s">
        <v>839</v>
      </c>
    </row>
    <row r="1265" spans="1:1">
      <c r="A1265" t="s">
        <v>894</v>
      </c>
    </row>
    <row r="1266" spans="1:1">
      <c r="A1266" t="s">
        <v>895</v>
      </c>
    </row>
    <row r="1267" spans="1:1">
      <c r="A1267" t="s">
        <v>842</v>
      </c>
    </row>
    <row r="1268" spans="1:1">
      <c r="A1268" t="s">
        <v>843</v>
      </c>
    </row>
    <row r="1269" spans="1:1">
      <c r="A1269" t="s">
        <v>896</v>
      </c>
    </row>
    <row r="1270" spans="1:1">
      <c r="A1270" t="s">
        <v>897</v>
      </c>
    </row>
    <row r="1271" spans="1:1">
      <c r="A1271" t="s">
        <v>898</v>
      </c>
    </row>
    <row r="1272" spans="1:1">
      <c r="A1272" t="s">
        <v>899</v>
      </c>
    </row>
    <row r="1273" spans="1:1">
      <c r="A1273" t="s">
        <v>900</v>
      </c>
    </row>
    <row r="1274" spans="1:1">
      <c r="A1274" t="s">
        <v>901</v>
      </c>
    </row>
    <row r="1275" spans="1:1">
      <c r="A1275" t="s">
        <v>902</v>
      </c>
    </row>
    <row r="1276" spans="1:1">
      <c r="A1276" t="s">
        <v>1002</v>
      </c>
    </row>
    <row r="1277" spans="1:1">
      <c r="A1277" t="s">
        <v>4594</v>
      </c>
    </row>
    <row r="1278" spans="1:1">
      <c r="A1278" t="s">
        <v>812</v>
      </c>
    </row>
    <row r="1279" spans="1:1">
      <c r="A1279" t="s">
        <v>810</v>
      </c>
    </row>
    <row r="1280" spans="1:1">
      <c r="A1280" t="s">
        <v>811</v>
      </c>
    </row>
    <row r="1281" spans="1:1">
      <c r="A1281" t="s">
        <v>151</v>
      </c>
    </row>
    <row r="1282" spans="1:1">
      <c r="A1282" t="s">
        <v>836</v>
      </c>
    </row>
    <row r="1283" spans="1:1">
      <c r="A1283" t="s">
        <v>1273</v>
      </c>
    </row>
    <row r="1284" spans="1:1">
      <c r="A1284" t="s">
        <v>838</v>
      </c>
    </row>
    <row r="1285" spans="1:1">
      <c r="A1285" t="s">
        <v>839</v>
      </c>
    </row>
    <row r="1286" spans="1:1">
      <c r="A1286" t="s">
        <v>894</v>
      </c>
    </row>
    <row r="1287" spans="1:1">
      <c r="A1287" t="s">
        <v>895</v>
      </c>
    </row>
    <row r="1288" spans="1:1">
      <c r="A1288" t="s">
        <v>842</v>
      </c>
    </row>
    <row r="1289" spans="1:1">
      <c r="A1289" t="s">
        <v>843</v>
      </c>
    </row>
    <row r="1290" spans="1:1">
      <c r="A1290" t="s">
        <v>896</v>
      </c>
    </row>
    <row r="1291" spans="1:1">
      <c r="A1291" t="s">
        <v>897</v>
      </c>
    </row>
    <row r="1292" spans="1:1">
      <c r="A1292" t="s">
        <v>898</v>
      </c>
    </row>
    <row r="1293" spans="1:1">
      <c r="A1293" t="s">
        <v>899</v>
      </c>
    </row>
    <row r="1294" spans="1:1">
      <c r="A1294" t="s">
        <v>900</v>
      </c>
    </row>
    <row r="1295" spans="1:1">
      <c r="A1295" t="s">
        <v>901</v>
      </c>
    </row>
    <row r="1296" spans="1:1">
      <c r="A1296" t="s">
        <v>902</v>
      </c>
    </row>
    <row r="1297" spans="1:1">
      <c r="A1297" t="s">
        <v>1002</v>
      </c>
    </row>
    <row r="1298" spans="1:1">
      <c r="A1298" t="s">
        <v>1274</v>
      </c>
    </row>
    <row r="1299" spans="1:1">
      <c r="A1299" t="s">
        <v>812</v>
      </c>
    </row>
    <row r="1300" spans="1:1">
      <c r="A1300" t="s">
        <v>810</v>
      </c>
    </row>
    <row r="1301" spans="1:1">
      <c r="A1301" t="s">
        <v>811</v>
      </c>
    </row>
    <row r="1302" spans="1:1">
      <c r="A1302" t="s">
        <v>151</v>
      </c>
    </row>
    <row r="1303" spans="1:1">
      <c r="A1303" t="s">
        <v>836</v>
      </c>
    </row>
    <row r="1304" spans="1:1">
      <c r="A1304" t="s">
        <v>1275</v>
      </c>
    </row>
    <row r="1305" spans="1:1">
      <c r="A1305" t="s">
        <v>838</v>
      </c>
    </row>
    <row r="1306" spans="1:1">
      <c r="A1306" t="s">
        <v>839</v>
      </c>
    </row>
    <row r="1307" spans="1:1">
      <c r="A1307" t="s">
        <v>1276</v>
      </c>
    </row>
    <row r="1308" spans="1:1">
      <c r="A1308" t="s">
        <v>1277</v>
      </c>
    </row>
    <row r="1309" spans="1:1">
      <c r="A1309" t="s">
        <v>842</v>
      </c>
    </row>
    <row r="1310" spans="1:1">
      <c r="A1310" t="s">
        <v>843</v>
      </c>
    </row>
    <row r="1311" spans="1:1">
      <c r="A1311" t="s">
        <v>1278</v>
      </c>
    </row>
    <row r="1312" spans="1:1">
      <c r="A1312" t="s">
        <v>897</v>
      </c>
    </row>
    <row r="1313" spans="1:1">
      <c r="A1313" t="s">
        <v>1279</v>
      </c>
    </row>
    <row r="1314" spans="1:1">
      <c r="A1314" t="s">
        <v>899</v>
      </c>
    </row>
    <row r="1315" spans="1:1">
      <c r="A1315" t="s">
        <v>1280</v>
      </c>
    </row>
    <row r="1316" spans="1:1">
      <c r="A1316" t="s">
        <v>1281</v>
      </c>
    </row>
    <row r="1317" spans="1:1">
      <c r="A1317" t="s">
        <v>1282</v>
      </c>
    </row>
    <row r="1318" spans="1:1">
      <c r="A1318" t="s">
        <v>1283</v>
      </c>
    </row>
    <row r="1319" spans="1:1">
      <c r="A1319" t="s">
        <v>1284</v>
      </c>
    </row>
    <row r="1320" spans="1:1">
      <c r="A1320" t="s">
        <v>812</v>
      </c>
    </row>
    <row r="1321" spans="1:1">
      <c r="A1321" t="s">
        <v>810</v>
      </c>
    </row>
    <row r="1322" spans="1:1">
      <c r="A1322" t="s">
        <v>811</v>
      </c>
    </row>
    <row r="1323" spans="1:1">
      <c r="A1323" t="s">
        <v>151</v>
      </c>
    </row>
    <row r="1324" spans="1:1">
      <c r="A1324" t="s">
        <v>836</v>
      </c>
    </row>
    <row r="1325" spans="1:1">
      <c r="A1325" t="s">
        <v>1285</v>
      </c>
    </row>
    <row r="1326" spans="1:1">
      <c r="A1326" t="s">
        <v>838</v>
      </c>
    </row>
    <row r="1327" spans="1:1">
      <c r="A1327" t="s">
        <v>839</v>
      </c>
    </row>
    <row r="1328" spans="1:1">
      <c r="A1328" t="s">
        <v>1286</v>
      </c>
    </row>
    <row r="1329" spans="1:1">
      <c r="A1329" t="s">
        <v>1287</v>
      </c>
    </row>
    <row r="1330" spans="1:1">
      <c r="A1330" t="s">
        <v>842</v>
      </c>
    </row>
    <row r="1331" spans="1:1">
      <c r="A1331" t="s">
        <v>843</v>
      </c>
    </row>
    <row r="1332" spans="1:1">
      <c r="A1332" t="s">
        <v>1288</v>
      </c>
    </row>
    <row r="1333" spans="1:1">
      <c r="A1333" t="s">
        <v>1289</v>
      </c>
    </row>
    <row r="1334" spans="1:1">
      <c r="A1334" t="s">
        <v>1290</v>
      </c>
    </row>
    <row r="1335" spans="1:1">
      <c r="A1335" t="s">
        <v>927</v>
      </c>
    </row>
    <row r="1336" spans="1:1">
      <c r="A1336" t="s">
        <v>1291</v>
      </c>
    </row>
    <row r="1337" spans="1:1">
      <c r="A1337" t="s">
        <v>1025</v>
      </c>
    </row>
    <row r="1338" spans="1:1">
      <c r="A1338" t="s">
        <v>863</v>
      </c>
    </row>
    <row r="1339" spans="1:1">
      <c r="A1339" t="s">
        <v>1292</v>
      </c>
    </row>
    <row r="1340" spans="1:1">
      <c r="A1340" t="s">
        <v>1293</v>
      </c>
    </row>
    <row r="1341" spans="1:1">
      <c r="A1341" t="s">
        <v>812</v>
      </c>
    </row>
    <row r="1342" spans="1:1">
      <c r="A1342" t="s">
        <v>810</v>
      </c>
    </row>
    <row r="1343" spans="1:1">
      <c r="A1343" t="s">
        <v>811</v>
      </c>
    </row>
    <row r="1344" spans="1:1">
      <c r="A1344" t="s">
        <v>151</v>
      </c>
    </row>
    <row r="1345" spans="1:1">
      <c r="A1345" t="s">
        <v>836</v>
      </c>
    </row>
    <row r="1346" spans="1:1">
      <c r="A1346" t="s">
        <v>1294</v>
      </c>
    </row>
    <row r="1347" spans="1:1">
      <c r="A1347" t="s">
        <v>838</v>
      </c>
    </row>
    <row r="1348" spans="1:1">
      <c r="A1348" t="s">
        <v>839</v>
      </c>
    </row>
    <row r="1349" spans="1:1">
      <c r="A1349" t="s">
        <v>1295</v>
      </c>
    </row>
    <row r="1350" spans="1:1">
      <c r="A1350" t="s">
        <v>1296</v>
      </c>
    </row>
    <row r="1351" spans="1:1">
      <c r="A1351" t="s">
        <v>1297</v>
      </c>
    </row>
    <row r="1352" spans="1:1">
      <c r="A1352" t="s">
        <v>1298</v>
      </c>
    </row>
    <row r="1353" spans="1:1">
      <c r="A1353" t="s">
        <v>1299</v>
      </c>
    </row>
    <row r="1354" spans="1:1">
      <c r="A1354" t="s">
        <v>1300</v>
      </c>
    </row>
    <row r="1355" spans="1:1">
      <c r="A1355" t="s">
        <v>1301</v>
      </c>
    </row>
    <row r="1356" spans="1:1">
      <c r="A1356" t="s">
        <v>1302</v>
      </c>
    </row>
    <row r="1357" spans="1:1">
      <c r="A1357" t="s">
        <v>1303</v>
      </c>
    </row>
    <row r="1358" spans="1:1">
      <c r="A1358" t="s">
        <v>901</v>
      </c>
    </row>
    <row r="1359" spans="1:1">
      <c r="A1359" t="s">
        <v>902</v>
      </c>
    </row>
    <row r="1360" spans="1:1">
      <c r="A1360" t="s">
        <v>1304</v>
      </c>
    </row>
    <row r="1361" spans="1:1">
      <c r="A1361" t="s">
        <v>4595</v>
      </c>
    </row>
    <row r="1362" spans="1:1">
      <c r="A1362" t="s">
        <v>812</v>
      </c>
    </row>
    <row r="1363" spans="1:1">
      <c r="A1363" t="s">
        <v>810</v>
      </c>
    </row>
    <row r="1364" spans="1:1">
      <c r="A1364" t="s">
        <v>811</v>
      </c>
    </row>
    <row r="1365" spans="1:1">
      <c r="A1365" t="s">
        <v>151</v>
      </c>
    </row>
    <row r="1366" spans="1:1">
      <c r="A1366" t="s">
        <v>836</v>
      </c>
    </row>
    <row r="1367" spans="1:1">
      <c r="A1367" t="s">
        <v>1305</v>
      </c>
    </row>
    <row r="1368" spans="1:1">
      <c r="A1368" t="s">
        <v>838</v>
      </c>
    </row>
    <row r="1369" spans="1:1">
      <c r="A1369" t="s">
        <v>839</v>
      </c>
    </row>
    <row r="1370" spans="1:1">
      <c r="A1370" t="s">
        <v>1045</v>
      </c>
    </row>
    <row r="1371" spans="1:1">
      <c r="A1371" t="s">
        <v>841</v>
      </c>
    </row>
    <row r="1372" spans="1:1">
      <c r="A1372" t="s">
        <v>842</v>
      </c>
    </row>
    <row r="1373" spans="1:1">
      <c r="A1373" t="s">
        <v>843</v>
      </c>
    </row>
    <row r="1374" spans="1:1">
      <c r="A1374" t="s">
        <v>1046</v>
      </c>
    </row>
    <row r="1375" spans="1:1">
      <c r="A1375" t="s">
        <v>1047</v>
      </c>
    </row>
    <row r="1376" spans="1:1">
      <c r="A1376" t="s">
        <v>1306</v>
      </c>
    </row>
    <row r="1377" spans="1:1">
      <c r="A1377" t="s">
        <v>860</v>
      </c>
    </row>
    <row r="1378" spans="1:1">
      <c r="A1378" t="s">
        <v>1048</v>
      </c>
    </row>
    <row r="1379" spans="1:1">
      <c r="A1379" t="s">
        <v>1071</v>
      </c>
    </row>
    <row r="1380" spans="1:1">
      <c r="A1380" t="s">
        <v>863</v>
      </c>
    </row>
    <row r="1381" spans="1:1">
      <c r="A1381" t="s">
        <v>1307</v>
      </c>
    </row>
    <row r="1382" spans="1:1">
      <c r="A1382" t="s">
        <v>4596</v>
      </c>
    </row>
    <row r="1383" spans="1:1">
      <c r="A1383" t="s">
        <v>812</v>
      </c>
    </row>
    <row r="1384" spans="1:1">
      <c r="A1384" t="s">
        <v>810</v>
      </c>
    </row>
    <row r="1385" spans="1:1">
      <c r="A1385" t="s">
        <v>811</v>
      </c>
    </row>
    <row r="1386" spans="1:1">
      <c r="A1386" t="s">
        <v>151</v>
      </c>
    </row>
    <row r="1387" spans="1:1">
      <c r="A1387" t="s">
        <v>836</v>
      </c>
    </row>
    <row r="1388" spans="1:1">
      <c r="A1388" t="s">
        <v>1308</v>
      </c>
    </row>
    <row r="1389" spans="1:1">
      <c r="A1389" t="s">
        <v>838</v>
      </c>
    </row>
    <row r="1390" spans="1:1">
      <c r="A1390" t="s">
        <v>839</v>
      </c>
    </row>
    <row r="1391" spans="1:1">
      <c r="A1391" t="s">
        <v>1309</v>
      </c>
    </row>
    <row r="1392" spans="1:1">
      <c r="A1392" t="s">
        <v>1310</v>
      </c>
    </row>
    <row r="1393" spans="1:1">
      <c r="A1393" t="s">
        <v>842</v>
      </c>
    </row>
    <row r="1394" spans="1:1">
      <c r="A1394" t="s">
        <v>843</v>
      </c>
    </row>
    <row r="1395" spans="1:1">
      <c r="A1395" t="s">
        <v>1311</v>
      </c>
    </row>
    <row r="1396" spans="1:1">
      <c r="A1396" t="s">
        <v>1312</v>
      </c>
    </row>
    <row r="1397" spans="1:1">
      <c r="A1397" t="s">
        <v>1313</v>
      </c>
    </row>
    <row r="1398" spans="1:1">
      <c r="A1398" t="s">
        <v>1314</v>
      </c>
    </row>
    <row r="1399" spans="1:1">
      <c r="A1399" t="s">
        <v>1315</v>
      </c>
    </row>
    <row r="1400" spans="1:1">
      <c r="A1400" t="s">
        <v>1281</v>
      </c>
    </row>
    <row r="1401" spans="1:1">
      <c r="A1401" t="s">
        <v>1316</v>
      </c>
    </row>
    <row r="1402" spans="1:1">
      <c r="A1402" t="s">
        <v>1317</v>
      </c>
    </row>
    <row r="1403" spans="1:1">
      <c r="A1403" t="s">
        <v>4597</v>
      </c>
    </row>
    <row r="1404" spans="1:1">
      <c r="A1404" t="s">
        <v>812</v>
      </c>
    </row>
    <row r="1405" spans="1:1">
      <c r="A1405" t="s">
        <v>810</v>
      </c>
    </row>
    <row r="1406" spans="1:1">
      <c r="A1406" t="s">
        <v>811</v>
      </c>
    </row>
    <row r="1407" spans="1:1">
      <c r="A1407" t="s">
        <v>151</v>
      </c>
    </row>
    <row r="1408" spans="1:1">
      <c r="A1408" t="s">
        <v>836</v>
      </c>
    </row>
    <row r="1409" spans="1:1">
      <c r="A1409" t="s">
        <v>1318</v>
      </c>
    </row>
    <row r="1410" spans="1:1">
      <c r="A1410" t="s">
        <v>838</v>
      </c>
    </row>
    <row r="1411" spans="1:1">
      <c r="A1411" t="s">
        <v>839</v>
      </c>
    </row>
    <row r="1412" spans="1:1">
      <c r="A1412" t="s">
        <v>1170</v>
      </c>
    </row>
    <row r="1413" spans="1:1">
      <c r="A1413" t="s">
        <v>1171</v>
      </c>
    </row>
    <row r="1414" spans="1:1">
      <c r="A1414" t="s">
        <v>1172</v>
      </c>
    </row>
    <row r="1415" spans="1:1">
      <c r="A1415" t="s">
        <v>1173</v>
      </c>
    </row>
    <row r="1416" spans="1:1">
      <c r="A1416" t="s">
        <v>1174</v>
      </c>
    </row>
    <row r="1417" spans="1:1">
      <c r="A1417" t="s">
        <v>1175</v>
      </c>
    </row>
    <row r="1418" spans="1:1">
      <c r="A1418" t="s">
        <v>1176</v>
      </c>
    </row>
    <row r="1419" spans="1:1">
      <c r="A1419" t="s">
        <v>847</v>
      </c>
    </row>
    <row r="1420" spans="1:1">
      <c r="A1420" t="s">
        <v>1177</v>
      </c>
    </row>
    <row r="1421" spans="1:1">
      <c r="A1421" t="s">
        <v>862</v>
      </c>
    </row>
    <row r="1422" spans="1:1">
      <c r="A1422" t="s">
        <v>863</v>
      </c>
    </row>
    <row r="1423" spans="1:1">
      <c r="A1423" t="s">
        <v>1319</v>
      </c>
    </row>
    <row r="1424" spans="1:1">
      <c r="A1424" t="s">
        <v>4598</v>
      </c>
    </row>
    <row r="1425" spans="1:1">
      <c r="A1425" t="s">
        <v>812</v>
      </c>
    </row>
    <row r="1426" spans="1:1">
      <c r="A1426" t="s">
        <v>810</v>
      </c>
    </row>
    <row r="1427" spans="1:1">
      <c r="A1427" t="s">
        <v>811</v>
      </c>
    </row>
    <row r="1428" spans="1:1">
      <c r="A1428" t="s">
        <v>151</v>
      </c>
    </row>
    <row r="1429" spans="1:1">
      <c r="A1429" t="s">
        <v>836</v>
      </c>
    </row>
    <row r="1430" spans="1:1">
      <c r="A1430" t="s">
        <v>1320</v>
      </c>
    </row>
    <row r="1431" spans="1:1">
      <c r="A1431" t="s">
        <v>1321</v>
      </c>
    </row>
    <row r="1432" spans="1:1">
      <c r="A1432" t="s">
        <v>1322</v>
      </c>
    </row>
    <row r="1433" spans="1:1">
      <c r="A1433" t="s">
        <v>1323</v>
      </c>
    </row>
    <row r="1434" spans="1:1">
      <c r="A1434" t="s">
        <v>1324</v>
      </c>
    </row>
    <row r="1435" spans="1:1">
      <c r="A1435" t="s">
        <v>1325</v>
      </c>
    </row>
    <row r="1436" spans="1:1">
      <c r="A1436" t="s">
        <v>1326</v>
      </c>
    </row>
    <row r="1437" spans="1:1">
      <c r="A1437" t="s">
        <v>1185</v>
      </c>
    </row>
    <row r="1438" spans="1:1">
      <c r="A1438" t="s">
        <v>1327</v>
      </c>
    </row>
    <row r="1439" spans="1:1">
      <c r="A1439" t="s">
        <v>1328</v>
      </c>
    </row>
    <row r="1440" spans="1:1">
      <c r="A1440" t="s">
        <v>1117</v>
      </c>
    </row>
    <row r="1441" spans="1:1">
      <c r="A1441" t="s">
        <v>1189</v>
      </c>
    </row>
    <row r="1442" spans="1:1">
      <c r="A1442" t="s">
        <v>877</v>
      </c>
    </row>
    <row r="1443" spans="1:1">
      <c r="A1443" t="s">
        <v>878</v>
      </c>
    </row>
    <row r="1444" spans="1:1">
      <c r="A1444" t="s">
        <v>1329</v>
      </c>
    </row>
    <row r="1445" spans="1:1">
      <c r="A1445" t="s">
        <v>1330</v>
      </c>
    </row>
    <row r="1446" spans="1:1">
      <c r="A1446" t="s">
        <v>812</v>
      </c>
    </row>
    <row r="1447" spans="1:1">
      <c r="A1447" t="s">
        <v>810</v>
      </c>
    </row>
    <row r="1448" spans="1:1">
      <c r="A1448" t="s">
        <v>811</v>
      </c>
    </row>
    <row r="1449" spans="1:1">
      <c r="A1449" t="s">
        <v>151</v>
      </c>
    </row>
    <row r="1450" spans="1:1">
      <c r="A1450" t="s">
        <v>836</v>
      </c>
    </row>
    <row r="1451" spans="1:1">
      <c r="A1451" t="s">
        <v>1331</v>
      </c>
    </row>
    <row r="1452" spans="1:1">
      <c r="A1452" t="s">
        <v>838</v>
      </c>
    </row>
    <row r="1453" spans="1:1">
      <c r="A1453" t="s">
        <v>839</v>
      </c>
    </row>
    <row r="1454" spans="1:1">
      <c r="A1454" t="s">
        <v>1332</v>
      </c>
    </row>
    <row r="1455" spans="1:1">
      <c r="A1455" t="s">
        <v>1333</v>
      </c>
    </row>
    <row r="1456" spans="1:1">
      <c r="A1456" t="s">
        <v>1334</v>
      </c>
    </row>
    <row r="1457" spans="1:1">
      <c r="A1457" t="s">
        <v>1335</v>
      </c>
    </row>
    <row r="1458" spans="1:1">
      <c r="A1458" t="s">
        <v>1336</v>
      </c>
    </row>
    <row r="1459" spans="1:1">
      <c r="A1459" t="s">
        <v>1337</v>
      </c>
    </row>
    <row r="1460" spans="1:1">
      <c r="A1460" t="s">
        <v>1338</v>
      </c>
    </row>
    <row r="1461" spans="1:1">
      <c r="A1461" t="s">
        <v>1339</v>
      </c>
    </row>
    <row r="1462" spans="1:1">
      <c r="A1462" t="s">
        <v>1340</v>
      </c>
    </row>
    <row r="1463" spans="1:1">
      <c r="A1463" t="s">
        <v>918</v>
      </c>
    </row>
    <row r="1464" spans="1:1">
      <c r="A1464" t="s">
        <v>1001</v>
      </c>
    </row>
    <row r="1465" spans="1:1">
      <c r="A1465" t="s">
        <v>1341</v>
      </c>
    </row>
    <row r="1466" spans="1:1">
      <c r="A1466" t="s">
        <v>1342</v>
      </c>
    </row>
    <row r="1467" spans="1:1">
      <c r="A1467" t="s">
        <v>812</v>
      </c>
    </row>
    <row r="1468" spans="1:1">
      <c r="A1468" t="s">
        <v>810</v>
      </c>
    </row>
    <row r="1469" spans="1:1">
      <c r="A1469" t="s">
        <v>811</v>
      </c>
    </row>
    <row r="1470" spans="1:1">
      <c r="A1470" t="s">
        <v>151</v>
      </c>
    </row>
    <row r="1471" spans="1:1">
      <c r="A1471" t="s">
        <v>836</v>
      </c>
    </row>
    <row r="1472" spans="1:1">
      <c r="A1472" t="s">
        <v>1343</v>
      </c>
    </row>
    <row r="1473" spans="1:1">
      <c r="A1473" t="s">
        <v>838</v>
      </c>
    </row>
    <row r="1474" spans="1:1">
      <c r="A1474" t="s">
        <v>839</v>
      </c>
    </row>
    <row r="1475" spans="1:1">
      <c r="A1475" t="s">
        <v>1344</v>
      </c>
    </row>
    <row r="1476" spans="1:1">
      <c r="A1476" t="s">
        <v>1345</v>
      </c>
    </row>
    <row r="1477" spans="1:1">
      <c r="A1477" t="s">
        <v>1346</v>
      </c>
    </row>
    <row r="1478" spans="1:1">
      <c r="A1478" t="s">
        <v>1347</v>
      </c>
    </row>
    <row r="1479" spans="1:1">
      <c r="A1479" t="s">
        <v>1348</v>
      </c>
    </row>
    <row r="1480" spans="1:1">
      <c r="A1480" t="s">
        <v>897</v>
      </c>
    </row>
    <row r="1481" spans="1:1">
      <c r="A1481" t="s">
        <v>1349</v>
      </c>
    </row>
    <row r="1482" spans="1:1">
      <c r="A1482" t="s">
        <v>1350</v>
      </c>
    </row>
    <row r="1483" spans="1:1">
      <c r="A1483" t="s">
        <v>1351</v>
      </c>
    </row>
    <row r="1484" spans="1:1">
      <c r="A1484" t="s">
        <v>1352</v>
      </c>
    </row>
    <row r="1485" spans="1:1">
      <c r="A1485" t="s">
        <v>1353</v>
      </c>
    </row>
    <row r="1486" spans="1:1">
      <c r="A1486" t="s">
        <v>1354</v>
      </c>
    </row>
    <row r="1487" spans="1:1">
      <c r="A1487" t="s">
        <v>4599</v>
      </c>
    </row>
    <row r="1488" spans="1:1">
      <c r="A1488" t="s">
        <v>812</v>
      </c>
    </row>
    <row r="1489" spans="1:1">
      <c r="A1489" t="s">
        <v>810</v>
      </c>
    </row>
    <row r="1490" spans="1:1">
      <c r="A1490" t="s">
        <v>811</v>
      </c>
    </row>
    <row r="1491" spans="1:1">
      <c r="A1491" t="s">
        <v>151</v>
      </c>
    </row>
    <row r="1492" spans="1:1">
      <c r="A1492" t="s">
        <v>836</v>
      </c>
    </row>
    <row r="1493" spans="1:1">
      <c r="A1493" t="s">
        <v>1355</v>
      </c>
    </row>
    <row r="1494" spans="1:1">
      <c r="A1494" t="s">
        <v>1356</v>
      </c>
    </row>
    <row r="1495" spans="1:1">
      <c r="A1495" t="s">
        <v>1357</v>
      </c>
    </row>
    <row r="1496" spans="1:1">
      <c r="A1496" t="s">
        <v>1358</v>
      </c>
    </row>
    <row r="1497" spans="1:1">
      <c r="A1497" t="s">
        <v>1359</v>
      </c>
    </row>
    <row r="1498" spans="1:1">
      <c r="A1498" t="s">
        <v>1360</v>
      </c>
    </row>
    <row r="1499" spans="1:1">
      <c r="A1499" t="s">
        <v>1361</v>
      </c>
    </row>
    <row r="1500" spans="1:1">
      <c r="A1500" t="s">
        <v>1362</v>
      </c>
    </row>
    <row r="1501" spans="1:1">
      <c r="A1501" t="s">
        <v>1363</v>
      </c>
    </row>
    <row r="1502" spans="1:1">
      <c r="A1502" t="s">
        <v>1364</v>
      </c>
    </row>
    <row r="1503" spans="1:1">
      <c r="A1503" t="s">
        <v>1365</v>
      </c>
    </row>
    <row r="1504" spans="1:1">
      <c r="A1504" t="s">
        <v>1366</v>
      </c>
    </row>
    <row r="1505" spans="1:1">
      <c r="A1505" t="s">
        <v>1367</v>
      </c>
    </row>
    <row r="1506" spans="1:1">
      <c r="A1506" t="s">
        <v>1368</v>
      </c>
    </row>
    <row r="1507" spans="1:1">
      <c r="A1507" t="s">
        <v>1369</v>
      </c>
    </row>
    <row r="1508" spans="1:1">
      <c r="A1508" t="s">
        <v>4600</v>
      </c>
    </row>
    <row r="1509" spans="1:1">
      <c r="A1509" t="s">
        <v>824</v>
      </c>
    </row>
    <row r="1510" spans="1:1">
      <c r="A1510" t="s">
        <v>810</v>
      </c>
    </row>
    <row r="1511" spans="1:1">
      <c r="A1511" t="s">
        <v>811</v>
      </c>
    </row>
    <row r="1512" spans="1:1">
      <c r="A1512" t="s">
        <v>151</v>
      </c>
    </row>
    <row r="1513" spans="1:1">
      <c r="A1513" t="s">
        <v>836</v>
      </c>
    </row>
    <row r="1514" spans="1:1">
      <c r="A1514" t="s">
        <v>1355</v>
      </c>
    </row>
    <row r="1515" spans="1:1">
      <c r="A1515" t="s">
        <v>1356</v>
      </c>
    </row>
    <row r="1516" spans="1:1">
      <c r="A1516" t="s">
        <v>1357</v>
      </c>
    </row>
    <row r="1517" spans="1:1">
      <c r="A1517" t="s">
        <v>1358</v>
      </c>
    </row>
    <row r="1518" spans="1:1">
      <c r="A1518" t="s">
        <v>1359</v>
      </c>
    </row>
    <row r="1519" spans="1:1">
      <c r="A1519" t="s">
        <v>1360</v>
      </c>
    </row>
    <row r="1520" spans="1:1">
      <c r="A1520" t="s">
        <v>1361</v>
      </c>
    </row>
    <row r="1521" spans="1:1">
      <c r="A1521" t="s">
        <v>1362</v>
      </c>
    </row>
    <row r="1522" spans="1:1">
      <c r="A1522" t="s">
        <v>1363</v>
      </c>
    </row>
    <row r="1523" spans="1:1">
      <c r="A1523" t="s">
        <v>1364</v>
      </c>
    </row>
    <row r="1524" spans="1:1">
      <c r="A1524" t="s">
        <v>1365</v>
      </c>
    </row>
    <row r="1525" spans="1:1">
      <c r="A1525" t="s">
        <v>1366</v>
      </c>
    </row>
    <row r="1526" spans="1:1">
      <c r="A1526" t="s">
        <v>1367</v>
      </c>
    </row>
    <row r="1527" spans="1:1">
      <c r="A1527" t="s">
        <v>1368</v>
      </c>
    </row>
    <row r="1528" spans="1:1">
      <c r="A1528" t="s">
        <v>1370</v>
      </c>
    </row>
    <row r="1529" spans="1:1">
      <c r="A1529" t="s">
        <v>4600</v>
      </c>
    </row>
    <row r="1530" spans="1:1">
      <c r="A1530" t="s">
        <v>825</v>
      </c>
    </row>
    <row r="1531" spans="1:1">
      <c r="A1531" t="s">
        <v>810</v>
      </c>
    </row>
    <row r="1532" spans="1:1">
      <c r="A1532" t="s">
        <v>811</v>
      </c>
    </row>
    <row r="1533" spans="1:1">
      <c r="A1533" t="s">
        <v>151</v>
      </c>
    </row>
    <row r="1534" spans="1:1">
      <c r="A1534" t="s">
        <v>836</v>
      </c>
    </row>
    <row r="1535" spans="1:1">
      <c r="A1535" t="s">
        <v>1371</v>
      </c>
    </row>
    <row r="1536" spans="1:1">
      <c r="A1536" t="s">
        <v>838</v>
      </c>
    </row>
    <row r="1537" spans="1:1">
      <c r="A1537" t="s">
        <v>839</v>
      </c>
    </row>
    <row r="1538" spans="1:1">
      <c r="A1538" t="s">
        <v>1372</v>
      </c>
    </row>
    <row r="1539" spans="1:1">
      <c r="A1539" t="s">
        <v>1373</v>
      </c>
    </row>
    <row r="1540" spans="1:1">
      <c r="A1540" t="s">
        <v>1374</v>
      </c>
    </row>
    <row r="1541" spans="1:1">
      <c r="A1541" t="s">
        <v>1375</v>
      </c>
    </row>
    <row r="1542" spans="1:1">
      <c r="A1542" t="s">
        <v>1376</v>
      </c>
    </row>
    <row r="1543" spans="1:1">
      <c r="A1543" t="s">
        <v>1377</v>
      </c>
    </row>
    <row r="1544" spans="1:1">
      <c r="A1544" t="s">
        <v>1378</v>
      </c>
    </row>
    <row r="1545" spans="1:1">
      <c r="A1545" t="s">
        <v>1379</v>
      </c>
    </row>
    <row r="1546" spans="1:1">
      <c r="A1546" t="s">
        <v>1380</v>
      </c>
    </row>
    <row r="1547" spans="1:1">
      <c r="A1547" t="s">
        <v>862</v>
      </c>
    </row>
    <row r="1548" spans="1:1">
      <c r="A1548" t="s">
        <v>1381</v>
      </c>
    </row>
    <row r="1549" spans="1:1">
      <c r="A1549" t="s">
        <v>1382</v>
      </c>
    </row>
    <row r="1550" spans="1:1">
      <c r="A1550" t="s">
        <v>4601</v>
      </c>
    </row>
    <row r="1551" spans="1:1">
      <c r="A1551" t="s">
        <v>812</v>
      </c>
    </row>
    <row r="1552" spans="1:1">
      <c r="A1552" t="s">
        <v>810</v>
      </c>
    </row>
    <row r="1553" spans="1:1">
      <c r="A1553" t="s">
        <v>811</v>
      </c>
    </row>
    <row r="1554" spans="1:1">
      <c r="A1554" t="s">
        <v>151</v>
      </c>
    </row>
    <row r="1555" spans="1:1">
      <c r="A1555" t="s">
        <v>836</v>
      </c>
    </row>
    <row r="1556" spans="1:1">
      <c r="A1556" t="s">
        <v>1383</v>
      </c>
    </row>
    <row r="1557" spans="1:1">
      <c r="A1557" t="s">
        <v>838</v>
      </c>
    </row>
    <row r="1558" spans="1:1">
      <c r="A1558" t="s">
        <v>839</v>
      </c>
    </row>
    <row r="1559" spans="1:1">
      <c r="A1559" t="s">
        <v>1110</v>
      </c>
    </row>
    <row r="1560" spans="1:1">
      <c r="A1560" t="s">
        <v>1111</v>
      </c>
    </row>
    <row r="1561" spans="1:1">
      <c r="A1561" t="s">
        <v>842</v>
      </c>
    </row>
    <row r="1562" spans="1:1">
      <c r="A1562" t="s">
        <v>843</v>
      </c>
    </row>
    <row r="1563" spans="1:1">
      <c r="A1563" t="s">
        <v>1384</v>
      </c>
    </row>
    <row r="1564" spans="1:1">
      <c r="A1564" t="s">
        <v>1385</v>
      </c>
    </row>
    <row r="1565" spans="1:1">
      <c r="A1565" t="s">
        <v>1116</v>
      </c>
    </row>
    <row r="1566" spans="1:1">
      <c r="A1566" t="s">
        <v>1188</v>
      </c>
    </row>
    <row r="1567" spans="1:1">
      <c r="A1567" t="s">
        <v>1386</v>
      </c>
    </row>
    <row r="1568" spans="1:1">
      <c r="A1568" t="s">
        <v>1243</v>
      </c>
    </row>
    <row r="1569" spans="1:1">
      <c r="A1569" t="s">
        <v>1387</v>
      </c>
    </row>
    <row r="1570" spans="1:1">
      <c r="A1570" t="s">
        <v>1388</v>
      </c>
    </row>
    <row r="1571" spans="1:1">
      <c r="A1571" t="s">
        <v>4602</v>
      </c>
    </row>
    <row r="1572" spans="1:1">
      <c r="A1572" t="s">
        <v>812</v>
      </c>
    </row>
    <row r="1573" spans="1:1">
      <c r="A1573" t="s">
        <v>810</v>
      </c>
    </row>
    <row r="1574" spans="1:1">
      <c r="A1574" t="s">
        <v>811</v>
      </c>
    </row>
    <row r="1575" spans="1:1">
      <c r="A1575" t="s">
        <v>151</v>
      </c>
    </row>
    <row r="1576" spans="1:1">
      <c r="A1576" t="s">
        <v>836</v>
      </c>
    </row>
    <row r="1577" spans="1:1">
      <c r="A1577" t="s">
        <v>1389</v>
      </c>
    </row>
    <row r="1578" spans="1:1">
      <c r="A1578" t="s">
        <v>838</v>
      </c>
    </row>
    <row r="1579" spans="1:1">
      <c r="A1579" t="s">
        <v>839</v>
      </c>
    </row>
    <row r="1580" spans="1:1">
      <c r="A1580" t="s">
        <v>894</v>
      </c>
    </row>
    <row r="1581" spans="1:1">
      <c r="A1581" t="s">
        <v>895</v>
      </c>
    </row>
    <row r="1582" spans="1:1">
      <c r="A1582" t="s">
        <v>842</v>
      </c>
    </row>
    <row r="1583" spans="1:1">
      <c r="A1583" t="s">
        <v>843</v>
      </c>
    </row>
    <row r="1584" spans="1:1">
      <c r="A1584" t="s">
        <v>896</v>
      </c>
    </row>
    <row r="1585" spans="1:1">
      <c r="A1585" t="s">
        <v>897</v>
      </c>
    </row>
    <row r="1586" spans="1:1">
      <c r="A1586" t="s">
        <v>898</v>
      </c>
    </row>
    <row r="1587" spans="1:1">
      <c r="A1587" t="s">
        <v>899</v>
      </c>
    </row>
    <row r="1588" spans="1:1">
      <c r="A1588" t="s">
        <v>900</v>
      </c>
    </row>
    <row r="1589" spans="1:1">
      <c r="A1589" t="s">
        <v>901</v>
      </c>
    </row>
    <row r="1590" spans="1:1">
      <c r="A1590" t="s">
        <v>902</v>
      </c>
    </row>
    <row r="1591" spans="1:1">
      <c r="A1591" t="s">
        <v>1390</v>
      </c>
    </row>
    <row r="1592" spans="1:1">
      <c r="A1592" t="s">
        <v>1391</v>
      </c>
    </row>
    <row r="1593" spans="1:1">
      <c r="A1593" t="s">
        <v>812</v>
      </c>
    </row>
    <row r="1594" spans="1:1">
      <c r="A1594" t="s">
        <v>810</v>
      </c>
    </row>
    <row r="1595" spans="1:1">
      <c r="A1595" t="s">
        <v>811</v>
      </c>
    </row>
    <row r="1596" spans="1:1">
      <c r="A1596" t="s">
        <v>151</v>
      </c>
    </row>
    <row r="1597" spans="1:1">
      <c r="A1597" t="s">
        <v>836</v>
      </c>
    </row>
    <row r="1598" spans="1:1">
      <c r="A1598" t="s">
        <v>1392</v>
      </c>
    </row>
    <row r="1599" spans="1:1">
      <c r="A1599" t="s">
        <v>838</v>
      </c>
    </row>
    <row r="1600" spans="1:1">
      <c r="A1600" t="s">
        <v>839</v>
      </c>
    </row>
    <row r="1601" spans="1:1">
      <c r="A1601" t="s">
        <v>894</v>
      </c>
    </row>
    <row r="1602" spans="1:1">
      <c r="A1602" t="s">
        <v>895</v>
      </c>
    </row>
    <row r="1603" spans="1:1">
      <c r="A1603" t="s">
        <v>842</v>
      </c>
    </row>
    <row r="1604" spans="1:1">
      <c r="A1604" t="s">
        <v>843</v>
      </c>
    </row>
    <row r="1605" spans="1:1">
      <c r="A1605" t="s">
        <v>896</v>
      </c>
    </row>
    <row r="1606" spans="1:1">
      <c r="A1606" t="s">
        <v>897</v>
      </c>
    </row>
    <row r="1607" spans="1:1">
      <c r="A1607" t="s">
        <v>898</v>
      </c>
    </row>
    <row r="1608" spans="1:1">
      <c r="A1608" t="s">
        <v>899</v>
      </c>
    </row>
    <row r="1609" spans="1:1">
      <c r="A1609" t="s">
        <v>900</v>
      </c>
    </row>
    <row r="1610" spans="1:1">
      <c r="A1610" t="s">
        <v>901</v>
      </c>
    </row>
    <row r="1611" spans="1:1">
      <c r="A1611" t="s">
        <v>902</v>
      </c>
    </row>
    <row r="1612" spans="1:1">
      <c r="A1612" t="s">
        <v>1393</v>
      </c>
    </row>
    <row r="1613" spans="1:1">
      <c r="A1613" t="s">
        <v>1394</v>
      </c>
    </row>
    <row r="1614" spans="1:1">
      <c r="A1614" t="s">
        <v>826</v>
      </c>
    </row>
    <row r="1615" spans="1:1">
      <c r="A1615" t="s">
        <v>810</v>
      </c>
    </row>
    <row r="1616" spans="1:1">
      <c r="A1616" t="s">
        <v>811</v>
      </c>
    </row>
    <row r="1617" spans="1:1">
      <c r="A1617" t="s">
        <v>151</v>
      </c>
    </row>
    <row r="1618" spans="1:1">
      <c r="A1618" t="s">
        <v>836</v>
      </c>
    </row>
    <row r="1619" spans="1:1">
      <c r="A1619" t="s">
        <v>1392</v>
      </c>
    </row>
    <row r="1620" spans="1:1">
      <c r="A1620" t="s">
        <v>838</v>
      </c>
    </row>
    <row r="1621" spans="1:1">
      <c r="A1621" t="s">
        <v>839</v>
      </c>
    </row>
    <row r="1622" spans="1:1">
      <c r="A1622" t="s">
        <v>894</v>
      </c>
    </row>
    <row r="1623" spans="1:1">
      <c r="A1623" t="s">
        <v>895</v>
      </c>
    </row>
    <row r="1624" spans="1:1">
      <c r="A1624" t="s">
        <v>842</v>
      </c>
    </row>
    <row r="1625" spans="1:1">
      <c r="A1625" t="s">
        <v>843</v>
      </c>
    </row>
    <row r="1626" spans="1:1">
      <c r="A1626" t="s">
        <v>896</v>
      </c>
    </row>
    <row r="1627" spans="1:1">
      <c r="A1627" t="s">
        <v>897</v>
      </c>
    </row>
    <row r="1628" spans="1:1">
      <c r="A1628" t="s">
        <v>898</v>
      </c>
    </row>
    <row r="1629" spans="1:1">
      <c r="A1629" t="s">
        <v>899</v>
      </c>
    </row>
    <row r="1630" spans="1:1">
      <c r="A1630" t="s">
        <v>900</v>
      </c>
    </row>
    <row r="1631" spans="1:1">
      <c r="A1631" t="s">
        <v>901</v>
      </c>
    </row>
    <row r="1632" spans="1:1">
      <c r="A1632" t="s">
        <v>902</v>
      </c>
    </row>
    <row r="1633" spans="1:1">
      <c r="A1633" t="s">
        <v>1395</v>
      </c>
    </row>
    <row r="1634" spans="1:1">
      <c r="A1634" t="s">
        <v>1394</v>
      </c>
    </row>
    <row r="1635" spans="1:1">
      <c r="A1635" t="s">
        <v>827</v>
      </c>
    </row>
    <row r="1636" spans="1:1">
      <c r="A1636" t="s">
        <v>810</v>
      </c>
    </row>
    <row r="1637" spans="1:1">
      <c r="A1637" t="s">
        <v>811</v>
      </c>
    </row>
    <row r="1638" spans="1:1">
      <c r="A1638" t="s">
        <v>151</v>
      </c>
    </row>
    <row r="1639" spans="1:1">
      <c r="A1639" t="s">
        <v>836</v>
      </c>
    </row>
    <row r="1640" spans="1:1">
      <c r="A1640" t="s">
        <v>1396</v>
      </c>
    </row>
    <row r="1641" spans="1:1">
      <c r="A1641" t="s">
        <v>1397</v>
      </c>
    </row>
    <row r="1642" spans="1:1">
      <c r="A1642" t="s">
        <v>1398</v>
      </c>
    </row>
    <row r="1643" spans="1:1">
      <c r="A1643" t="s">
        <v>894</v>
      </c>
    </row>
    <row r="1644" spans="1:1">
      <c r="A1644" t="s">
        <v>895</v>
      </c>
    </row>
    <row r="1645" spans="1:1">
      <c r="A1645" t="s">
        <v>842</v>
      </c>
    </row>
    <row r="1646" spans="1:1">
      <c r="A1646" t="s">
        <v>843</v>
      </c>
    </row>
    <row r="1647" spans="1:1">
      <c r="A1647" t="s">
        <v>1399</v>
      </c>
    </row>
    <row r="1648" spans="1:1">
      <c r="A1648" t="s">
        <v>1400</v>
      </c>
    </row>
    <row r="1649" spans="1:1">
      <c r="A1649" t="s">
        <v>1401</v>
      </c>
    </row>
    <row r="1650" spans="1:1">
      <c r="A1650" t="s">
        <v>1402</v>
      </c>
    </row>
    <row r="1651" spans="1:1">
      <c r="A1651" t="s">
        <v>1403</v>
      </c>
    </row>
    <row r="1652" spans="1:1">
      <c r="A1652" t="s">
        <v>901</v>
      </c>
    </row>
    <row r="1653" spans="1:1">
      <c r="A1653" t="s">
        <v>902</v>
      </c>
    </row>
    <row r="1654" spans="1:1">
      <c r="A1654" t="s">
        <v>1404</v>
      </c>
    </row>
    <row r="1655" spans="1:1">
      <c r="A1655" t="s">
        <v>4603</v>
      </c>
    </row>
    <row r="1656" spans="1:1">
      <c r="A1656" t="s">
        <v>812</v>
      </c>
    </row>
    <row r="1657" spans="1:1">
      <c r="A1657" t="s">
        <v>810</v>
      </c>
    </row>
    <row r="1658" spans="1:1">
      <c r="A1658" t="s">
        <v>811</v>
      </c>
    </row>
    <row r="1659" spans="1:1">
      <c r="A1659" t="s">
        <v>151</v>
      </c>
    </row>
    <row r="1660" spans="1:1">
      <c r="A1660" t="s">
        <v>836</v>
      </c>
    </row>
    <row r="1661" spans="1:1">
      <c r="A1661" t="s">
        <v>1405</v>
      </c>
    </row>
    <row r="1662" spans="1:1">
      <c r="A1662" t="s">
        <v>838</v>
      </c>
    </row>
    <row r="1663" spans="1:1">
      <c r="A1663" t="s">
        <v>839</v>
      </c>
    </row>
    <row r="1664" spans="1:1">
      <c r="A1664" t="s">
        <v>894</v>
      </c>
    </row>
    <row r="1665" spans="1:1">
      <c r="A1665" t="s">
        <v>895</v>
      </c>
    </row>
    <row r="1666" spans="1:1">
      <c r="A1666" t="s">
        <v>842</v>
      </c>
    </row>
    <row r="1667" spans="1:1">
      <c r="A1667" t="s">
        <v>843</v>
      </c>
    </row>
    <row r="1668" spans="1:1">
      <c r="A1668" t="s">
        <v>896</v>
      </c>
    </row>
    <row r="1669" spans="1:1">
      <c r="A1669" t="s">
        <v>897</v>
      </c>
    </row>
    <row r="1670" spans="1:1">
      <c r="A1670" t="s">
        <v>898</v>
      </c>
    </row>
    <row r="1671" spans="1:1">
      <c r="A1671" t="s">
        <v>899</v>
      </c>
    </row>
    <row r="1672" spans="1:1">
      <c r="A1672" t="s">
        <v>900</v>
      </c>
    </row>
    <row r="1673" spans="1:1">
      <c r="A1673" t="s">
        <v>901</v>
      </c>
    </row>
    <row r="1674" spans="1:1">
      <c r="A1674" t="s">
        <v>902</v>
      </c>
    </row>
    <row r="1675" spans="1:1">
      <c r="A1675" t="s">
        <v>1406</v>
      </c>
    </row>
    <row r="1676" spans="1:1">
      <c r="A1676" t="s">
        <v>1407</v>
      </c>
    </row>
    <row r="1677" spans="1:1">
      <c r="A1677" t="s">
        <v>828</v>
      </c>
    </row>
    <row r="1678" spans="1:1">
      <c r="A1678" t="s">
        <v>810</v>
      </c>
    </row>
    <row r="1679" spans="1:1">
      <c r="A1679" t="s">
        <v>811</v>
      </c>
    </row>
    <row r="1680" spans="1:1">
      <c r="A1680" t="s">
        <v>151</v>
      </c>
    </row>
    <row r="1681" spans="1:1">
      <c r="A1681" t="s">
        <v>836</v>
      </c>
    </row>
    <row r="1682" spans="1:1">
      <c r="A1682" t="s">
        <v>1405</v>
      </c>
    </row>
    <row r="1683" spans="1:1">
      <c r="A1683" t="s">
        <v>838</v>
      </c>
    </row>
    <row r="1684" spans="1:1">
      <c r="A1684" t="s">
        <v>839</v>
      </c>
    </row>
    <row r="1685" spans="1:1">
      <c r="A1685" t="s">
        <v>894</v>
      </c>
    </row>
    <row r="1686" spans="1:1">
      <c r="A1686" t="s">
        <v>895</v>
      </c>
    </row>
    <row r="1687" spans="1:1">
      <c r="A1687" t="s">
        <v>842</v>
      </c>
    </row>
    <row r="1688" spans="1:1">
      <c r="A1688" t="s">
        <v>843</v>
      </c>
    </row>
    <row r="1689" spans="1:1">
      <c r="A1689" t="s">
        <v>896</v>
      </c>
    </row>
    <row r="1690" spans="1:1">
      <c r="A1690" t="s">
        <v>897</v>
      </c>
    </row>
    <row r="1691" spans="1:1">
      <c r="A1691" t="s">
        <v>898</v>
      </c>
    </row>
    <row r="1692" spans="1:1">
      <c r="A1692" t="s">
        <v>899</v>
      </c>
    </row>
    <row r="1693" spans="1:1">
      <c r="A1693" t="s">
        <v>900</v>
      </c>
    </row>
    <row r="1694" spans="1:1">
      <c r="A1694" t="s">
        <v>901</v>
      </c>
    </row>
    <row r="1695" spans="1:1">
      <c r="A1695" t="s">
        <v>902</v>
      </c>
    </row>
    <row r="1696" spans="1:1">
      <c r="A1696" t="s">
        <v>1408</v>
      </c>
    </row>
    <row r="1697" spans="1:1">
      <c r="A1697" t="s">
        <v>1407</v>
      </c>
    </row>
    <row r="1698" spans="1:1">
      <c r="A1698" t="s">
        <v>829</v>
      </c>
    </row>
    <row r="1699" spans="1:1">
      <c r="A1699" t="s">
        <v>810</v>
      </c>
    </row>
    <row r="1700" spans="1:1">
      <c r="A1700" t="s">
        <v>811</v>
      </c>
    </row>
    <row r="1701" spans="1:1">
      <c r="A1701" t="s">
        <v>151</v>
      </c>
    </row>
    <row r="1702" spans="1:1">
      <c r="A1702" t="s">
        <v>836</v>
      </c>
    </row>
    <row r="1703" spans="1:1">
      <c r="A1703" t="s">
        <v>1409</v>
      </c>
    </row>
    <row r="1704" spans="1:1">
      <c r="A1704" t="s">
        <v>838</v>
      </c>
    </row>
    <row r="1705" spans="1:1">
      <c r="A1705" t="s">
        <v>839</v>
      </c>
    </row>
    <row r="1706" spans="1:1">
      <c r="A1706" t="s">
        <v>894</v>
      </c>
    </row>
    <row r="1707" spans="1:1">
      <c r="A1707" t="s">
        <v>895</v>
      </c>
    </row>
    <row r="1708" spans="1:1">
      <c r="A1708" t="s">
        <v>842</v>
      </c>
    </row>
    <row r="1709" spans="1:1">
      <c r="A1709" t="s">
        <v>843</v>
      </c>
    </row>
    <row r="1710" spans="1:1">
      <c r="A1710" t="s">
        <v>896</v>
      </c>
    </row>
    <row r="1711" spans="1:1">
      <c r="A1711" t="s">
        <v>897</v>
      </c>
    </row>
    <row r="1712" spans="1:1">
      <c r="A1712" t="s">
        <v>898</v>
      </c>
    </row>
    <row r="1713" spans="1:1">
      <c r="A1713" t="s">
        <v>899</v>
      </c>
    </row>
    <row r="1714" spans="1:1">
      <c r="A1714" t="s">
        <v>900</v>
      </c>
    </row>
    <row r="1715" spans="1:1">
      <c r="A1715" t="s">
        <v>901</v>
      </c>
    </row>
    <row r="1716" spans="1:1">
      <c r="A1716" t="s">
        <v>902</v>
      </c>
    </row>
    <row r="1717" spans="1:1">
      <c r="A1717" t="s">
        <v>1002</v>
      </c>
    </row>
    <row r="1718" spans="1:1">
      <c r="A1718" t="s">
        <v>1410</v>
      </c>
    </row>
    <row r="1719" spans="1:1">
      <c r="A1719" t="s">
        <v>812</v>
      </c>
    </row>
    <row r="1720" spans="1:1">
      <c r="A1720" t="s">
        <v>810</v>
      </c>
    </row>
    <row r="1721" spans="1:1">
      <c r="A1721" t="s">
        <v>811</v>
      </c>
    </row>
    <row r="1722" spans="1:1">
      <c r="A1722" t="s">
        <v>151</v>
      </c>
    </row>
    <row r="1723" spans="1:1">
      <c r="A1723" t="s">
        <v>836</v>
      </c>
    </row>
    <row r="1724" spans="1:1">
      <c r="A1724" t="s">
        <v>1411</v>
      </c>
    </row>
    <row r="1725" spans="1:1">
      <c r="A1725" t="s">
        <v>1412</v>
      </c>
    </row>
    <row r="1726" spans="1:1">
      <c r="A1726" t="s">
        <v>1413</v>
      </c>
    </row>
    <row r="1727" spans="1:1">
      <c r="A1727" t="s">
        <v>894</v>
      </c>
    </row>
    <row r="1728" spans="1:1">
      <c r="A1728" t="s">
        <v>895</v>
      </c>
    </row>
    <row r="1729" spans="1:1">
      <c r="A1729" t="s">
        <v>842</v>
      </c>
    </row>
    <row r="1730" spans="1:1">
      <c r="A1730" t="s">
        <v>843</v>
      </c>
    </row>
    <row r="1731" spans="1:1">
      <c r="A1731" t="s">
        <v>1414</v>
      </c>
    </row>
    <row r="1732" spans="1:1">
      <c r="A1732" t="s">
        <v>1415</v>
      </c>
    </row>
    <row r="1733" spans="1:1">
      <c r="A1733" t="s">
        <v>898</v>
      </c>
    </row>
    <row r="1734" spans="1:1">
      <c r="A1734" t="s">
        <v>899</v>
      </c>
    </row>
    <row r="1735" spans="1:1">
      <c r="A1735" t="s">
        <v>1416</v>
      </c>
    </row>
    <row r="1736" spans="1:1">
      <c r="A1736" t="s">
        <v>901</v>
      </c>
    </row>
    <row r="1737" spans="1:1">
      <c r="A1737" t="s">
        <v>902</v>
      </c>
    </row>
    <row r="1738" spans="1:1">
      <c r="A1738" t="s">
        <v>1417</v>
      </c>
    </row>
    <row r="1739" spans="1:1">
      <c r="A1739" t="s">
        <v>4604</v>
      </c>
    </row>
    <row r="1740" spans="1:1">
      <c r="A1740" t="s">
        <v>830</v>
      </c>
    </row>
    <row r="1741" spans="1:1">
      <c r="A1741" t="s">
        <v>810</v>
      </c>
    </row>
    <row r="1742" spans="1:1">
      <c r="A1742" t="s">
        <v>811</v>
      </c>
    </row>
    <row r="1743" spans="1:1">
      <c r="A1743" t="s">
        <v>151</v>
      </c>
    </row>
    <row r="1744" spans="1:1">
      <c r="A1744" t="s">
        <v>836</v>
      </c>
    </row>
    <row r="1745" spans="1:1">
      <c r="A1745" t="s">
        <v>1418</v>
      </c>
    </row>
    <row r="1746" spans="1:1">
      <c r="A1746" t="s">
        <v>838</v>
      </c>
    </row>
    <row r="1747" spans="1:1">
      <c r="A1747" t="s">
        <v>839</v>
      </c>
    </row>
    <row r="1748" spans="1:1">
      <c r="A1748" t="s">
        <v>894</v>
      </c>
    </row>
    <row r="1749" spans="1:1">
      <c r="A1749" t="s">
        <v>895</v>
      </c>
    </row>
    <row r="1750" spans="1:1">
      <c r="A1750" t="s">
        <v>842</v>
      </c>
    </row>
    <row r="1751" spans="1:1">
      <c r="A1751" t="s">
        <v>843</v>
      </c>
    </row>
    <row r="1752" spans="1:1">
      <c r="A1752" t="s">
        <v>896</v>
      </c>
    </row>
    <row r="1753" spans="1:1">
      <c r="A1753" t="s">
        <v>897</v>
      </c>
    </row>
    <row r="1754" spans="1:1">
      <c r="A1754" t="s">
        <v>898</v>
      </c>
    </row>
    <row r="1755" spans="1:1">
      <c r="A1755" t="s">
        <v>899</v>
      </c>
    </row>
    <row r="1756" spans="1:1">
      <c r="A1756" t="s">
        <v>900</v>
      </c>
    </row>
    <row r="1757" spans="1:1">
      <c r="A1757" t="s">
        <v>901</v>
      </c>
    </row>
    <row r="1758" spans="1:1">
      <c r="A1758" t="s">
        <v>902</v>
      </c>
    </row>
    <row r="1759" spans="1:1">
      <c r="A1759" t="s">
        <v>1404</v>
      </c>
    </row>
    <row r="1760" spans="1:1">
      <c r="A1760" t="s">
        <v>4605</v>
      </c>
    </row>
    <row r="1761" spans="1:1">
      <c r="A1761" t="s">
        <v>812</v>
      </c>
    </row>
    <row r="1762" spans="1:1">
      <c r="A1762" t="s">
        <v>810</v>
      </c>
    </row>
    <row r="1763" spans="1:1">
      <c r="A1763" t="s">
        <v>811</v>
      </c>
    </row>
    <row r="1764" spans="1:1">
      <c r="A1764" t="s">
        <v>151</v>
      </c>
    </row>
    <row r="1765" spans="1:1">
      <c r="A1765" t="s">
        <v>836</v>
      </c>
    </row>
    <row r="1766" spans="1:1">
      <c r="A1766" t="s">
        <v>1419</v>
      </c>
    </row>
    <row r="1767" spans="1:1">
      <c r="A1767" t="s">
        <v>838</v>
      </c>
    </row>
    <row r="1768" spans="1:1">
      <c r="A1768" t="s">
        <v>839</v>
      </c>
    </row>
    <row r="1769" spans="1:1">
      <c r="A1769" t="s">
        <v>894</v>
      </c>
    </row>
    <row r="1770" spans="1:1">
      <c r="A1770" t="s">
        <v>895</v>
      </c>
    </row>
    <row r="1771" spans="1:1">
      <c r="A1771" t="s">
        <v>842</v>
      </c>
    </row>
    <row r="1772" spans="1:1">
      <c r="A1772" t="s">
        <v>843</v>
      </c>
    </row>
    <row r="1773" spans="1:1">
      <c r="A1773" t="s">
        <v>896</v>
      </c>
    </row>
    <row r="1774" spans="1:1">
      <c r="A1774" t="s">
        <v>897</v>
      </c>
    </row>
    <row r="1775" spans="1:1">
      <c r="A1775" t="s">
        <v>898</v>
      </c>
    </row>
    <row r="1776" spans="1:1">
      <c r="A1776" t="s">
        <v>899</v>
      </c>
    </row>
    <row r="1777" spans="1:1">
      <c r="A1777" t="s">
        <v>900</v>
      </c>
    </row>
    <row r="1778" spans="1:1">
      <c r="A1778" t="s">
        <v>901</v>
      </c>
    </row>
    <row r="1779" spans="1:1">
      <c r="A1779" t="s">
        <v>902</v>
      </c>
    </row>
    <row r="1780" spans="1:1">
      <c r="A1780" t="s">
        <v>1002</v>
      </c>
    </row>
    <row r="1781" spans="1:1">
      <c r="A1781" t="s">
        <v>1420</v>
      </c>
    </row>
    <row r="1782" spans="1:1">
      <c r="A1782" t="s">
        <v>812</v>
      </c>
    </row>
    <row r="1783" spans="1:1">
      <c r="A1783" t="s">
        <v>810</v>
      </c>
    </row>
    <row r="1784" spans="1:1">
      <c r="A1784" t="s">
        <v>811</v>
      </c>
    </row>
    <row r="1785" spans="1:1">
      <c r="A1785" t="s">
        <v>151</v>
      </c>
    </row>
    <row r="1786" spans="1:1">
      <c r="A1786" t="s">
        <v>836</v>
      </c>
    </row>
    <row r="1787" spans="1:1">
      <c r="A1787" t="s">
        <v>1421</v>
      </c>
    </row>
    <row r="1788" spans="1:1">
      <c r="A1788" t="s">
        <v>838</v>
      </c>
    </row>
    <row r="1789" spans="1:1">
      <c r="A1789" t="s">
        <v>839</v>
      </c>
    </row>
    <row r="1790" spans="1:1">
      <c r="A1790" t="s">
        <v>1422</v>
      </c>
    </row>
    <row r="1791" spans="1:1">
      <c r="A1791" t="s">
        <v>1423</v>
      </c>
    </row>
    <row r="1792" spans="1:1">
      <c r="A1792" t="s">
        <v>842</v>
      </c>
    </row>
    <row r="1793" spans="1:1">
      <c r="A1793" t="s">
        <v>843</v>
      </c>
    </row>
    <row r="1794" spans="1:1">
      <c r="A1794" t="s">
        <v>1424</v>
      </c>
    </row>
    <row r="1795" spans="1:1">
      <c r="A1795" t="s">
        <v>1425</v>
      </c>
    </row>
    <row r="1796" spans="1:1">
      <c r="A1796" t="s">
        <v>1426</v>
      </c>
    </row>
    <row r="1797" spans="1:1">
      <c r="A1797" t="s">
        <v>860</v>
      </c>
    </row>
    <row r="1798" spans="1:1">
      <c r="A1798" t="s">
        <v>1427</v>
      </c>
    </row>
    <row r="1799" spans="1:1">
      <c r="A1799" t="s">
        <v>849</v>
      </c>
    </row>
    <row r="1800" spans="1:1">
      <c r="A1800" t="s">
        <v>863</v>
      </c>
    </row>
    <row r="1801" spans="1:1">
      <c r="A1801" t="s">
        <v>1317</v>
      </c>
    </row>
    <row r="1802" spans="1:1">
      <c r="A1802" t="s">
        <v>4606</v>
      </c>
    </row>
    <row r="1803" spans="1:1">
      <c r="A1803" t="s">
        <v>831</v>
      </c>
    </row>
    <row r="1804" spans="1:1">
      <c r="A1804" t="s">
        <v>810</v>
      </c>
    </row>
    <row r="1805" spans="1:1">
      <c r="A1805" t="s">
        <v>811</v>
      </c>
    </row>
    <row r="1806" spans="1:1">
      <c r="A1806" t="s">
        <v>151</v>
      </c>
    </row>
    <row r="1807" spans="1:1">
      <c r="A1807" t="s">
        <v>836</v>
      </c>
    </row>
    <row r="1808" spans="1:1">
      <c r="A1808" t="s">
        <v>1421</v>
      </c>
    </row>
    <row r="1809" spans="1:1">
      <c r="A1809" t="s">
        <v>838</v>
      </c>
    </row>
    <row r="1810" spans="1:1">
      <c r="A1810" t="s">
        <v>839</v>
      </c>
    </row>
    <row r="1811" spans="1:1">
      <c r="A1811" t="s">
        <v>1422</v>
      </c>
    </row>
    <row r="1812" spans="1:1">
      <c r="A1812" t="s">
        <v>1423</v>
      </c>
    </row>
    <row r="1813" spans="1:1">
      <c r="A1813" t="s">
        <v>842</v>
      </c>
    </row>
    <row r="1814" spans="1:1">
      <c r="A1814" t="s">
        <v>843</v>
      </c>
    </row>
    <row r="1815" spans="1:1">
      <c r="A1815" t="s">
        <v>1424</v>
      </c>
    </row>
    <row r="1816" spans="1:1">
      <c r="A1816" t="s">
        <v>1425</v>
      </c>
    </row>
    <row r="1817" spans="1:1">
      <c r="A1817" t="s">
        <v>1426</v>
      </c>
    </row>
    <row r="1818" spans="1:1">
      <c r="A1818" t="s">
        <v>860</v>
      </c>
    </row>
    <row r="1819" spans="1:1">
      <c r="A1819" t="s">
        <v>1427</v>
      </c>
    </row>
    <row r="1820" spans="1:1">
      <c r="A1820" t="s">
        <v>849</v>
      </c>
    </row>
    <row r="1821" spans="1:1">
      <c r="A1821" t="s">
        <v>863</v>
      </c>
    </row>
    <row r="1822" spans="1:1">
      <c r="A1822" t="s">
        <v>1304</v>
      </c>
    </row>
    <row r="1823" spans="1:1">
      <c r="A1823" t="s">
        <v>4606</v>
      </c>
    </row>
    <row r="1824" spans="1:1">
      <c r="A1824" t="s">
        <v>832</v>
      </c>
    </row>
    <row r="1825" spans="1:1">
      <c r="A1825" t="s">
        <v>810</v>
      </c>
    </row>
    <row r="1826" spans="1:1">
      <c r="A1826" t="s">
        <v>811</v>
      </c>
    </row>
    <row r="1827" spans="1:1">
      <c r="A1827" t="s">
        <v>151</v>
      </c>
    </row>
    <row r="1828" spans="1:1">
      <c r="A1828" t="s">
        <v>836</v>
      </c>
    </row>
    <row r="1829" spans="1:1">
      <c r="A1829" t="s">
        <v>1428</v>
      </c>
    </row>
    <row r="1830" spans="1:1">
      <c r="A1830" t="s">
        <v>838</v>
      </c>
    </row>
    <row r="1831" spans="1:1">
      <c r="A1831" t="s">
        <v>839</v>
      </c>
    </row>
    <row r="1832" spans="1:1">
      <c r="A1832" t="s">
        <v>1211</v>
      </c>
    </row>
    <row r="1833" spans="1:1">
      <c r="A1833" t="s">
        <v>1212</v>
      </c>
    </row>
    <row r="1834" spans="1:1">
      <c r="A1834" t="s">
        <v>842</v>
      </c>
    </row>
    <row r="1835" spans="1:1">
      <c r="A1835" t="s">
        <v>843</v>
      </c>
    </row>
    <row r="1836" spans="1:1">
      <c r="A1836" t="s">
        <v>1429</v>
      </c>
    </row>
    <row r="1837" spans="1:1">
      <c r="A1837" t="s">
        <v>1430</v>
      </c>
    </row>
    <row r="1838" spans="1:1">
      <c r="A1838" t="s">
        <v>1217</v>
      </c>
    </row>
    <row r="1839" spans="1:1">
      <c r="A1839" t="s">
        <v>1431</v>
      </c>
    </row>
    <row r="1840" spans="1:1">
      <c r="A1840" t="s">
        <v>1432</v>
      </c>
    </row>
    <row r="1841" spans="1:1">
      <c r="A1841" t="s">
        <v>901</v>
      </c>
    </row>
    <row r="1842" spans="1:1">
      <c r="A1842" t="s">
        <v>902</v>
      </c>
    </row>
    <row r="1843" spans="1:1">
      <c r="A1843" t="s">
        <v>1433</v>
      </c>
    </row>
    <row r="1844" spans="1:1">
      <c r="A1844" t="s">
        <v>1434</v>
      </c>
    </row>
    <row r="1845" spans="1:1">
      <c r="A1845" t="s">
        <v>4607</v>
      </c>
    </row>
    <row r="1846" spans="1:1">
      <c r="A1846" t="s">
        <v>810</v>
      </c>
    </row>
    <row r="1847" spans="1:1">
      <c r="A1847" t="s">
        <v>811</v>
      </c>
    </row>
    <row r="1848" spans="1:1">
      <c r="A1848" t="s">
        <v>151</v>
      </c>
    </row>
    <row r="1849" spans="1:1">
      <c r="A1849" t="s">
        <v>836</v>
      </c>
    </row>
    <row r="1850" spans="1:1">
      <c r="A1850" t="s">
        <v>1428</v>
      </c>
    </row>
    <row r="1851" spans="1:1">
      <c r="A1851" t="s">
        <v>838</v>
      </c>
    </row>
    <row r="1852" spans="1:1">
      <c r="A1852" t="s">
        <v>839</v>
      </c>
    </row>
    <row r="1853" spans="1:1">
      <c r="A1853" t="s">
        <v>1211</v>
      </c>
    </row>
    <row r="1854" spans="1:1">
      <c r="A1854" t="s">
        <v>1212</v>
      </c>
    </row>
    <row r="1855" spans="1:1">
      <c r="A1855" t="s">
        <v>842</v>
      </c>
    </row>
    <row r="1856" spans="1:1">
      <c r="A1856" t="s">
        <v>843</v>
      </c>
    </row>
    <row r="1857" spans="1:1">
      <c r="A1857" t="s">
        <v>1429</v>
      </c>
    </row>
    <row r="1858" spans="1:1">
      <c r="A1858" t="s">
        <v>1430</v>
      </c>
    </row>
    <row r="1859" spans="1:1">
      <c r="A1859" t="s">
        <v>1217</v>
      </c>
    </row>
    <row r="1860" spans="1:1">
      <c r="A1860" t="s">
        <v>1431</v>
      </c>
    </row>
    <row r="1861" spans="1:1">
      <c r="A1861" t="s">
        <v>1432</v>
      </c>
    </row>
    <row r="1862" spans="1:1">
      <c r="A1862" t="s">
        <v>901</v>
      </c>
    </row>
    <row r="1863" spans="1:1">
      <c r="A1863" t="s">
        <v>902</v>
      </c>
    </row>
    <row r="1864" spans="1:1">
      <c r="A1864" t="s">
        <v>851</v>
      </c>
    </row>
    <row r="1865" spans="1:1">
      <c r="A1865" t="s">
        <v>1434</v>
      </c>
    </row>
    <row r="1866" spans="1:1">
      <c r="A1866" t="s">
        <v>4608</v>
      </c>
    </row>
    <row r="1867" spans="1:1">
      <c r="A1867" t="s">
        <v>810</v>
      </c>
    </row>
    <row r="1868" spans="1:1">
      <c r="A1868" t="s">
        <v>811</v>
      </c>
    </row>
    <row r="1869" spans="1:1">
      <c r="A1869" t="s">
        <v>151</v>
      </c>
    </row>
    <row r="1870" spans="1:1">
      <c r="A1870" t="s">
        <v>836</v>
      </c>
    </row>
    <row r="1871" spans="1:1">
      <c r="A1871" t="s">
        <v>1435</v>
      </c>
    </row>
    <row r="1872" spans="1:1">
      <c r="A1872" t="s">
        <v>838</v>
      </c>
    </row>
    <row r="1873" spans="1:1">
      <c r="A1873" t="s">
        <v>839</v>
      </c>
    </row>
    <row r="1874" spans="1:1">
      <c r="A1874" t="s">
        <v>1436</v>
      </c>
    </row>
    <row r="1875" spans="1:1">
      <c r="A1875" t="s">
        <v>1437</v>
      </c>
    </row>
    <row r="1876" spans="1:1">
      <c r="A1876" t="s">
        <v>842</v>
      </c>
    </row>
    <row r="1877" spans="1:1">
      <c r="A1877" t="s">
        <v>843</v>
      </c>
    </row>
    <row r="1878" spans="1:1">
      <c r="A1878" t="s">
        <v>1438</v>
      </c>
    </row>
    <row r="1879" spans="1:1">
      <c r="A1879" t="s">
        <v>1439</v>
      </c>
    </row>
    <row r="1880" spans="1:1">
      <c r="A1880" t="s">
        <v>1440</v>
      </c>
    </row>
    <row r="1881" spans="1:1">
      <c r="A1881" t="s">
        <v>1441</v>
      </c>
    </row>
    <row r="1882" spans="1:1">
      <c r="A1882" t="s">
        <v>1442</v>
      </c>
    </row>
    <row r="1883" spans="1:1">
      <c r="A1883" t="s">
        <v>918</v>
      </c>
    </row>
    <row r="1884" spans="1:1">
      <c r="A1884" t="s">
        <v>1443</v>
      </c>
    </row>
    <row r="1885" spans="1:1">
      <c r="A1885" t="s">
        <v>1444</v>
      </c>
    </row>
    <row r="1886" spans="1:1">
      <c r="A1886" t="s">
        <v>4609</v>
      </c>
    </row>
    <row r="1887" spans="1:1">
      <c r="A1887" t="s">
        <v>812</v>
      </c>
    </row>
    <row r="1888" spans="1:1">
      <c r="A1888" t="s">
        <v>810</v>
      </c>
    </row>
    <row r="1889" spans="1:1">
      <c r="A1889" t="s">
        <v>811</v>
      </c>
    </row>
    <row r="1890" spans="1:1">
      <c r="A1890" t="s">
        <v>151</v>
      </c>
    </row>
    <row r="1891" spans="1:1">
      <c r="A1891" t="s">
        <v>836</v>
      </c>
    </row>
    <row r="1892" spans="1:1">
      <c r="A1892" t="s">
        <v>1445</v>
      </c>
    </row>
    <row r="1893" spans="1:1">
      <c r="A1893" t="s">
        <v>838</v>
      </c>
    </row>
    <row r="1894" spans="1:1">
      <c r="A1894" t="s">
        <v>839</v>
      </c>
    </row>
    <row r="1895" spans="1:1">
      <c r="A1895" t="s">
        <v>1446</v>
      </c>
    </row>
    <row r="1896" spans="1:1">
      <c r="A1896" t="s">
        <v>1447</v>
      </c>
    </row>
    <row r="1897" spans="1:1">
      <c r="A1897" t="s">
        <v>1172</v>
      </c>
    </row>
    <row r="1898" spans="1:1">
      <c r="A1898" t="s">
        <v>1448</v>
      </c>
    </row>
    <row r="1899" spans="1:1">
      <c r="A1899" t="s">
        <v>1449</v>
      </c>
    </row>
    <row r="1900" spans="1:1">
      <c r="A1900" t="s">
        <v>858</v>
      </c>
    </row>
    <row r="1901" spans="1:1">
      <c r="A1901" t="s">
        <v>1450</v>
      </c>
    </row>
    <row r="1902" spans="1:1">
      <c r="A1902" t="s">
        <v>847</v>
      </c>
    </row>
    <row r="1903" spans="1:1">
      <c r="A1903" t="s">
        <v>1199</v>
      </c>
    </row>
    <row r="1904" spans="1:1">
      <c r="A1904" t="s">
        <v>862</v>
      </c>
    </row>
    <row r="1905" spans="1:1">
      <c r="A1905" t="s">
        <v>863</v>
      </c>
    </row>
    <row r="1906" spans="1:1">
      <c r="A1906" t="s">
        <v>903</v>
      </c>
    </row>
    <row r="1907" spans="1:1">
      <c r="A1907" t="s">
        <v>1451</v>
      </c>
    </row>
    <row r="1908" spans="1:1">
      <c r="A1908" t="s">
        <v>812</v>
      </c>
    </row>
    <row r="1909" spans="1:1">
      <c r="A1909" t="s">
        <v>810</v>
      </c>
    </row>
    <row r="1910" spans="1:1">
      <c r="A1910" t="s">
        <v>811</v>
      </c>
    </row>
    <row r="1911" spans="1:1">
      <c r="A1911" t="s">
        <v>151</v>
      </c>
    </row>
    <row r="1912" spans="1:1">
      <c r="A1912" t="s">
        <v>836</v>
      </c>
    </row>
    <row r="1913" spans="1:1">
      <c r="A1913" t="s">
        <v>1452</v>
      </c>
    </row>
    <row r="1914" spans="1:1">
      <c r="A1914" t="s">
        <v>838</v>
      </c>
    </row>
    <row r="1915" spans="1:1">
      <c r="A1915" t="s">
        <v>839</v>
      </c>
    </row>
    <row r="1916" spans="1:1">
      <c r="A1916" t="s">
        <v>1453</v>
      </c>
    </row>
    <row r="1917" spans="1:1">
      <c r="A1917" t="s">
        <v>1454</v>
      </c>
    </row>
    <row r="1918" spans="1:1">
      <c r="A1918" t="s">
        <v>842</v>
      </c>
    </row>
    <row r="1919" spans="1:1">
      <c r="A1919" t="s">
        <v>843</v>
      </c>
    </row>
    <row r="1920" spans="1:1">
      <c r="A1920" t="s">
        <v>1288</v>
      </c>
    </row>
    <row r="1921" spans="1:1">
      <c r="A1921" t="s">
        <v>1455</v>
      </c>
    </row>
    <row r="1922" spans="1:1">
      <c r="A1922" t="s">
        <v>1456</v>
      </c>
    </row>
    <row r="1923" spans="1:1">
      <c r="A1923" t="s">
        <v>1457</v>
      </c>
    </row>
    <row r="1924" spans="1:1">
      <c r="A1924" t="s">
        <v>1291</v>
      </c>
    </row>
    <row r="1925" spans="1:1">
      <c r="A1925" t="s">
        <v>862</v>
      </c>
    </row>
    <row r="1926" spans="1:1">
      <c r="A1926" t="s">
        <v>863</v>
      </c>
    </row>
    <row r="1927" spans="1:1">
      <c r="A1927" t="s">
        <v>1458</v>
      </c>
    </row>
    <row r="1928" spans="1:1">
      <c r="A1928" t="s">
        <v>4610</v>
      </c>
    </row>
    <row r="1929" spans="1:1">
      <c r="A1929" t="s">
        <v>4611</v>
      </c>
    </row>
    <row r="1930" spans="1:1">
      <c r="A1930" t="s">
        <v>810</v>
      </c>
    </row>
    <row r="1931" spans="1:1">
      <c r="A1931" t="s">
        <v>811</v>
      </c>
    </row>
    <row r="1932" spans="1:1">
      <c r="A1932" t="s">
        <v>151</v>
      </c>
    </row>
    <row r="1933" spans="1:1">
      <c r="A1933" t="s">
        <v>836</v>
      </c>
    </row>
    <row r="1934" spans="1:1">
      <c r="A1934" t="s">
        <v>1452</v>
      </c>
    </row>
    <row r="1935" spans="1:1">
      <c r="A1935" t="s">
        <v>838</v>
      </c>
    </row>
    <row r="1936" spans="1:1">
      <c r="A1936" t="s">
        <v>839</v>
      </c>
    </row>
    <row r="1937" spans="1:1">
      <c r="A1937" t="s">
        <v>1453</v>
      </c>
    </row>
    <row r="1938" spans="1:1">
      <c r="A1938" t="s">
        <v>1454</v>
      </c>
    </row>
    <row r="1939" spans="1:1">
      <c r="A1939" t="s">
        <v>842</v>
      </c>
    </row>
    <row r="1940" spans="1:1">
      <c r="A1940" t="s">
        <v>843</v>
      </c>
    </row>
    <row r="1941" spans="1:1">
      <c r="A1941" t="s">
        <v>1288</v>
      </c>
    </row>
    <row r="1942" spans="1:1">
      <c r="A1942" t="s">
        <v>1455</v>
      </c>
    </row>
    <row r="1943" spans="1:1">
      <c r="A1943" t="s">
        <v>1456</v>
      </c>
    </row>
    <row r="1944" spans="1:1">
      <c r="A1944" t="s">
        <v>1457</v>
      </c>
    </row>
    <row r="1945" spans="1:1">
      <c r="A1945" t="s">
        <v>1291</v>
      </c>
    </row>
    <row r="1946" spans="1:1">
      <c r="A1946" t="s">
        <v>862</v>
      </c>
    </row>
    <row r="1947" spans="1:1">
      <c r="A1947" t="s">
        <v>863</v>
      </c>
    </row>
    <row r="1948" spans="1:1">
      <c r="A1948" t="s">
        <v>1459</v>
      </c>
    </row>
    <row r="1949" spans="1:1">
      <c r="A1949" t="s">
        <v>4610</v>
      </c>
    </row>
    <row r="1950" spans="1:1">
      <c r="A1950" t="s">
        <v>4612</v>
      </c>
    </row>
    <row r="1951" spans="1:1">
      <c r="A1951" t="s">
        <v>810</v>
      </c>
    </row>
    <row r="1952" spans="1:1">
      <c r="A1952" t="s">
        <v>811</v>
      </c>
    </row>
    <row r="1953" spans="1:1">
      <c r="A1953" t="s">
        <v>151</v>
      </c>
    </row>
    <row r="1954" spans="1:1">
      <c r="A1954" t="s">
        <v>836</v>
      </c>
    </row>
    <row r="1955" spans="1:1">
      <c r="A1955" t="s">
        <v>1460</v>
      </c>
    </row>
    <row r="1956" spans="1:1">
      <c r="A1956" t="s">
        <v>838</v>
      </c>
    </row>
    <row r="1957" spans="1:1">
      <c r="A1957" t="s">
        <v>839</v>
      </c>
    </row>
    <row r="1958" spans="1:1">
      <c r="A1958" t="s">
        <v>1461</v>
      </c>
    </row>
    <row r="1959" spans="1:1">
      <c r="A1959" t="s">
        <v>1462</v>
      </c>
    </row>
    <row r="1960" spans="1:1">
      <c r="A1960" t="s">
        <v>842</v>
      </c>
    </row>
    <row r="1961" spans="1:1">
      <c r="A1961" t="s">
        <v>843</v>
      </c>
    </row>
    <row r="1962" spans="1:1">
      <c r="A1962" t="s">
        <v>1463</v>
      </c>
    </row>
    <row r="1963" spans="1:1">
      <c r="A1963" t="s">
        <v>1464</v>
      </c>
    </row>
    <row r="1964" spans="1:1">
      <c r="A1964" t="s">
        <v>1465</v>
      </c>
    </row>
    <row r="1965" spans="1:1">
      <c r="A1965" t="s">
        <v>1466</v>
      </c>
    </row>
    <row r="1966" spans="1:1">
      <c r="A1966" t="s">
        <v>1467</v>
      </c>
    </row>
    <row r="1967" spans="1:1">
      <c r="A1967" t="s">
        <v>901</v>
      </c>
    </row>
    <row r="1968" spans="1:1">
      <c r="A1968" t="s">
        <v>902</v>
      </c>
    </row>
    <row r="1969" spans="1:1">
      <c r="A1969" t="s">
        <v>1444</v>
      </c>
    </row>
    <row r="1970" spans="1:1">
      <c r="A1970" t="s">
        <v>4613</v>
      </c>
    </row>
    <row r="1971" spans="1:1">
      <c r="A1971" t="s">
        <v>812</v>
      </c>
    </row>
    <row r="1972" spans="1:1">
      <c r="A1972" t="s">
        <v>810</v>
      </c>
    </row>
    <row r="1973" spans="1:1">
      <c r="A1973" t="s">
        <v>811</v>
      </c>
    </row>
    <row r="1974" spans="1:1">
      <c r="A1974" t="s">
        <v>151</v>
      </c>
    </row>
    <row r="1975" spans="1:1">
      <c r="A1975" t="s">
        <v>836</v>
      </c>
    </row>
    <row r="1976" spans="1:1">
      <c r="A1976" t="s">
        <v>1468</v>
      </c>
    </row>
    <row r="1977" spans="1:1">
      <c r="A1977" t="s">
        <v>838</v>
      </c>
    </row>
    <row r="1978" spans="1:1">
      <c r="A1978" t="s">
        <v>839</v>
      </c>
    </row>
    <row r="1979" spans="1:1">
      <c r="A1979" t="s">
        <v>996</v>
      </c>
    </row>
    <row r="1980" spans="1:1">
      <c r="A1980" t="s">
        <v>1469</v>
      </c>
    </row>
    <row r="1981" spans="1:1">
      <c r="A1981" t="s">
        <v>842</v>
      </c>
    </row>
    <row r="1982" spans="1:1">
      <c r="A1982" t="s">
        <v>843</v>
      </c>
    </row>
    <row r="1983" spans="1:1">
      <c r="A1983" t="s">
        <v>1470</v>
      </c>
    </row>
    <row r="1984" spans="1:1">
      <c r="A1984" t="s">
        <v>1471</v>
      </c>
    </row>
    <row r="1985" spans="1:1">
      <c r="A1985" t="s">
        <v>1187</v>
      </c>
    </row>
    <row r="1986" spans="1:1">
      <c r="A1986" t="s">
        <v>1472</v>
      </c>
    </row>
    <row r="1987" spans="1:1">
      <c r="A1987" t="s">
        <v>1473</v>
      </c>
    </row>
    <row r="1988" spans="1:1">
      <c r="A1988" t="s">
        <v>849</v>
      </c>
    </row>
    <row r="1989" spans="1:1">
      <c r="A1989" t="s">
        <v>1001</v>
      </c>
    </row>
    <row r="1990" spans="1:1">
      <c r="A1990" t="s">
        <v>1178</v>
      </c>
    </row>
    <row r="1991" spans="1:1">
      <c r="A1991" t="s">
        <v>4614</v>
      </c>
    </row>
    <row r="1992" spans="1:1">
      <c r="A1992" t="s">
        <v>4615</v>
      </c>
    </row>
    <row r="1993" spans="1:1">
      <c r="A1993" t="s">
        <v>810</v>
      </c>
    </row>
    <row r="1994" spans="1:1">
      <c r="A1994" t="s">
        <v>811</v>
      </c>
    </row>
    <row r="1995" spans="1:1">
      <c r="A1995" t="s">
        <v>151</v>
      </c>
    </row>
    <row r="1996" spans="1:1">
      <c r="A1996" t="s">
        <v>836</v>
      </c>
    </row>
    <row r="1997" spans="1:1">
      <c r="A1997" t="s">
        <v>1468</v>
      </c>
    </row>
    <row r="1998" spans="1:1">
      <c r="A1998" t="s">
        <v>838</v>
      </c>
    </row>
    <row r="1999" spans="1:1">
      <c r="A1999" t="s">
        <v>839</v>
      </c>
    </row>
    <row r="2000" spans="1:1">
      <c r="A2000" t="s">
        <v>996</v>
      </c>
    </row>
    <row r="2001" spans="1:1">
      <c r="A2001" t="s">
        <v>1469</v>
      </c>
    </row>
    <row r="2002" spans="1:1">
      <c r="A2002" t="s">
        <v>842</v>
      </c>
    </row>
    <row r="2003" spans="1:1">
      <c r="A2003" t="s">
        <v>843</v>
      </c>
    </row>
    <row r="2004" spans="1:1">
      <c r="A2004" t="s">
        <v>1470</v>
      </c>
    </row>
    <row r="2005" spans="1:1">
      <c r="A2005" t="s">
        <v>1471</v>
      </c>
    </row>
    <row r="2006" spans="1:1">
      <c r="A2006" t="s">
        <v>1187</v>
      </c>
    </row>
    <row r="2007" spans="1:1">
      <c r="A2007" t="s">
        <v>1472</v>
      </c>
    </row>
    <row r="2008" spans="1:1">
      <c r="A2008" t="s">
        <v>1473</v>
      </c>
    </row>
    <row r="2009" spans="1:1">
      <c r="A2009" t="s">
        <v>849</v>
      </c>
    </row>
    <row r="2010" spans="1:1">
      <c r="A2010" t="s">
        <v>1001</v>
      </c>
    </row>
    <row r="2011" spans="1:1">
      <c r="A2011" t="s">
        <v>1474</v>
      </c>
    </row>
    <row r="2012" spans="1:1">
      <c r="A2012" t="s">
        <v>4614</v>
      </c>
    </row>
    <row r="2013" spans="1:1">
      <c r="A2013" t="s">
        <v>4616</v>
      </c>
    </row>
    <row r="2014" spans="1:1">
      <c r="A2014" t="s">
        <v>810</v>
      </c>
    </row>
    <row r="2015" spans="1:1">
      <c r="A2015" t="s">
        <v>811</v>
      </c>
    </row>
    <row r="2016" spans="1:1">
      <c r="A2016" t="s">
        <v>151</v>
      </c>
    </row>
    <row r="2017" spans="1:1">
      <c r="A2017" t="s">
        <v>836</v>
      </c>
    </row>
    <row r="2018" spans="1:1">
      <c r="A2018" t="s">
        <v>1475</v>
      </c>
    </row>
    <row r="2019" spans="1:1">
      <c r="A2019" t="s">
        <v>838</v>
      </c>
    </row>
    <row r="2020" spans="1:1">
      <c r="A2020" t="s">
        <v>839</v>
      </c>
    </row>
    <row r="2021" spans="1:1">
      <c r="A2021" t="s">
        <v>1476</v>
      </c>
    </row>
    <row r="2022" spans="1:1">
      <c r="A2022" t="s">
        <v>1477</v>
      </c>
    </row>
    <row r="2023" spans="1:1">
      <c r="A2023" t="s">
        <v>1374</v>
      </c>
    </row>
    <row r="2024" spans="1:1">
      <c r="A2024" t="s">
        <v>1478</v>
      </c>
    </row>
    <row r="2025" spans="1:1">
      <c r="A2025" t="s">
        <v>1479</v>
      </c>
    </row>
    <row r="2026" spans="1:1">
      <c r="A2026" t="s">
        <v>1480</v>
      </c>
    </row>
    <row r="2027" spans="1:1">
      <c r="A2027" t="s">
        <v>1481</v>
      </c>
    </row>
    <row r="2028" spans="1:1">
      <c r="A2028" t="s">
        <v>1379</v>
      </c>
    </row>
    <row r="2029" spans="1:1">
      <c r="A2029" t="s">
        <v>1482</v>
      </c>
    </row>
    <row r="2030" spans="1:1">
      <c r="A2030" t="s">
        <v>1483</v>
      </c>
    </row>
    <row r="2031" spans="1:1">
      <c r="A2031" t="s">
        <v>938</v>
      </c>
    </row>
    <row r="2032" spans="1:1">
      <c r="A2032" t="s">
        <v>1484</v>
      </c>
    </row>
    <row r="2033" spans="1:1">
      <c r="A2033" t="s">
        <v>4617</v>
      </c>
    </row>
    <row r="2034" spans="1:1">
      <c r="A2034" t="s">
        <v>812</v>
      </c>
    </row>
    <row r="2035" spans="1:1">
      <c r="A2035" t="s">
        <v>810</v>
      </c>
    </row>
    <row r="2036" spans="1:1">
      <c r="A2036" t="s">
        <v>811</v>
      </c>
    </row>
    <row r="2037" spans="1:1">
      <c r="A2037" t="s">
        <v>151</v>
      </c>
    </row>
    <row r="2038" spans="1:1">
      <c r="A2038" t="s">
        <v>836</v>
      </c>
    </row>
    <row r="2039" spans="1:1">
      <c r="A2039" t="s">
        <v>1485</v>
      </c>
    </row>
    <row r="2040" spans="1:1">
      <c r="A2040" t="s">
        <v>1486</v>
      </c>
    </row>
    <row r="2041" spans="1:1">
      <c r="A2041" t="s">
        <v>1487</v>
      </c>
    </row>
    <row r="2042" spans="1:1">
      <c r="A2042" t="s">
        <v>1488</v>
      </c>
    </row>
    <row r="2043" spans="1:1">
      <c r="A2043" t="s">
        <v>1100</v>
      </c>
    </row>
    <row r="2044" spans="1:1">
      <c r="A2044" t="s">
        <v>1489</v>
      </c>
    </row>
    <row r="2045" spans="1:1">
      <c r="A2045" t="s">
        <v>1490</v>
      </c>
    </row>
    <row r="2046" spans="1:1">
      <c r="A2046" t="s">
        <v>1491</v>
      </c>
    </row>
    <row r="2047" spans="1:1">
      <c r="A2047" t="s">
        <v>1492</v>
      </c>
    </row>
    <row r="2048" spans="1:1">
      <c r="A2048" t="s">
        <v>1493</v>
      </c>
    </row>
    <row r="2049" spans="1:1">
      <c r="A2049" t="s">
        <v>1494</v>
      </c>
    </row>
    <row r="2050" spans="1:1">
      <c r="A2050" t="s">
        <v>1495</v>
      </c>
    </row>
    <row r="2051" spans="1:1">
      <c r="A2051" t="s">
        <v>862</v>
      </c>
    </row>
    <row r="2052" spans="1:1">
      <c r="A2052" t="s">
        <v>863</v>
      </c>
    </row>
    <row r="2053" spans="1:1">
      <c r="A2053" t="s">
        <v>1221</v>
      </c>
    </row>
    <row r="2054" spans="1:1">
      <c r="A2054" t="s">
        <v>4618</v>
      </c>
    </row>
    <row r="2055" spans="1:1">
      <c r="A2055" t="s">
        <v>812</v>
      </c>
    </row>
    <row r="2056" spans="1:1">
      <c r="A2056" t="s">
        <v>810</v>
      </c>
    </row>
    <row r="2057" spans="1:1">
      <c r="A2057" t="s">
        <v>811</v>
      </c>
    </row>
    <row r="2058" spans="1:1">
      <c r="A2058" t="s">
        <v>151</v>
      </c>
    </row>
    <row r="2059" spans="1:1">
      <c r="A2059" t="s">
        <v>836</v>
      </c>
    </row>
    <row r="2060" spans="1:1">
      <c r="A2060" t="s">
        <v>1411</v>
      </c>
    </row>
    <row r="2061" spans="1:1">
      <c r="A2061" t="s">
        <v>1412</v>
      </c>
    </row>
    <row r="2062" spans="1:1">
      <c r="A2062" t="s">
        <v>1413</v>
      </c>
    </row>
    <row r="2063" spans="1:1">
      <c r="A2063" t="s">
        <v>894</v>
      </c>
    </row>
    <row r="2064" spans="1:1">
      <c r="A2064" t="s">
        <v>895</v>
      </c>
    </row>
    <row r="2065" spans="1:1">
      <c r="A2065" t="s">
        <v>842</v>
      </c>
    </row>
    <row r="2066" spans="1:1">
      <c r="A2066" t="s">
        <v>843</v>
      </c>
    </row>
    <row r="2067" spans="1:1">
      <c r="A2067" t="s">
        <v>1414</v>
      </c>
    </row>
    <row r="2068" spans="1:1">
      <c r="A2068" t="s">
        <v>1415</v>
      </c>
    </row>
    <row r="2069" spans="1:1">
      <c r="A2069" t="s">
        <v>898</v>
      </c>
    </row>
    <row r="2070" spans="1:1">
      <c r="A2070" t="s">
        <v>899</v>
      </c>
    </row>
    <row r="2071" spans="1:1">
      <c r="A2071" t="s">
        <v>1416</v>
      </c>
    </row>
    <row r="2072" spans="1:1">
      <c r="A2072" t="s">
        <v>901</v>
      </c>
    </row>
    <row r="2073" spans="1:1">
      <c r="A2073" t="s">
        <v>902</v>
      </c>
    </row>
    <row r="2074" spans="1:1">
      <c r="A2074" t="s">
        <v>1382</v>
      </c>
    </row>
    <row r="2075" spans="1:1">
      <c r="A2075" t="s">
        <v>4604</v>
      </c>
    </row>
    <row r="2076" spans="1:1">
      <c r="A2076" t="s">
        <v>833</v>
      </c>
    </row>
    <row r="2077" spans="1:1">
      <c r="A2077" t="s">
        <v>810</v>
      </c>
    </row>
    <row r="2078" spans="1:1">
      <c r="A2078" t="s">
        <v>811</v>
      </c>
    </row>
    <row r="2079" spans="1:1">
      <c r="A2079" t="s">
        <v>151</v>
      </c>
    </row>
    <row r="2080" spans="1:1">
      <c r="A2080" t="s">
        <v>836</v>
      </c>
    </row>
    <row r="2081" spans="1:1">
      <c r="A2081" t="s">
        <v>1496</v>
      </c>
    </row>
    <row r="2082" spans="1:1">
      <c r="A2082" t="s">
        <v>838</v>
      </c>
    </row>
    <row r="2083" spans="1:1">
      <c r="A2083" t="s">
        <v>839</v>
      </c>
    </row>
    <row r="2084" spans="1:1">
      <c r="A2084" t="s">
        <v>894</v>
      </c>
    </row>
    <row r="2085" spans="1:1">
      <c r="A2085" t="s">
        <v>895</v>
      </c>
    </row>
    <row r="2086" spans="1:1">
      <c r="A2086" t="s">
        <v>842</v>
      </c>
    </row>
    <row r="2087" spans="1:1">
      <c r="A2087" t="s">
        <v>843</v>
      </c>
    </row>
    <row r="2088" spans="1:1">
      <c r="A2088" t="s">
        <v>896</v>
      </c>
    </row>
    <row r="2089" spans="1:1">
      <c r="A2089" t="s">
        <v>897</v>
      </c>
    </row>
    <row r="2090" spans="1:1">
      <c r="A2090" t="s">
        <v>898</v>
      </c>
    </row>
    <row r="2091" spans="1:1">
      <c r="A2091" t="s">
        <v>899</v>
      </c>
    </row>
    <row r="2092" spans="1:1">
      <c r="A2092" t="s">
        <v>900</v>
      </c>
    </row>
    <row r="2093" spans="1:1">
      <c r="A2093" t="s">
        <v>901</v>
      </c>
    </row>
    <row r="2094" spans="1:1">
      <c r="A2094" t="s">
        <v>902</v>
      </c>
    </row>
    <row r="2095" spans="1:1">
      <c r="A2095" t="s">
        <v>1497</v>
      </c>
    </row>
    <row r="2096" spans="1:1">
      <c r="A2096" t="s">
        <v>1498</v>
      </c>
    </row>
    <row r="2097" spans="1:1">
      <c r="A2097" t="s">
        <v>4619</v>
      </c>
    </row>
    <row r="2098" spans="1:1">
      <c r="A2098" t="s">
        <v>810</v>
      </c>
    </row>
    <row r="2099" spans="1:1">
      <c r="A2099" t="s">
        <v>811</v>
      </c>
    </row>
    <row r="2100" spans="1:1">
      <c r="A2100" t="s">
        <v>151</v>
      </c>
    </row>
    <row r="2101" spans="1:1">
      <c r="A2101" t="s">
        <v>836</v>
      </c>
    </row>
    <row r="2102" spans="1:1">
      <c r="A2102" t="s">
        <v>1496</v>
      </c>
    </row>
    <row r="2103" spans="1:1">
      <c r="A2103" t="s">
        <v>838</v>
      </c>
    </row>
    <row r="2104" spans="1:1">
      <c r="A2104" t="s">
        <v>839</v>
      </c>
    </row>
    <row r="2105" spans="1:1">
      <c r="A2105" t="s">
        <v>894</v>
      </c>
    </row>
    <row r="2106" spans="1:1">
      <c r="A2106" t="s">
        <v>895</v>
      </c>
    </row>
    <row r="2107" spans="1:1">
      <c r="A2107" t="s">
        <v>842</v>
      </c>
    </row>
    <row r="2108" spans="1:1">
      <c r="A2108" t="s">
        <v>843</v>
      </c>
    </row>
    <row r="2109" spans="1:1">
      <c r="A2109" t="s">
        <v>896</v>
      </c>
    </row>
    <row r="2110" spans="1:1">
      <c r="A2110" t="s">
        <v>897</v>
      </c>
    </row>
    <row r="2111" spans="1:1">
      <c r="A2111" t="s">
        <v>898</v>
      </c>
    </row>
    <row r="2112" spans="1:1">
      <c r="A2112" t="s">
        <v>899</v>
      </c>
    </row>
    <row r="2113" spans="1:1">
      <c r="A2113" t="s">
        <v>900</v>
      </c>
    </row>
    <row r="2114" spans="1:1">
      <c r="A2114" t="s">
        <v>901</v>
      </c>
    </row>
    <row r="2115" spans="1:1">
      <c r="A2115" t="s">
        <v>902</v>
      </c>
    </row>
    <row r="2116" spans="1:1">
      <c r="A2116" t="s">
        <v>1388</v>
      </c>
    </row>
    <row r="2117" spans="1:1">
      <c r="A2117" t="s">
        <v>1498</v>
      </c>
    </row>
    <row r="2118" spans="1:1">
      <c r="A2118" t="s">
        <v>4620</v>
      </c>
    </row>
    <row r="2119" spans="1:1">
      <c r="A2119" t="s">
        <v>810</v>
      </c>
    </row>
    <row r="2120" spans="1:1">
      <c r="A2120" t="s">
        <v>811</v>
      </c>
    </row>
    <row r="2121" spans="1:1">
      <c r="A2121" t="s">
        <v>151</v>
      </c>
    </row>
    <row r="2122" spans="1:1">
      <c r="A2122" t="s">
        <v>836</v>
      </c>
    </row>
    <row r="2123" spans="1:1">
      <c r="A2123" t="s">
        <v>1499</v>
      </c>
    </row>
    <row r="2124" spans="1:1">
      <c r="A2124" t="s">
        <v>838</v>
      </c>
    </row>
    <row r="2125" spans="1:1">
      <c r="A2125" t="s">
        <v>839</v>
      </c>
    </row>
    <row r="2126" spans="1:1">
      <c r="A2126" t="s">
        <v>894</v>
      </c>
    </row>
    <row r="2127" spans="1:1">
      <c r="A2127" t="s">
        <v>895</v>
      </c>
    </row>
    <row r="2128" spans="1:1">
      <c r="A2128" t="s">
        <v>842</v>
      </c>
    </row>
    <row r="2129" spans="1:1">
      <c r="A2129" t="s">
        <v>843</v>
      </c>
    </row>
    <row r="2130" spans="1:1">
      <c r="A2130" t="s">
        <v>896</v>
      </c>
    </row>
    <row r="2131" spans="1:1">
      <c r="A2131" t="s">
        <v>897</v>
      </c>
    </row>
    <row r="2132" spans="1:1">
      <c r="A2132" t="s">
        <v>898</v>
      </c>
    </row>
    <row r="2133" spans="1:1">
      <c r="A2133" t="s">
        <v>899</v>
      </c>
    </row>
    <row r="2134" spans="1:1">
      <c r="A2134" t="s">
        <v>900</v>
      </c>
    </row>
    <row r="2135" spans="1:1">
      <c r="A2135" t="s">
        <v>901</v>
      </c>
    </row>
    <row r="2136" spans="1:1">
      <c r="A2136" t="s">
        <v>902</v>
      </c>
    </row>
    <row r="2137" spans="1:1">
      <c r="A2137" t="s">
        <v>1390</v>
      </c>
    </row>
    <row r="2138" spans="1:1">
      <c r="A2138" t="s">
        <v>1500</v>
      </c>
    </row>
    <row r="2139" spans="1:1">
      <c r="A2139" t="s">
        <v>812</v>
      </c>
    </row>
    <row r="2140" spans="1:1">
      <c r="A2140" t="s">
        <v>810</v>
      </c>
    </row>
    <row r="2141" spans="1:1">
      <c r="A2141" t="s">
        <v>811</v>
      </c>
    </row>
    <row r="2142" spans="1:1">
      <c r="A2142" t="s">
        <v>151</v>
      </c>
    </row>
    <row r="2143" spans="1:1">
      <c r="A2143" t="s">
        <v>836</v>
      </c>
    </row>
    <row r="2144" spans="1:1">
      <c r="A2144" t="s">
        <v>1126</v>
      </c>
    </row>
    <row r="2145" spans="1:1">
      <c r="A2145" t="s">
        <v>1127</v>
      </c>
    </row>
    <row r="2146" spans="1:1">
      <c r="A2146" t="s">
        <v>1128</v>
      </c>
    </row>
    <row r="2147" spans="1:1">
      <c r="A2147" t="s">
        <v>1129</v>
      </c>
    </row>
    <row r="2148" spans="1:1">
      <c r="A2148" t="s">
        <v>1130</v>
      </c>
    </row>
    <row r="2149" spans="1:1">
      <c r="A2149" t="s">
        <v>842</v>
      </c>
    </row>
    <row r="2150" spans="1:1">
      <c r="A2150" t="s">
        <v>843</v>
      </c>
    </row>
    <row r="2151" spans="1:1">
      <c r="A2151" t="s">
        <v>1131</v>
      </c>
    </row>
    <row r="2152" spans="1:1">
      <c r="A2152" t="s">
        <v>1132</v>
      </c>
    </row>
    <row r="2153" spans="1:1">
      <c r="A2153" t="s">
        <v>1133</v>
      </c>
    </row>
    <row r="2154" spans="1:1">
      <c r="A2154" t="s">
        <v>899</v>
      </c>
    </row>
    <row r="2155" spans="1:1">
      <c r="A2155" t="s">
        <v>1134</v>
      </c>
    </row>
    <row r="2156" spans="1:1">
      <c r="A2156" t="s">
        <v>901</v>
      </c>
    </row>
    <row r="2157" spans="1:1">
      <c r="A2157" t="s">
        <v>902</v>
      </c>
    </row>
    <row r="2158" spans="1:1">
      <c r="A2158" t="s">
        <v>1501</v>
      </c>
    </row>
    <row r="2159" spans="1:1">
      <c r="A2159" t="s">
        <v>4579</v>
      </c>
    </row>
    <row r="2160" spans="1:1">
      <c r="A2160" t="s">
        <v>4621</v>
      </c>
    </row>
    <row r="2161" spans="1:1">
      <c r="A2161" t="s">
        <v>810</v>
      </c>
    </row>
    <row r="2162" spans="1:1">
      <c r="A2162" t="s">
        <v>811</v>
      </c>
    </row>
    <row r="2163" spans="1:1">
      <c r="A2163" t="s">
        <v>151</v>
      </c>
    </row>
    <row r="2164" spans="1:1">
      <c r="A2164" t="s">
        <v>836</v>
      </c>
    </row>
    <row r="2165" spans="1:1">
      <c r="A2165" t="s">
        <v>1502</v>
      </c>
    </row>
    <row r="2166" spans="1:1">
      <c r="A2166" t="s">
        <v>838</v>
      </c>
    </row>
    <row r="2167" spans="1:1">
      <c r="A2167" t="s">
        <v>839</v>
      </c>
    </row>
    <row r="2168" spans="1:1">
      <c r="A2168" t="s">
        <v>1503</v>
      </c>
    </row>
    <row r="2169" spans="1:1">
      <c r="A2169" t="s">
        <v>1504</v>
      </c>
    </row>
    <row r="2170" spans="1:1">
      <c r="A2170" t="s">
        <v>842</v>
      </c>
    </row>
    <row r="2171" spans="1:1">
      <c r="A2171" t="s">
        <v>843</v>
      </c>
    </row>
    <row r="2172" spans="1:1">
      <c r="A2172" t="s">
        <v>1505</v>
      </c>
    </row>
    <row r="2173" spans="1:1">
      <c r="A2173" t="s">
        <v>897</v>
      </c>
    </row>
    <row r="2174" spans="1:1">
      <c r="A2174" t="s">
        <v>1506</v>
      </c>
    </row>
    <row r="2175" spans="1:1">
      <c r="A2175" t="s">
        <v>899</v>
      </c>
    </row>
    <row r="2176" spans="1:1">
      <c r="A2176" t="s">
        <v>1507</v>
      </c>
    </row>
    <row r="2177" spans="1:1">
      <c r="A2177" t="s">
        <v>1059</v>
      </c>
    </row>
    <row r="2178" spans="1:1">
      <c r="A2178" t="s">
        <v>1508</v>
      </c>
    </row>
    <row r="2179" spans="1:1">
      <c r="A2179" t="s">
        <v>1002</v>
      </c>
    </row>
    <row r="2180" spans="1:1">
      <c r="A2180" t="s">
        <v>4622</v>
      </c>
    </row>
    <row r="2181" spans="1:1">
      <c r="A2181" t="s">
        <v>812</v>
      </c>
    </row>
    <row r="2182" spans="1:1">
      <c r="A2182" t="s">
        <v>810</v>
      </c>
    </row>
    <row r="2183" spans="1:1">
      <c r="A2183" t="s">
        <v>811</v>
      </c>
    </row>
    <row r="2184" spans="1:1">
      <c r="A2184" t="s">
        <v>151</v>
      </c>
    </row>
    <row r="2185" spans="1:1">
      <c r="A2185" t="s">
        <v>836</v>
      </c>
    </row>
    <row r="2186" spans="1:1">
      <c r="A2186" t="s">
        <v>1509</v>
      </c>
    </row>
    <row r="2187" spans="1:1">
      <c r="A2187" t="s">
        <v>838</v>
      </c>
    </row>
    <row r="2188" spans="1:1">
      <c r="A2188" t="s">
        <v>839</v>
      </c>
    </row>
    <row r="2189" spans="1:1">
      <c r="A2189" t="s">
        <v>1510</v>
      </c>
    </row>
    <row r="2190" spans="1:1">
      <c r="A2190" t="s">
        <v>1511</v>
      </c>
    </row>
    <row r="2191" spans="1:1">
      <c r="A2191" t="s">
        <v>842</v>
      </c>
    </row>
    <row r="2192" spans="1:1">
      <c r="A2192" t="s">
        <v>843</v>
      </c>
    </row>
    <row r="2193" spans="1:1">
      <c r="A2193" t="s">
        <v>1512</v>
      </c>
    </row>
    <row r="2194" spans="1:1">
      <c r="A2194" t="s">
        <v>897</v>
      </c>
    </row>
    <row r="2195" spans="1:1">
      <c r="A2195" t="s">
        <v>1513</v>
      </c>
    </row>
    <row r="2196" spans="1:1">
      <c r="A2196" t="s">
        <v>899</v>
      </c>
    </row>
    <row r="2197" spans="1:1">
      <c r="A2197" t="s">
        <v>1514</v>
      </c>
    </row>
    <row r="2198" spans="1:1">
      <c r="A2198" t="s">
        <v>1367</v>
      </c>
    </row>
    <row r="2199" spans="1:1">
      <c r="A2199" t="s">
        <v>989</v>
      </c>
    </row>
    <row r="2200" spans="1:1">
      <c r="A2200" t="s">
        <v>1002</v>
      </c>
    </row>
    <row r="2201" spans="1:1">
      <c r="A2201" t="s">
        <v>4623</v>
      </c>
    </row>
    <row r="2202" spans="1:1">
      <c r="A2202" t="s">
        <v>812</v>
      </c>
    </row>
    <row r="2203" spans="1:1">
      <c r="A2203" t="s">
        <v>810</v>
      </c>
    </row>
    <row r="2204" spans="1:1">
      <c r="A2204" t="s">
        <v>811</v>
      </c>
    </row>
    <row r="2205" spans="1:1">
      <c r="A2205" t="s">
        <v>151</v>
      </c>
    </row>
    <row r="2206" spans="1:1">
      <c r="A2206" t="s">
        <v>836</v>
      </c>
    </row>
    <row r="2207" spans="1:1">
      <c r="A2207" t="s">
        <v>1515</v>
      </c>
    </row>
    <row r="2208" spans="1:1">
      <c r="A2208" t="s">
        <v>838</v>
      </c>
    </row>
    <row r="2209" spans="1:1">
      <c r="A2209" t="s">
        <v>839</v>
      </c>
    </row>
    <row r="2210" spans="1:1">
      <c r="A2210" t="s">
        <v>1516</v>
      </c>
    </row>
    <row r="2211" spans="1:1">
      <c r="A2211" t="s">
        <v>1517</v>
      </c>
    </row>
    <row r="2212" spans="1:1">
      <c r="A2212" t="s">
        <v>842</v>
      </c>
    </row>
    <row r="2213" spans="1:1">
      <c r="A2213" t="s">
        <v>843</v>
      </c>
    </row>
    <row r="2214" spans="1:1">
      <c r="A2214" t="s">
        <v>1518</v>
      </c>
    </row>
    <row r="2215" spans="1:1">
      <c r="A2215" t="s">
        <v>897</v>
      </c>
    </row>
    <row r="2216" spans="1:1">
      <c r="A2216" t="s">
        <v>1519</v>
      </c>
    </row>
    <row r="2217" spans="1:1">
      <c r="A2217" t="s">
        <v>899</v>
      </c>
    </row>
    <row r="2218" spans="1:1">
      <c r="A2218" t="s">
        <v>1520</v>
      </c>
    </row>
    <row r="2219" spans="1:1">
      <c r="A2219" t="s">
        <v>976</v>
      </c>
    </row>
    <row r="2220" spans="1:1">
      <c r="A2220" t="s">
        <v>1521</v>
      </c>
    </row>
    <row r="2221" spans="1:1">
      <c r="A2221" t="s">
        <v>1002</v>
      </c>
    </row>
    <row r="2222" spans="1:1">
      <c r="A2222" t="s">
        <v>4624</v>
      </c>
    </row>
    <row r="2223" spans="1:1">
      <c r="A2223" t="s">
        <v>834</v>
      </c>
    </row>
    <row r="2224" spans="1:1">
      <c r="A2224" t="s">
        <v>810</v>
      </c>
    </row>
    <row r="2225" spans="1:1">
      <c r="A2225" t="s">
        <v>811</v>
      </c>
    </row>
    <row r="2226" spans="1:1">
      <c r="A2226" t="s">
        <v>151</v>
      </c>
    </row>
    <row r="2227" spans="1:1">
      <c r="A2227" t="s">
        <v>836</v>
      </c>
    </row>
    <row r="2228" spans="1:1">
      <c r="A2228" t="s">
        <v>1515</v>
      </c>
    </row>
    <row r="2229" spans="1:1">
      <c r="A2229" t="s">
        <v>838</v>
      </c>
    </row>
    <row r="2230" spans="1:1">
      <c r="A2230" t="s">
        <v>839</v>
      </c>
    </row>
    <row r="2231" spans="1:1">
      <c r="A2231" t="s">
        <v>1516</v>
      </c>
    </row>
    <row r="2232" spans="1:1">
      <c r="A2232" t="s">
        <v>1517</v>
      </c>
    </row>
    <row r="2233" spans="1:1">
      <c r="A2233" t="s">
        <v>842</v>
      </c>
    </row>
    <row r="2234" spans="1:1">
      <c r="A2234" t="s">
        <v>843</v>
      </c>
    </row>
    <row r="2235" spans="1:1">
      <c r="A2235" t="s">
        <v>1518</v>
      </c>
    </row>
    <row r="2236" spans="1:1">
      <c r="A2236" t="s">
        <v>897</v>
      </c>
    </row>
    <row r="2237" spans="1:1">
      <c r="A2237" t="s">
        <v>1519</v>
      </c>
    </row>
    <row r="2238" spans="1:1">
      <c r="A2238" t="s">
        <v>899</v>
      </c>
    </row>
    <row r="2239" spans="1:1">
      <c r="A2239" t="s">
        <v>1520</v>
      </c>
    </row>
    <row r="2240" spans="1:1">
      <c r="A2240" t="s">
        <v>976</v>
      </c>
    </row>
    <row r="2241" spans="1:1">
      <c r="A2241" t="s">
        <v>1521</v>
      </c>
    </row>
    <row r="2242" spans="1:1">
      <c r="A2242" t="s">
        <v>1522</v>
      </c>
    </row>
    <row r="2243" spans="1:1">
      <c r="A2243" t="s">
        <v>4624</v>
      </c>
    </row>
    <row r="2244" spans="1:1">
      <c r="A2244" t="s">
        <v>835</v>
      </c>
    </row>
    <row r="2245" spans="1:1">
      <c r="A2245" t="s">
        <v>810</v>
      </c>
    </row>
    <row r="2246" spans="1:1">
      <c r="A2246" t="s">
        <v>811</v>
      </c>
    </row>
    <row r="2247" spans="1:1">
      <c r="A2247" t="s">
        <v>151</v>
      </c>
    </row>
    <row r="2248" spans="1:1">
      <c r="A2248" t="s">
        <v>836</v>
      </c>
    </row>
    <row r="2249" spans="1:1">
      <c r="A2249" t="s">
        <v>1523</v>
      </c>
    </row>
    <row r="2250" spans="1:1">
      <c r="A2250" t="s">
        <v>1524</v>
      </c>
    </row>
    <row r="2251" spans="1:1">
      <c r="A2251" t="s">
        <v>1525</v>
      </c>
    </row>
    <row r="2252" spans="1:1">
      <c r="A2252" t="s">
        <v>1526</v>
      </c>
    </row>
    <row r="2253" spans="1:1">
      <c r="A2253" t="s">
        <v>1527</v>
      </c>
    </row>
    <row r="2254" spans="1:1">
      <c r="A2254" t="s">
        <v>842</v>
      </c>
    </row>
    <row r="2255" spans="1:1">
      <c r="A2255" t="s">
        <v>843</v>
      </c>
    </row>
    <row r="2256" spans="1:1">
      <c r="A2256" t="s">
        <v>1528</v>
      </c>
    </row>
    <row r="2257" spans="1:1">
      <c r="A2257" t="s">
        <v>1529</v>
      </c>
    </row>
    <row r="2258" spans="1:1">
      <c r="A2258" t="s">
        <v>1530</v>
      </c>
    </row>
    <row r="2259" spans="1:1">
      <c r="A2259" t="s">
        <v>899</v>
      </c>
    </row>
    <row r="2260" spans="1:1">
      <c r="A2260" t="s">
        <v>1531</v>
      </c>
    </row>
    <row r="2261" spans="1:1">
      <c r="A2261" t="s">
        <v>901</v>
      </c>
    </row>
    <row r="2262" spans="1:1">
      <c r="A2262" t="s">
        <v>902</v>
      </c>
    </row>
    <row r="2263" spans="1:1">
      <c r="A2263" t="s">
        <v>1532</v>
      </c>
    </row>
    <row r="2264" spans="1:1">
      <c r="A2264" t="s">
        <v>1533</v>
      </c>
    </row>
    <row r="2265" spans="1:1">
      <c r="A2265" t="s">
        <v>812</v>
      </c>
    </row>
    <row r="2266" spans="1:1">
      <c r="A2266" t="s">
        <v>810</v>
      </c>
    </row>
    <row r="2267" spans="1:1">
      <c r="A2267" t="s">
        <v>811</v>
      </c>
    </row>
    <row r="2268" spans="1:1">
      <c r="A2268" t="s">
        <v>151</v>
      </c>
    </row>
    <row r="2269" spans="1:1">
      <c r="A2269" t="s">
        <v>836</v>
      </c>
    </row>
    <row r="2270" spans="1:1">
      <c r="A2270" t="s">
        <v>1534</v>
      </c>
    </row>
    <row r="2271" spans="1:1">
      <c r="A2271" t="s">
        <v>838</v>
      </c>
    </row>
    <row r="2272" spans="1:1">
      <c r="A2272" t="s">
        <v>839</v>
      </c>
    </row>
    <row r="2273" spans="1:1">
      <c r="A2273" t="s">
        <v>894</v>
      </c>
    </row>
    <row r="2274" spans="1:1">
      <c r="A2274" t="s">
        <v>895</v>
      </c>
    </row>
    <row r="2275" spans="1:1">
      <c r="A2275" t="s">
        <v>842</v>
      </c>
    </row>
    <row r="2276" spans="1:1">
      <c r="A2276" t="s">
        <v>843</v>
      </c>
    </row>
    <row r="2277" spans="1:1">
      <c r="A2277" t="s">
        <v>896</v>
      </c>
    </row>
    <row r="2278" spans="1:1">
      <c r="A2278" t="s">
        <v>897</v>
      </c>
    </row>
    <row r="2279" spans="1:1">
      <c r="A2279" t="s">
        <v>898</v>
      </c>
    </row>
    <row r="2280" spans="1:1">
      <c r="A2280" t="s">
        <v>899</v>
      </c>
    </row>
    <row r="2281" spans="1:1">
      <c r="A2281" t="s">
        <v>900</v>
      </c>
    </row>
    <row r="2282" spans="1:1">
      <c r="A2282" t="s">
        <v>901</v>
      </c>
    </row>
    <row r="2283" spans="1:1">
      <c r="A2283" t="s">
        <v>902</v>
      </c>
    </row>
    <row r="2284" spans="1:1">
      <c r="A2284" t="s">
        <v>1535</v>
      </c>
    </row>
    <row r="2285" spans="1:1">
      <c r="A2285" t="s">
        <v>4625</v>
      </c>
    </row>
    <row r="2286" spans="1:1">
      <c r="A2286" t="s">
        <v>812</v>
      </c>
    </row>
    <row r="2287" spans="1:1">
      <c r="A2287" t="s">
        <v>810</v>
      </c>
    </row>
    <row r="2288" spans="1:1">
      <c r="A2288" t="s">
        <v>811</v>
      </c>
    </row>
    <row r="2289" spans="1:1">
      <c r="A2289" t="s">
        <v>151</v>
      </c>
    </row>
    <row r="2290" spans="1:1">
      <c r="A2290" t="s">
        <v>836</v>
      </c>
    </row>
    <row r="2291" spans="1:1">
      <c r="A2291" t="s">
        <v>1536</v>
      </c>
    </row>
    <row r="2292" spans="1:1">
      <c r="A2292" t="s">
        <v>838</v>
      </c>
    </row>
    <row r="2293" spans="1:1">
      <c r="A2293" t="s">
        <v>839</v>
      </c>
    </row>
    <row r="2294" spans="1:1">
      <c r="A2294" t="s">
        <v>894</v>
      </c>
    </row>
    <row r="2295" spans="1:1">
      <c r="A2295" t="s">
        <v>895</v>
      </c>
    </row>
    <row r="2296" spans="1:1">
      <c r="A2296" t="s">
        <v>842</v>
      </c>
    </row>
    <row r="2297" spans="1:1">
      <c r="A2297" t="s">
        <v>843</v>
      </c>
    </row>
    <row r="2298" spans="1:1">
      <c r="A2298" t="s">
        <v>896</v>
      </c>
    </row>
    <row r="2299" spans="1:1">
      <c r="A2299" t="s">
        <v>897</v>
      </c>
    </row>
    <row r="2300" spans="1:1">
      <c r="A2300" t="s">
        <v>898</v>
      </c>
    </row>
    <row r="2301" spans="1:1">
      <c r="A2301" t="s">
        <v>899</v>
      </c>
    </row>
    <row r="2302" spans="1:1">
      <c r="A2302" t="s">
        <v>900</v>
      </c>
    </row>
    <row r="2303" spans="1:1">
      <c r="A2303" t="s">
        <v>901</v>
      </c>
    </row>
    <row r="2304" spans="1:1">
      <c r="A2304" t="s">
        <v>902</v>
      </c>
    </row>
    <row r="2305" spans="1:1">
      <c r="A2305" t="s">
        <v>1002</v>
      </c>
    </row>
    <row r="2306" spans="1:1">
      <c r="A2306" t="s">
        <v>1537</v>
      </c>
    </row>
    <row r="2307" spans="1:1">
      <c r="A2307" t="s">
        <v>812</v>
      </c>
    </row>
    <row r="2308" spans="1:1">
      <c r="A2308" t="s">
        <v>810</v>
      </c>
    </row>
    <row r="2309" spans="1:1">
      <c r="A2309" t="s">
        <v>811</v>
      </c>
    </row>
    <row r="2310" spans="1:1">
      <c r="A2310" t="s">
        <v>151</v>
      </c>
    </row>
    <row r="2311" spans="1:1">
      <c r="A2311" t="s">
        <v>836</v>
      </c>
    </row>
    <row r="2312" spans="1:1">
      <c r="A2312" t="s">
        <v>1538</v>
      </c>
    </row>
    <row r="2313" spans="1:1">
      <c r="A2313" t="s">
        <v>838</v>
      </c>
    </row>
    <row r="2314" spans="1:1">
      <c r="A2314" t="s">
        <v>839</v>
      </c>
    </row>
    <row r="2315" spans="1:1">
      <c r="A2315" t="s">
        <v>1539</v>
      </c>
    </row>
    <row r="2316" spans="1:1">
      <c r="A2316" t="s">
        <v>1540</v>
      </c>
    </row>
    <row r="2317" spans="1:1">
      <c r="A2317" t="s">
        <v>842</v>
      </c>
    </row>
    <row r="2318" spans="1:1">
      <c r="A2318" t="s">
        <v>843</v>
      </c>
    </row>
    <row r="2319" spans="1:1">
      <c r="A2319" t="s">
        <v>1541</v>
      </c>
    </row>
    <row r="2320" spans="1:1">
      <c r="A2320" t="s">
        <v>897</v>
      </c>
    </row>
    <row r="2321" spans="1:1">
      <c r="A2321" t="s">
        <v>1542</v>
      </c>
    </row>
    <row r="2322" spans="1:1">
      <c r="A2322" t="s">
        <v>899</v>
      </c>
    </row>
    <row r="2323" spans="1:1">
      <c r="A2323" t="s">
        <v>1543</v>
      </c>
    </row>
    <row r="2324" spans="1:1">
      <c r="A2324" t="s">
        <v>918</v>
      </c>
    </row>
    <row r="2325" spans="1:1">
      <c r="A2325" t="s">
        <v>1544</v>
      </c>
    </row>
    <row r="2326" spans="1:1">
      <c r="A2326" t="s">
        <v>1002</v>
      </c>
    </row>
    <row r="2327" spans="1:1">
      <c r="A2327" t="s">
        <v>4626</v>
      </c>
    </row>
    <row r="2328" spans="1:1">
      <c r="A2328" t="s">
        <v>812</v>
      </c>
    </row>
    <row r="2329" spans="1:1">
      <c r="A2329" t="s">
        <v>810</v>
      </c>
    </row>
    <row r="2330" spans="1:1">
      <c r="A2330" t="s">
        <v>811</v>
      </c>
    </row>
    <row r="2331" spans="1:1">
      <c r="A2331" t="s">
        <v>151</v>
      </c>
    </row>
    <row r="2332" spans="1:1">
      <c r="A2332" t="s">
        <v>836</v>
      </c>
    </row>
    <row r="2333" spans="1:1">
      <c r="A2333" t="s">
        <v>1545</v>
      </c>
    </row>
    <row r="2334" spans="1:1">
      <c r="A2334" t="s">
        <v>838</v>
      </c>
    </row>
    <row r="2335" spans="1:1">
      <c r="A2335" t="s">
        <v>839</v>
      </c>
    </row>
    <row r="2336" spans="1:1">
      <c r="A2336" t="s">
        <v>1546</v>
      </c>
    </row>
    <row r="2337" spans="1:1">
      <c r="A2337" t="s">
        <v>1547</v>
      </c>
    </row>
    <row r="2338" spans="1:1">
      <c r="A2338" t="s">
        <v>1548</v>
      </c>
    </row>
    <row r="2339" spans="1:1">
      <c r="A2339" t="s">
        <v>1066</v>
      </c>
    </row>
    <row r="2340" spans="1:1">
      <c r="A2340" t="s">
        <v>1266</v>
      </c>
    </row>
    <row r="2341" spans="1:1">
      <c r="A2341" t="s">
        <v>897</v>
      </c>
    </row>
    <row r="2342" spans="1:1">
      <c r="A2342" t="s">
        <v>1549</v>
      </c>
    </row>
    <row r="2343" spans="1:1">
      <c r="A2343" t="s">
        <v>1550</v>
      </c>
    </row>
    <row r="2344" spans="1:1">
      <c r="A2344" t="s">
        <v>1269</v>
      </c>
    </row>
    <row r="2345" spans="1:1">
      <c r="A2345" t="s">
        <v>918</v>
      </c>
    </row>
    <row r="2346" spans="1:1">
      <c r="A2346" t="s">
        <v>1551</v>
      </c>
    </row>
    <row r="2347" spans="1:1">
      <c r="A2347" t="s">
        <v>1552</v>
      </c>
    </row>
    <row r="2348" spans="1:1">
      <c r="A2348" t="s">
        <v>4627</v>
      </c>
    </row>
    <row r="2349" spans="1:1">
      <c r="A2349" t="s">
        <v>812</v>
      </c>
    </row>
    <row r="2350" spans="1:1">
      <c r="A2350" t="s">
        <v>810</v>
      </c>
    </row>
    <row r="2351" spans="1:1">
      <c r="A2351" t="s">
        <v>811</v>
      </c>
    </row>
    <row r="2352" spans="1:1">
      <c r="A2352" t="s">
        <v>151</v>
      </c>
    </row>
    <row r="2353" spans="1:1">
      <c r="A2353" t="s">
        <v>836</v>
      </c>
    </row>
    <row r="2354" spans="1:1">
      <c r="A2354" t="s">
        <v>1553</v>
      </c>
    </row>
    <row r="2355" spans="1:1">
      <c r="A2355" t="s">
        <v>838</v>
      </c>
    </row>
    <row r="2356" spans="1:1">
      <c r="A2356" t="s">
        <v>839</v>
      </c>
    </row>
    <row r="2357" spans="1:1">
      <c r="A2357" t="s">
        <v>1554</v>
      </c>
    </row>
    <row r="2358" spans="1:1">
      <c r="A2358" t="s">
        <v>1555</v>
      </c>
    </row>
    <row r="2359" spans="1:1">
      <c r="A2359" t="s">
        <v>842</v>
      </c>
    </row>
    <row r="2360" spans="1:1">
      <c r="A2360" t="s">
        <v>843</v>
      </c>
    </row>
    <row r="2361" spans="1:1">
      <c r="A2361" t="s">
        <v>913</v>
      </c>
    </row>
    <row r="2362" spans="1:1">
      <c r="A2362" t="s">
        <v>897</v>
      </c>
    </row>
    <row r="2363" spans="1:1">
      <c r="A2363" t="s">
        <v>1556</v>
      </c>
    </row>
    <row r="2364" spans="1:1">
      <c r="A2364" t="s">
        <v>899</v>
      </c>
    </row>
    <row r="2365" spans="1:1">
      <c r="A2365" t="s">
        <v>917</v>
      </c>
    </row>
    <row r="2366" spans="1:1">
      <c r="A2366" t="s">
        <v>877</v>
      </c>
    </row>
    <row r="2367" spans="1:1">
      <c r="A2367" t="s">
        <v>878</v>
      </c>
    </row>
    <row r="2368" spans="1:1">
      <c r="A2368" t="s">
        <v>1002</v>
      </c>
    </row>
    <row r="2369" spans="1:1">
      <c r="A2369" t="s">
        <v>4628</v>
      </c>
    </row>
    <row r="2370" spans="1:1">
      <c r="A2370" t="s">
        <v>812</v>
      </c>
    </row>
    <row r="2371" spans="1:1">
      <c r="A2371" t="s">
        <v>810</v>
      </c>
    </row>
    <row r="2372" spans="1:1">
      <c r="A2372" t="s">
        <v>811</v>
      </c>
    </row>
    <row r="2373" spans="1:1">
      <c r="A2373" t="s">
        <v>151</v>
      </c>
    </row>
    <row r="2374" spans="1:1">
      <c r="A2374" t="s">
        <v>836</v>
      </c>
    </row>
    <row r="2375" spans="1:1">
      <c r="A2375" t="s">
        <v>1557</v>
      </c>
    </row>
    <row r="2376" spans="1:1">
      <c r="A2376" t="s">
        <v>838</v>
      </c>
    </row>
    <row r="2377" spans="1:1">
      <c r="A2377" t="s">
        <v>839</v>
      </c>
    </row>
    <row r="2378" spans="1:1">
      <c r="A2378" t="s">
        <v>1558</v>
      </c>
    </row>
    <row r="2379" spans="1:1">
      <c r="A2379" t="s">
        <v>1559</v>
      </c>
    </row>
    <row r="2380" spans="1:1">
      <c r="A2380" t="s">
        <v>1560</v>
      </c>
    </row>
    <row r="2381" spans="1:1">
      <c r="A2381" t="s">
        <v>1561</v>
      </c>
    </row>
    <row r="2382" spans="1:1">
      <c r="A2382" t="s">
        <v>1562</v>
      </c>
    </row>
    <row r="2383" spans="1:1">
      <c r="A2383" t="s">
        <v>897</v>
      </c>
    </row>
    <row r="2384" spans="1:1">
      <c r="A2384" t="s">
        <v>1563</v>
      </c>
    </row>
    <row r="2385" spans="1:1">
      <c r="A2385" t="s">
        <v>1564</v>
      </c>
    </row>
    <row r="2386" spans="1:1">
      <c r="A2386" t="s">
        <v>1565</v>
      </c>
    </row>
    <row r="2387" spans="1:1">
      <c r="A2387" t="s">
        <v>901</v>
      </c>
    </row>
    <row r="2388" spans="1:1">
      <c r="A2388" t="s">
        <v>902</v>
      </c>
    </row>
    <row r="2389" spans="1:1">
      <c r="A2389" t="s">
        <v>1002</v>
      </c>
    </row>
    <row r="2390" spans="1:1">
      <c r="A2390" t="s">
        <v>4629</v>
      </c>
    </row>
    <row r="2391" spans="1:1">
      <c r="A2391" t="s">
        <v>4630</v>
      </c>
    </row>
    <row r="2392" spans="1:1">
      <c r="A2392" t="s">
        <v>810</v>
      </c>
    </row>
    <row r="2393" spans="1:1">
      <c r="A2393" t="s">
        <v>811</v>
      </c>
    </row>
    <row r="2394" spans="1:1">
      <c r="A2394" t="s">
        <v>151</v>
      </c>
    </row>
    <row r="2395" spans="1:1">
      <c r="A2395" t="s">
        <v>836</v>
      </c>
    </row>
    <row r="2396" spans="1:1">
      <c r="A2396" t="s">
        <v>1557</v>
      </c>
    </row>
    <row r="2397" spans="1:1">
      <c r="A2397" t="s">
        <v>838</v>
      </c>
    </row>
    <row r="2398" spans="1:1">
      <c r="A2398" t="s">
        <v>839</v>
      </c>
    </row>
    <row r="2399" spans="1:1">
      <c r="A2399" t="s">
        <v>1558</v>
      </c>
    </row>
    <row r="2400" spans="1:1">
      <c r="A2400" t="s">
        <v>1559</v>
      </c>
    </row>
    <row r="2401" spans="1:1">
      <c r="A2401" t="s">
        <v>1560</v>
      </c>
    </row>
    <row r="2402" spans="1:1">
      <c r="A2402" t="s">
        <v>1561</v>
      </c>
    </row>
    <row r="2403" spans="1:1">
      <c r="A2403" t="s">
        <v>1562</v>
      </c>
    </row>
    <row r="2404" spans="1:1">
      <c r="A2404" t="s">
        <v>897</v>
      </c>
    </row>
    <row r="2405" spans="1:1">
      <c r="A2405" t="s">
        <v>1563</v>
      </c>
    </row>
    <row r="2406" spans="1:1">
      <c r="A2406" t="s">
        <v>1564</v>
      </c>
    </row>
    <row r="2407" spans="1:1">
      <c r="A2407" t="s">
        <v>1565</v>
      </c>
    </row>
    <row r="2408" spans="1:1">
      <c r="A2408" t="s">
        <v>901</v>
      </c>
    </row>
    <row r="2409" spans="1:1">
      <c r="A2409" t="s">
        <v>902</v>
      </c>
    </row>
    <row r="2410" spans="1:1">
      <c r="A2410" t="s">
        <v>1566</v>
      </c>
    </row>
    <row r="2411" spans="1:1">
      <c r="A2411" t="s">
        <v>4629</v>
      </c>
    </row>
    <row r="2412" spans="1:1">
      <c r="A2412" t="s">
        <v>4631</v>
      </c>
    </row>
    <row r="2413" spans="1:1">
      <c r="A2413" t="s">
        <v>810</v>
      </c>
    </row>
    <row r="2414" spans="1:1">
      <c r="A2414" t="s">
        <v>811</v>
      </c>
    </row>
    <row r="2415" spans="1:1">
      <c r="A2415" t="s">
        <v>151</v>
      </c>
    </row>
    <row r="2416" spans="1:1">
      <c r="A2416" t="s">
        <v>836</v>
      </c>
    </row>
    <row r="2417" spans="1:1">
      <c r="A2417" t="s">
        <v>1567</v>
      </c>
    </row>
    <row r="2418" spans="1:1">
      <c r="A2418" t="s">
        <v>838</v>
      </c>
    </row>
    <row r="2419" spans="1:1">
      <c r="A2419" t="s">
        <v>839</v>
      </c>
    </row>
    <row r="2420" spans="1:1">
      <c r="A2420" t="s">
        <v>1568</v>
      </c>
    </row>
    <row r="2421" spans="1:1">
      <c r="A2421" t="s">
        <v>1569</v>
      </c>
    </row>
    <row r="2422" spans="1:1">
      <c r="A2422" t="s">
        <v>842</v>
      </c>
    </row>
    <row r="2423" spans="1:1">
      <c r="A2423" t="s">
        <v>843</v>
      </c>
    </row>
    <row r="2424" spans="1:1">
      <c r="A2424" t="s">
        <v>1570</v>
      </c>
    </row>
    <row r="2425" spans="1:1">
      <c r="A2425" t="s">
        <v>897</v>
      </c>
    </row>
    <row r="2426" spans="1:1">
      <c r="A2426" t="s">
        <v>1571</v>
      </c>
    </row>
    <row r="2427" spans="1:1">
      <c r="A2427" t="s">
        <v>899</v>
      </c>
    </row>
    <row r="2428" spans="1:1">
      <c r="A2428" t="s">
        <v>1572</v>
      </c>
    </row>
    <row r="2429" spans="1:1">
      <c r="A2429" t="s">
        <v>901</v>
      </c>
    </row>
    <row r="2430" spans="1:1">
      <c r="A2430" t="s">
        <v>902</v>
      </c>
    </row>
    <row r="2431" spans="1:1">
      <c r="A2431" t="s">
        <v>1002</v>
      </c>
    </row>
    <row r="2432" spans="1:1">
      <c r="A2432" t="s">
        <v>4632</v>
      </c>
    </row>
    <row r="2433" spans="1:1">
      <c r="A2433" t="s">
        <v>812</v>
      </c>
    </row>
    <row r="2434" spans="1:1">
      <c r="A2434" t="s">
        <v>810</v>
      </c>
    </row>
    <row r="2435" spans="1:1">
      <c r="A2435" t="s">
        <v>811</v>
      </c>
    </row>
    <row r="2436" spans="1:1">
      <c r="A2436" t="s">
        <v>151</v>
      </c>
    </row>
    <row r="2437" spans="1:1">
      <c r="A2437" t="s">
        <v>836</v>
      </c>
    </row>
    <row r="2438" spans="1:1">
      <c r="A2438" t="s">
        <v>1573</v>
      </c>
    </row>
    <row r="2439" spans="1:1">
      <c r="A2439" t="s">
        <v>838</v>
      </c>
    </row>
    <row r="2440" spans="1:1">
      <c r="A2440" t="s">
        <v>839</v>
      </c>
    </row>
    <row r="2441" spans="1:1">
      <c r="A2441" t="s">
        <v>1574</v>
      </c>
    </row>
    <row r="2442" spans="1:1">
      <c r="A2442" t="s">
        <v>1575</v>
      </c>
    </row>
    <row r="2443" spans="1:1">
      <c r="A2443" t="s">
        <v>1576</v>
      </c>
    </row>
    <row r="2444" spans="1:1">
      <c r="A2444" t="s">
        <v>1577</v>
      </c>
    </row>
    <row r="2445" spans="1:1">
      <c r="A2445" t="s">
        <v>1578</v>
      </c>
    </row>
    <row r="2446" spans="1:1">
      <c r="A2446" t="s">
        <v>1579</v>
      </c>
    </row>
    <row r="2447" spans="1:1">
      <c r="A2447" t="s">
        <v>1580</v>
      </c>
    </row>
    <row r="2448" spans="1:1">
      <c r="A2448" t="s">
        <v>1581</v>
      </c>
    </row>
    <row r="2449" spans="1:1">
      <c r="A2449" t="s">
        <v>1582</v>
      </c>
    </row>
    <row r="2450" spans="1:1">
      <c r="A2450" t="s">
        <v>937</v>
      </c>
    </row>
    <row r="2451" spans="1:1">
      <c r="A2451" t="s">
        <v>1259</v>
      </c>
    </row>
    <row r="2452" spans="1:1">
      <c r="A2452" t="s">
        <v>1583</v>
      </c>
    </row>
    <row r="2453" spans="1:1">
      <c r="A2453" t="s">
        <v>4633</v>
      </c>
    </row>
    <row r="2454" spans="1:1">
      <c r="A2454" t="s">
        <v>812</v>
      </c>
    </row>
    <row r="2455" spans="1:1">
      <c r="A2455" t="s">
        <v>810</v>
      </c>
    </row>
    <row r="2456" spans="1:1">
      <c r="A2456" t="s">
        <v>811</v>
      </c>
    </row>
    <row r="2457" spans="1:1">
      <c r="A2457" t="s">
        <v>151</v>
      </c>
    </row>
    <row r="2458" spans="1:1">
      <c r="A2458" t="s">
        <v>836</v>
      </c>
    </row>
    <row r="2459" spans="1:1">
      <c r="A2459" t="s">
        <v>1584</v>
      </c>
    </row>
    <row r="2460" spans="1:1">
      <c r="A2460" t="s">
        <v>838</v>
      </c>
    </row>
    <row r="2461" spans="1:1">
      <c r="A2461" t="s">
        <v>839</v>
      </c>
    </row>
    <row r="2462" spans="1:1">
      <c r="A2462" t="s">
        <v>1585</v>
      </c>
    </row>
    <row r="2463" spans="1:1">
      <c r="A2463" t="s">
        <v>1586</v>
      </c>
    </row>
    <row r="2464" spans="1:1">
      <c r="A2464" t="s">
        <v>1587</v>
      </c>
    </row>
    <row r="2465" spans="1:1">
      <c r="A2465" t="s">
        <v>1588</v>
      </c>
    </row>
    <row r="2466" spans="1:1">
      <c r="A2466" t="s">
        <v>1589</v>
      </c>
    </row>
    <row r="2467" spans="1:1">
      <c r="A2467" t="s">
        <v>897</v>
      </c>
    </row>
    <row r="2468" spans="1:1">
      <c r="A2468" t="s">
        <v>1590</v>
      </c>
    </row>
    <row r="2469" spans="1:1">
      <c r="A2469" t="s">
        <v>1591</v>
      </c>
    </row>
    <row r="2470" spans="1:1">
      <c r="A2470" t="s">
        <v>1592</v>
      </c>
    </row>
    <row r="2471" spans="1:1">
      <c r="A2471" t="s">
        <v>901</v>
      </c>
    </row>
    <row r="2472" spans="1:1">
      <c r="A2472" t="s">
        <v>902</v>
      </c>
    </row>
    <row r="2473" spans="1:1">
      <c r="A2473" t="s">
        <v>1535</v>
      </c>
    </row>
    <row r="2474" spans="1:1">
      <c r="A2474" t="s">
        <v>1593</v>
      </c>
    </row>
    <row r="2475" spans="1:1">
      <c r="A2475" t="s">
        <v>812</v>
      </c>
    </row>
    <row r="2476" spans="1:1">
      <c r="A2476" t="s">
        <v>810</v>
      </c>
    </row>
    <row r="2477" spans="1:1">
      <c r="A2477" t="s">
        <v>811</v>
      </c>
    </row>
    <row r="2478" spans="1:1">
      <c r="A2478" t="s">
        <v>151</v>
      </c>
    </row>
    <row r="2479" spans="1:1">
      <c r="A2479" t="s">
        <v>836</v>
      </c>
    </row>
    <row r="2480" spans="1:1">
      <c r="A2480" t="s">
        <v>1594</v>
      </c>
    </row>
    <row r="2481" spans="1:1">
      <c r="A2481" t="s">
        <v>1595</v>
      </c>
    </row>
    <row r="2482" spans="1:1">
      <c r="A2482" t="s">
        <v>1596</v>
      </c>
    </row>
    <row r="2483" spans="1:1">
      <c r="A2483" t="s">
        <v>894</v>
      </c>
    </row>
    <row r="2484" spans="1:1">
      <c r="A2484" t="s">
        <v>895</v>
      </c>
    </row>
    <row r="2485" spans="1:1">
      <c r="A2485" t="s">
        <v>842</v>
      </c>
    </row>
    <row r="2486" spans="1:1">
      <c r="A2486" t="s">
        <v>843</v>
      </c>
    </row>
    <row r="2487" spans="1:1">
      <c r="A2487" t="s">
        <v>1597</v>
      </c>
    </row>
    <row r="2488" spans="1:1">
      <c r="A2488" t="s">
        <v>1598</v>
      </c>
    </row>
    <row r="2489" spans="1:1">
      <c r="A2489" t="s">
        <v>1599</v>
      </c>
    </row>
    <row r="2490" spans="1:1">
      <c r="A2490" t="s">
        <v>1600</v>
      </c>
    </row>
    <row r="2491" spans="1:1">
      <c r="A2491" t="s">
        <v>1601</v>
      </c>
    </row>
    <row r="2492" spans="1:1">
      <c r="A2492" t="s">
        <v>1602</v>
      </c>
    </row>
    <row r="2493" spans="1:1">
      <c r="A2493" t="s">
        <v>989</v>
      </c>
    </row>
    <row r="2494" spans="1:1">
      <c r="A2494" t="s">
        <v>1603</v>
      </c>
    </row>
    <row r="2495" spans="1:1">
      <c r="A2495" t="s">
        <v>4634</v>
      </c>
    </row>
    <row r="2496" spans="1:1">
      <c r="A2496" t="s">
        <v>4635</v>
      </c>
    </row>
    <row r="2497" spans="1:1">
      <c r="A2497" t="s">
        <v>810</v>
      </c>
    </row>
    <row r="2498" spans="1:1">
      <c r="A2498" t="s">
        <v>811</v>
      </c>
    </row>
    <row r="2499" spans="1:1">
      <c r="A2499" t="s">
        <v>151</v>
      </c>
    </row>
    <row r="2500" spans="1:1">
      <c r="A2500" t="s">
        <v>836</v>
      </c>
    </row>
    <row r="2501" spans="1:1">
      <c r="A2501" t="s">
        <v>1594</v>
      </c>
    </row>
    <row r="2502" spans="1:1">
      <c r="A2502" t="s">
        <v>1595</v>
      </c>
    </row>
    <row r="2503" spans="1:1">
      <c r="A2503" t="s">
        <v>1596</v>
      </c>
    </row>
    <row r="2504" spans="1:1">
      <c r="A2504" t="s">
        <v>894</v>
      </c>
    </row>
    <row r="2505" spans="1:1">
      <c r="A2505" t="s">
        <v>895</v>
      </c>
    </row>
    <row r="2506" spans="1:1">
      <c r="A2506" t="s">
        <v>842</v>
      </c>
    </row>
    <row r="2507" spans="1:1">
      <c r="A2507" t="s">
        <v>843</v>
      </c>
    </row>
    <row r="2508" spans="1:1">
      <c r="A2508" t="s">
        <v>1597</v>
      </c>
    </row>
    <row r="2509" spans="1:1">
      <c r="A2509" t="s">
        <v>1598</v>
      </c>
    </row>
    <row r="2510" spans="1:1">
      <c r="A2510" t="s">
        <v>1599</v>
      </c>
    </row>
    <row r="2511" spans="1:1">
      <c r="A2511" t="s">
        <v>1600</v>
      </c>
    </row>
    <row r="2512" spans="1:1">
      <c r="A2512" t="s">
        <v>1601</v>
      </c>
    </row>
    <row r="2513" spans="1:1">
      <c r="A2513" t="s">
        <v>1602</v>
      </c>
    </row>
    <row r="2514" spans="1:1">
      <c r="A2514" t="s">
        <v>989</v>
      </c>
    </row>
    <row r="2515" spans="1:1">
      <c r="A2515" t="s">
        <v>1002</v>
      </c>
    </row>
    <row r="2516" spans="1:1">
      <c r="A2516" t="s">
        <v>4634</v>
      </c>
    </row>
    <row r="2517" spans="1:1">
      <c r="A2517" t="s">
        <v>4694</v>
      </c>
    </row>
    <row r="2518" spans="1:1">
      <c r="A2518" t="s">
        <v>810</v>
      </c>
    </row>
    <row r="2519" spans="1:1">
      <c r="A2519" t="s">
        <v>811</v>
      </c>
    </row>
    <row r="2520" spans="1:1">
      <c r="A2520" t="s">
        <v>151</v>
      </c>
    </row>
    <row r="2521" spans="1:1">
      <c r="A2521" t="s">
        <v>836</v>
      </c>
    </row>
    <row r="2522" spans="1:1">
      <c r="A2522" t="s">
        <v>1604</v>
      </c>
    </row>
    <row r="2523" spans="1:1">
      <c r="A2523" t="s">
        <v>838</v>
      </c>
    </row>
    <row r="2524" spans="1:1">
      <c r="A2524" t="s">
        <v>839</v>
      </c>
    </row>
    <row r="2525" spans="1:1">
      <c r="A2525" t="s">
        <v>894</v>
      </c>
    </row>
    <row r="2526" spans="1:1">
      <c r="A2526" t="s">
        <v>895</v>
      </c>
    </row>
    <row r="2527" spans="1:1">
      <c r="A2527" t="s">
        <v>842</v>
      </c>
    </row>
    <row r="2528" spans="1:1">
      <c r="A2528" t="s">
        <v>843</v>
      </c>
    </row>
    <row r="2529" spans="1:1">
      <c r="A2529" t="s">
        <v>896</v>
      </c>
    </row>
    <row r="2530" spans="1:1">
      <c r="A2530" t="s">
        <v>897</v>
      </c>
    </row>
    <row r="2531" spans="1:1">
      <c r="A2531" t="s">
        <v>898</v>
      </c>
    </row>
    <row r="2532" spans="1:1">
      <c r="A2532" t="s">
        <v>899</v>
      </c>
    </row>
    <row r="2533" spans="1:1">
      <c r="A2533" t="s">
        <v>900</v>
      </c>
    </row>
    <row r="2534" spans="1:1">
      <c r="A2534" t="s">
        <v>901</v>
      </c>
    </row>
    <row r="2535" spans="1:1">
      <c r="A2535" t="s">
        <v>902</v>
      </c>
    </row>
    <row r="2536" spans="1:1">
      <c r="A2536" t="s">
        <v>1002</v>
      </c>
    </row>
    <row r="2537" spans="1:1">
      <c r="A2537" t="s">
        <v>4636</v>
      </c>
    </row>
    <row r="2538" spans="1:1">
      <c r="A2538" t="s">
        <v>812</v>
      </c>
    </row>
    <row r="2539" spans="1:1">
      <c r="A2539" t="s">
        <v>810</v>
      </c>
    </row>
    <row r="2540" spans="1:1">
      <c r="A2540" t="s">
        <v>811</v>
      </c>
    </row>
    <row r="2541" spans="1:1">
      <c r="A2541" t="s">
        <v>151</v>
      </c>
    </row>
    <row r="2542" spans="1:1">
      <c r="A2542" t="s">
        <v>836</v>
      </c>
    </row>
    <row r="2543" spans="1:1">
      <c r="A2543" t="s">
        <v>1605</v>
      </c>
    </row>
    <row r="2544" spans="1:1">
      <c r="A2544" t="s">
        <v>1606</v>
      </c>
    </row>
    <row r="2545" spans="1:1">
      <c r="A2545" t="s">
        <v>1607</v>
      </c>
    </row>
    <row r="2546" spans="1:1">
      <c r="A2546" t="s">
        <v>894</v>
      </c>
    </row>
    <row r="2547" spans="1:1">
      <c r="A2547" t="s">
        <v>895</v>
      </c>
    </row>
    <row r="2548" spans="1:1">
      <c r="A2548" t="s">
        <v>842</v>
      </c>
    </row>
    <row r="2549" spans="1:1">
      <c r="A2549" t="s">
        <v>843</v>
      </c>
    </row>
    <row r="2550" spans="1:1">
      <c r="A2550" t="s">
        <v>1512</v>
      </c>
    </row>
    <row r="2551" spans="1:1">
      <c r="A2551" t="s">
        <v>1608</v>
      </c>
    </row>
    <row r="2552" spans="1:1">
      <c r="A2552" t="s">
        <v>1609</v>
      </c>
    </row>
    <row r="2553" spans="1:1">
      <c r="A2553" t="s">
        <v>1610</v>
      </c>
    </row>
    <row r="2554" spans="1:1">
      <c r="A2554" t="s">
        <v>1514</v>
      </c>
    </row>
    <row r="2555" spans="1:1">
      <c r="A2555" t="s">
        <v>918</v>
      </c>
    </row>
    <row r="2556" spans="1:1">
      <c r="A2556" t="s">
        <v>1521</v>
      </c>
    </row>
    <row r="2557" spans="1:1">
      <c r="A2557" t="s">
        <v>1002</v>
      </c>
    </row>
    <row r="2558" spans="1:1">
      <c r="A2558" t="s">
        <v>4637</v>
      </c>
    </row>
    <row r="2559" spans="1:1">
      <c r="A2559" t="s">
        <v>812</v>
      </c>
    </row>
    <row r="2560" spans="1:1">
      <c r="A2560" t="s">
        <v>810</v>
      </c>
    </row>
    <row r="2561" spans="1:1">
      <c r="A2561" t="s">
        <v>811</v>
      </c>
    </row>
    <row r="2562" spans="1:1">
      <c r="A2562" t="s">
        <v>151</v>
      </c>
    </row>
    <row r="2563" spans="1:1">
      <c r="A2563" t="s">
        <v>836</v>
      </c>
    </row>
    <row r="2564" spans="1:1">
      <c r="A2564" t="s">
        <v>1611</v>
      </c>
    </row>
    <row r="2565" spans="1:1">
      <c r="A2565" t="s">
        <v>1612</v>
      </c>
    </row>
    <row r="2566" spans="1:1">
      <c r="A2566" t="s">
        <v>1613</v>
      </c>
    </row>
    <row r="2567" spans="1:1">
      <c r="A2567" t="s">
        <v>894</v>
      </c>
    </row>
    <row r="2568" spans="1:1">
      <c r="A2568" t="s">
        <v>895</v>
      </c>
    </row>
    <row r="2569" spans="1:1">
      <c r="A2569" t="s">
        <v>842</v>
      </c>
    </row>
    <row r="2570" spans="1:1">
      <c r="A2570" t="s">
        <v>843</v>
      </c>
    </row>
    <row r="2571" spans="1:1">
      <c r="A2571" t="s">
        <v>1614</v>
      </c>
    </row>
    <row r="2572" spans="1:1">
      <c r="A2572" t="s">
        <v>1615</v>
      </c>
    </row>
    <row r="2573" spans="1:1">
      <c r="A2573" t="s">
        <v>1616</v>
      </c>
    </row>
    <row r="2574" spans="1:1">
      <c r="A2574" t="s">
        <v>1431</v>
      </c>
    </row>
    <row r="2575" spans="1:1">
      <c r="A2575" t="s">
        <v>1617</v>
      </c>
    </row>
    <row r="2576" spans="1:1">
      <c r="A2576" t="s">
        <v>1258</v>
      </c>
    </row>
    <row r="2577" spans="1:1">
      <c r="A2577" t="s">
        <v>1072</v>
      </c>
    </row>
    <row r="2578" spans="1:1">
      <c r="A2578" t="s">
        <v>1002</v>
      </c>
    </row>
    <row r="2579" spans="1:1">
      <c r="A2579" t="s">
        <v>4638</v>
      </c>
    </row>
    <row r="2580" spans="1:1">
      <c r="A2580" t="s">
        <v>812</v>
      </c>
    </row>
    <row r="2581" spans="1:1">
      <c r="A2581" t="s">
        <v>810</v>
      </c>
    </row>
    <row r="2582" spans="1:1">
      <c r="A2582" t="s">
        <v>811</v>
      </c>
    </row>
    <row r="2583" spans="1:1">
      <c r="A2583" t="s">
        <v>151</v>
      </c>
    </row>
    <row r="2584" spans="1:1">
      <c r="A2584" t="s">
        <v>836</v>
      </c>
    </row>
    <row r="2585" spans="1:1">
      <c r="A2585" t="s">
        <v>1618</v>
      </c>
    </row>
    <row r="2586" spans="1:1">
      <c r="A2586" t="s">
        <v>1619</v>
      </c>
    </row>
    <row r="2587" spans="1:1">
      <c r="A2587" t="s">
        <v>1620</v>
      </c>
    </row>
    <row r="2588" spans="1:1">
      <c r="A2588" t="s">
        <v>894</v>
      </c>
    </row>
    <row r="2589" spans="1:1">
      <c r="A2589" t="s">
        <v>895</v>
      </c>
    </row>
    <row r="2590" spans="1:1">
      <c r="A2590" t="s">
        <v>842</v>
      </c>
    </row>
    <row r="2591" spans="1:1">
      <c r="A2591" t="s">
        <v>843</v>
      </c>
    </row>
    <row r="2592" spans="1:1">
      <c r="A2592" t="s">
        <v>1621</v>
      </c>
    </row>
    <row r="2593" spans="1:1">
      <c r="A2593" t="s">
        <v>1622</v>
      </c>
    </row>
    <row r="2594" spans="1:1">
      <c r="A2594" t="s">
        <v>1623</v>
      </c>
    </row>
    <row r="2595" spans="1:1">
      <c r="A2595" t="s">
        <v>1624</v>
      </c>
    </row>
    <row r="2596" spans="1:1">
      <c r="A2596" t="s">
        <v>1625</v>
      </c>
    </row>
    <row r="2597" spans="1:1">
      <c r="A2597" t="s">
        <v>1025</v>
      </c>
    </row>
    <row r="2598" spans="1:1">
      <c r="A2598" t="s">
        <v>1072</v>
      </c>
    </row>
    <row r="2599" spans="1:1">
      <c r="A2599" t="s">
        <v>1626</v>
      </c>
    </row>
    <row r="2600" spans="1:1">
      <c r="A2600" t="s">
        <v>4639</v>
      </c>
    </row>
    <row r="2601" spans="1:1">
      <c r="A2601" t="s">
        <v>812</v>
      </c>
    </row>
    <row r="2602" spans="1:1">
      <c r="A2602" t="s">
        <v>810</v>
      </c>
    </row>
    <row r="2603" spans="1:1">
      <c r="A2603" t="s">
        <v>811</v>
      </c>
    </row>
    <row r="2604" spans="1:1">
      <c r="A2604" t="s">
        <v>151</v>
      </c>
    </row>
    <row r="2605" spans="1:1">
      <c r="A2605" t="s">
        <v>836</v>
      </c>
    </row>
    <row r="2606" spans="1:1">
      <c r="A2606" t="s">
        <v>1627</v>
      </c>
    </row>
    <row r="2607" spans="1:1">
      <c r="A2607" t="s">
        <v>838</v>
      </c>
    </row>
    <row r="2608" spans="1:1">
      <c r="A2608" t="s">
        <v>839</v>
      </c>
    </row>
    <row r="2609" spans="1:1">
      <c r="A2609" t="s">
        <v>894</v>
      </c>
    </row>
    <row r="2610" spans="1:1">
      <c r="A2610" t="s">
        <v>895</v>
      </c>
    </row>
    <row r="2611" spans="1:1">
      <c r="A2611" t="s">
        <v>842</v>
      </c>
    </row>
    <row r="2612" spans="1:1">
      <c r="A2612" t="s">
        <v>843</v>
      </c>
    </row>
    <row r="2613" spans="1:1">
      <c r="A2613" t="s">
        <v>896</v>
      </c>
    </row>
    <row r="2614" spans="1:1">
      <c r="A2614" t="s">
        <v>897</v>
      </c>
    </row>
    <row r="2615" spans="1:1">
      <c r="A2615" t="s">
        <v>898</v>
      </c>
    </row>
    <row r="2616" spans="1:1">
      <c r="A2616" t="s">
        <v>899</v>
      </c>
    </row>
    <row r="2617" spans="1:1">
      <c r="A2617" t="s">
        <v>900</v>
      </c>
    </row>
    <row r="2618" spans="1:1">
      <c r="A2618" t="s">
        <v>918</v>
      </c>
    </row>
    <row r="2619" spans="1:1">
      <c r="A2619" t="s">
        <v>1628</v>
      </c>
    </row>
    <row r="2620" spans="1:1">
      <c r="A2620" t="s">
        <v>1002</v>
      </c>
    </row>
    <row r="2621" spans="1:1">
      <c r="A2621" t="s">
        <v>4640</v>
      </c>
    </row>
    <row r="2622" spans="1:1">
      <c r="A2622" t="s">
        <v>812</v>
      </c>
    </row>
    <row r="2623" spans="1:1">
      <c r="A2623" t="s">
        <v>810</v>
      </c>
    </row>
    <row r="2624" spans="1:1">
      <c r="A2624" t="s">
        <v>811</v>
      </c>
    </row>
    <row r="2625" spans="1:1">
      <c r="A2625" t="s">
        <v>151</v>
      </c>
    </row>
    <row r="2626" spans="1:1">
      <c r="A2626" t="s">
        <v>836</v>
      </c>
    </row>
    <row r="2627" spans="1:1">
      <c r="A2627" t="s">
        <v>1629</v>
      </c>
    </row>
    <row r="2628" spans="1:1">
      <c r="A2628" t="s">
        <v>1630</v>
      </c>
    </row>
    <row r="2629" spans="1:1">
      <c r="A2629" t="s">
        <v>1631</v>
      </c>
    </row>
    <row r="2630" spans="1:1">
      <c r="A2630" t="s">
        <v>894</v>
      </c>
    </row>
    <row r="2631" spans="1:1">
      <c r="A2631" t="s">
        <v>895</v>
      </c>
    </row>
    <row r="2632" spans="1:1">
      <c r="A2632" t="s">
        <v>842</v>
      </c>
    </row>
    <row r="2633" spans="1:1">
      <c r="A2633" t="s">
        <v>843</v>
      </c>
    </row>
    <row r="2634" spans="1:1">
      <c r="A2634" t="s">
        <v>1054</v>
      </c>
    </row>
    <row r="2635" spans="1:1">
      <c r="A2635" t="s">
        <v>1632</v>
      </c>
    </row>
    <row r="2636" spans="1:1">
      <c r="A2636" t="s">
        <v>1633</v>
      </c>
    </row>
    <row r="2637" spans="1:1">
      <c r="A2637" t="s">
        <v>1634</v>
      </c>
    </row>
    <row r="2638" spans="1:1">
      <c r="A2638" t="s">
        <v>1058</v>
      </c>
    </row>
    <row r="2639" spans="1:1">
      <c r="A2639" t="s">
        <v>877</v>
      </c>
    </row>
    <row r="2640" spans="1:1">
      <c r="A2640" t="s">
        <v>878</v>
      </c>
    </row>
    <row r="2641" spans="1:1">
      <c r="A2641" t="s">
        <v>1002</v>
      </c>
    </row>
    <row r="2642" spans="1:1">
      <c r="A2642" t="s">
        <v>4641</v>
      </c>
    </row>
    <row r="2643" spans="1:1">
      <c r="A2643" t="s">
        <v>812</v>
      </c>
    </row>
    <row r="2644" spans="1:1">
      <c r="A2644" t="s">
        <v>810</v>
      </c>
    </row>
    <row r="2645" spans="1:1">
      <c r="A2645" t="s">
        <v>811</v>
      </c>
    </row>
    <row r="2646" spans="1:1">
      <c r="A2646" t="s">
        <v>151</v>
      </c>
    </row>
    <row r="2647" spans="1:1">
      <c r="A2647" t="s">
        <v>836</v>
      </c>
    </row>
    <row r="2648" spans="1:1">
      <c r="A2648" t="s">
        <v>1635</v>
      </c>
    </row>
    <row r="2649" spans="1:1">
      <c r="A2649" t="s">
        <v>981</v>
      </c>
    </row>
    <row r="2650" spans="1:1">
      <c r="A2650" t="s">
        <v>1636</v>
      </c>
    </row>
    <row r="2651" spans="1:1">
      <c r="A2651" t="s">
        <v>1637</v>
      </c>
    </row>
    <row r="2652" spans="1:1">
      <c r="A2652" t="s">
        <v>1638</v>
      </c>
    </row>
    <row r="2653" spans="1:1">
      <c r="A2653" t="s">
        <v>842</v>
      </c>
    </row>
    <row r="2654" spans="1:1">
      <c r="A2654" t="s">
        <v>843</v>
      </c>
    </row>
    <row r="2655" spans="1:1">
      <c r="A2655" t="s">
        <v>1639</v>
      </c>
    </row>
    <row r="2656" spans="1:1">
      <c r="A2656" t="s">
        <v>1640</v>
      </c>
    </row>
    <row r="2657" spans="1:1">
      <c r="A2657" t="s">
        <v>1641</v>
      </c>
    </row>
    <row r="2658" spans="1:1">
      <c r="A2658" t="s">
        <v>1642</v>
      </c>
    </row>
    <row r="2659" spans="1:1">
      <c r="A2659" t="s">
        <v>1416</v>
      </c>
    </row>
    <row r="2660" spans="1:1">
      <c r="A2660" t="s">
        <v>1243</v>
      </c>
    </row>
    <row r="2661" spans="1:1">
      <c r="A2661" t="s">
        <v>1316</v>
      </c>
    </row>
    <row r="2662" spans="1:1">
      <c r="A2662" t="s">
        <v>1002</v>
      </c>
    </row>
    <row r="2663" spans="1:1">
      <c r="A2663" t="s">
        <v>4642</v>
      </c>
    </row>
    <row r="2664" spans="1:1">
      <c r="A2664" t="s">
        <v>812</v>
      </c>
    </row>
    <row r="2665" spans="1:1">
      <c r="A2665" t="s">
        <v>810</v>
      </c>
    </row>
    <row r="2666" spans="1:1">
      <c r="A2666" t="s">
        <v>811</v>
      </c>
    </row>
    <row r="2667" spans="1:1">
      <c r="A2667" t="s">
        <v>151</v>
      </c>
    </row>
    <row r="2668" spans="1:1">
      <c r="A2668" t="s">
        <v>836</v>
      </c>
    </row>
    <row r="2669" spans="1:1">
      <c r="A2669" t="s">
        <v>1643</v>
      </c>
    </row>
    <row r="2670" spans="1:1">
      <c r="A2670" t="s">
        <v>1644</v>
      </c>
    </row>
    <row r="2671" spans="1:1">
      <c r="A2671" t="s">
        <v>1645</v>
      </c>
    </row>
    <row r="2672" spans="1:1">
      <c r="A2672" t="s">
        <v>1646</v>
      </c>
    </row>
    <row r="2673" spans="1:1">
      <c r="A2673" t="s">
        <v>1647</v>
      </c>
    </row>
    <row r="2674" spans="1:1">
      <c r="A2674" t="s">
        <v>842</v>
      </c>
    </row>
    <row r="2675" spans="1:1">
      <c r="A2675" t="s">
        <v>843</v>
      </c>
    </row>
    <row r="2676" spans="1:1">
      <c r="A2676" t="s">
        <v>1648</v>
      </c>
    </row>
    <row r="2677" spans="1:1">
      <c r="A2677" t="s">
        <v>1649</v>
      </c>
    </row>
    <row r="2678" spans="1:1">
      <c r="A2678" t="s">
        <v>1650</v>
      </c>
    </row>
    <row r="2679" spans="1:1">
      <c r="A2679" t="s">
        <v>1651</v>
      </c>
    </row>
    <row r="2680" spans="1:1">
      <c r="A2680" t="s">
        <v>1652</v>
      </c>
    </row>
    <row r="2681" spans="1:1">
      <c r="A2681" t="s">
        <v>901</v>
      </c>
    </row>
    <row r="2682" spans="1:1">
      <c r="A2682" t="s">
        <v>902</v>
      </c>
    </row>
    <row r="2683" spans="1:1">
      <c r="A2683" t="s">
        <v>1002</v>
      </c>
    </row>
    <row r="2684" spans="1:1">
      <c r="A2684" t="s">
        <v>4643</v>
      </c>
    </row>
    <row r="2685" spans="1:1">
      <c r="A2685" t="s">
        <v>4644</v>
      </c>
    </row>
    <row r="2686" spans="1:1">
      <c r="A2686" t="s">
        <v>810</v>
      </c>
    </row>
    <row r="2687" spans="1:1">
      <c r="A2687" t="s">
        <v>811</v>
      </c>
    </row>
    <row r="2688" spans="1:1">
      <c r="A2688" t="s">
        <v>151</v>
      </c>
    </row>
    <row r="2689" spans="1:1">
      <c r="A2689" t="s">
        <v>836</v>
      </c>
    </row>
    <row r="2690" spans="1:1">
      <c r="A2690" t="s">
        <v>1643</v>
      </c>
    </row>
    <row r="2691" spans="1:1">
      <c r="A2691" t="s">
        <v>1644</v>
      </c>
    </row>
    <row r="2692" spans="1:1">
      <c r="A2692" t="s">
        <v>1645</v>
      </c>
    </row>
    <row r="2693" spans="1:1">
      <c r="A2693" t="s">
        <v>1646</v>
      </c>
    </row>
    <row r="2694" spans="1:1">
      <c r="A2694" t="s">
        <v>1647</v>
      </c>
    </row>
    <row r="2695" spans="1:1">
      <c r="A2695" t="s">
        <v>842</v>
      </c>
    </row>
    <row r="2696" spans="1:1">
      <c r="A2696" t="s">
        <v>843</v>
      </c>
    </row>
    <row r="2697" spans="1:1">
      <c r="A2697" t="s">
        <v>1648</v>
      </c>
    </row>
    <row r="2698" spans="1:1">
      <c r="A2698" t="s">
        <v>1649</v>
      </c>
    </row>
    <row r="2699" spans="1:1">
      <c r="A2699" t="s">
        <v>1650</v>
      </c>
    </row>
    <row r="2700" spans="1:1">
      <c r="A2700" t="s">
        <v>1651</v>
      </c>
    </row>
    <row r="2701" spans="1:1">
      <c r="A2701" t="s">
        <v>1652</v>
      </c>
    </row>
    <row r="2702" spans="1:1">
      <c r="A2702" t="s">
        <v>901</v>
      </c>
    </row>
    <row r="2703" spans="1:1">
      <c r="A2703" t="s">
        <v>902</v>
      </c>
    </row>
    <row r="2704" spans="1:1">
      <c r="A2704" t="s">
        <v>1653</v>
      </c>
    </row>
    <row r="2705" spans="1:1">
      <c r="A2705" t="s">
        <v>4643</v>
      </c>
    </row>
    <row r="2706" spans="1:1">
      <c r="A2706" t="s">
        <v>4645</v>
      </c>
    </row>
    <row r="2707" spans="1:1">
      <c r="A2707" t="s">
        <v>810</v>
      </c>
    </row>
    <row r="2708" spans="1:1">
      <c r="A2708" t="s">
        <v>811</v>
      </c>
    </row>
    <row r="2709" spans="1:1">
      <c r="A2709" t="s">
        <v>151</v>
      </c>
    </row>
    <row r="2710" spans="1:1">
      <c r="A2710" t="s">
        <v>836</v>
      </c>
    </row>
    <row r="2711" spans="1:1">
      <c r="A2711" t="s">
        <v>1654</v>
      </c>
    </row>
    <row r="2712" spans="1:1">
      <c r="A2712" t="s">
        <v>1127</v>
      </c>
    </row>
    <row r="2713" spans="1:1">
      <c r="A2713" t="s">
        <v>1655</v>
      </c>
    </row>
    <row r="2714" spans="1:1">
      <c r="A2714" t="s">
        <v>1656</v>
      </c>
    </row>
    <row r="2715" spans="1:1">
      <c r="A2715" t="s">
        <v>1657</v>
      </c>
    </row>
    <row r="2716" spans="1:1">
      <c r="A2716" t="s">
        <v>842</v>
      </c>
    </row>
    <row r="2717" spans="1:1">
      <c r="A2717" t="s">
        <v>843</v>
      </c>
    </row>
    <row r="2718" spans="1:1">
      <c r="A2718" t="s">
        <v>1036</v>
      </c>
    </row>
    <row r="2719" spans="1:1">
      <c r="A2719" t="s">
        <v>1430</v>
      </c>
    </row>
    <row r="2720" spans="1:1">
      <c r="A2720" t="s">
        <v>1658</v>
      </c>
    </row>
    <row r="2721" spans="1:1">
      <c r="A2721" t="s">
        <v>899</v>
      </c>
    </row>
    <row r="2722" spans="1:1">
      <c r="A2722" t="s">
        <v>1659</v>
      </c>
    </row>
    <row r="2723" spans="1:1">
      <c r="A2723" t="s">
        <v>1205</v>
      </c>
    </row>
    <row r="2724" spans="1:1">
      <c r="A2724" t="s">
        <v>1316</v>
      </c>
    </row>
    <row r="2725" spans="1:1">
      <c r="A2725" t="s">
        <v>1660</v>
      </c>
    </row>
    <row r="2726" spans="1:1">
      <c r="A2726" t="s">
        <v>4646</v>
      </c>
    </row>
    <row r="2727" spans="1:1">
      <c r="A2727" t="s">
        <v>812</v>
      </c>
    </row>
    <row r="2728" spans="1:1">
      <c r="A2728" t="s">
        <v>810</v>
      </c>
    </row>
    <row r="2729" spans="1:1">
      <c r="A2729" t="s">
        <v>811</v>
      </c>
    </row>
    <row r="2730" spans="1:1">
      <c r="A2730" t="s">
        <v>151</v>
      </c>
    </row>
    <row r="2731" spans="1:1">
      <c r="A2731" t="s">
        <v>836</v>
      </c>
    </row>
    <row r="2732" spans="1:1">
      <c r="A2732" t="s">
        <v>1661</v>
      </c>
    </row>
    <row r="2733" spans="1:1">
      <c r="A2733" t="s">
        <v>1662</v>
      </c>
    </row>
    <row r="2734" spans="1:1">
      <c r="A2734" t="s">
        <v>1663</v>
      </c>
    </row>
    <row r="2735" spans="1:1">
      <c r="A2735" t="s">
        <v>894</v>
      </c>
    </row>
    <row r="2736" spans="1:1">
      <c r="A2736" t="s">
        <v>895</v>
      </c>
    </row>
    <row r="2737" spans="1:1">
      <c r="A2737" t="s">
        <v>842</v>
      </c>
    </row>
    <row r="2738" spans="1:1">
      <c r="A2738" t="s">
        <v>843</v>
      </c>
    </row>
    <row r="2739" spans="1:1">
      <c r="A2739" t="s">
        <v>1664</v>
      </c>
    </row>
    <row r="2740" spans="1:1">
      <c r="A2740" t="s">
        <v>1665</v>
      </c>
    </row>
    <row r="2741" spans="1:1">
      <c r="A2741" t="s">
        <v>1666</v>
      </c>
    </row>
    <row r="2742" spans="1:1">
      <c r="A2742" t="s">
        <v>1667</v>
      </c>
    </row>
    <row r="2743" spans="1:1">
      <c r="A2743" t="s">
        <v>1668</v>
      </c>
    </row>
    <row r="2744" spans="1:1">
      <c r="A2744" t="s">
        <v>1059</v>
      </c>
    </row>
    <row r="2745" spans="1:1">
      <c r="A2745" t="s">
        <v>1508</v>
      </c>
    </row>
    <row r="2746" spans="1:1">
      <c r="A2746" t="s">
        <v>1002</v>
      </c>
    </row>
    <row r="2747" spans="1:1">
      <c r="A2747" t="s">
        <v>4647</v>
      </c>
    </row>
    <row r="2748" spans="1:1">
      <c r="A2748" t="s">
        <v>812</v>
      </c>
    </row>
    <row r="2749" spans="1:1">
      <c r="A2749" t="s">
        <v>810</v>
      </c>
    </row>
    <row r="2750" spans="1:1">
      <c r="A2750" t="s">
        <v>811</v>
      </c>
    </row>
    <row r="2751" spans="1:1">
      <c r="A2751" t="s">
        <v>151</v>
      </c>
    </row>
    <row r="2752" spans="1:1">
      <c r="A2752" t="s">
        <v>836</v>
      </c>
    </row>
    <row r="2753" spans="1:1">
      <c r="A2753" t="s">
        <v>1669</v>
      </c>
    </row>
    <row r="2754" spans="1:1">
      <c r="A2754" t="s">
        <v>1670</v>
      </c>
    </row>
    <row r="2755" spans="1:1">
      <c r="A2755" t="s">
        <v>1636</v>
      </c>
    </row>
    <row r="2756" spans="1:1">
      <c r="A2756" t="s">
        <v>1671</v>
      </c>
    </row>
    <row r="2757" spans="1:1">
      <c r="A2757" t="s">
        <v>1672</v>
      </c>
    </row>
    <row r="2758" spans="1:1">
      <c r="A2758" t="s">
        <v>842</v>
      </c>
    </row>
    <row r="2759" spans="1:1">
      <c r="A2759" t="s">
        <v>843</v>
      </c>
    </row>
    <row r="2760" spans="1:1">
      <c r="A2760" t="s">
        <v>1673</v>
      </c>
    </row>
    <row r="2761" spans="1:1">
      <c r="A2761" t="s">
        <v>1674</v>
      </c>
    </row>
    <row r="2762" spans="1:1">
      <c r="A2762" t="s">
        <v>1675</v>
      </c>
    </row>
    <row r="2763" spans="1:1">
      <c r="A2763" t="s">
        <v>1402</v>
      </c>
    </row>
    <row r="2764" spans="1:1">
      <c r="A2764" t="s">
        <v>1676</v>
      </c>
    </row>
    <row r="2765" spans="1:1">
      <c r="A2765" t="s">
        <v>1602</v>
      </c>
    </row>
    <row r="2766" spans="1:1">
      <c r="A2766" t="s">
        <v>1521</v>
      </c>
    </row>
    <row r="2767" spans="1:1">
      <c r="A2767" t="s">
        <v>1677</v>
      </c>
    </row>
    <row r="2768" spans="1:1">
      <c r="A2768" t="s">
        <v>4648</v>
      </c>
    </row>
    <row r="2769" spans="1:1">
      <c r="A2769" t="s">
        <v>812</v>
      </c>
    </row>
    <row r="2770" spans="1:1">
      <c r="A2770" t="s">
        <v>810</v>
      </c>
    </row>
    <row r="2771" spans="1:1">
      <c r="A2771" t="s">
        <v>811</v>
      </c>
    </row>
    <row r="2772" spans="1:1">
      <c r="A2772" t="s">
        <v>151</v>
      </c>
    </row>
    <row r="2773" spans="1:1">
      <c r="A2773" t="s">
        <v>836</v>
      </c>
    </row>
    <row r="2774" spans="1:1">
      <c r="A2774" t="s">
        <v>1678</v>
      </c>
    </row>
    <row r="2775" spans="1:1">
      <c r="A2775" t="s">
        <v>1679</v>
      </c>
    </row>
    <row r="2776" spans="1:1">
      <c r="A2776" t="s">
        <v>1680</v>
      </c>
    </row>
    <row r="2777" spans="1:1">
      <c r="A2777" t="s">
        <v>1681</v>
      </c>
    </row>
    <row r="2778" spans="1:1">
      <c r="A2778" t="s">
        <v>1682</v>
      </c>
    </row>
    <row r="2779" spans="1:1">
      <c r="A2779" t="s">
        <v>842</v>
      </c>
    </row>
    <row r="2780" spans="1:1">
      <c r="A2780" t="s">
        <v>843</v>
      </c>
    </row>
    <row r="2781" spans="1:1">
      <c r="A2781" t="s">
        <v>1067</v>
      </c>
    </row>
    <row r="2782" spans="1:1">
      <c r="A2782" t="s">
        <v>1683</v>
      </c>
    </row>
    <row r="2783" spans="1:1">
      <c r="A2783" t="s">
        <v>1684</v>
      </c>
    </row>
    <row r="2784" spans="1:1">
      <c r="A2784" t="s">
        <v>1685</v>
      </c>
    </row>
    <row r="2785" spans="1:1">
      <c r="A2785" t="s">
        <v>1070</v>
      </c>
    </row>
    <row r="2786" spans="1:1">
      <c r="A2786" t="s">
        <v>1059</v>
      </c>
    </row>
    <row r="2787" spans="1:1">
      <c r="A2787" t="s">
        <v>1686</v>
      </c>
    </row>
    <row r="2788" spans="1:1">
      <c r="A2788" t="s">
        <v>1002</v>
      </c>
    </row>
    <row r="2789" spans="1:1">
      <c r="A2789" t="s">
        <v>1687</v>
      </c>
    </row>
    <row r="2790" spans="1:1">
      <c r="A2790" t="s">
        <v>812</v>
      </c>
    </row>
    <row r="2791" spans="1:1">
      <c r="A2791" t="s">
        <v>810</v>
      </c>
    </row>
    <row r="2792" spans="1:1">
      <c r="A2792" t="s">
        <v>811</v>
      </c>
    </row>
    <row r="2793" spans="1:1">
      <c r="A2793" t="s">
        <v>151</v>
      </c>
    </row>
    <row r="2794" spans="1:1">
      <c r="A2794" t="s">
        <v>836</v>
      </c>
    </row>
    <row r="2795" spans="1:1">
      <c r="A2795" t="s">
        <v>1688</v>
      </c>
    </row>
    <row r="2796" spans="1:1">
      <c r="A2796" t="s">
        <v>1689</v>
      </c>
    </row>
    <row r="2797" spans="1:1">
      <c r="A2797" t="s">
        <v>1690</v>
      </c>
    </row>
    <row r="2798" spans="1:1">
      <c r="A2798" t="s">
        <v>894</v>
      </c>
    </row>
    <row r="2799" spans="1:1">
      <c r="A2799" t="s">
        <v>895</v>
      </c>
    </row>
    <row r="2800" spans="1:1">
      <c r="A2800" t="s">
        <v>842</v>
      </c>
    </row>
    <row r="2801" spans="1:1">
      <c r="A2801" t="s">
        <v>843</v>
      </c>
    </row>
    <row r="2802" spans="1:1">
      <c r="A2802" t="s">
        <v>1597</v>
      </c>
    </row>
    <row r="2803" spans="1:1">
      <c r="A2803" t="s">
        <v>1691</v>
      </c>
    </row>
    <row r="2804" spans="1:1">
      <c r="A2804" t="s">
        <v>1692</v>
      </c>
    </row>
    <row r="2805" spans="1:1">
      <c r="A2805" t="s">
        <v>1693</v>
      </c>
    </row>
    <row r="2806" spans="1:1">
      <c r="A2806" t="s">
        <v>1601</v>
      </c>
    </row>
    <row r="2807" spans="1:1">
      <c r="A2807" t="s">
        <v>976</v>
      </c>
    </row>
    <row r="2808" spans="1:1">
      <c r="A2808" t="s">
        <v>1521</v>
      </c>
    </row>
    <row r="2809" spans="1:1">
      <c r="A2809" t="s">
        <v>1002</v>
      </c>
    </row>
    <row r="2810" spans="1:1">
      <c r="A2810" t="s">
        <v>1694</v>
      </c>
    </row>
    <row r="2811" spans="1:1">
      <c r="A2811" t="s">
        <v>812</v>
      </c>
    </row>
    <row r="2812" spans="1:1">
      <c r="A2812" t="s">
        <v>810</v>
      </c>
    </row>
    <row r="2813" spans="1:1">
      <c r="A2813" t="s">
        <v>811</v>
      </c>
    </row>
    <row r="2814" spans="1:1">
      <c r="A2814" t="s">
        <v>151</v>
      </c>
    </row>
    <row r="2815" spans="1:1">
      <c r="A2815" t="s">
        <v>836</v>
      </c>
    </row>
    <row r="2816" spans="1:1">
      <c r="A2816" t="s">
        <v>1695</v>
      </c>
    </row>
    <row r="2817" spans="1:1">
      <c r="A2817" t="s">
        <v>1696</v>
      </c>
    </row>
    <row r="2818" spans="1:1">
      <c r="A2818" t="s">
        <v>1697</v>
      </c>
    </row>
    <row r="2819" spans="1:1">
      <c r="A2819" t="s">
        <v>894</v>
      </c>
    </row>
    <row r="2820" spans="1:1">
      <c r="A2820" t="s">
        <v>895</v>
      </c>
    </row>
    <row r="2821" spans="1:1">
      <c r="A2821" t="s">
        <v>842</v>
      </c>
    </row>
    <row r="2822" spans="1:1">
      <c r="A2822" t="s">
        <v>843</v>
      </c>
    </row>
    <row r="2823" spans="1:1">
      <c r="A2823" t="s">
        <v>1698</v>
      </c>
    </row>
    <row r="2824" spans="1:1">
      <c r="A2824" t="s">
        <v>1699</v>
      </c>
    </row>
    <row r="2825" spans="1:1">
      <c r="A2825" t="s">
        <v>1700</v>
      </c>
    </row>
    <row r="2826" spans="1:1">
      <c r="A2826" t="s">
        <v>1701</v>
      </c>
    </row>
    <row r="2827" spans="1:1">
      <c r="A2827" t="s">
        <v>1702</v>
      </c>
    </row>
    <row r="2828" spans="1:1">
      <c r="A2828" t="s">
        <v>1703</v>
      </c>
    </row>
    <row r="2829" spans="1:1">
      <c r="A2829" t="s">
        <v>1508</v>
      </c>
    </row>
    <row r="2830" spans="1:1">
      <c r="A2830" t="s">
        <v>1002</v>
      </c>
    </row>
    <row r="2831" spans="1:1">
      <c r="A2831" t="s">
        <v>4649</v>
      </c>
    </row>
    <row r="2832" spans="1:1">
      <c r="A2832" t="s">
        <v>812</v>
      </c>
    </row>
    <row r="2833" spans="1:1">
      <c r="A2833" t="s">
        <v>810</v>
      </c>
    </row>
    <row r="2834" spans="1:1">
      <c r="A2834" t="s">
        <v>811</v>
      </c>
    </row>
    <row r="2835" spans="1:1">
      <c r="A2835" t="s">
        <v>151</v>
      </c>
    </row>
    <row r="2836" spans="1:1">
      <c r="A2836" t="s">
        <v>836</v>
      </c>
    </row>
    <row r="2837" spans="1:1">
      <c r="A2837" t="s">
        <v>1713</v>
      </c>
    </row>
    <row r="2838" spans="1:1">
      <c r="A2838" t="s">
        <v>1714</v>
      </c>
    </row>
    <row r="2839" spans="1:1">
      <c r="A2839" t="s">
        <v>1715</v>
      </c>
    </row>
    <row r="2840" spans="1:1">
      <c r="A2840" t="s">
        <v>1716</v>
      </c>
    </row>
    <row r="2841" spans="1:1">
      <c r="A2841" t="s">
        <v>1672</v>
      </c>
    </row>
    <row r="2842" spans="1:1">
      <c r="A2842" t="s">
        <v>842</v>
      </c>
    </row>
    <row r="2843" spans="1:1">
      <c r="A2843" t="s">
        <v>843</v>
      </c>
    </row>
    <row r="2844" spans="1:1">
      <c r="A2844" t="s">
        <v>1717</v>
      </c>
    </row>
    <row r="2845" spans="1:1">
      <c r="A2845" t="s">
        <v>1718</v>
      </c>
    </row>
    <row r="2846" spans="1:1">
      <c r="A2846" t="s">
        <v>1719</v>
      </c>
    </row>
    <row r="2847" spans="1:1">
      <c r="A2847" t="s">
        <v>899</v>
      </c>
    </row>
    <row r="2848" spans="1:1">
      <c r="A2848" t="s">
        <v>1720</v>
      </c>
    </row>
    <row r="2849" spans="1:1">
      <c r="A2849" t="s">
        <v>918</v>
      </c>
    </row>
    <row r="2850" spans="1:1">
      <c r="A2850" t="s">
        <v>1686</v>
      </c>
    </row>
    <row r="2851" spans="1:1">
      <c r="A2851" t="s">
        <v>1721</v>
      </c>
    </row>
    <row r="2852" spans="1:1">
      <c r="A2852" t="s">
        <v>4650</v>
      </c>
    </row>
    <row r="2853" spans="1:1">
      <c r="A2853" t="s">
        <v>812</v>
      </c>
    </row>
    <row r="2854" spans="1:1">
      <c r="A2854" t="s">
        <v>810</v>
      </c>
    </row>
    <row r="2855" spans="1:1">
      <c r="A2855" t="s">
        <v>811</v>
      </c>
    </row>
    <row r="2856" spans="1:1">
      <c r="A2856" t="s">
        <v>151</v>
      </c>
    </row>
    <row r="2857" spans="1:1">
      <c r="A2857" t="s">
        <v>836</v>
      </c>
    </row>
    <row r="2858" spans="1:1">
      <c r="A2858" t="s">
        <v>1704</v>
      </c>
    </row>
    <row r="2859" spans="1:1">
      <c r="A2859" t="s">
        <v>1705</v>
      </c>
    </row>
    <row r="2860" spans="1:1">
      <c r="A2860" t="s">
        <v>1706</v>
      </c>
    </row>
    <row r="2861" spans="1:1">
      <c r="A2861" t="s">
        <v>1707</v>
      </c>
    </row>
    <row r="2862" spans="1:1">
      <c r="A2862" t="s">
        <v>1708</v>
      </c>
    </row>
    <row r="2863" spans="1:1">
      <c r="A2863" t="s">
        <v>842</v>
      </c>
    </row>
    <row r="2864" spans="1:1">
      <c r="A2864" t="s">
        <v>843</v>
      </c>
    </row>
    <row r="2865" spans="1:1">
      <c r="A2865" t="s">
        <v>1709</v>
      </c>
    </row>
    <row r="2866" spans="1:1">
      <c r="A2866" t="s">
        <v>1710</v>
      </c>
    </row>
    <row r="2867" spans="1:1">
      <c r="A2867" t="s">
        <v>1711</v>
      </c>
    </row>
    <row r="2868" spans="1:1">
      <c r="A2868" t="s">
        <v>899</v>
      </c>
    </row>
    <row r="2869" spans="1:1">
      <c r="A2869" t="s">
        <v>1712</v>
      </c>
    </row>
    <row r="2870" spans="1:1">
      <c r="A2870" t="s">
        <v>901</v>
      </c>
    </row>
    <row r="2871" spans="1:1">
      <c r="A2871" t="s">
        <v>902</v>
      </c>
    </row>
    <row r="2872" spans="1:1">
      <c r="A2872" t="s">
        <v>1002</v>
      </c>
    </row>
    <row r="2873" spans="1:1">
      <c r="A2873" t="s">
        <v>4651</v>
      </c>
    </row>
    <row r="2874" spans="1:1">
      <c r="A2874" t="s">
        <v>812</v>
      </c>
    </row>
    <row r="2875" spans="1:1">
      <c r="A2875" t="s">
        <v>810</v>
      </c>
    </row>
    <row r="2876" spans="1:1">
      <c r="A2876" t="s">
        <v>811</v>
      </c>
    </row>
    <row r="2877" spans="1:1">
      <c r="A2877" t="s">
        <v>151</v>
      </c>
    </row>
    <row r="2878" spans="1:1">
      <c r="A2878" t="s">
        <v>836</v>
      </c>
    </row>
    <row r="2879" spans="1:1">
      <c r="A2879" t="s">
        <v>1713</v>
      </c>
    </row>
    <row r="2880" spans="1:1">
      <c r="A2880" t="s">
        <v>1714</v>
      </c>
    </row>
    <row r="2881" spans="1:1">
      <c r="A2881" t="s">
        <v>1715</v>
      </c>
    </row>
    <row r="2882" spans="1:1">
      <c r="A2882" t="s">
        <v>1716</v>
      </c>
    </row>
    <row r="2883" spans="1:1">
      <c r="A2883" t="s">
        <v>1672</v>
      </c>
    </row>
    <row r="2884" spans="1:1">
      <c r="A2884" t="s">
        <v>842</v>
      </c>
    </row>
    <row r="2885" spans="1:1">
      <c r="A2885" t="s">
        <v>843</v>
      </c>
    </row>
    <row r="2886" spans="1:1">
      <c r="A2886" t="s">
        <v>1717</v>
      </c>
    </row>
    <row r="2887" spans="1:1">
      <c r="A2887" t="s">
        <v>1718</v>
      </c>
    </row>
    <row r="2888" spans="1:1">
      <c r="A2888" t="s">
        <v>1719</v>
      </c>
    </row>
    <row r="2889" spans="1:1">
      <c r="A2889" t="s">
        <v>899</v>
      </c>
    </row>
    <row r="2890" spans="1:1">
      <c r="A2890" t="s">
        <v>1720</v>
      </c>
    </row>
    <row r="2891" spans="1:1">
      <c r="A2891" t="s">
        <v>918</v>
      </c>
    </row>
    <row r="2892" spans="1:1">
      <c r="A2892" t="s">
        <v>1686</v>
      </c>
    </row>
    <row r="2893" spans="1:1">
      <c r="A2893" t="s">
        <v>1002</v>
      </c>
    </row>
    <row r="2894" spans="1:1">
      <c r="A2894" t="s">
        <v>4650</v>
      </c>
    </row>
    <row r="2895" spans="1:1">
      <c r="A2895" t="s">
        <v>812</v>
      </c>
    </row>
    <row r="2896" spans="1:1">
      <c r="A2896" t="s">
        <v>810</v>
      </c>
    </row>
    <row r="2897" spans="1:1">
      <c r="A2897" t="s">
        <v>811</v>
      </c>
    </row>
    <row r="2898" spans="1:1">
      <c r="A2898" t="s">
        <v>151</v>
      </c>
    </row>
    <row r="2899" spans="1:1">
      <c r="A2899" t="s">
        <v>836</v>
      </c>
    </row>
    <row r="2900" spans="1:1">
      <c r="A2900" t="s">
        <v>1722</v>
      </c>
    </row>
    <row r="2901" spans="1:1">
      <c r="A2901" t="s">
        <v>1723</v>
      </c>
    </row>
    <row r="2902" spans="1:1">
      <c r="A2902" t="s">
        <v>1724</v>
      </c>
    </row>
    <row r="2903" spans="1:1">
      <c r="A2903" t="s">
        <v>1725</v>
      </c>
    </row>
    <row r="2904" spans="1:1">
      <c r="A2904" t="s">
        <v>1726</v>
      </c>
    </row>
    <row r="2905" spans="1:1">
      <c r="A2905" t="s">
        <v>1727</v>
      </c>
    </row>
    <row r="2906" spans="1:1">
      <c r="A2906" t="s">
        <v>1728</v>
      </c>
    </row>
    <row r="2907" spans="1:1">
      <c r="A2907" t="s">
        <v>1729</v>
      </c>
    </row>
    <row r="2908" spans="1:1">
      <c r="A2908" t="s">
        <v>1385</v>
      </c>
    </row>
    <row r="2909" spans="1:1">
      <c r="A2909" t="s">
        <v>1730</v>
      </c>
    </row>
    <row r="2910" spans="1:1">
      <c r="A2910" t="s">
        <v>1731</v>
      </c>
    </row>
    <row r="2911" spans="1:1">
      <c r="A2911" t="s">
        <v>1732</v>
      </c>
    </row>
    <row r="2912" spans="1:1">
      <c r="A2912" t="s">
        <v>901</v>
      </c>
    </row>
    <row r="2913" spans="1:1">
      <c r="A2913" t="s">
        <v>902</v>
      </c>
    </row>
    <row r="2914" spans="1:1">
      <c r="A2914" t="s">
        <v>1002</v>
      </c>
    </row>
    <row r="2915" spans="1:1">
      <c r="A2915" t="s">
        <v>4652</v>
      </c>
    </row>
    <row r="2916" spans="1:1">
      <c r="A2916" t="s">
        <v>812</v>
      </c>
    </row>
    <row r="2917" spans="1:1">
      <c r="A2917" t="s">
        <v>810</v>
      </c>
    </row>
    <row r="2918" spans="1:1">
      <c r="A2918" t="s">
        <v>811</v>
      </c>
    </row>
    <row r="2919" spans="1:1">
      <c r="A2919" t="s">
        <v>151</v>
      </c>
    </row>
    <row r="2920" spans="1:1">
      <c r="A2920" t="s">
        <v>836</v>
      </c>
    </row>
    <row r="2921" spans="1:1">
      <c r="A2921" t="s">
        <v>1733</v>
      </c>
    </row>
    <row r="2922" spans="1:1">
      <c r="A2922" t="s">
        <v>1734</v>
      </c>
    </row>
    <row r="2923" spans="1:1">
      <c r="A2923" t="s">
        <v>1735</v>
      </c>
    </row>
    <row r="2924" spans="1:1">
      <c r="A2924" t="s">
        <v>1510</v>
      </c>
    </row>
    <row r="2925" spans="1:1">
      <c r="A2925" t="s">
        <v>1736</v>
      </c>
    </row>
    <row r="2926" spans="1:1">
      <c r="A2926" t="s">
        <v>1737</v>
      </c>
    </row>
    <row r="2927" spans="1:1">
      <c r="A2927" t="s">
        <v>1738</v>
      </c>
    </row>
    <row r="2928" spans="1:1">
      <c r="A2928" t="s">
        <v>1739</v>
      </c>
    </row>
    <row r="2929" spans="1:1">
      <c r="A2929" t="s">
        <v>1740</v>
      </c>
    </row>
    <row r="2930" spans="1:1">
      <c r="A2930" t="s">
        <v>1741</v>
      </c>
    </row>
    <row r="2931" spans="1:1">
      <c r="A2931" t="s">
        <v>1742</v>
      </c>
    </row>
    <row r="2932" spans="1:1">
      <c r="A2932" t="s">
        <v>1743</v>
      </c>
    </row>
    <row r="2933" spans="1:1">
      <c r="A2933" t="s">
        <v>918</v>
      </c>
    </row>
    <row r="2934" spans="1:1">
      <c r="A2934" t="s">
        <v>1220</v>
      </c>
    </row>
    <row r="2935" spans="1:1">
      <c r="A2935" t="s">
        <v>1002</v>
      </c>
    </row>
    <row r="2936" spans="1:1">
      <c r="A2936" t="s">
        <v>4653</v>
      </c>
    </row>
    <row r="2937" spans="1:1">
      <c r="A2937" t="s">
        <v>4654</v>
      </c>
    </row>
    <row r="2938" spans="1:1">
      <c r="A2938" t="s">
        <v>810</v>
      </c>
    </row>
    <row r="2939" spans="1:1">
      <c r="A2939" t="s">
        <v>811</v>
      </c>
    </row>
    <row r="2940" spans="1:1">
      <c r="A2940" t="s">
        <v>151</v>
      </c>
    </row>
    <row r="2941" spans="1:1">
      <c r="A2941" t="s">
        <v>836</v>
      </c>
    </row>
    <row r="2942" spans="1:1">
      <c r="A2942" t="s">
        <v>1733</v>
      </c>
    </row>
    <row r="2943" spans="1:1">
      <c r="A2943" t="s">
        <v>1734</v>
      </c>
    </row>
    <row r="2944" spans="1:1">
      <c r="A2944" t="s">
        <v>1735</v>
      </c>
    </row>
    <row r="2945" spans="1:1">
      <c r="A2945" t="s">
        <v>1510</v>
      </c>
    </row>
    <row r="2946" spans="1:1">
      <c r="A2946" t="s">
        <v>1736</v>
      </c>
    </row>
    <row r="2947" spans="1:1">
      <c r="A2947" t="s">
        <v>1737</v>
      </c>
    </row>
    <row r="2948" spans="1:1">
      <c r="A2948" t="s">
        <v>1738</v>
      </c>
    </row>
    <row r="2949" spans="1:1">
      <c r="A2949" t="s">
        <v>1739</v>
      </c>
    </row>
    <row r="2950" spans="1:1">
      <c r="A2950" t="s">
        <v>1740</v>
      </c>
    </row>
    <row r="2951" spans="1:1">
      <c r="A2951" t="s">
        <v>1741</v>
      </c>
    </row>
    <row r="2952" spans="1:1">
      <c r="A2952" t="s">
        <v>1742</v>
      </c>
    </row>
    <row r="2953" spans="1:1">
      <c r="A2953" t="s">
        <v>1743</v>
      </c>
    </row>
    <row r="2954" spans="1:1">
      <c r="A2954" t="s">
        <v>918</v>
      </c>
    </row>
    <row r="2955" spans="1:1">
      <c r="A2955" t="s">
        <v>1220</v>
      </c>
    </row>
    <row r="2956" spans="1:1">
      <c r="A2956" t="s">
        <v>1744</v>
      </c>
    </row>
    <row r="2957" spans="1:1">
      <c r="A2957" t="s">
        <v>4653</v>
      </c>
    </row>
    <row r="2958" spans="1:1">
      <c r="A2958" t="s">
        <v>4655</v>
      </c>
    </row>
    <row r="2959" spans="1:1">
      <c r="A2959" t="s">
        <v>810</v>
      </c>
    </row>
    <row r="2960" spans="1:1">
      <c r="A2960" t="s">
        <v>811</v>
      </c>
    </row>
    <row r="2961" spans="1:1">
      <c r="A2961" t="s">
        <v>151</v>
      </c>
    </row>
    <row r="2962" spans="1:1">
      <c r="A2962" t="s">
        <v>836</v>
      </c>
    </row>
    <row r="2963" spans="1:1">
      <c r="A2963" t="s">
        <v>1745</v>
      </c>
    </row>
    <row r="2964" spans="1:1">
      <c r="A2964" t="s">
        <v>1746</v>
      </c>
    </row>
    <row r="2965" spans="1:1">
      <c r="A2965" t="s">
        <v>1747</v>
      </c>
    </row>
    <row r="2966" spans="1:1">
      <c r="A2966" t="s">
        <v>1748</v>
      </c>
    </row>
    <row r="2967" spans="1:1">
      <c r="A2967" t="s">
        <v>1749</v>
      </c>
    </row>
    <row r="2968" spans="1:1">
      <c r="A2968" t="s">
        <v>1750</v>
      </c>
    </row>
    <row r="2969" spans="1:1">
      <c r="A2969" t="s">
        <v>1751</v>
      </c>
    </row>
    <row r="2970" spans="1:1">
      <c r="A2970" t="s">
        <v>1752</v>
      </c>
    </row>
    <row r="2971" spans="1:1">
      <c r="A2971" t="s">
        <v>1753</v>
      </c>
    </row>
    <row r="2972" spans="1:1">
      <c r="A2972" t="s">
        <v>1754</v>
      </c>
    </row>
    <row r="2973" spans="1:1">
      <c r="A2973" t="s">
        <v>1755</v>
      </c>
    </row>
    <row r="2974" spans="1:1">
      <c r="A2974" t="s">
        <v>1756</v>
      </c>
    </row>
    <row r="2975" spans="1:1">
      <c r="A2975" t="s">
        <v>877</v>
      </c>
    </row>
    <row r="2976" spans="1:1">
      <c r="A2976" t="s">
        <v>878</v>
      </c>
    </row>
    <row r="2977" spans="1:1">
      <c r="A2977" t="s">
        <v>1002</v>
      </c>
    </row>
    <row r="2978" spans="1:1">
      <c r="A2978" t="s">
        <v>4656</v>
      </c>
    </row>
    <row r="2979" spans="1:1">
      <c r="A2979" t="s">
        <v>812</v>
      </c>
    </row>
    <row r="2980" spans="1:1">
      <c r="A2980" t="s">
        <v>810</v>
      </c>
    </row>
    <row r="2981" spans="1:1">
      <c r="A2981" t="s">
        <v>811</v>
      </c>
    </row>
    <row r="2982" spans="1:1">
      <c r="A2982" t="s">
        <v>151</v>
      </c>
    </row>
    <row r="2983" spans="1:1">
      <c r="A2983" t="s">
        <v>836</v>
      </c>
    </row>
    <row r="2984" spans="1:1">
      <c r="A2984" t="s">
        <v>1757</v>
      </c>
    </row>
    <row r="2985" spans="1:1">
      <c r="A2985" t="s">
        <v>1758</v>
      </c>
    </row>
    <row r="2986" spans="1:1">
      <c r="A2986" t="s">
        <v>1759</v>
      </c>
    </row>
    <row r="2987" spans="1:1">
      <c r="A2987" t="s">
        <v>1760</v>
      </c>
    </row>
    <row r="2988" spans="1:1">
      <c r="A2988" t="s">
        <v>1761</v>
      </c>
    </row>
    <row r="2989" spans="1:1">
      <c r="A2989" t="s">
        <v>1762</v>
      </c>
    </row>
    <row r="2990" spans="1:1">
      <c r="A2990" t="s">
        <v>1763</v>
      </c>
    </row>
    <row r="2991" spans="1:1">
      <c r="A2991" t="s">
        <v>1764</v>
      </c>
    </row>
    <row r="2992" spans="1:1">
      <c r="A2992" t="s">
        <v>1765</v>
      </c>
    </row>
    <row r="2993" spans="1:1">
      <c r="A2993" t="s">
        <v>1658</v>
      </c>
    </row>
    <row r="2994" spans="1:1">
      <c r="A2994" t="s">
        <v>1766</v>
      </c>
    </row>
    <row r="2995" spans="1:1">
      <c r="A2995" t="s">
        <v>1767</v>
      </c>
    </row>
    <row r="2996" spans="1:1">
      <c r="A2996" t="s">
        <v>937</v>
      </c>
    </row>
    <row r="2997" spans="1:1">
      <c r="A2997" t="s">
        <v>1259</v>
      </c>
    </row>
    <row r="2998" spans="1:1">
      <c r="A2998" t="s">
        <v>1768</v>
      </c>
    </row>
    <row r="2999" spans="1:1">
      <c r="A2999" t="s">
        <v>4657</v>
      </c>
    </row>
    <row r="3000" spans="1:1">
      <c r="A3000" t="s">
        <v>812</v>
      </c>
    </row>
    <row r="3001" spans="1:1">
      <c r="A3001" t="s">
        <v>810</v>
      </c>
    </row>
    <row r="3002" spans="1:1">
      <c r="A3002" t="s">
        <v>811</v>
      </c>
    </row>
    <row r="3003" spans="1:1">
      <c r="A3003" t="s">
        <v>151</v>
      </c>
    </row>
    <row r="3004" spans="1:1">
      <c r="A3004" t="s">
        <v>836</v>
      </c>
    </row>
    <row r="3005" spans="1:1">
      <c r="A3005" t="s">
        <v>1769</v>
      </c>
    </row>
    <row r="3006" spans="1:1">
      <c r="A3006" t="s">
        <v>838</v>
      </c>
    </row>
    <row r="3007" spans="1:1">
      <c r="A3007" t="s">
        <v>839</v>
      </c>
    </row>
    <row r="3008" spans="1:1">
      <c r="A3008" t="s">
        <v>894</v>
      </c>
    </row>
    <row r="3009" spans="1:1">
      <c r="A3009" t="s">
        <v>895</v>
      </c>
    </row>
    <row r="3010" spans="1:1">
      <c r="A3010" t="s">
        <v>842</v>
      </c>
    </row>
    <row r="3011" spans="1:1">
      <c r="A3011" t="s">
        <v>843</v>
      </c>
    </row>
    <row r="3012" spans="1:1">
      <c r="A3012" t="s">
        <v>896</v>
      </c>
    </row>
    <row r="3013" spans="1:1">
      <c r="A3013" t="s">
        <v>897</v>
      </c>
    </row>
    <row r="3014" spans="1:1">
      <c r="A3014" t="s">
        <v>898</v>
      </c>
    </row>
    <row r="3015" spans="1:1">
      <c r="A3015" t="s">
        <v>899</v>
      </c>
    </row>
    <row r="3016" spans="1:1">
      <c r="A3016" t="s">
        <v>900</v>
      </c>
    </row>
    <row r="3017" spans="1:1">
      <c r="A3017" t="s">
        <v>901</v>
      </c>
    </row>
    <row r="3018" spans="1:1">
      <c r="A3018" t="s">
        <v>902</v>
      </c>
    </row>
    <row r="3019" spans="1:1">
      <c r="A3019" t="s">
        <v>1002</v>
      </c>
    </row>
    <row r="3020" spans="1:1">
      <c r="A3020" t="s">
        <v>1770</v>
      </c>
    </row>
    <row r="3021" spans="1:1">
      <c r="A3021" t="s">
        <v>812</v>
      </c>
    </row>
    <row r="3022" spans="1:1">
      <c r="A3022" t="s">
        <v>810</v>
      </c>
    </row>
    <row r="3023" spans="1:1">
      <c r="A3023" t="s">
        <v>811</v>
      </c>
    </row>
    <row r="3024" spans="1:1">
      <c r="A3024" t="s">
        <v>151</v>
      </c>
    </row>
    <row r="3025" spans="1:1">
      <c r="A3025" t="s">
        <v>836</v>
      </c>
    </row>
    <row r="3026" spans="1:1">
      <c r="A3026" t="s">
        <v>1771</v>
      </c>
    </row>
    <row r="3027" spans="1:1">
      <c r="A3027" t="s">
        <v>1772</v>
      </c>
    </row>
    <row r="3028" spans="1:1">
      <c r="A3028" t="s">
        <v>1773</v>
      </c>
    </row>
    <row r="3029" spans="1:1">
      <c r="A3029" t="s">
        <v>1774</v>
      </c>
    </row>
    <row r="3030" spans="1:1">
      <c r="A3030" t="s">
        <v>1775</v>
      </c>
    </row>
    <row r="3031" spans="1:1">
      <c r="A3031" t="s">
        <v>1776</v>
      </c>
    </row>
    <row r="3032" spans="1:1">
      <c r="A3032" t="s">
        <v>1777</v>
      </c>
    </row>
    <row r="3033" spans="1:1">
      <c r="A3033" t="s">
        <v>1008</v>
      </c>
    </row>
    <row r="3034" spans="1:1">
      <c r="A3034" t="s">
        <v>1778</v>
      </c>
    </row>
    <row r="3035" spans="1:1">
      <c r="A3035" t="s">
        <v>1779</v>
      </c>
    </row>
    <row r="3036" spans="1:1">
      <c r="A3036" t="s">
        <v>1780</v>
      </c>
    </row>
    <row r="3037" spans="1:1">
      <c r="A3037" t="s">
        <v>1011</v>
      </c>
    </row>
    <row r="3038" spans="1:1">
      <c r="A3038" t="s">
        <v>1602</v>
      </c>
    </row>
    <row r="3039" spans="1:1">
      <c r="A3039" t="s">
        <v>1551</v>
      </c>
    </row>
    <row r="3040" spans="1:1">
      <c r="A3040" t="s">
        <v>1002</v>
      </c>
    </row>
    <row r="3041" spans="1:1">
      <c r="A3041" t="s">
        <v>1781</v>
      </c>
    </row>
    <row r="3042" spans="1:1">
      <c r="A3042" t="s">
        <v>812</v>
      </c>
    </row>
    <row r="3043" spans="1:1">
      <c r="A3043" t="s">
        <v>810</v>
      </c>
    </row>
    <row r="3044" spans="1:1">
      <c r="A3044" t="s">
        <v>811</v>
      </c>
    </row>
    <row r="3045" spans="1:1">
      <c r="A3045" t="s">
        <v>151</v>
      </c>
    </row>
    <row r="3046" spans="1:1">
      <c r="A3046" t="s">
        <v>836</v>
      </c>
    </row>
    <row r="3047" spans="1:1">
      <c r="A3047" t="s">
        <v>1782</v>
      </c>
    </row>
    <row r="3048" spans="1:1">
      <c r="A3048" t="s">
        <v>1783</v>
      </c>
    </row>
    <row r="3049" spans="1:1">
      <c r="A3049" t="s">
        <v>1784</v>
      </c>
    </row>
    <row r="3050" spans="1:1">
      <c r="A3050" t="s">
        <v>1785</v>
      </c>
    </row>
    <row r="3051" spans="1:1">
      <c r="A3051" t="s">
        <v>1638</v>
      </c>
    </row>
    <row r="3052" spans="1:1">
      <c r="A3052" t="s">
        <v>842</v>
      </c>
    </row>
    <row r="3053" spans="1:1">
      <c r="A3053" t="s">
        <v>843</v>
      </c>
    </row>
    <row r="3054" spans="1:1">
      <c r="A3054" t="s">
        <v>1786</v>
      </c>
    </row>
    <row r="3055" spans="1:1">
      <c r="A3055" t="s">
        <v>1787</v>
      </c>
    </row>
    <row r="3056" spans="1:1">
      <c r="A3056" t="s">
        <v>1542</v>
      </c>
    </row>
    <row r="3057" spans="1:1">
      <c r="A3057" t="s">
        <v>1788</v>
      </c>
    </row>
    <row r="3058" spans="1:1">
      <c r="A3058" t="s">
        <v>1789</v>
      </c>
    </row>
    <row r="3059" spans="1:1">
      <c r="A3059" t="s">
        <v>918</v>
      </c>
    </row>
    <row r="3060" spans="1:1">
      <c r="A3060" t="s">
        <v>1686</v>
      </c>
    </row>
    <row r="3061" spans="1:1">
      <c r="A3061" t="s">
        <v>1002</v>
      </c>
    </row>
    <row r="3062" spans="1:1">
      <c r="A3062" t="s">
        <v>4658</v>
      </c>
    </row>
    <row r="3063" spans="1:1">
      <c r="A3063" t="s">
        <v>812</v>
      </c>
    </row>
    <row r="3064" spans="1:1">
      <c r="A3064" t="s">
        <v>810</v>
      </c>
    </row>
    <row r="3065" spans="1:1">
      <c r="A3065" t="s">
        <v>811</v>
      </c>
    </row>
    <row r="3066" spans="1:1">
      <c r="A3066" t="s">
        <v>151</v>
      </c>
    </row>
    <row r="3067" spans="1:1">
      <c r="A3067" t="s">
        <v>836</v>
      </c>
    </row>
    <row r="3068" spans="1:1">
      <c r="A3068" t="s">
        <v>1790</v>
      </c>
    </row>
    <row r="3069" spans="1:1">
      <c r="A3069" t="s">
        <v>1791</v>
      </c>
    </row>
    <row r="3070" spans="1:1">
      <c r="A3070" t="s">
        <v>1792</v>
      </c>
    </row>
    <row r="3071" spans="1:1">
      <c r="A3071" t="s">
        <v>1793</v>
      </c>
    </row>
    <row r="3072" spans="1:1">
      <c r="A3072" t="s">
        <v>1586</v>
      </c>
    </row>
    <row r="3073" spans="1:1">
      <c r="A3073" t="s">
        <v>842</v>
      </c>
    </row>
    <row r="3074" spans="1:1">
      <c r="A3074" t="s">
        <v>843</v>
      </c>
    </row>
    <row r="3075" spans="1:1">
      <c r="A3075" t="s">
        <v>1794</v>
      </c>
    </row>
    <row r="3076" spans="1:1">
      <c r="A3076" t="s">
        <v>1649</v>
      </c>
    </row>
    <row r="3077" spans="1:1">
      <c r="A3077" t="s">
        <v>1650</v>
      </c>
    </row>
    <row r="3078" spans="1:1">
      <c r="A3078" t="s">
        <v>1651</v>
      </c>
    </row>
    <row r="3079" spans="1:1">
      <c r="A3079" t="s">
        <v>1795</v>
      </c>
    </row>
    <row r="3080" spans="1:1">
      <c r="A3080" t="s">
        <v>862</v>
      </c>
    </row>
    <row r="3081" spans="1:1">
      <c r="A3081" t="s">
        <v>1796</v>
      </c>
    </row>
    <row r="3082" spans="1:1">
      <c r="A3082" t="s">
        <v>4659</v>
      </c>
    </row>
    <row r="3083" spans="1:1">
      <c r="A3083" t="s">
        <v>4660</v>
      </c>
    </row>
    <row r="3084" spans="1:1">
      <c r="A3084" t="s">
        <v>4661</v>
      </c>
    </row>
    <row r="3085" spans="1:1">
      <c r="A3085" t="s">
        <v>810</v>
      </c>
    </row>
    <row r="3086" spans="1:1">
      <c r="A3086" t="s">
        <v>811</v>
      </c>
    </row>
    <row r="3087" spans="1:1">
      <c r="A3087" t="s">
        <v>151</v>
      </c>
    </row>
    <row r="3088" spans="1:1">
      <c r="A3088" t="s">
        <v>836</v>
      </c>
    </row>
    <row r="3089" spans="1:1">
      <c r="A3089" t="s">
        <v>1790</v>
      </c>
    </row>
    <row r="3090" spans="1:1">
      <c r="A3090" t="s">
        <v>1791</v>
      </c>
    </row>
    <row r="3091" spans="1:1">
      <c r="A3091" t="s">
        <v>1792</v>
      </c>
    </row>
    <row r="3092" spans="1:1">
      <c r="A3092" t="s">
        <v>1793</v>
      </c>
    </row>
    <row r="3093" spans="1:1">
      <c r="A3093" t="s">
        <v>1586</v>
      </c>
    </row>
    <row r="3094" spans="1:1">
      <c r="A3094" t="s">
        <v>842</v>
      </c>
    </row>
    <row r="3095" spans="1:1">
      <c r="A3095" t="s">
        <v>843</v>
      </c>
    </row>
    <row r="3096" spans="1:1">
      <c r="A3096" t="s">
        <v>1794</v>
      </c>
    </row>
    <row r="3097" spans="1:1">
      <c r="A3097" t="s">
        <v>1649</v>
      </c>
    </row>
    <row r="3098" spans="1:1">
      <c r="A3098" t="s">
        <v>1650</v>
      </c>
    </row>
    <row r="3099" spans="1:1">
      <c r="A3099" t="s">
        <v>1651</v>
      </c>
    </row>
    <row r="3100" spans="1:1">
      <c r="A3100" t="s">
        <v>1795</v>
      </c>
    </row>
    <row r="3101" spans="1:1">
      <c r="A3101" t="s">
        <v>862</v>
      </c>
    </row>
    <row r="3102" spans="1:1">
      <c r="A3102" t="s">
        <v>1796</v>
      </c>
    </row>
    <row r="3103" spans="1:1">
      <c r="A3103" t="s">
        <v>1002</v>
      </c>
    </row>
    <row r="3104" spans="1:1">
      <c r="A3104" t="s">
        <v>4660</v>
      </c>
    </row>
    <row r="3105" spans="1:1">
      <c r="A3105" t="s">
        <v>4662</v>
      </c>
    </row>
    <row r="3106" spans="1:1">
      <c r="A3106" t="s">
        <v>810</v>
      </c>
    </row>
    <row r="3107" spans="1:1">
      <c r="A3107" t="s">
        <v>811</v>
      </c>
    </row>
    <row r="3108" spans="1:1">
      <c r="A3108" t="s">
        <v>151</v>
      </c>
    </row>
    <row r="3109" spans="1:1">
      <c r="A3109" t="s">
        <v>836</v>
      </c>
    </row>
    <row r="3110" spans="1:1">
      <c r="A3110" t="s">
        <v>2008</v>
      </c>
    </row>
    <row r="3111" spans="1:1">
      <c r="A3111" t="s">
        <v>2009</v>
      </c>
    </row>
    <row r="3112" spans="1:1">
      <c r="A3112" t="s">
        <v>1894</v>
      </c>
    </row>
    <row r="3113" spans="1:1">
      <c r="A3113" t="s">
        <v>1671</v>
      </c>
    </row>
    <row r="3114" spans="1:1">
      <c r="A3114" t="s">
        <v>2010</v>
      </c>
    </row>
    <row r="3115" spans="1:1">
      <c r="A3115" t="s">
        <v>2011</v>
      </c>
    </row>
    <row r="3116" spans="1:1">
      <c r="A3116" t="s">
        <v>2012</v>
      </c>
    </row>
    <row r="3117" spans="1:1">
      <c r="A3117" t="s">
        <v>2013</v>
      </c>
    </row>
    <row r="3118" spans="1:1">
      <c r="A3118" t="s">
        <v>886</v>
      </c>
    </row>
    <row r="3119" spans="1:1">
      <c r="A3119" t="s">
        <v>1675</v>
      </c>
    </row>
    <row r="3120" spans="1:1">
      <c r="A3120" t="s">
        <v>2014</v>
      </c>
    </row>
    <row r="3121" spans="1:1">
      <c r="A3121" t="s">
        <v>2015</v>
      </c>
    </row>
    <row r="3122" spans="1:1">
      <c r="A3122" t="s">
        <v>1602</v>
      </c>
    </row>
    <row r="3123" spans="1:1">
      <c r="A3123" t="s">
        <v>2016</v>
      </c>
    </row>
    <row r="3124" spans="1:1">
      <c r="A3124" t="s">
        <v>2017</v>
      </c>
    </row>
    <row r="3125" spans="1:1">
      <c r="A3125" t="s">
        <v>2018</v>
      </c>
    </row>
    <row r="3126" spans="1:1">
      <c r="A3126" t="s">
        <v>812</v>
      </c>
    </row>
    <row r="3127" spans="1:1">
      <c r="A3127" t="s">
        <v>810</v>
      </c>
    </row>
    <row r="3128" spans="1:1">
      <c r="A3128" t="s">
        <v>811</v>
      </c>
    </row>
    <row r="3129" spans="1:1">
      <c r="A3129" t="s">
        <v>151</v>
      </c>
    </row>
    <row r="3130" spans="1:1">
      <c r="A3130" t="s">
        <v>836</v>
      </c>
    </row>
    <row r="3131" spans="1:1">
      <c r="A3131" t="s">
        <v>1797</v>
      </c>
    </row>
    <row r="3132" spans="1:1">
      <c r="A3132" t="s">
        <v>1209</v>
      </c>
    </row>
    <row r="3133" spans="1:1">
      <c r="A3133" t="s">
        <v>1210</v>
      </c>
    </row>
    <row r="3134" spans="1:1">
      <c r="A3134" t="s">
        <v>1798</v>
      </c>
    </row>
    <row r="3135" spans="1:1">
      <c r="A3135" t="s">
        <v>1799</v>
      </c>
    </row>
    <row r="3136" spans="1:1">
      <c r="A3136" t="s">
        <v>1800</v>
      </c>
    </row>
    <row r="3137" spans="1:1">
      <c r="A3137" t="s">
        <v>1152</v>
      </c>
    </row>
    <row r="3138" spans="1:1">
      <c r="A3138" t="s">
        <v>1801</v>
      </c>
    </row>
    <row r="3139" spans="1:1">
      <c r="A3139" t="s">
        <v>1216</v>
      </c>
    </row>
    <row r="3140" spans="1:1">
      <c r="A3140" t="s">
        <v>1802</v>
      </c>
    </row>
    <row r="3141" spans="1:1">
      <c r="A3141" t="s">
        <v>1803</v>
      </c>
    </row>
    <row r="3142" spans="1:1">
      <c r="A3142" t="s">
        <v>1676</v>
      </c>
    </row>
    <row r="3143" spans="1:1">
      <c r="A3143" t="s">
        <v>877</v>
      </c>
    </row>
    <row r="3144" spans="1:1">
      <c r="A3144" t="s">
        <v>878</v>
      </c>
    </row>
    <row r="3145" spans="1:1">
      <c r="A3145" t="s">
        <v>1804</v>
      </c>
    </row>
    <row r="3146" spans="1:1">
      <c r="A3146" t="s">
        <v>4663</v>
      </c>
    </row>
    <row r="3147" spans="1:1">
      <c r="A3147" t="s">
        <v>812</v>
      </c>
    </row>
    <row r="3148" spans="1:1">
      <c r="A3148" t="s">
        <v>810</v>
      </c>
    </row>
    <row r="3149" spans="1:1">
      <c r="A3149" t="s">
        <v>811</v>
      </c>
    </row>
    <row r="3150" spans="1:1">
      <c r="A3150" t="s">
        <v>151</v>
      </c>
    </row>
    <row r="3151" spans="1:1">
      <c r="A3151" t="s">
        <v>836</v>
      </c>
    </row>
    <row r="3152" spans="1:1">
      <c r="A3152" t="s">
        <v>2019</v>
      </c>
    </row>
    <row r="3153" spans="1:1">
      <c r="A3153" t="s">
        <v>838</v>
      </c>
    </row>
    <row r="3154" spans="1:1">
      <c r="A3154" t="s">
        <v>839</v>
      </c>
    </row>
    <row r="3155" spans="1:1">
      <c r="A3155" t="s">
        <v>1827</v>
      </c>
    </row>
    <row r="3156" spans="1:1">
      <c r="A3156" t="s">
        <v>1965</v>
      </c>
    </row>
    <row r="3157" spans="1:1">
      <c r="A3157" t="s">
        <v>1808</v>
      </c>
    </row>
    <row r="3158" spans="1:1">
      <c r="A3158" t="s">
        <v>2020</v>
      </c>
    </row>
    <row r="3159" spans="1:1">
      <c r="A3159" t="s">
        <v>1979</v>
      </c>
    </row>
    <row r="3160" spans="1:1">
      <c r="A3160" t="s">
        <v>2021</v>
      </c>
    </row>
    <row r="3161" spans="1:1">
      <c r="A3161" t="s">
        <v>1926</v>
      </c>
    </row>
    <row r="3162" spans="1:1">
      <c r="A3162" t="s">
        <v>1813</v>
      </c>
    </row>
    <row r="3163" spans="1:1">
      <c r="A3163" t="s">
        <v>1983</v>
      </c>
    </row>
    <row r="3164" spans="1:1">
      <c r="A3164" t="s">
        <v>862</v>
      </c>
    </row>
    <row r="3165" spans="1:1">
      <c r="A3165" t="s">
        <v>2022</v>
      </c>
    </row>
    <row r="3166" spans="1:1">
      <c r="A3166" t="s">
        <v>1002</v>
      </c>
    </row>
    <row r="3167" spans="1:1">
      <c r="A3167" t="s">
        <v>2023</v>
      </c>
    </row>
    <row r="3168" spans="1:1">
      <c r="A3168" t="s">
        <v>812</v>
      </c>
    </row>
    <row r="3169" spans="1:1">
      <c r="A3169" t="s">
        <v>810</v>
      </c>
    </row>
    <row r="3170" spans="1:1">
      <c r="A3170" t="s">
        <v>811</v>
      </c>
    </row>
    <row r="3171" spans="1:1">
      <c r="A3171" t="s">
        <v>151</v>
      </c>
    </row>
    <row r="3172" spans="1:1">
      <c r="A3172" t="s">
        <v>836</v>
      </c>
    </row>
    <row r="3173" spans="1:1">
      <c r="A3173" t="s">
        <v>1805</v>
      </c>
    </row>
    <row r="3174" spans="1:1">
      <c r="A3174" t="s">
        <v>838</v>
      </c>
    </row>
    <row r="3175" spans="1:1">
      <c r="A3175" t="s">
        <v>839</v>
      </c>
    </row>
    <row r="3176" spans="1:1">
      <c r="A3176" t="s">
        <v>1806</v>
      </c>
    </row>
    <row r="3177" spans="1:1">
      <c r="A3177" t="s">
        <v>1807</v>
      </c>
    </row>
    <row r="3178" spans="1:1">
      <c r="A3178" t="s">
        <v>1808</v>
      </c>
    </row>
    <row r="3179" spans="1:1">
      <c r="A3179" t="s">
        <v>1809</v>
      </c>
    </row>
    <row r="3180" spans="1:1">
      <c r="A3180" t="s">
        <v>1810</v>
      </c>
    </row>
    <row r="3181" spans="1:1">
      <c r="A3181" t="s">
        <v>1811</v>
      </c>
    </row>
    <row r="3182" spans="1:1">
      <c r="A3182" t="s">
        <v>1812</v>
      </c>
    </row>
    <row r="3183" spans="1:1">
      <c r="A3183" t="s">
        <v>1813</v>
      </c>
    </row>
    <row r="3184" spans="1:1">
      <c r="A3184" t="s">
        <v>1814</v>
      </c>
    </row>
    <row r="3185" spans="1:1">
      <c r="A3185" t="s">
        <v>918</v>
      </c>
    </row>
    <row r="3186" spans="1:1">
      <c r="A3186" t="s">
        <v>1815</v>
      </c>
    </row>
    <row r="3187" spans="1:1">
      <c r="A3187" t="s">
        <v>1002</v>
      </c>
    </row>
    <row r="3188" spans="1:1">
      <c r="A3188" t="s">
        <v>4664</v>
      </c>
    </row>
    <row r="3189" spans="1:1">
      <c r="A3189" t="s">
        <v>812</v>
      </c>
    </row>
    <row r="3190" spans="1:1">
      <c r="A3190" t="s">
        <v>810</v>
      </c>
    </row>
    <row r="3191" spans="1:1">
      <c r="A3191" t="s">
        <v>811</v>
      </c>
    </row>
    <row r="3192" spans="1:1">
      <c r="A3192" t="s">
        <v>151</v>
      </c>
    </row>
    <row r="3193" spans="1:1">
      <c r="A3193" t="s">
        <v>836</v>
      </c>
    </row>
    <row r="3194" spans="1:1">
      <c r="A3194" t="s">
        <v>2024</v>
      </c>
    </row>
    <row r="3195" spans="1:1">
      <c r="A3195" t="s">
        <v>838</v>
      </c>
    </row>
    <row r="3196" spans="1:1">
      <c r="A3196" t="s">
        <v>839</v>
      </c>
    </row>
    <row r="3197" spans="1:1">
      <c r="A3197" t="s">
        <v>2025</v>
      </c>
    </row>
    <row r="3198" spans="1:1">
      <c r="A3198" t="s">
        <v>2026</v>
      </c>
    </row>
    <row r="3199" spans="1:1">
      <c r="A3199" t="s">
        <v>2027</v>
      </c>
    </row>
    <row r="3200" spans="1:1">
      <c r="A3200" t="s">
        <v>2028</v>
      </c>
    </row>
    <row r="3201" spans="1:1">
      <c r="A3201" t="s">
        <v>2029</v>
      </c>
    </row>
    <row r="3202" spans="1:1">
      <c r="A3202" t="s">
        <v>2030</v>
      </c>
    </row>
    <row r="3203" spans="1:1">
      <c r="A3203" t="s">
        <v>1401</v>
      </c>
    </row>
    <row r="3204" spans="1:1">
      <c r="A3204" t="s">
        <v>2031</v>
      </c>
    </row>
    <row r="3205" spans="1:1">
      <c r="A3205" t="s">
        <v>2032</v>
      </c>
    </row>
    <row r="3206" spans="1:1">
      <c r="A3206" t="s">
        <v>862</v>
      </c>
    </row>
    <row r="3207" spans="1:1">
      <c r="A3207" t="s">
        <v>2022</v>
      </c>
    </row>
    <row r="3208" spans="1:1">
      <c r="A3208" t="s">
        <v>1002</v>
      </c>
    </row>
    <row r="3209" spans="1:1">
      <c r="A3209" t="s">
        <v>4665</v>
      </c>
    </row>
    <row r="3210" spans="1:1">
      <c r="A3210" t="s">
        <v>812</v>
      </c>
    </row>
    <row r="3211" spans="1:1">
      <c r="A3211" t="s">
        <v>810</v>
      </c>
    </row>
    <row r="3212" spans="1:1">
      <c r="A3212" t="s">
        <v>811</v>
      </c>
    </row>
    <row r="3213" spans="1:1">
      <c r="A3213" t="s">
        <v>151</v>
      </c>
    </row>
    <row r="3214" spans="1:1">
      <c r="A3214" t="s">
        <v>836</v>
      </c>
    </row>
    <row r="3215" spans="1:1">
      <c r="A3215" t="s">
        <v>1816</v>
      </c>
    </row>
    <row r="3216" spans="1:1">
      <c r="A3216" t="s">
        <v>1817</v>
      </c>
    </row>
    <row r="3217" spans="1:1">
      <c r="A3217" t="s">
        <v>1818</v>
      </c>
    </row>
    <row r="3218" spans="1:1">
      <c r="A3218" t="s">
        <v>894</v>
      </c>
    </row>
    <row r="3219" spans="1:1">
      <c r="A3219" t="s">
        <v>895</v>
      </c>
    </row>
    <row r="3220" spans="1:1">
      <c r="A3220" t="s">
        <v>1819</v>
      </c>
    </row>
    <row r="3221" spans="1:1">
      <c r="A3221" t="s">
        <v>1820</v>
      </c>
    </row>
    <row r="3222" spans="1:1">
      <c r="A3222" t="s">
        <v>1821</v>
      </c>
    </row>
    <row r="3223" spans="1:1">
      <c r="A3223" t="s">
        <v>1822</v>
      </c>
    </row>
    <row r="3224" spans="1:1">
      <c r="A3224" t="s">
        <v>1580</v>
      </c>
    </row>
    <row r="3225" spans="1:1">
      <c r="A3225" t="s">
        <v>1823</v>
      </c>
    </row>
    <row r="3226" spans="1:1">
      <c r="A3226" t="s">
        <v>1824</v>
      </c>
    </row>
    <row r="3227" spans="1:1">
      <c r="A3227" t="s">
        <v>890</v>
      </c>
    </row>
    <row r="3228" spans="1:1">
      <c r="A3228" t="s">
        <v>891</v>
      </c>
    </row>
    <row r="3229" spans="1:1">
      <c r="A3229" t="s">
        <v>1825</v>
      </c>
    </row>
    <row r="3230" spans="1:1">
      <c r="A3230" t="s">
        <v>4666</v>
      </c>
    </row>
    <row r="3231" spans="1:1">
      <c r="A3231" t="s">
        <v>812</v>
      </c>
    </row>
    <row r="3232" spans="1:1">
      <c r="A3232" t="s">
        <v>810</v>
      </c>
    </row>
    <row r="3233" spans="1:1">
      <c r="A3233" t="s">
        <v>811</v>
      </c>
    </row>
    <row r="3234" spans="1:1">
      <c r="A3234" t="s">
        <v>151</v>
      </c>
    </row>
    <row r="3235" spans="1:1">
      <c r="A3235" t="s">
        <v>836</v>
      </c>
    </row>
    <row r="3236" spans="1:1">
      <c r="A3236" t="s">
        <v>1826</v>
      </c>
    </row>
    <row r="3237" spans="1:1">
      <c r="A3237" t="s">
        <v>838</v>
      </c>
    </row>
    <row r="3238" spans="1:1">
      <c r="A3238" t="s">
        <v>839</v>
      </c>
    </row>
    <row r="3239" spans="1:1">
      <c r="A3239" t="s">
        <v>1827</v>
      </c>
    </row>
    <row r="3240" spans="1:1">
      <c r="A3240" t="s">
        <v>1828</v>
      </c>
    </row>
    <row r="3241" spans="1:1">
      <c r="A3241" t="s">
        <v>1829</v>
      </c>
    </row>
    <row r="3242" spans="1:1">
      <c r="A3242" t="s">
        <v>1152</v>
      </c>
    </row>
    <row r="3243" spans="1:1">
      <c r="A3243" t="s">
        <v>1830</v>
      </c>
    </row>
    <row r="3244" spans="1:1">
      <c r="A3244" t="s">
        <v>897</v>
      </c>
    </row>
    <row r="3245" spans="1:1">
      <c r="A3245" t="s">
        <v>1666</v>
      </c>
    </row>
    <row r="3246" spans="1:1">
      <c r="A3246" t="s">
        <v>1466</v>
      </c>
    </row>
    <row r="3247" spans="1:1">
      <c r="A3247" t="s">
        <v>1831</v>
      </c>
    </row>
    <row r="3248" spans="1:1">
      <c r="A3248" t="s">
        <v>890</v>
      </c>
    </row>
    <row r="3249" spans="1:1">
      <c r="A3249" t="s">
        <v>891</v>
      </c>
    </row>
    <row r="3250" spans="1:1">
      <c r="A3250" t="s">
        <v>1002</v>
      </c>
    </row>
    <row r="3251" spans="1:1">
      <c r="A3251" t="s">
        <v>4667</v>
      </c>
    </row>
    <row r="3252" spans="1:1">
      <c r="A3252" t="s">
        <v>812</v>
      </c>
    </row>
    <row r="3253" spans="1:1">
      <c r="A3253" t="s">
        <v>810</v>
      </c>
    </row>
    <row r="3254" spans="1:1">
      <c r="A3254" t="s">
        <v>811</v>
      </c>
    </row>
    <row r="3255" spans="1:1">
      <c r="A3255" t="s">
        <v>151</v>
      </c>
    </row>
    <row r="3256" spans="1:1">
      <c r="A3256" t="s">
        <v>836</v>
      </c>
    </row>
    <row r="3257" spans="1:1">
      <c r="A3257" t="s">
        <v>1832</v>
      </c>
    </row>
    <row r="3258" spans="1:1">
      <c r="A3258" t="s">
        <v>1833</v>
      </c>
    </row>
    <row r="3259" spans="1:1">
      <c r="A3259" t="s">
        <v>1413</v>
      </c>
    </row>
    <row r="3260" spans="1:1">
      <c r="A3260" t="s">
        <v>894</v>
      </c>
    </row>
    <row r="3261" spans="1:1">
      <c r="A3261" t="s">
        <v>895</v>
      </c>
    </row>
    <row r="3262" spans="1:1">
      <c r="A3262" t="s">
        <v>842</v>
      </c>
    </row>
    <row r="3263" spans="1:1">
      <c r="A3263" t="s">
        <v>843</v>
      </c>
    </row>
    <row r="3264" spans="1:1">
      <c r="A3264" t="s">
        <v>1834</v>
      </c>
    </row>
    <row r="3265" spans="1:1">
      <c r="A3265" t="s">
        <v>1835</v>
      </c>
    </row>
    <row r="3266" spans="1:1">
      <c r="A3266" t="s">
        <v>898</v>
      </c>
    </row>
    <row r="3267" spans="1:1">
      <c r="A3267" t="s">
        <v>899</v>
      </c>
    </row>
    <row r="3268" spans="1:1">
      <c r="A3268" t="s">
        <v>1836</v>
      </c>
    </row>
    <row r="3269" spans="1:1">
      <c r="A3269" t="s">
        <v>1233</v>
      </c>
    </row>
    <row r="3270" spans="1:1">
      <c r="A3270" t="s">
        <v>1220</v>
      </c>
    </row>
    <row r="3271" spans="1:1">
      <c r="A3271" t="s">
        <v>1002</v>
      </c>
    </row>
    <row r="3272" spans="1:1">
      <c r="A3272" t="s">
        <v>4668</v>
      </c>
    </row>
    <row r="3273" spans="1:1">
      <c r="A3273" t="s">
        <v>812</v>
      </c>
    </row>
    <row r="3274" spans="1:1">
      <c r="A3274" t="s">
        <v>810</v>
      </c>
    </row>
    <row r="3275" spans="1:1">
      <c r="A3275" t="s">
        <v>811</v>
      </c>
    </row>
    <row r="3276" spans="1:1">
      <c r="A3276" t="s">
        <v>151</v>
      </c>
    </row>
    <row r="3277" spans="1:1">
      <c r="A3277" t="s">
        <v>836</v>
      </c>
    </row>
    <row r="3278" spans="1:1">
      <c r="A3278" t="s">
        <v>1837</v>
      </c>
    </row>
    <row r="3279" spans="1:1">
      <c r="A3279" t="s">
        <v>838</v>
      </c>
    </row>
    <row r="3280" spans="1:1">
      <c r="A3280" t="s">
        <v>839</v>
      </c>
    </row>
    <row r="3281" spans="1:1">
      <c r="A3281" t="s">
        <v>894</v>
      </c>
    </row>
    <row r="3282" spans="1:1">
      <c r="A3282" t="s">
        <v>895</v>
      </c>
    </row>
    <row r="3283" spans="1:1">
      <c r="A3283" t="s">
        <v>842</v>
      </c>
    </row>
    <row r="3284" spans="1:1">
      <c r="A3284" t="s">
        <v>843</v>
      </c>
    </row>
    <row r="3285" spans="1:1">
      <c r="A3285" t="s">
        <v>896</v>
      </c>
    </row>
    <row r="3286" spans="1:1">
      <c r="A3286" t="s">
        <v>897</v>
      </c>
    </row>
    <row r="3287" spans="1:1">
      <c r="A3287" t="s">
        <v>898</v>
      </c>
    </row>
    <row r="3288" spans="1:1">
      <c r="A3288" t="s">
        <v>899</v>
      </c>
    </row>
    <row r="3289" spans="1:1">
      <c r="A3289" t="s">
        <v>900</v>
      </c>
    </row>
    <row r="3290" spans="1:1">
      <c r="A3290" t="s">
        <v>862</v>
      </c>
    </row>
    <row r="3291" spans="1:1">
      <c r="A3291" t="s">
        <v>1544</v>
      </c>
    </row>
    <row r="3292" spans="1:1">
      <c r="A3292" t="s">
        <v>1002</v>
      </c>
    </row>
    <row r="3293" spans="1:1">
      <c r="A3293" t="s">
        <v>4669</v>
      </c>
    </row>
    <row r="3294" spans="1:1">
      <c r="A3294" t="s">
        <v>4670</v>
      </c>
    </row>
    <row r="3295" spans="1:1">
      <c r="A3295" t="s">
        <v>810</v>
      </c>
    </row>
    <row r="3296" spans="1:1">
      <c r="A3296" t="s">
        <v>811</v>
      </c>
    </row>
    <row r="3297" spans="1:1">
      <c r="A3297" t="s">
        <v>151</v>
      </c>
    </row>
    <row r="3298" spans="1:1">
      <c r="A3298" t="s">
        <v>836</v>
      </c>
    </row>
    <row r="3299" spans="1:1">
      <c r="A3299" t="s">
        <v>1837</v>
      </c>
    </row>
    <row r="3300" spans="1:1">
      <c r="A3300" t="s">
        <v>838</v>
      </c>
    </row>
    <row r="3301" spans="1:1">
      <c r="A3301" t="s">
        <v>839</v>
      </c>
    </row>
    <row r="3302" spans="1:1">
      <c r="A3302" t="s">
        <v>894</v>
      </c>
    </row>
    <row r="3303" spans="1:1">
      <c r="A3303" t="s">
        <v>895</v>
      </c>
    </row>
    <row r="3304" spans="1:1">
      <c r="A3304" t="s">
        <v>842</v>
      </c>
    </row>
    <row r="3305" spans="1:1">
      <c r="A3305" t="s">
        <v>843</v>
      </c>
    </row>
    <row r="3306" spans="1:1">
      <c r="A3306" t="s">
        <v>896</v>
      </c>
    </row>
    <row r="3307" spans="1:1">
      <c r="A3307" t="s">
        <v>897</v>
      </c>
    </row>
    <row r="3308" spans="1:1">
      <c r="A3308" t="s">
        <v>898</v>
      </c>
    </row>
    <row r="3309" spans="1:1">
      <c r="A3309" t="s">
        <v>899</v>
      </c>
    </row>
    <row r="3310" spans="1:1">
      <c r="A3310" t="s">
        <v>900</v>
      </c>
    </row>
    <row r="3311" spans="1:1">
      <c r="A3311" t="s">
        <v>862</v>
      </c>
    </row>
    <row r="3312" spans="1:1">
      <c r="A3312" t="s">
        <v>1544</v>
      </c>
    </row>
    <row r="3313" spans="1:1">
      <c r="A3313" t="s">
        <v>4671</v>
      </c>
    </row>
    <row r="3314" spans="1:1">
      <c r="A3314" t="s">
        <v>4669</v>
      </c>
    </row>
    <row r="3315" spans="1:1">
      <c r="A3315" t="s">
        <v>4672</v>
      </c>
    </row>
    <row r="3316" spans="1:1">
      <c r="A3316" t="s">
        <v>810</v>
      </c>
    </row>
    <row r="3317" spans="1:1">
      <c r="A3317" t="s">
        <v>811</v>
      </c>
    </row>
    <row r="3318" spans="1:1">
      <c r="A3318" t="s">
        <v>151</v>
      </c>
    </row>
    <row r="3319" spans="1:1">
      <c r="A3319" t="s">
        <v>836</v>
      </c>
    </row>
    <row r="3320" spans="1:1">
      <c r="A3320" t="s">
        <v>4673</v>
      </c>
    </row>
    <row r="3321" spans="1:1">
      <c r="A3321" t="s">
        <v>838</v>
      </c>
    </row>
    <row r="3322" spans="1:1">
      <c r="A3322" t="s">
        <v>839</v>
      </c>
    </row>
    <row r="3323" spans="1:1">
      <c r="A3323" t="s">
        <v>894</v>
      </c>
    </row>
    <row r="3324" spans="1:1">
      <c r="A3324" t="s">
        <v>895</v>
      </c>
    </row>
    <row r="3325" spans="1:1">
      <c r="A3325" t="s">
        <v>842</v>
      </c>
    </row>
    <row r="3326" spans="1:1">
      <c r="A3326" t="s">
        <v>843</v>
      </c>
    </row>
    <row r="3327" spans="1:1">
      <c r="A3327" t="s">
        <v>896</v>
      </c>
    </row>
    <row r="3328" spans="1:1">
      <c r="A3328" t="s">
        <v>897</v>
      </c>
    </row>
    <row r="3329" spans="1:1">
      <c r="A3329" t="s">
        <v>898</v>
      </c>
    </row>
    <row r="3330" spans="1:1">
      <c r="A3330" t="s">
        <v>899</v>
      </c>
    </row>
    <row r="3331" spans="1:1">
      <c r="A3331" t="s">
        <v>900</v>
      </c>
    </row>
    <row r="3332" spans="1:1">
      <c r="A3332" t="s">
        <v>4674</v>
      </c>
    </row>
    <row r="3333" spans="1:1">
      <c r="A3333" t="s">
        <v>1508</v>
      </c>
    </row>
    <row r="3334" spans="1:1">
      <c r="A3334" t="s">
        <v>1002</v>
      </c>
    </row>
    <row r="3335" spans="1:1">
      <c r="A3335" t="s">
        <v>4675</v>
      </c>
    </row>
    <row r="3336" spans="1:1">
      <c r="A3336" t="s">
        <v>812</v>
      </c>
    </row>
    <row r="3337" spans="1:1">
      <c r="A3337" t="s">
        <v>810</v>
      </c>
    </row>
    <row r="3338" spans="1:1">
      <c r="A3338" t="s">
        <v>811</v>
      </c>
    </row>
    <row r="3339" spans="1:1">
      <c r="A3339" t="s">
        <v>151</v>
      </c>
    </row>
    <row r="3340" spans="1:1">
      <c r="A3340" t="s">
        <v>836</v>
      </c>
    </row>
    <row r="3341" spans="1:1">
      <c r="A3341" t="s">
        <v>1838</v>
      </c>
    </row>
    <row r="3342" spans="1:1">
      <c r="A3342" t="s">
        <v>1839</v>
      </c>
    </row>
    <row r="3343" spans="1:1">
      <c r="A3343" t="s">
        <v>1840</v>
      </c>
    </row>
    <row r="3344" spans="1:1">
      <c r="A3344" t="s">
        <v>1841</v>
      </c>
    </row>
    <row r="3345" spans="1:1">
      <c r="A3345" t="s">
        <v>1842</v>
      </c>
    </row>
    <row r="3346" spans="1:1">
      <c r="A3346" t="s">
        <v>842</v>
      </c>
    </row>
    <row r="3347" spans="1:1">
      <c r="A3347" t="s">
        <v>843</v>
      </c>
    </row>
    <row r="3348" spans="1:1">
      <c r="A3348" t="s">
        <v>1843</v>
      </c>
    </row>
    <row r="3349" spans="1:1">
      <c r="A3349" t="s">
        <v>986</v>
      </c>
    </row>
    <row r="3350" spans="1:1">
      <c r="A3350" t="s">
        <v>1844</v>
      </c>
    </row>
    <row r="3351" spans="1:1">
      <c r="A3351" t="s">
        <v>1845</v>
      </c>
    </row>
    <row r="3352" spans="1:1">
      <c r="A3352" t="s">
        <v>1846</v>
      </c>
    </row>
    <row r="3353" spans="1:1">
      <c r="A3353" t="s">
        <v>918</v>
      </c>
    </row>
    <row r="3354" spans="1:1">
      <c r="A3354" t="s">
        <v>1551</v>
      </c>
    </row>
    <row r="3355" spans="1:1">
      <c r="A3355" t="s">
        <v>1002</v>
      </c>
    </row>
    <row r="3356" spans="1:1">
      <c r="A3356" t="s">
        <v>4676</v>
      </c>
    </row>
    <row r="3357" spans="1:1">
      <c r="A3357" t="s">
        <v>812</v>
      </c>
    </row>
    <row r="3358" spans="1:1">
      <c r="A3358" t="s">
        <v>810</v>
      </c>
    </row>
    <row r="3359" spans="1:1">
      <c r="A3359" t="s">
        <v>811</v>
      </c>
    </row>
    <row r="3360" spans="1:1">
      <c r="A3360" t="s">
        <v>151</v>
      </c>
    </row>
    <row r="3361" spans="1:1">
      <c r="A3361" t="s">
        <v>836</v>
      </c>
    </row>
    <row r="3362" spans="1:1">
      <c r="A3362" t="s">
        <v>1847</v>
      </c>
    </row>
    <row r="3363" spans="1:1">
      <c r="A3363" t="s">
        <v>838</v>
      </c>
    </row>
    <row r="3364" spans="1:1">
      <c r="A3364" t="s">
        <v>839</v>
      </c>
    </row>
    <row r="3365" spans="1:1">
      <c r="A3365" t="s">
        <v>894</v>
      </c>
    </row>
    <row r="3366" spans="1:1">
      <c r="A3366" t="s">
        <v>895</v>
      </c>
    </row>
    <row r="3367" spans="1:1">
      <c r="A3367" t="s">
        <v>1848</v>
      </c>
    </row>
    <row r="3368" spans="1:1">
      <c r="A3368" t="s">
        <v>1849</v>
      </c>
    </row>
    <row r="3369" spans="1:1">
      <c r="A3369" t="s">
        <v>1850</v>
      </c>
    </row>
    <row r="3370" spans="1:1">
      <c r="A3370" t="s">
        <v>1851</v>
      </c>
    </row>
    <row r="3371" spans="1:1">
      <c r="A3371" t="s">
        <v>1852</v>
      </c>
    </row>
    <row r="3372" spans="1:1">
      <c r="A3372" t="s">
        <v>1853</v>
      </c>
    </row>
    <row r="3373" spans="1:1">
      <c r="A3373" t="s">
        <v>1854</v>
      </c>
    </row>
    <row r="3374" spans="1:1">
      <c r="A3374" t="s">
        <v>1602</v>
      </c>
    </row>
    <row r="3375" spans="1:1">
      <c r="A3375" t="s">
        <v>1551</v>
      </c>
    </row>
    <row r="3376" spans="1:1">
      <c r="A3376" t="s">
        <v>1002</v>
      </c>
    </row>
    <row r="3377" spans="1:1">
      <c r="A3377" t="s">
        <v>1855</v>
      </c>
    </row>
    <row r="3378" spans="1:1">
      <c r="A3378" t="s">
        <v>812</v>
      </c>
    </row>
    <row r="3379" spans="1:1">
      <c r="A3379" t="s">
        <v>810</v>
      </c>
    </row>
    <row r="3380" spans="1:1">
      <c r="A3380" t="s">
        <v>811</v>
      </c>
    </row>
    <row r="3381" spans="1:1">
      <c r="A3381" t="s">
        <v>151</v>
      </c>
    </row>
    <row r="3382" spans="1:1">
      <c r="A3382" t="s">
        <v>836</v>
      </c>
    </row>
    <row r="3383" spans="1:1">
      <c r="A3383" t="s">
        <v>1856</v>
      </c>
    </row>
    <row r="3384" spans="1:1">
      <c r="A3384" t="s">
        <v>1857</v>
      </c>
    </row>
    <row r="3385" spans="1:1">
      <c r="A3385" t="s">
        <v>1858</v>
      </c>
    </row>
    <row r="3386" spans="1:1">
      <c r="A3386" t="s">
        <v>1859</v>
      </c>
    </row>
    <row r="3387" spans="1:1">
      <c r="A3387" t="s">
        <v>1860</v>
      </c>
    </row>
    <row r="3388" spans="1:1">
      <c r="A3388" t="s">
        <v>1861</v>
      </c>
    </row>
    <row r="3389" spans="1:1">
      <c r="A3389" t="s">
        <v>1862</v>
      </c>
    </row>
    <row r="3390" spans="1:1">
      <c r="A3390" t="s">
        <v>1810</v>
      </c>
    </row>
    <row r="3391" spans="1:1">
      <c r="A3391" t="s">
        <v>1863</v>
      </c>
    </row>
    <row r="3392" spans="1:1">
      <c r="A3392" t="s">
        <v>1864</v>
      </c>
    </row>
    <row r="3393" spans="1:1">
      <c r="A3393" t="s">
        <v>1865</v>
      </c>
    </row>
    <row r="3394" spans="1:1">
      <c r="A3394" t="s">
        <v>1814</v>
      </c>
    </row>
    <row r="3395" spans="1:1">
      <c r="A3395" t="s">
        <v>1703</v>
      </c>
    </row>
    <row r="3396" spans="1:1">
      <c r="A3396" t="s">
        <v>1521</v>
      </c>
    </row>
    <row r="3397" spans="1:1">
      <c r="A3397" t="s">
        <v>1002</v>
      </c>
    </row>
    <row r="3398" spans="1:1">
      <c r="A3398" t="s">
        <v>4677</v>
      </c>
    </row>
    <row r="3399" spans="1:1">
      <c r="A3399" t="s">
        <v>812</v>
      </c>
    </row>
    <row r="3400" spans="1:1">
      <c r="A3400" t="s">
        <v>810</v>
      </c>
    </row>
    <row r="3401" spans="1:1">
      <c r="A3401" t="s">
        <v>811</v>
      </c>
    </row>
    <row r="3402" spans="1:1">
      <c r="A3402" t="s">
        <v>151</v>
      </c>
    </row>
    <row r="3403" spans="1:1">
      <c r="A3403" t="s">
        <v>836</v>
      </c>
    </row>
    <row r="3404" spans="1:1">
      <c r="A3404" t="s">
        <v>1866</v>
      </c>
    </row>
    <row r="3405" spans="1:1">
      <c r="A3405" t="s">
        <v>1867</v>
      </c>
    </row>
    <row r="3406" spans="1:1">
      <c r="A3406" t="s">
        <v>1868</v>
      </c>
    </row>
    <row r="3407" spans="1:1">
      <c r="A3407" t="s">
        <v>1869</v>
      </c>
    </row>
    <row r="3408" spans="1:1">
      <c r="A3408" t="s">
        <v>1870</v>
      </c>
    </row>
    <row r="3409" spans="1:1">
      <c r="A3409" t="s">
        <v>842</v>
      </c>
    </row>
    <row r="3410" spans="1:1">
      <c r="A3410" t="s">
        <v>843</v>
      </c>
    </row>
    <row r="3411" spans="1:1">
      <c r="A3411" t="s">
        <v>1871</v>
      </c>
    </row>
    <row r="3412" spans="1:1">
      <c r="A3412" t="s">
        <v>1872</v>
      </c>
    </row>
    <row r="3413" spans="1:1">
      <c r="A3413" t="s">
        <v>1873</v>
      </c>
    </row>
    <row r="3414" spans="1:1">
      <c r="A3414" t="s">
        <v>1874</v>
      </c>
    </row>
    <row r="3415" spans="1:1">
      <c r="A3415" t="s">
        <v>1875</v>
      </c>
    </row>
    <row r="3416" spans="1:1">
      <c r="A3416" t="s">
        <v>918</v>
      </c>
    </row>
    <row r="3417" spans="1:1">
      <c r="A3417" t="s">
        <v>1815</v>
      </c>
    </row>
    <row r="3418" spans="1:1">
      <c r="A3418" t="s">
        <v>1002</v>
      </c>
    </row>
    <row r="3419" spans="1:1">
      <c r="A3419" t="s">
        <v>4678</v>
      </c>
    </row>
    <row r="3420" spans="1:1">
      <c r="A3420" t="s">
        <v>812</v>
      </c>
    </row>
    <row r="3421" spans="1:1">
      <c r="A3421" t="s">
        <v>810</v>
      </c>
    </row>
    <row r="3422" spans="1:1">
      <c r="A3422" t="s">
        <v>811</v>
      </c>
    </row>
    <row r="3423" spans="1:1">
      <c r="A3423" t="s">
        <v>151</v>
      </c>
    </row>
    <row r="3424" spans="1:1">
      <c r="A3424" t="s">
        <v>836</v>
      </c>
    </row>
    <row r="3425" spans="1:1">
      <c r="A3425" t="s">
        <v>1876</v>
      </c>
    </row>
    <row r="3426" spans="1:1">
      <c r="A3426" t="s">
        <v>838</v>
      </c>
    </row>
    <row r="3427" spans="1:1">
      <c r="A3427" t="s">
        <v>839</v>
      </c>
    </row>
    <row r="3428" spans="1:1">
      <c r="A3428" t="s">
        <v>1798</v>
      </c>
    </row>
    <row r="3429" spans="1:1">
      <c r="A3429" t="s">
        <v>1877</v>
      </c>
    </row>
    <row r="3430" spans="1:1">
      <c r="A3430" t="s">
        <v>1878</v>
      </c>
    </row>
    <row r="3431" spans="1:1">
      <c r="A3431" t="s">
        <v>1879</v>
      </c>
    </row>
    <row r="3432" spans="1:1">
      <c r="A3432" t="s">
        <v>885</v>
      </c>
    </row>
    <row r="3433" spans="1:1">
      <c r="A3433" t="s">
        <v>1880</v>
      </c>
    </row>
    <row r="3434" spans="1:1">
      <c r="A3434" t="s">
        <v>1802</v>
      </c>
    </row>
    <row r="3435" spans="1:1">
      <c r="A3435" t="s">
        <v>1742</v>
      </c>
    </row>
    <row r="3436" spans="1:1">
      <c r="A3436" t="s">
        <v>889</v>
      </c>
    </row>
    <row r="3437" spans="1:1">
      <c r="A3437" t="s">
        <v>1243</v>
      </c>
    </row>
    <row r="3438" spans="1:1">
      <c r="A3438" t="s">
        <v>1316</v>
      </c>
    </row>
    <row r="3439" spans="1:1">
      <c r="A3439" t="s">
        <v>1002</v>
      </c>
    </row>
    <row r="3440" spans="1:1">
      <c r="A3440" t="s">
        <v>4679</v>
      </c>
    </row>
    <row r="3441" spans="1:1">
      <c r="A3441" t="s">
        <v>812</v>
      </c>
    </row>
    <row r="3442" spans="1:1">
      <c r="A3442" t="s">
        <v>810</v>
      </c>
    </row>
    <row r="3443" spans="1:1">
      <c r="A3443" t="s">
        <v>811</v>
      </c>
    </row>
    <row r="3444" spans="1:1">
      <c r="A3444" t="s">
        <v>151</v>
      </c>
    </row>
    <row r="3445" spans="1:1">
      <c r="A3445" t="s">
        <v>836</v>
      </c>
    </row>
    <row r="3446" spans="1:1">
      <c r="A3446" t="s">
        <v>1881</v>
      </c>
    </row>
    <row r="3447" spans="1:1">
      <c r="A3447" t="s">
        <v>838</v>
      </c>
    </row>
    <row r="3448" spans="1:1">
      <c r="A3448" t="s">
        <v>839</v>
      </c>
    </row>
    <row r="3449" spans="1:1">
      <c r="A3449" t="s">
        <v>894</v>
      </c>
    </row>
    <row r="3450" spans="1:1">
      <c r="A3450" t="s">
        <v>895</v>
      </c>
    </row>
    <row r="3451" spans="1:1">
      <c r="A3451" t="s">
        <v>842</v>
      </c>
    </row>
    <row r="3452" spans="1:1">
      <c r="A3452" t="s">
        <v>843</v>
      </c>
    </row>
    <row r="3453" spans="1:1">
      <c r="A3453" t="s">
        <v>896</v>
      </c>
    </row>
    <row r="3454" spans="1:1">
      <c r="A3454" t="s">
        <v>897</v>
      </c>
    </row>
    <row r="3455" spans="1:1">
      <c r="A3455" t="s">
        <v>898</v>
      </c>
    </row>
    <row r="3456" spans="1:1">
      <c r="A3456" t="s">
        <v>899</v>
      </c>
    </row>
    <row r="3457" spans="1:1">
      <c r="A3457" t="s">
        <v>900</v>
      </c>
    </row>
    <row r="3458" spans="1:1">
      <c r="A3458" t="s">
        <v>901</v>
      </c>
    </row>
    <row r="3459" spans="1:1">
      <c r="A3459" t="s">
        <v>902</v>
      </c>
    </row>
    <row r="3460" spans="1:1">
      <c r="A3460" t="s">
        <v>1882</v>
      </c>
    </row>
    <row r="3461" spans="1:1">
      <c r="A3461" t="s">
        <v>4680</v>
      </c>
    </row>
    <row r="3462" spans="1:1">
      <c r="A3462" t="s">
        <v>812</v>
      </c>
    </row>
    <row r="3463" spans="1:1">
      <c r="A3463" t="s">
        <v>810</v>
      </c>
    </row>
    <row r="3464" spans="1:1">
      <c r="A3464" t="s">
        <v>811</v>
      </c>
    </row>
    <row r="3465" spans="1:1">
      <c r="A3465" t="s">
        <v>151</v>
      </c>
    </row>
    <row r="3466" spans="1:1">
      <c r="A3466" t="s">
        <v>836</v>
      </c>
    </row>
    <row r="3467" spans="1:1">
      <c r="A3467" t="s">
        <v>1883</v>
      </c>
    </row>
    <row r="3468" spans="1:1">
      <c r="A3468" t="s">
        <v>1884</v>
      </c>
    </row>
    <row r="3469" spans="1:1">
      <c r="A3469" t="s">
        <v>1885</v>
      </c>
    </row>
    <row r="3470" spans="1:1">
      <c r="A3470" t="s">
        <v>1886</v>
      </c>
    </row>
    <row r="3471" spans="1:1">
      <c r="A3471" t="s">
        <v>1887</v>
      </c>
    </row>
    <row r="3472" spans="1:1">
      <c r="A3472" t="s">
        <v>842</v>
      </c>
    </row>
    <row r="3473" spans="1:1">
      <c r="A3473" t="s">
        <v>843</v>
      </c>
    </row>
    <row r="3474" spans="1:1">
      <c r="A3474" t="s">
        <v>1888</v>
      </c>
    </row>
    <row r="3475" spans="1:1">
      <c r="A3475" t="s">
        <v>1154</v>
      </c>
    </row>
    <row r="3476" spans="1:1">
      <c r="A3476" t="s">
        <v>1889</v>
      </c>
    </row>
    <row r="3477" spans="1:1">
      <c r="A3477" t="s">
        <v>1890</v>
      </c>
    </row>
    <row r="3478" spans="1:1">
      <c r="A3478" t="s">
        <v>1891</v>
      </c>
    </row>
    <row r="3479" spans="1:1">
      <c r="A3479" t="s">
        <v>877</v>
      </c>
    </row>
    <row r="3480" spans="1:1">
      <c r="A3480" t="s">
        <v>878</v>
      </c>
    </row>
    <row r="3481" spans="1:1">
      <c r="A3481" t="s">
        <v>1002</v>
      </c>
    </row>
    <row r="3482" spans="1:1">
      <c r="A3482" t="s">
        <v>4681</v>
      </c>
    </row>
    <row r="3483" spans="1:1">
      <c r="A3483" t="s">
        <v>812</v>
      </c>
    </row>
    <row r="3484" spans="1:1">
      <c r="A3484" t="s">
        <v>810</v>
      </c>
    </row>
    <row r="3485" spans="1:1">
      <c r="A3485" t="s">
        <v>811</v>
      </c>
    </row>
    <row r="3486" spans="1:1">
      <c r="A3486" t="s">
        <v>151</v>
      </c>
    </row>
    <row r="3487" spans="1:1">
      <c r="A3487" t="s">
        <v>836</v>
      </c>
    </row>
    <row r="3488" spans="1:1">
      <c r="A3488" t="s">
        <v>1892</v>
      </c>
    </row>
    <row r="3489" spans="1:1">
      <c r="A3489" t="s">
        <v>1893</v>
      </c>
    </row>
    <row r="3490" spans="1:1">
      <c r="A3490" t="s">
        <v>1894</v>
      </c>
    </row>
    <row r="3491" spans="1:1">
      <c r="A3491" t="s">
        <v>1895</v>
      </c>
    </row>
    <row r="3492" spans="1:1">
      <c r="A3492" t="s">
        <v>1638</v>
      </c>
    </row>
    <row r="3493" spans="1:1">
      <c r="A3493" t="s">
        <v>842</v>
      </c>
    </row>
    <row r="3494" spans="1:1">
      <c r="A3494" t="s">
        <v>843</v>
      </c>
    </row>
    <row r="3495" spans="1:1">
      <c r="A3495" t="s">
        <v>1896</v>
      </c>
    </row>
    <row r="3496" spans="1:1">
      <c r="A3496" t="s">
        <v>1851</v>
      </c>
    </row>
    <row r="3497" spans="1:1">
      <c r="A3497" t="s">
        <v>1897</v>
      </c>
    </row>
    <row r="3498" spans="1:1">
      <c r="A3498" t="s">
        <v>1898</v>
      </c>
    </row>
    <row r="3499" spans="1:1">
      <c r="A3499" t="s">
        <v>1899</v>
      </c>
    </row>
    <row r="3500" spans="1:1">
      <c r="A3500" t="s">
        <v>1367</v>
      </c>
    </row>
    <row r="3501" spans="1:1">
      <c r="A3501" t="s">
        <v>1686</v>
      </c>
    </row>
    <row r="3502" spans="1:1">
      <c r="A3502" t="s">
        <v>1002</v>
      </c>
    </row>
    <row r="3503" spans="1:1">
      <c r="A3503" t="s">
        <v>1900</v>
      </c>
    </row>
    <row r="3504" spans="1:1">
      <c r="A3504" t="s">
        <v>812</v>
      </c>
    </row>
    <row r="3505" spans="1:1">
      <c r="A3505" t="s">
        <v>810</v>
      </c>
    </row>
    <row r="3506" spans="1:1">
      <c r="A3506" t="s">
        <v>811</v>
      </c>
    </row>
    <row r="3507" spans="1:1">
      <c r="A3507" t="s">
        <v>151</v>
      </c>
    </row>
    <row r="3508" spans="1:1">
      <c r="A3508" t="s">
        <v>836</v>
      </c>
    </row>
    <row r="3509" spans="1:1">
      <c r="A3509" t="s">
        <v>1901</v>
      </c>
    </row>
    <row r="3510" spans="1:1">
      <c r="A3510" t="s">
        <v>838</v>
      </c>
    </row>
    <row r="3511" spans="1:1">
      <c r="A3511" t="s">
        <v>839</v>
      </c>
    </row>
    <row r="3512" spans="1:1">
      <c r="A3512" t="s">
        <v>894</v>
      </c>
    </row>
    <row r="3513" spans="1:1">
      <c r="A3513" t="s">
        <v>895</v>
      </c>
    </row>
    <row r="3514" spans="1:1">
      <c r="A3514" t="s">
        <v>842</v>
      </c>
    </row>
    <row r="3515" spans="1:1">
      <c r="A3515" t="s">
        <v>843</v>
      </c>
    </row>
    <row r="3516" spans="1:1">
      <c r="A3516" t="s">
        <v>896</v>
      </c>
    </row>
    <row r="3517" spans="1:1">
      <c r="A3517" t="s">
        <v>897</v>
      </c>
    </row>
    <row r="3518" spans="1:1">
      <c r="A3518" t="s">
        <v>898</v>
      </c>
    </row>
    <row r="3519" spans="1:1">
      <c r="A3519" t="s">
        <v>899</v>
      </c>
    </row>
    <row r="3520" spans="1:1">
      <c r="A3520" t="s">
        <v>900</v>
      </c>
    </row>
    <row r="3521" spans="1:1">
      <c r="A3521" t="s">
        <v>901</v>
      </c>
    </row>
    <row r="3522" spans="1:1">
      <c r="A3522" t="s">
        <v>902</v>
      </c>
    </row>
    <row r="3523" spans="1:1">
      <c r="A3523" t="s">
        <v>1902</v>
      </c>
    </row>
    <row r="3524" spans="1:1">
      <c r="A3524" t="s">
        <v>4682</v>
      </c>
    </row>
    <row r="3525" spans="1:1">
      <c r="A3525" t="s">
        <v>812</v>
      </c>
    </row>
    <row r="3526" spans="1:1">
      <c r="A3526" t="s">
        <v>810</v>
      </c>
    </row>
    <row r="3527" spans="1:1">
      <c r="A3527" t="s">
        <v>811</v>
      </c>
    </row>
    <row r="3528" spans="1:1">
      <c r="A3528" t="s">
        <v>151</v>
      </c>
    </row>
    <row r="3529" spans="1:1">
      <c r="A3529" t="s">
        <v>836</v>
      </c>
    </row>
    <row r="3530" spans="1:1">
      <c r="A3530" t="s">
        <v>1903</v>
      </c>
    </row>
    <row r="3531" spans="1:1">
      <c r="A3531" t="s">
        <v>838</v>
      </c>
    </row>
    <row r="3532" spans="1:1">
      <c r="A3532" t="s">
        <v>839</v>
      </c>
    </row>
    <row r="3533" spans="1:1">
      <c r="A3533" t="s">
        <v>1904</v>
      </c>
    </row>
    <row r="3534" spans="1:1">
      <c r="A3534" t="s">
        <v>1905</v>
      </c>
    </row>
    <row r="3535" spans="1:1">
      <c r="A3535" t="s">
        <v>1906</v>
      </c>
    </row>
    <row r="3536" spans="1:1">
      <c r="A3536" t="s">
        <v>1907</v>
      </c>
    </row>
    <row r="3537" spans="1:1">
      <c r="A3537" t="s">
        <v>1698</v>
      </c>
    </row>
    <row r="3538" spans="1:1">
      <c r="A3538" t="s">
        <v>1908</v>
      </c>
    </row>
    <row r="3539" spans="1:1">
      <c r="A3539" t="s">
        <v>1909</v>
      </c>
    </row>
    <row r="3540" spans="1:1">
      <c r="A3540" t="s">
        <v>1314</v>
      </c>
    </row>
    <row r="3541" spans="1:1">
      <c r="A3541" t="s">
        <v>1702</v>
      </c>
    </row>
    <row r="3542" spans="1:1">
      <c r="A3542" t="s">
        <v>862</v>
      </c>
    </row>
    <row r="3543" spans="1:1">
      <c r="A3543" t="s">
        <v>1544</v>
      </c>
    </row>
    <row r="3544" spans="1:1">
      <c r="A3544" t="s">
        <v>1002</v>
      </c>
    </row>
    <row r="3545" spans="1:1">
      <c r="A3545" t="s">
        <v>4683</v>
      </c>
    </row>
    <row r="3546" spans="1:1">
      <c r="A3546" t="s">
        <v>812</v>
      </c>
    </row>
    <row r="3547" spans="1:1">
      <c r="A3547" t="s">
        <v>810</v>
      </c>
    </row>
    <row r="3548" spans="1:1">
      <c r="A3548" t="s">
        <v>811</v>
      </c>
    </row>
    <row r="3549" spans="1:1">
      <c r="A3549" t="s">
        <v>151</v>
      </c>
    </row>
    <row r="3550" spans="1:1">
      <c r="A3550" t="s">
        <v>836</v>
      </c>
    </row>
    <row r="3551" spans="1:1">
      <c r="A3551" t="s">
        <v>1910</v>
      </c>
    </row>
    <row r="3552" spans="1:1">
      <c r="A3552" t="s">
        <v>1911</v>
      </c>
    </row>
    <row r="3553" spans="1:1">
      <c r="A3553" t="s">
        <v>1912</v>
      </c>
    </row>
    <row r="3554" spans="1:1">
      <c r="A3554" t="s">
        <v>1913</v>
      </c>
    </row>
    <row r="3555" spans="1:1">
      <c r="A3555" t="s">
        <v>1914</v>
      </c>
    </row>
    <row r="3556" spans="1:1">
      <c r="A3556" t="s">
        <v>842</v>
      </c>
    </row>
    <row r="3557" spans="1:1">
      <c r="A3557" t="s">
        <v>843</v>
      </c>
    </row>
    <row r="3558" spans="1:1">
      <c r="A3558" t="s">
        <v>1915</v>
      </c>
    </row>
    <row r="3559" spans="1:1">
      <c r="A3559" t="s">
        <v>1916</v>
      </c>
    </row>
    <row r="3560" spans="1:1">
      <c r="A3560" t="s">
        <v>1009</v>
      </c>
    </row>
    <row r="3561" spans="1:1">
      <c r="A3561" t="s">
        <v>1917</v>
      </c>
    </row>
    <row r="3562" spans="1:1">
      <c r="A3562" t="s">
        <v>1918</v>
      </c>
    </row>
    <row r="3563" spans="1:1">
      <c r="A3563" t="s">
        <v>918</v>
      </c>
    </row>
    <row r="3564" spans="1:1">
      <c r="A3564" t="s">
        <v>1628</v>
      </c>
    </row>
    <row r="3565" spans="1:1">
      <c r="A3565" t="s">
        <v>1002</v>
      </c>
    </row>
    <row r="3566" spans="1:1">
      <c r="A3566" t="s">
        <v>4684</v>
      </c>
    </row>
    <row r="3567" spans="1:1">
      <c r="A3567" t="s">
        <v>812</v>
      </c>
    </row>
    <row r="3568" spans="1:1">
      <c r="A3568" t="s">
        <v>810</v>
      </c>
    </row>
    <row r="3569" spans="1:1">
      <c r="A3569" t="s">
        <v>811</v>
      </c>
    </row>
    <row r="3570" spans="1:1">
      <c r="A3570" t="s">
        <v>151</v>
      </c>
    </row>
    <row r="3571" spans="1:1">
      <c r="A3571" t="s">
        <v>836</v>
      </c>
    </row>
    <row r="3572" spans="1:1">
      <c r="A3572" t="s">
        <v>1919</v>
      </c>
    </row>
    <row r="3573" spans="1:1">
      <c r="A3573" t="s">
        <v>1920</v>
      </c>
    </row>
    <row r="3574" spans="1:1">
      <c r="A3574" t="s">
        <v>1921</v>
      </c>
    </row>
    <row r="3575" spans="1:1">
      <c r="A3575" t="s">
        <v>1922</v>
      </c>
    </row>
    <row r="3576" spans="1:1">
      <c r="A3576" t="s">
        <v>1923</v>
      </c>
    </row>
    <row r="3577" spans="1:1">
      <c r="A3577" t="s">
        <v>842</v>
      </c>
    </row>
    <row r="3578" spans="1:1">
      <c r="A3578" t="s">
        <v>843</v>
      </c>
    </row>
    <row r="3579" spans="1:1">
      <c r="A3579" t="s">
        <v>1924</v>
      </c>
    </row>
    <row r="3580" spans="1:1">
      <c r="A3580" t="s">
        <v>1925</v>
      </c>
    </row>
    <row r="3581" spans="1:1">
      <c r="A3581" t="s">
        <v>1926</v>
      </c>
    </row>
    <row r="3582" spans="1:1">
      <c r="A3582" t="s">
        <v>899</v>
      </c>
    </row>
    <row r="3583" spans="1:1">
      <c r="A3583" t="s">
        <v>1927</v>
      </c>
    </row>
    <row r="3584" spans="1:1">
      <c r="A3584" t="s">
        <v>976</v>
      </c>
    </row>
    <row r="3585" spans="1:1">
      <c r="A3585" t="s">
        <v>1521</v>
      </c>
    </row>
    <row r="3586" spans="1:1">
      <c r="A3586" t="s">
        <v>1002</v>
      </c>
    </row>
    <row r="3587" spans="1:1">
      <c r="A3587" t="s">
        <v>4685</v>
      </c>
    </row>
    <row r="3588" spans="1:1">
      <c r="A3588" t="s">
        <v>812</v>
      </c>
    </row>
    <row r="3589" spans="1:1">
      <c r="A3589" t="s">
        <v>810</v>
      </c>
    </row>
    <row r="3590" spans="1:1">
      <c r="A3590" t="s">
        <v>811</v>
      </c>
    </row>
    <row r="3591" spans="1:1">
      <c r="A3591" t="s">
        <v>151</v>
      </c>
    </row>
    <row r="3592" spans="1:1">
      <c r="A3592" t="s">
        <v>836</v>
      </c>
    </row>
    <row r="3593" spans="1:1">
      <c r="A3593" t="s">
        <v>1928</v>
      </c>
    </row>
    <row r="3594" spans="1:1">
      <c r="A3594" t="s">
        <v>1929</v>
      </c>
    </row>
    <row r="3595" spans="1:1">
      <c r="A3595" t="s">
        <v>1930</v>
      </c>
    </row>
    <row r="3596" spans="1:1">
      <c r="A3596" t="s">
        <v>1931</v>
      </c>
    </row>
    <row r="3597" spans="1:1">
      <c r="A3597" t="s">
        <v>1932</v>
      </c>
    </row>
    <row r="3598" spans="1:1">
      <c r="A3598" t="s">
        <v>1933</v>
      </c>
    </row>
    <row r="3599" spans="1:1">
      <c r="A3599" t="s">
        <v>1934</v>
      </c>
    </row>
    <row r="3600" spans="1:1">
      <c r="A3600" t="s">
        <v>1935</v>
      </c>
    </row>
    <row r="3601" spans="1:1">
      <c r="A3601" t="s">
        <v>1936</v>
      </c>
    </row>
    <row r="3602" spans="1:1">
      <c r="A3602" t="s">
        <v>1937</v>
      </c>
    </row>
    <row r="3603" spans="1:1">
      <c r="A3603" t="s">
        <v>1938</v>
      </c>
    </row>
    <row r="3604" spans="1:1">
      <c r="A3604" t="s">
        <v>1939</v>
      </c>
    </row>
    <row r="3605" spans="1:1">
      <c r="A3605" t="s">
        <v>1483</v>
      </c>
    </row>
    <row r="3606" spans="1:1">
      <c r="A3606" t="s">
        <v>1815</v>
      </c>
    </row>
    <row r="3607" spans="1:1">
      <c r="A3607" t="s">
        <v>1002</v>
      </c>
    </row>
    <row r="3608" spans="1:1">
      <c r="A3608" t="s">
        <v>4686</v>
      </c>
    </row>
    <row r="3609" spans="1:1">
      <c r="A3609" t="s">
        <v>812</v>
      </c>
    </row>
    <row r="3610" spans="1:1">
      <c r="A3610" t="s">
        <v>810</v>
      </c>
    </row>
    <row r="3611" spans="1:1">
      <c r="A3611" t="s">
        <v>811</v>
      </c>
    </row>
    <row r="3612" spans="1:1">
      <c r="A3612" t="s">
        <v>151</v>
      </c>
    </row>
    <row r="3613" spans="1:1">
      <c r="A3613" t="s">
        <v>836</v>
      </c>
    </row>
    <row r="3614" spans="1:1">
      <c r="A3614" t="s">
        <v>1940</v>
      </c>
    </row>
    <row r="3615" spans="1:1">
      <c r="A3615" t="s">
        <v>838</v>
      </c>
    </row>
    <row r="3616" spans="1:1">
      <c r="A3616" t="s">
        <v>839</v>
      </c>
    </row>
    <row r="3617" spans="1:1">
      <c r="A3617" t="s">
        <v>1637</v>
      </c>
    </row>
    <row r="3618" spans="1:1">
      <c r="A3618" t="s">
        <v>1941</v>
      </c>
    </row>
    <row r="3619" spans="1:1">
      <c r="A3619" t="s">
        <v>842</v>
      </c>
    </row>
    <row r="3620" spans="1:1">
      <c r="A3620" t="s">
        <v>843</v>
      </c>
    </row>
    <row r="3621" spans="1:1">
      <c r="A3621" t="s">
        <v>1942</v>
      </c>
    </row>
    <row r="3622" spans="1:1">
      <c r="A3622" t="s">
        <v>1943</v>
      </c>
    </row>
    <row r="3623" spans="1:1">
      <c r="A3623" t="s">
        <v>1944</v>
      </c>
    </row>
    <row r="3624" spans="1:1">
      <c r="A3624" t="s">
        <v>1945</v>
      </c>
    </row>
    <row r="3625" spans="1:1">
      <c r="A3625" t="s">
        <v>1927</v>
      </c>
    </row>
    <row r="3626" spans="1:1">
      <c r="A3626" t="s">
        <v>918</v>
      </c>
    </row>
    <row r="3627" spans="1:1">
      <c r="A3627" t="s">
        <v>1521</v>
      </c>
    </row>
    <row r="3628" spans="1:1">
      <c r="A3628" t="s">
        <v>1002</v>
      </c>
    </row>
    <row r="3629" spans="1:1">
      <c r="A3629" t="s">
        <v>1946</v>
      </c>
    </row>
    <row r="3630" spans="1:1">
      <c r="A3630" t="s">
        <v>812</v>
      </c>
    </row>
    <row r="3631" spans="1:1">
      <c r="A3631" t="s">
        <v>810</v>
      </c>
    </row>
    <row r="3632" spans="1:1">
      <c r="A3632" t="s">
        <v>811</v>
      </c>
    </row>
    <row r="3633" spans="1:1">
      <c r="A3633" t="s">
        <v>151</v>
      </c>
    </row>
    <row r="3634" spans="1:1">
      <c r="A3634" t="s">
        <v>836</v>
      </c>
    </row>
    <row r="3635" spans="1:1">
      <c r="A3635" t="s">
        <v>1947</v>
      </c>
    </row>
    <row r="3636" spans="1:1">
      <c r="A3636" t="s">
        <v>1948</v>
      </c>
    </row>
    <row r="3637" spans="1:1">
      <c r="A3637" t="s">
        <v>1773</v>
      </c>
    </row>
    <row r="3638" spans="1:1">
      <c r="A3638" t="s">
        <v>1949</v>
      </c>
    </row>
    <row r="3639" spans="1:1">
      <c r="A3639" t="s">
        <v>1950</v>
      </c>
    </row>
    <row r="3640" spans="1:1">
      <c r="A3640" t="s">
        <v>842</v>
      </c>
    </row>
    <row r="3641" spans="1:1">
      <c r="A3641" t="s">
        <v>843</v>
      </c>
    </row>
    <row r="3642" spans="1:1">
      <c r="A3642" t="s">
        <v>1951</v>
      </c>
    </row>
    <row r="3643" spans="1:1">
      <c r="A3643" t="s">
        <v>1952</v>
      </c>
    </row>
    <row r="3644" spans="1:1">
      <c r="A3644" t="s">
        <v>1953</v>
      </c>
    </row>
    <row r="3645" spans="1:1">
      <c r="A3645" t="s">
        <v>899</v>
      </c>
    </row>
    <row r="3646" spans="1:1">
      <c r="A3646" t="s">
        <v>1954</v>
      </c>
    </row>
    <row r="3647" spans="1:1">
      <c r="A3647" t="s">
        <v>862</v>
      </c>
    </row>
    <row r="3648" spans="1:1">
      <c r="A3648" t="s">
        <v>989</v>
      </c>
    </row>
    <row r="3649" spans="1:1">
      <c r="A3649" t="s">
        <v>1002</v>
      </c>
    </row>
    <row r="3650" spans="1:1">
      <c r="A3650" t="s">
        <v>1955</v>
      </c>
    </row>
    <row r="3651" spans="1:1">
      <c r="A3651" t="s">
        <v>812</v>
      </c>
    </row>
    <row r="3652" spans="1:1">
      <c r="A3652" t="s">
        <v>810</v>
      </c>
    </row>
    <row r="3653" spans="1:1">
      <c r="A3653" t="s">
        <v>811</v>
      </c>
    </row>
    <row r="3654" spans="1:1">
      <c r="A3654" t="s">
        <v>151</v>
      </c>
    </row>
    <row r="3655" spans="1:1">
      <c r="A3655" t="s">
        <v>836</v>
      </c>
    </row>
    <row r="3656" spans="1:1">
      <c r="A3656" t="s">
        <v>1956</v>
      </c>
    </row>
    <row r="3657" spans="1:1">
      <c r="A3657" t="s">
        <v>1957</v>
      </c>
    </row>
    <row r="3658" spans="1:1">
      <c r="A3658" t="s">
        <v>1958</v>
      </c>
    </row>
    <row r="3659" spans="1:1">
      <c r="A3659" t="s">
        <v>1959</v>
      </c>
    </row>
    <row r="3660" spans="1:1">
      <c r="A3660" t="s">
        <v>1310</v>
      </c>
    </row>
    <row r="3661" spans="1:1">
      <c r="A3661" t="s">
        <v>842</v>
      </c>
    </row>
    <row r="3662" spans="1:1">
      <c r="A3662" t="s">
        <v>843</v>
      </c>
    </row>
    <row r="3663" spans="1:1">
      <c r="A3663" t="s">
        <v>1153</v>
      </c>
    </row>
    <row r="3664" spans="1:1">
      <c r="A3664" t="s">
        <v>1960</v>
      </c>
    </row>
    <row r="3665" spans="1:1">
      <c r="A3665" t="s">
        <v>1666</v>
      </c>
    </row>
    <row r="3666" spans="1:1">
      <c r="A3666" t="s">
        <v>1156</v>
      </c>
    </row>
    <row r="3667" spans="1:1">
      <c r="A3667" t="s">
        <v>1961</v>
      </c>
    </row>
    <row r="3668" spans="1:1">
      <c r="A3668" t="s">
        <v>918</v>
      </c>
    </row>
    <row r="3669" spans="1:1">
      <c r="A3669" t="s">
        <v>1508</v>
      </c>
    </row>
    <row r="3670" spans="1:1">
      <c r="A3670" t="s">
        <v>1002</v>
      </c>
    </row>
    <row r="3671" spans="1:1">
      <c r="A3671" t="s">
        <v>4687</v>
      </c>
    </row>
    <row r="3672" spans="1:1">
      <c r="A3672" t="s">
        <v>812</v>
      </c>
    </row>
    <row r="3673" spans="1:1">
      <c r="A3673" t="s">
        <v>810</v>
      </c>
    </row>
    <row r="3674" spans="1:1">
      <c r="A3674" t="s">
        <v>811</v>
      </c>
    </row>
    <row r="3675" spans="1:1">
      <c r="A3675" t="s">
        <v>151</v>
      </c>
    </row>
    <row r="3676" spans="1:1">
      <c r="A3676" t="s">
        <v>836</v>
      </c>
    </row>
    <row r="3677" spans="1:1">
      <c r="A3677" t="s">
        <v>1962</v>
      </c>
    </row>
    <row r="3678" spans="1:1">
      <c r="A3678" t="s">
        <v>1963</v>
      </c>
    </row>
    <row r="3679" spans="1:1">
      <c r="A3679" t="s">
        <v>1964</v>
      </c>
    </row>
    <row r="3680" spans="1:1">
      <c r="A3680" t="s">
        <v>1827</v>
      </c>
    </row>
    <row r="3681" spans="1:1">
      <c r="A3681" t="s">
        <v>1965</v>
      </c>
    </row>
    <row r="3682" spans="1:1">
      <c r="A3682" t="s">
        <v>842</v>
      </c>
    </row>
    <row r="3683" spans="1:1">
      <c r="A3683" t="s">
        <v>843</v>
      </c>
    </row>
    <row r="3684" spans="1:1">
      <c r="A3684" t="s">
        <v>1966</v>
      </c>
    </row>
    <row r="3685" spans="1:1">
      <c r="A3685" t="s">
        <v>1967</v>
      </c>
    </row>
    <row r="3686" spans="1:1">
      <c r="A3686" t="s">
        <v>1926</v>
      </c>
    </row>
    <row r="3687" spans="1:1">
      <c r="A3687" t="s">
        <v>899</v>
      </c>
    </row>
    <row r="3688" spans="1:1">
      <c r="A3688" t="s">
        <v>1968</v>
      </c>
    </row>
    <row r="3689" spans="1:1">
      <c r="A3689" t="s">
        <v>918</v>
      </c>
    </row>
    <row r="3690" spans="1:1">
      <c r="A3690" t="s">
        <v>1521</v>
      </c>
    </row>
    <row r="3691" spans="1:1">
      <c r="A3691" t="s">
        <v>1002</v>
      </c>
    </row>
    <row r="3692" spans="1:1">
      <c r="A3692" t="s">
        <v>1969</v>
      </c>
    </row>
    <row r="3693" spans="1:1">
      <c r="A3693" t="s">
        <v>812</v>
      </c>
    </row>
    <row r="3694" spans="1:1">
      <c r="A3694" t="s">
        <v>810</v>
      </c>
    </row>
    <row r="3695" spans="1:1">
      <c r="A3695" t="s">
        <v>811</v>
      </c>
    </row>
    <row r="3696" spans="1:1">
      <c r="A3696" t="s">
        <v>151</v>
      </c>
    </row>
    <row r="3697" spans="1:1">
      <c r="A3697" t="s">
        <v>836</v>
      </c>
    </row>
    <row r="3698" spans="1:1">
      <c r="A3698" t="s">
        <v>1970</v>
      </c>
    </row>
    <row r="3699" spans="1:1">
      <c r="A3699" t="s">
        <v>1714</v>
      </c>
    </row>
    <row r="3700" spans="1:1">
      <c r="A3700" t="s">
        <v>1921</v>
      </c>
    </row>
    <row r="3701" spans="1:1">
      <c r="A3701" t="s">
        <v>1971</v>
      </c>
    </row>
    <row r="3702" spans="1:1">
      <c r="A3702" t="s">
        <v>1682</v>
      </c>
    </row>
    <row r="3703" spans="1:1">
      <c r="A3703" t="s">
        <v>842</v>
      </c>
    </row>
    <row r="3704" spans="1:1">
      <c r="A3704" t="s">
        <v>843</v>
      </c>
    </row>
    <row r="3705" spans="1:1">
      <c r="A3705" t="s">
        <v>1639</v>
      </c>
    </row>
    <row r="3706" spans="1:1">
      <c r="A3706" t="s">
        <v>1916</v>
      </c>
    </row>
    <row r="3707" spans="1:1">
      <c r="A3707" t="s">
        <v>1684</v>
      </c>
    </row>
    <row r="3708" spans="1:1">
      <c r="A3708" t="s">
        <v>899</v>
      </c>
    </row>
    <row r="3709" spans="1:1">
      <c r="A3709" t="s">
        <v>1416</v>
      </c>
    </row>
    <row r="3710" spans="1:1">
      <c r="A3710" t="s">
        <v>1233</v>
      </c>
    </row>
    <row r="3711" spans="1:1">
      <c r="A3711" t="s">
        <v>1220</v>
      </c>
    </row>
    <row r="3712" spans="1:1">
      <c r="A3712" t="s">
        <v>1002</v>
      </c>
    </row>
    <row r="3713" spans="1:1">
      <c r="A3713" t="s">
        <v>4688</v>
      </c>
    </row>
    <row r="3714" spans="1:1">
      <c r="A3714" t="s">
        <v>812</v>
      </c>
    </row>
    <row r="3715" spans="1:1">
      <c r="A3715" t="s">
        <v>810</v>
      </c>
    </row>
    <row r="3716" spans="1:1">
      <c r="A3716" t="s">
        <v>811</v>
      </c>
    </row>
    <row r="3717" spans="1:1">
      <c r="A3717" t="s">
        <v>151</v>
      </c>
    </row>
    <row r="3718" spans="1:1">
      <c r="A3718" t="s">
        <v>836</v>
      </c>
    </row>
    <row r="3719" spans="1:1">
      <c r="A3719" t="s">
        <v>1972</v>
      </c>
    </row>
    <row r="3720" spans="1:1">
      <c r="A3720" t="s">
        <v>1973</v>
      </c>
    </row>
    <row r="3721" spans="1:1">
      <c r="A3721" t="s">
        <v>1974</v>
      </c>
    </row>
    <row r="3722" spans="1:1">
      <c r="A3722" t="s">
        <v>894</v>
      </c>
    </row>
    <row r="3723" spans="1:1">
      <c r="A3723" t="s">
        <v>895</v>
      </c>
    </row>
    <row r="3724" spans="1:1">
      <c r="A3724" t="s">
        <v>842</v>
      </c>
    </row>
    <row r="3725" spans="1:1">
      <c r="A3725" t="s">
        <v>843</v>
      </c>
    </row>
    <row r="3726" spans="1:1">
      <c r="A3726" t="s">
        <v>1975</v>
      </c>
    </row>
    <row r="3727" spans="1:1">
      <c r="A3727" t="s">
        <v>1976</v>
      </c>
    </row>
    <row r="3728" spans="1:1">
      <c r="A3728" t="s">
        <v>898</v>
      </c>
    </row>
    <row r="3729" spans="1:1">
      <c r="A3729" t="s">
        <v>899</v>
      </c>
    </row>
    <row r="3730" spans="1:1">
      <c r="A3730" t="s">
        <v>1977</v>
      </c>
    </row>
    <row r="3731" spans="1:1">
      <c r="A3731" t="s">
        <v>1233</v>
      </c>
    </row>
    <row r="3732" spans="1:1">
      <c r="A3732" t="s">
        <v>1220</v>
      </c>
    </row>
    <row r="3733" spans="1:1">
      <c r="A3733" t="s">
        <v>1002</v>
      </c>
    </row>
    <row r="3734" spans="1:1">
      <c r="A3734" t="s">
        <v>4689</v>
      </c>
    </row>
    <row r="3735" spans="1:1">
      <c r="A3735" t="s">
        <v>812</v>
      </c>
    </row>
    <row r="3736" spans="1:1">
      <c r="A3736" t="s">
        <v>810</v>
      </c>
    </row>
    <row r="3737" spans="1:1">
      <c r="A3737" t="s">
        <v>811</v>
      </c>
    </row>
    <row r="3738" spans="1:1">
      <c r="A3738" t="s">
        <v>151</v>
      </c>
    </row>
    <row r="3739" spans="1:1">
      <c r="A3739" t="s">
        <v>836</v>
      </c>
    </row>
    <row r="3740" spans="1:1">
      <c r="A3740" t="s">
        <v>1978</v>
      </c>
    </row>
    <row r="3741" spans="1:1">
      <c r="A3741" t="s">
        <v>838</v>
      </c>
    </row>
    <row r="3742" spans="1:1">
      <c r="A3742" t="s">
        <v>839</v>
      </c>
    </row>
    <row r="3743" spans="1:1">
      <c r="A3743" t="s">
        <v>894</v>
      </c>
    </row>
    <row r="3744" spans="1:1">
      <c r="A3744" t="s">
        <v>895</v>
      </c>
    </row>
    <row r="3745" spans="1:1">
      <c r="A3745" t="s">
        <v>842</v>
      </c>
    </row>
    <row r="3746" spans="1:1">
      <c r="A3746" t="s">
        <v>843</v>
      </c>
    </row>
    <row r="3747" spans="1:1">
      <c r="A3747" t="s">
        <v>1979</v>
      </c>
    </row>
    <row r="3748" spans="1:1">
      <c r="A3748" t="s">
        <v>1980</v>
      </c>
    </row>
    <row r="3749" spans="1:1">
      <c r="A3749" t="s">
        <v>1981</v>
      </c>
    </row>
    <row r="3750" spans="1:1">
      <c r="A3750" t="s">
        <v>1982</v>
      </c>
    </row>
    <row r="3751" spans="1:1">
      <c r="A3751" t="s">
        <v>1983</v>
      </c>
    </row>
    <row r="3752" spans="1:1">
      <c r="A3752" t="s">
        <v>918</v>
      </c>
    </row>
    <row r="3753" spans="1:1">
      <c r="A3753" t="s">
        <v>1508</v>
      </c>
    </row>
    <row r="3754" spans="1:1">
      <c r="A3754" t="s">
        <v>1002</v>
      </c>
    </row>
    <row r="3755" spans="1:1">
      <c r="A3755" t="s">
        <v>4690</v>
      </c>
    </row>
    <row r="3756" spans="1:1">
      <c r="A3756" t="s">
        <v>812</v>
      </c>
    </row>
    <row r="3757" spans="1:1">
      <c r="A3757" t="s">
        <v>810</v>
      </c>
    </row>
    <row r="3758" spans="1:1">
      <c r="A3758" t="s">
        <v>811</v>
      </c>
    </row>
    <row r="3759" spans="1:1">
      <c r="A3759" t="s">
        <v>151</v>
      </c>
    </row>
    <row r="3760" spans="1:1">
      <c r="A3760" t="s">
        <v>836</v>
      </c>
    </row>
    <row r="3761" spans="1:1">
      <c r="A3761" t="s">
        <v>1984</v>
      </c>
    </row>
    <row r="3762" spans="1:1">
      <c r="A3762" t="s">
        <v>838</v>
      </c>
    </row>
    <row r="3763" spans="1:1">
      <c r="A3763" t="s">
        <v>839</v>
      </c>
    </row>
    <row r="3764" spans="1:1">
      <c r="A3764" t="s">
        <v>894</v>
      </c>
    </row>
    <row r="3765" spans="1:1">
      <c r="A3765" t="s">
        <v>895</v>
      </c>
    </row>
    <row r="3766" spans="1:1">
      <c r="A3766" t="s">
        <v>842</v>
      </c>
    </row>
    <row r="3767" spans="1:1">
      <c r="A3767" t="s">
        <v>843</v>
      </c>
    </row>
    <row r="3768" spans="1:1">
      <c r="A3768" t="s">
        <v>1985</v>
      </c>
    </row>
    <row r="3769" spans="1:1">
      <c r="A3769" t="s">
        <v>1986</v>
      </c>
    </row>
    <row r="3770" spans="1:1">
      <c r="A3770" t="s">
        <v>1987</v>
      </c>
    </row>
    <row r="3771" spans="1:1">
      <c r="A3771" t="s">
        <v>1988</v>
      </c>
    </row>
    <row r="3772" spans="1:1">
      <c r="A3772" t="s">
        <v>1989</v>
      </c>
    </row>
    <row r="3773" spans="1:1">
      <c r="A3773" t="s">
        <v>901</v>
      </c>
    </row>
    <row r="3774" spans="1:1">
      <c r="A3774" t="s">
        <v>902</v>
      </c>
    </row>
    <row r="3775" spans="1:1">
      <c r="A3775" t="s">
        <v>1002</v>
      </c>
    </row>
    <row r="3776" spans="1:1">
      <c r="A3776" t="s">
        <v>4691</v>
      </c>
    </row>
    <row r="3777" spans="1:1">
      <c r="A3777" t="s">
        <v>812</v>
      </c>
    </row>
    <row r="3778" spans="1:1">
      <c r="A3778" t="s">
        <v>810</v>
      </c>
    </row>
    <row r="3779" spans="1:1">
      <c r="A3779" t="s">
        <v>811</v>
      </c>
    </row>
    <row r="3780" spans="1:1">
      <c r="A3780" t="s">
        <v>151</v>
      </c>
    </row>
    <row r="3781" spans="1:1">
      <c r="A3781" t="s">
        <v>836</v>
      </c>
    </row>
    <row r="3782" spans="1:1">
      <c r="A3782" t="s">
        <v>1990</v>
      </c>
    </row>
    <row r="3783" spans="1:1">
      <c r="A3783" t="s">
        <v>1991</v>
      </c>
    </row>
    <row r="3784" spans="1:1">
      <c r="A3784" t="s">
        <v>1613</v>
      </c>
    </row>
    <row r="3785" spans="1:1">
      <c r="A3785" t="s">
        <v>1992</v>
      </c>
    </row>
    <row r="3786" spans="1:1">
      <c r="A3786" t="s">
        <v>1950</v>
      </c>
    </row>
    <row r="3787" spans="1:1">
      <c r="A3787" t="s">
        <v>1993</v>
      </c>
    </row>
    <row r="3788" spans="1:1">
      <c r="A3788" t="s">
        <v>1994</v>
      </c>
    </row>
    <row r="3789" spans="1:1">
      <c r="A3789" t="s">
        <v>1512</v>
      </c>
    </row>
    <row r="3790" spans="1:1">
      <c r="A3790" t="s">
        <v>1995</v>
      </c>
    </row>
    <row r="3791" spans="1:1">
      <c r="A3791" t="s">
        <v>887</v>
      </c>
    </row>
    <row r="3792" spans="1:1">
      <c r="A3792" t="s">
        <v>1996</v>
      </c>
    </row>
    <row r="3793" spans="1:1">
      <c r="A3793" t="s">
        <v>1514</v>
      </c>
    </row>
    <row r="3794" spans="1:1">
      <c r="A3794" t="s">
        <v>1483</v>
      </c>
    </row>
    <row r="3795" spans="1:1">
      <c r="A3795" t="s">
        <v>1551</v>
      </c>
    </row>
    <row r="3796" spans="1:1">
      <c r="A3796" t="s">
        <v>1002</v>
      </c>
    </row>
    <row r="3797" spans="1:1">
      <c r="A3797" t="s">
        <v>4692</v>
      </c>
    </row>
    <row r="3798" spans="1:1">
      <c r="A3798" t="s">
        <v>812</v>
      </c>
    </row>
    <row r="3799" spans="1:1">
      <c r="A3799" t="s">
        <v>810</v>
      </c>
    </row>
    <row r="3800" spans="1:1">
      <c r="A3800" t="s">
        <v>811</v>
      </c>
    </row>
    <row r="3801" spans="1:1">
      <c r="A3801" t="s">
        <v>151</v>
      </c>
    </row>
    <row r="3802" spans="1:1">
      <c r="A3802" t="s">
        <v>836</v>
      </c>
    </row>
    <row r="3803" spans="1:1">
      <c r="A3803" t="s">
        <v>1997</v>
      </c>
    </row>
    <row r="3804" spans="1:1">
      <c r="A3804" t="s">
        <v>1998</v>
      </c>
    </row>
    <row r="3805" spans="1:1">
      <c r="A3805" t="s">
        <v>1999</v>
      </c>
    </row>
    <row r="3806" spans="1:1">
      <c r="A3806" t="s">
        <v>2000</v>
      </c>
    </row>
    <row r="3807" spans="1:1">
      <c r="A3807" t="s">
        <v>2001</v>
      </c>
    </row>
    <row r="3808" spans="1:1">
      <c r="A3808" t="s">
        <v>2002</v>
      </c>
    </row>
    <row r="3809" spans="1:1">
      <c r="A3809" t="s">
        <v>2003</v>
      </c>
    </row>
    <row r="3810" spans="1:1">
      <c r="A3810" t="s">
        <v>2004</v>
      </c>
    </row>
    <row r="3811" spans="1:1">
      <c r="A3811" t="s">
        <v>2005</v>
      </c>
    </row>
    <row r="3812" spans="1:1">
      <c r="A3812" t="s">
        <v>1143</v>
      </c>
    </row>
    <row r="3813" spans="1:1">
      <c r="A3813" t="s">
        <v>2006</v>
      </c>
    </row>
    <row r="3814" spans="1:1">
      <c r="A3814" t="s">
        <v>2007</v>
      </c>
    </row>
    <row r="3815" spans="1:1">
      <c r="A3815" t="s">
        <v>976</v>
      </c>
    </row>
    <row r="3816" spans="1:1">
      <c r="A3816" t="s">
        <v>989</v>
      </c>
    </row>
    <row r="3817" spans="1:1">
      <c r="A3817" t="s">
        <v>1002</v>
      </c>
    </row>
    <row r="3818" spans="1:1">
      <c r="A3818" t="s">
        <v>4693</v>
      </c>
    </row>
    <row r="3819" spans="1:1">
      <c r="A3819" t="s">
        <v>812</v>
      </c>
    </row>
    <row r="3820" spans="1:1">
      <c r="A3820" t="s">
        <v>810</v>
      </c>
    </row>
    <row r="3821" spans="1:1">
      <c r="A3821" t="s">
        <v>811</v>
      </c>
    </row>
    <row r="3822" spans="1:1">
      <c r="A3822" t="s">
        <v>151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7F806-7EC9-4410-9919-1E0528FB88D2}">
  <dimension ref="A1:B3565"/>
  <sheetViews>
    <sheetView workbookViewId="0"/>
  </sheetViews>
  <sheetFormatPr defaultRowHeight="15"/>
  <cols>
    <col min="2" max="2" width="17.28515625" bestFit="1" customWidth="1"/>
  </cols>
  <sheetData>
    <row r="1" spans="1:2">
      <c r="A1" t="s">
        <v>809</v>
      </c>
      <c r="B1" t="s">
        <v>4544</v>
      </c>
    </row>
    <row r="2" spans="1:2">
      <c r="A2" t="s">
        <v>2036</v>
      </c>
      <c r="B2">
        <v>90.01911435843445</v>
      </c>
    </row>
    <row r="3" spans="1:2">
      <c r="A3" t="s">
        <v>2037</v>
      </c>
      <c r="B3">
        <v>25.672117798516492</v>
      </c>
    </row>
    <row r="4" spans="1:2">
      <c r="A4" t="s">
        <v>2037</v>
      </c>
      <c r="B4">
        <v>21.004460016968039</v>
      </c>
    </row>
    <row r="5" spans="1:2">
      <c r="A5" t="s">
        <v>2038</v>
      </c>
      <c r="B5">
        <v>25.672117798516492</v>
      </c>
    </row>
    <row r="6" spans="1:2">
      <c r="A6" t="s">
        <v>2039</v>
      </c>
      <c r="B6">
        <v>7.4531954898918853</v>
      </c>
    </row>
    <row r="7" spans="1:2">
      <c r="A7" t="s">
        <v>2040</v>
      </c>
      <c r="B7">
        <v>7.6170019841752232</v>
      </c>
    </row>
    <row r="8" spans="1:2">
      <c r="A8" t="s">
        <v>2041</v>
      </c>
      <c r="B8">
        <v>2.0149627341858873</v>
      </c>
    </row>
    <row r="9" spans="1:2">
      <c r="A9" t="s">
        <v>2042</v>
      </c>
      <c r="B9">
        <v>3.3007008598092633</v>
      </c>
    </row>
    <row r="10" spans="1:2">
      <c r="A10" t="s">
        <v>2043</v>
      </c>
      <c r="B10">
        <v>0.77446612353066513</v>
      </c>
    </row>
    <row r="11" spans="1:2">
      <c r="A11" t="s">
        <v>2044</v>
      </c>
      <c r="B11">
        <v>0.93922382189694487</v>
      </c>
    </row>
    <row r="12" spans="1:2">
      <c r="A12" t="s">
        <v>2045</v>
      </c>
      <c r="B12">
        <v>8.4530143970725044E-2</v>
      </c>
    </row>
    <row r="13" spans="1:2">
      <c r="A13" t="s">
        <v>2046</v>
      </c>
      <c r="B13">
        <v>4.077336356234972</v>
      </c>
    </row>
    <row r="14" spans="1:2">
      <c r="A14" t="s">
        <v>2047</v>
      </c>
      <c r="B14">
        <v>1925.4088348887371</v>
      </c>
    </row>
    <row r="15" spans="1:2">
      <c r="A15" t="s">
        <v>2048</v>
      </c>
      <c r="B15">
        <v>10045611.312462974</v>
      </c>
    </row>
    <row r="16" spans="1:2">
      <c r="A16" t="s">
        <v>2049</v>
      </c>
      <c r="B16">
        <v>679556.05937249539</v>
      </c>
    </row>
    <row r="17" spans="1:2">
      <c r="A17" t="s">
        <v>2050</v>
      </c>
      <c r="B17">
        <v>72962.861111573191</v>
      </c>
    </row>
    <row r="18" spans="1:2">
      <c r="A18" t="s">
        <v>2051</v>
      </c>
      <c r="B18">
        <v>26.255575021210049</v>
      </c>
    </row>
    <row r="19" spans="1:2">
      <c r="A19" t="s">
        <v>2052</v>
      </c>
      <c r="B19">
        <v>13.329753472306638</v>
      </c>
    </row>
    <row r="20" spans="1:2">
      <c r="A20" t="s">
        <v>2053</v>
      </c>
      <c r="B20">
        <v>0.14145860827753984</v>
      </c>
    </row>
    <row r="21" spans="1:2">
      <c r="A21" t="s">
        <v>2054</v>
      </c>
      <c r="B21">
        <v>1.1002336199364211E-2</v>
      </c>
    </row>
    <row r="22" spans="1:2">
      <c r="A22" t="s">
        <v>2055</v>
      </c>
      <c r="B22">
        <v>5.4492702874209533E-3</v>
      </c>
    </row>
    <row r="23" spans="1:2">
      <c r="A23" t="s">
        <v>201</v>
      </c>
      <c r="B23">
        <v>6.9259310607508527E-5</v>
      </c>
    </row>
    <row r="24" spans="1:2">
      <c r="A24" t="s">
        <v>74</v>
      </c>
      <c r="B24">
        <v>8.0880500171755245E-7</v>
      </c>
    </row>
    <row r="25" spans="1:2">
      <c r="A25" t="s">
        <v>202</v>
      </c>
      <c r="B25">
        <v>6.5556991313882766E-6</v>
      </c>
    </row>
    <row r="26" spans="1:2">
      <c r="A26" t="s">
        <v>78</v>
      </c>
      <c r="B26">
        <v>1.008818864422098E-9</v>
      </c>
    </row>
    <row r="27" spans="1:2">
      <c r="A27" t="s">
        <v>80</v>
      </c>
      <c r="B27">
        <v>3.1307460729898159E-5</v>
      </c>
    </row>
    <row r="28" spans="1:2">
      <c r="A28" t="s">
        <v>2056</v>
      </c>
      <c r="B28">
        <v>1.8424964927164946E-4</v>
      </c>
    </row>
    <row r="29" spans="1:2">
      <c r="A29" t="s">
        <v>2057</v>
      </c>
      <c r="B29">
        <v>5.6815342668847975E-3</v>
      </c>
    </row>
    <row r="30" spans="1:2">
      <c r="A30" t="s">
        <v>2058</v>
      </c>
      <c r="B30">
        <v>1.5403270679109895E-3</v>
      </c>
    </row>
    <row r="31" spans="1:2">
      <c r="A31" t="s">
        <v>2059</v>
      </c>
      <c r="B31">
        <v>5.8247662231928178E-3</v>
      </c>
    </row>
    <row r="32" spans="1:2">
      <c r="A32" t="s">
        <v>2060</v>
      </c>
      <c r="B32">
        <v>4.8471830808387781E-3</v>
      </c>
    </row>
    <row r="33" spans="1:2">
      <c r="A33" t="s">
        <v>2061</v>
      </c>
      <c r="B33">
        <v>1.575334501272603E-2</v>
      </c>
    </row>
    <row r="34" spans="1:2">
      <c r="A34" t="s">
        <v>2062</v>
      </c>
      <c r="B34">
        <v>1.1179793234837827E-2</v>
      </c>
    </row>
    <row r="35" spans="1:2">
      <c r="A35" t="s">
        <v>2063</v>
      </c>
      <c r="B35">
        <v>9.6270441744436847E-3</v>
      </c>
    </row>
    <row r="36" spans="1:2">
      <c r="A36" t="s">
        <v>2064</v>
      </c>
      <c r="B36">
        <v>5.7474890593693642E-3</v>
      </c>
    </row>
    <row r="37" spans="1:2">
      <c r="A37" t="s">
        <v>2065</v>
      </c>
      <c r="B37">
        <v>5.1573450934519734E-3</v>
      </c>
    </row>
    <row r="38" spans="1:2">
      <c r="A38" t="s">
        <v>2066</v>
      </c>
      <c r="B38">
        <v>1.0407615323722902E-3</v>
      </c>
    </row>
    <row r="39" spans="1:2">
      <c r="A39" t="s">
        <v>2067</v>
      </c>
      <c r="B39">
        <v>0.22431947590936741</v>
      </c>
    </row>
    <row r="40" spans="1:2">
      <c r="A40" t="s">
        <v>203</v>
      </c>
      <c r="B40">
        <v>8.9553899297150556E-4</v>
      </c>
    </row>
    <row r="41" spans="1:2">
      <c r="A41" t="s">
        <v>2068</v>
      </c>
      <c r="B41">
        <v>1.5003185726405741E-3</v>
      </c>
    </row>
    <row r="42" spans="1:2">
      <c r="A42" t="s">
        <v>204</v>
      </c>
      <c r="B42">
        <v>1.7556919467070549E-4</v>
      </c>
    </row>
    <row r="43" spans="1:2">
      <c r="A43" t="s">
        <v>2069</v>
      </c>
      <c r="B43">
        <v>0.11950813457930091</v>
      </c>
    </row>
    <row r="44" spans="1:2">
      <c r="A44" t="s">
        <v>205</v>
      </c>
      <c r="B44">
        <v>1.6670206362673048E-4</v>
      </c>
    </row>
    <row r="45" spans="1:2">
      <c r="A45" t="s">
        <v>206</v>
      </c>
      <c r="B45">
        <v>3.4484934356216184E-4</v>
      </c>
    </row>
    <row r="46" spans="1:2">
      <c r="A46" t="s">
        <v>207</v>
      </c>
      <c r="B46">
        <v>1.9429733136440794E-7</v>
      </c>
    </row>
    <row r="47" spans="1:2">
      <c r="A47" t="s">
        <v>2070</v>
      </c>
      <c r="B47">
        <v>1.5978496555093251E-3</v>
      </c>
    </row>
    <row r="48" spans="1:2">
      <c r="A48" t="s">
        <v>208</v>
      </c>
      <c r="B48">
        <v>4.8215580172505929E-4</v>
      </c>
    </row>
    <row r="49" spans="1:2">
      <c r="A49" t="s">
        <v>208</v>
      </c>
      <c r="B49">
        <v>9.6890541208169134E-7</v>
      </c>
    </row>
    <row r="50" spans="1:2">
      <c r="A50" t="s">
        <v>2071</v>
      </c>
      <c r="B50">
        <v>1.5682062908596046E-2</v>
      </c>
    </row>
    <row r="51" spans="1:2">
      <c r="A51" t="s">
        <v>2072</v>
      </c>
      <c r="B51">
        <v>4.8336623470010128E-3</v>
      </c>
    </row>
    <row r="52" spans="1:2">
      <c r="A52" t="s">
        <v>210</v>
      </c>
      <c r="B52">
        <v>5.0388870671323992E-11</v>
      </c>
    </row>
    <row r="53" spans="1:2">
      <c r="A53" t="s">
        <v>2073</v>
      </c>
      <c r="B53">
        <v>1.7415758305526264E-2</v>
      </c>
    </row>
    <row r="54" spans="1:2">
      <c r="A54" t="s">
        <v>2074</v>
      </c>
      <c r="B54">
        <v>2.822260507165901E-2</v>
      </c>
    </row>
    <row r="55" spans="1:2">
      <c r="A55" t="s">
        <v>211</v>
      </c>
      <c r="B55">
        <v>3.2108127799713454E-8</v>
      </c>
    </row>
    <row r="56" spans="1:2">
      <c r="A56" t="s">
        <v>212</v>
      </c>
      <c r="B56">
        <v>1.0810587268611243E-6</v>
      </c>
    </row>
    <row r="57" spans="1:2">
      <c r="A57" t="s">
        <v>2075</v>
      </c>
      <c r="B57">
        <v>1.0696715749381872E-2</v>
      </c>
    </row>
    <row r="58" spans="1:2">
      <c r="A58" t="s">
        <v>213</v>
      </c>
      <c r="B58">
        <v>6.1124089996467845E-5</v>
      </c>
    </row>
    <row r="59" spans="1:2">
      <c r="A59" t="s">
        <v>2076</v>
      </c>
      <c r="B59">
        <v>3.5854913126419684E-5</v>
      </c>
    </row>
    <row r="60" spans="1:2">
      <c r="A60" t="s">
        <v>2077</v>
      </c>
      <c r="B60">
        <v>1.0223409742772055E-2</v>
      </c>
    </row>
    <row r="61" spans="1:2">
      <c r="A61" t="s">
        <v>2078</v>
      </c>
      <c r="B61">
        <v>0.15101245763833232</v>
      </c>
    </row>
    <row r="62" spans="1:2">
      <c r="A62" t="s">
        <v>214</v>
      </c>
      <c r="B62">
        <v>5.7762265046662107E-4</v>
      </c>
    </row>
    <row r="63" spans="1:2">
      <c r="A63" t="s">
        <v>2079</v>
      </c>
      <c r="B63">
        <v>3.8508176697774739E-2</v>
      </c>
    </row>
    <row r="64" spans="1:2">
      <c r="A64" t="s">
        <v>2080</v>
      </c>
      <c r="B64">
        <v>3.0163062687552011E-3</v>
      </c>
    </row>
    <row r="65" spans="1:2">
      <c r="A65" t="s">
        <v>2080</v>
      </c>
      <c r="B65">
        <v>3.4657359027997263E-2</v>
      </c>
    </row>
    <row r="66" spans="1:2">
      <c r="A66" t="s">
        <v>2080</v>
      </c>
      <c r="B66">
        <v>7.0729304138769919E-2</v>
      </c>
    </row>
    <row r="67" spans="1:2">
      <c r="A67" t="s">
        <v>2081</v>
      </c>
      <c r="B67">
        <v>3.4657359027997263E-2</v>
      </c>
    </row>
    <row r="68" spans="1:2">
      <c r="A68" t="s">
        <v>2081</v>
      </c>
      <c r="B68">
        <v>7.0729304138769919E-2</v>
      </c>
    </row>
    <row r="69" spans="1:2">
      <c r="A69" t="s">
        <v>2082</v>
      </c>
      <c r="B69">
        <v>9.5212524802190286E-3</v>
      </c>
    </row>
    <row r="70" spans="1:2">
      <c r="A70" t="s">
        <v>2083</v>
      </c>
      <c r="B70">
        <v>0.12980284280148788</v>
      </c>
    </row>
    <row r="71" spans="1:2">
      <c r="A71" t="s">
        <v>2084</v>
      </c>
      <c r="B71">
        <v>0.17910779859430109</v>
      </c>
    </row>
    <row r="72" spans="1:2">
      <c r="A72" t="s">
        <v>2085</v>
      </c>
      <c r="B72">
        <v>0.34657359027997264</v>
      </c>
    </row>
    <row r="73" spans="1:2">
      <c r="A73" t="s">
        <v>2086</v>
      </c>
      <c r="B73">
        <v>0.11552453009332421</v>
      </c>
    </row>
    <row r="74" spans="1:2">
      <c r="A74" t="s">
        <v>2086</v>
      </c>
      <c r="B74">
        <v>0.3300700859809263</v>
      </c>
    </row>
    <row r="75" spans="1:2">
      <c r="A75" t="s">
        <v>2087</v>
      </c>
      <c r="B75">
        <v>0.45601788194733239</v>
      </c>
    </row>
    <row r="76" spans="1:2">
      <c r="A76" t="s">
        <v>2087</v>
      </c>
      <c r="B76">
        <v>1.8240715277893296</v>
      </c>
    </row>
    <row r="77" spans="1:2">
      <c r="A77" t="s">
        <v>2087</v>
      </c>
      <c r="B77">
        <v>0.73739061761696312</v>
      </c>
    </row>
    <row r="78" spans="1:2">
      <c r="A78" t="s">
        <v>2088</v>
      </c>
      <c r="B78">
        <v>1.8240715277893296</v>
      </c>
    </row>
    <row r="79" spans="1:2">
      <c r="A79" t="s">
        <v>2088</v>
      </c>
      <c r="B79">
        <v>0.73739061761696312</v>
      </c>
    </row>
    <row r="80" spans="1:2">
      <c r="A80" t="s">
        <v>2089</v>
      </c>
      <c r="B80">
        <v>0.88751239508315649</v>
      </c>
    </row>
    <row r="81" spans="1:2">
      <c r="A81" t="s">
        <v>2090</v>
      </c>
      <c r="B81">
        <v>1.2602676010180822</v>
      </c>
    </row>
    <row r="82" spans="1:2">
      <c r="A82" t="s">
        <v>2090</v>
      </c>
      <c r="B82">
        <v>3.4657359027997261</v>
      </c>
    </row>
    <row r="83" spans="1:2">
      <c r="A83" t="s">
        <v>2091</v>
      </c>
      <c r="B83">
        <v>2.3104906018664844</v>
      </c>
    </row>
    <row r="84" spans="1:2">
      <c r="A84" t="s">
        <v>2092</v>
      </c>
      <c r="B84">
        <v>3.8085009920876116</v>
      </c>
    </row>
    <row r="85" spans="1:2">
      <c r="A85" t="s">
        <v>2092</v>
      </c>
      <c r="B85">
        <v>4.813522087221842</v>
      </c>
    </row>
    <row r="86" spans="1:2">
      <c r="A86" t="s">
        <v>2093</v>
      </c>
      <c r="B86">
        <v>3.9383362531815074</v>
      </c>
    </row>
    <row r="87" spans="1:2">
      <c r="A87" t="s">
        <v>2093</v>
      </c>
      <c r="B87">
        <v>4.3594162299367625</v>
      </c>
    </row>
    <row r="88" spans="1:2">
      <c r="A88" t="s">
        <v>2094</v>
      </c>
      <c r="B88">
        <v>13.329753472306638</v>
      </c>
    </row>
    <row r="89" spans="1:2">
      <c r="A89" t="s">
        <v>2094</v>
      </c>
      <c r="B89">
        <v>7.5342084843472312</v>
      </c>
    </row>
    <row r="90" spans="1:2">
      <c r="A90" t="s">
        <v>2095</v>
      </c>
      <c r="B90">
        <v>7.7794296359140889</v>
      </c>
    </row>
    <row r="91" spans="1:2">
      <c r="A91" t="s">
        <v>2096</v>
      </c>
      <c r="B91">
        <v>1.0268847119406597E-2</v>
      </c>
    </row>
    <row r="92" spans="1:2">
      <c r="A92" t="s">
        <v>2097</v>
      </c>
      <c r="B92">
        <v>10.407615323722903</v>
      </c>
    </row>
    <row r="93" spans="1:2">
      <c r="A93" t="s">
        <v>2098</v>
      </c>
      <c r="B93">
        <v>13.329753472306638</v>
      </c>
    </row>
    <row r="94" spans="1:2">
      <c r="A94" t="s">
        <v>2098</v>
      </c>
      <c r="B94">
        <v>5.3319013889226561</v>
      </c>
    </row>
    <row r="95" spans="1:2">
      <c r="A95" t="s">
        <v>2099</v>
      </c>
      <c r="B95">
        <v>16.906028794145005</v>
      </c>
    </row>
    <row r="96" spans="1:2">
      <c r="A96" t="s">
        <v>2100</v>
      </c>
      <c r="B96">
        <v>19.804205158855577</v>
      </c>
    </row>
    <row r="97" spans="1:2">
      <c r="A97" t="s">
        <v>2101</v>
      </c>
      <c r="B97">
        <v>24.755256448569472</v>
      </c>
    </row>
    <row r="98" spans="1:2">
      <c r="A98" t="s">
        <v>2102</v>
      </c>
      <c r="B98">
        <v>3040119.2129822159</v>
      </c>
    </row>
    <row r="99" spans="1:2">
      <c r="A99" t="s">
        <v>2103</v>
      </c>
      <c r="B99">
        <v>25.672117798516492</v>
      </c>
    </row>
    <row r="100" spans="1:2">
      <c r="A100" t="s">
        <v>2103</v>
      </c>
      <c r="B100">
        <v>1.4747812352339262</v>
      </c>
    </row>
    <row r="101" spans="1:2">
      <c r="A101" t="s">
        <v>2103</v>
      </c>
      <c r="B101">
        <v>1.732867951399863</v>
      </c>
    </row>
    <row r="102" spans="1:2">
      <c r="A102" t="s">
        <v>2104</v>
      </c>
      <c r="B102">
        <v>0.38295424340328466</v>
      </c>
    </row>
    <row r="103" spans="1:2">
      <c r="A103" t="s">
        <v>2105</v>
      </c>
      <c r="B103">
        <v>0.15629023236977346</v>
      </c>
    </row>
    <row r="104" spans="1:2">
      <c r="A104" t="s">
        <v>2105</v>
      </c>
      <c r="B104">
        <v>0.10045611312462975</v>
      </c>
    </row>
    <row r="105" spans="1:2">
      <c r="A105" t="s">
        <v>2106</v>
      </c>
      <c r="B105">
        <v>2.7182242374899815E-2</v>
      </c>
    </row>
    <row r="106" spans="1:2">
      <c r="A106" t="s">
        <v>2107</v>
      </c>
      <c r="B106">
        <v>1.4592572222314637E-2</v>
      </c>
    </row>
    <row r="107" spans="1:2">
      <c r="A107" t="s">
        <v>2108</v>
      </c>
      <c r="B107">
        <v>5.5898966174189133E-3</v>
      </c>
    </row>
    <row r="108" spans="1:2">
      <c r="A108" t="s">
        <v>2109</v>
      </c>
      <c r="B108">
        <v>6.6014017196185271E-2</v>
      </c>
    </row>
    <row r="109" spans="1:2">
      <c r="A109" t="s">
        <v>2110</v>
      </c>
      <c r="B109">
        <v>7.8233316090287284</v>
      </c>
    </row>
    <row r="110" spans="1:2">
      <c r="A110" t="s">
        <v>2111</v>
      </c>
      <c r="B110">
        <v>1.5506648334674391</v>
      </c>
    </row>
    <row r="111" spans="1:2">
      <c r="A111" t="s">
        <v>2112</v>
      </c>
      <c r="B111">
        <v>0.33762648833898945</v>
      </c>
    </row>
    <row r="112" spans="1:2">
      <c r="A112" t="s">
        <v>2113</v>
      </c>
      <c r="B112">
        <v>5.303344916296445</v>
      </c>
    </row>
    <row r="113" spans="1:2">
      <c r="A113" t="s">
        <v>2114</v>
      </c>
      <c r="B113">
        <v>9.6719110953582627E-2</v>
      </c>
    </row>
    <row r="114" spans="1:2">
      <c r="A114" t="s">
        <v>215</v>
      </c>
      <c r="B114">
        <v>3.0633903383026675E-14</v>
      </c>
    </row>
    <row r="115" spans="1:2">
      <c r="A115" t="s">
        <v>215</v>
      </c>
      <c r="B115">
        <v>0.10922532363697388</v>
      </c>
    </row>
    <row r="116" spans="1:2">
      <c r="A116" t="s">
        <v>2115</v>
      </c>
      <c r="B116">
        <v>5.1383058352232449E-3</v>
      </c>
    </row>
    <row r="117" spans="1:2">
      <c r="A117" t="s">
        <v>2116</v>
      </c>
      <c r="B117">
        <v>1.7610446660567716E-3</v>
      </c>
    </row>
    <row r="118" spans="1:2">
      <c r="A118" t="s">
        <v>2117</v>
      </c>
      <c r="B118">
        <v>0.19200752924098208</v>
      </c>
    </row>
    <row r="119" spans="1:2">
      <c r="A119" t="s">
        <v>2118</v>
      </c>
      <c r="B119">
        <v>1.0763154977638902</v>
      </c>
    </row>
    <row r="120" spans="1:2">
      <c r="A120" t="s">
        <v>2119</v>
      </c>
      <c r="B120">
        <v>21.865841658042438</v>
      </c>
    </row>
    <row r="121" spans="1:2">
      <c r="A121" t="s">
        <v>2120</v>
      </c>
      <c r="B121">
        <v>16.702341700239643</v>
      </c>
    </row>
    <row r="122" spans="1:2">
      <c r="A122" t="s">
        <v>2121</v>
      </c>
      <c r="B122">
        <v>12.900561707797232</v>
      </c>
    </row>
    <row r="123" spans="1:2">
      <c r="A123" t="s">
        <v>2121</v>
      </c>
      <c r="B123">
        <v>31.364125817192093</v>
      </c>
    </row>
    <row r="124" spans="1:2">
      <c r="A124" t="s">
        <v>2122</v>
      </c>
      <c r="B124">
        <v>18.050707827081911</v>
      </c>
    </row>
    <row r="125" spans="1:2">
      <c r="A125" t="s">
        <v>2123</v>
      </c>
      <c r="B125">
        <v>7.7016353395549482</v>
      </c>
    </row>
    <row r="126" spans="1:2">
      <c r="A126" t="s">
        <v>2124</v>
      </c>
      <c r="B126">
        <v>60.80238425964432</v>
      </c>
    </row>
    <row r="127" spans="1:2">
      <c r="A127" t="s">
        <v>2125</v>
      </c>
      <c r="B127">
        <v>77.016353395549473</v>
      </c>
    </row>
    <row r="128" spans="1:2">
      <c r="A128" t="s">
        <v>2126</v>
      </c>
      <c r="B128">
        <v>95.870979330559507</v>
      </c>
    </row>
    <row r="129" spans="1:2">
      <c r="A129" t="s">
        <v>2127</v>
      </c>
      <c r="B129">
        <v>121.60476851928864</v>
      </c>
    </row>
    <row r="130" spans="1:2">
      <c r="A130" t="s">
        <v>2128</v>
      </c>
      <c r="B130">
        <v>198.04205158855578</v>
      </c>
    </row>
    <row r="131" spans="1:2">
      <c r="A131" t="s">
        <v>2129</v>
      </c>
      <c r="B131">
        <v>133.29753472306638</v>
      </c>
    </row>
    <row r="132" spans="1:2">
      <c r="A132" t="s">
        <v>2130</v>
      </c>
      <c r="B132">
        <v>0.77016353395549475</v>
      </c>
    </row>
    <row r="133" spans="1:2">
      <c r="A133" t="s">
        <v>2131</v>
      </c>
      <c r="B133">
        <v>1.9254088348887369E-2</v>
      </c>
    </row>
    <row r="134" spans="1:2">
      <c r="A134" t="s">
        <v>2132</v>
      </c>
      <c r="B134">
        <v>8.8186664193377253E-3</v>
      </c>
    </row>
    <row r="135" spans="1:2">
      <c r="A135" t="s">
        <v>2133</v>
      </c>
      <c r="B135">
        <v>3.6101415654163816E-3</v>
      </c>
    </row>
    <row r="136" spans="1:2">
      <c r="A136" t="s">
        <v>2134</v>
      </c>
      <c r="B136">
        <v>4.9795056074708717E-3</v>
      </c>
    </row>
    <row r="137" spans="1:2">
      <c r="A137" t="s">
        <v>2135</v>
      </c>
      <c r="B137">
        <v>1.1215973795468371E-3</v>
      </c>
    </row>
    <row r="138" spans="1:2">
      <c r="A138" t="s">
        <v>2136</v>
      </c>
      <c r="B138">
        <v>3.2090147248145617E-3</v>
      </c>
    </row>
    <row r="139" spans="1:2">
      <c r="A139" t="s">
        <v>2136</v>
      </c>
      <c r="B139">
        <v>3.9836044859766972E-3</v>
      </c>
    </row>
    <row r="140" spans="1:2">
      <c r="A140" t="s">
        <v>216</v>
      </c>
      <c r="B140">
        <v>1.5825278094975921E-4</v>
      </c>
    </row>
    <row r="141" spans="1:2">
      <c r="A141" t="s">
        <v>217</v>
      </c>
      <c r="B141">
        <v>1.1860834711840268E-4</v>
      </c>
    </row>
    <row r="142" spans="1:2">
      <c r="A142" t="s">
        <v>218</v>
      </c>
      <c r="B142">
        <v>1.6179906175535605E-5</v>
      </c>
    </row>
    <row r="143" spans="1:2">
      <c r="A143" t="s">
        <v>219</v>
      </c>
      <c r="B143">
        <v>3.78272855577355E-6</v>
      </c>
    </row>
    <row r="144" spans="1:2">
      <c r="A144" t="s">
        <v>102</v>
      </c>
      <c r="B144">
        <v>5.07732517929499E-11</v>
      </c>
    </row>
    <row r="145" spans="1:2">
      <c r="A145" t="s">
        <v>134</v>
      </c>
      <c r="B145">
        <v>1.2018781740878508E-5</v>
      </c>
    </row>
    <row r="146" spans="1:2">
      <c r="A146" t="s">
        <v>135</v>
      </c>
      <c r="B146">
        <v>1.5478864500091704E-10</v>
      </c>
    </row>
    <row r="147" spans="1:2">
      <c r="A147" t="s">
        <v>104</v>
      </c>
      <c r="B147">
        <v>2.9904028217331692E-12</v>
      </c>
    </row>
    <row r="148" spans="1:2">
      <c r="A148" t="s">
        <v>220</v>
      </c>
      <c r="B148">
        <v>1.9215657034817735E-5</v>
      </c>
    </row>
    <row r="149" spans="1:2">
      <c r="A149" t="s">
        <v>220</v>
      </c>
      <c r="B149">
        <v>4.4211454302841262E-4</v>
      </c>
    </row>
    <row r="150" spans="1:2">
      <c r="A150" t="s">
        <v>222</v>
      </c>
      <c r="B150">
        <v>9.4060031015570921E-5</v>
      </c>
    </row>
    <row r="151" spans="1:2">
      <c r="A151" t="s">
        <v>223</v>
      </c>
      <c r="B151">
        <v>2.9621674382903642E-4</v>
      </c>
    </row>
    <row r="152" spans="1:2">
      <c r="A152" t="s">
        <v>224</v>
      </c>
      <c r="B152">
        <v>4.6209812037329687E-4</v>
      </c>
    </row>
    <row r="153" spans="1:2">
      <c r="A153" t="s">
        <v>2137</v>
      </c>
      <c r="B153">
        <v>5.0228056562314871E-4</v>
      </c>
    </row>
    <row r="154" spans="1:2">
      <c r="A154" t="s">
        <v>2138</v>
      </c>
      <c r="B154">
        <v>46.209812037329691</v>
      </c>
    </row>
    <row r="155" spans="1:2">
      <c r="A155" t="s">
        <v>2139</v>
      </c>
      <c r="B155">
        <v>7.0729304138769926</v>
      </c>
    </row>
    <row r="156" spans="1:2">
      <c r="A156" t="s">
        <v>2140</v>
      </c>
      <c r="B156">
        <v>4.006631101502574</v>
      </c>
    </row>
    <row r="157" spans="1:2">
      <c r="A157" t="s">
        <v>2141</v>
      </c>
      <c r="B157">
        <v>0.81887765583718686</v>
      </c>
    </row>
    <row r="158" spans="1:2">
      <c r="A158" t="s">
        <v>2142</v>
      </c>
      <c r="B158">
        <v>0.39041747243435015</v>
      </c>
    </row>
    <row r="159" spans="1:2">
      <c r="A159" t="s">
        <v>2143</v>
      </c>
      <c r="B159">
        <v>2.2914986609644113E-7</v>
      </c>
    </row>
    <row r="160" spans="1:2">
      <c r="A160" t="s">
        <v>2144</v>
      </c>
      <c r="B160">
        <v>8.1957122110560172E-11</v>
      </c>
    </row>
    <row r="161" spans="1:2">
      <c r="A161" t="s">
        <v>2145</v>
      </c>
      <c r="B161">
        <v>1.053959767296088E-4</v>
      </c>
    </row>
    <row r="162" spans="1:2">
      <c r="A162" t="s">
        <v>2146</v>
      </c>
      <c r="B162">
        <v>6.6761424697963906E-10</v>
      </c>
    </row>
    <row r="163" spans="1:2">
      <c r="A163" t="s">
        <v>2147</v>
      </c>
      <c r="B163">
        <v>2.1512947875851809E-3</v>
      </c>
    </row>
    <row r="164" spans="1:2">
      <c r="A164" t="s">
        <v>2148</v>
      </c>
      <c r="B164">
        <v>9.7324793675926055E-4</v>
      </c>
    </row>
    <row r="165" spans="1:2">
      <c r="A165" t="s">
        <v>2149</v>
      </c>
      <c r="B165">
        <v>3.2269421813777711E-2</v>
      </c>
    </row>
    <row r="166" spans="1:2">
      <c r="A166" t="s">
        <v>2150</v>
      </c>
      <c r="B166">
        <v>8.2517521495231574E-2</v>
      </c>
    </row>
    <row r="167" spans="1:2">
      <c r="A167" t="s">
        <v>2151</v>
      </c>
      <c r="B167">
        <v>0.56353429313816694</v>
      </c>
    </row>
    <row r="168" spans="1:2">
      <c r="A168" t="s">
        <v>2152</v>
      </c>
      <c r="B168">
        <v>1.6662191840383298</v>
      </c>
    </row>
    <row r="169" spans="1:2">
      <c r="A169" t="s">
        <v>2153</v>
      </c>
      <c r="B169">
        <v>2.9370643244065477</v>
      </c>
    </row>
    <row r="170" spans="1:2">
      <c r="A170" t="s">
        <v>2154</v>
      </c>
      <c r="B170">
        <v>6.6014017196185266</v>
      </c>
    </row>
    <row r="171" spans="1:2">
      <c r="A171" t="s">
        <v>2155</v>
      </c>
      <c r="B171">
        <v>10.016577753756435</v>
      </c>
    </row>
    <row r="172" spans="1:2">
      <c r="A172" t="s">
        <v>2156</v>
      </c>
      <c r="B172">
        <v>5.319625330467729</v>
      </c>
    </row>
    <row r="173" spans="1:2">
      <c r="A173" t="s">
        <v>2157</v>
      </c>
      <c r="B173">
        <v>7.2376232699169396</v>
      </c>
    </row>
    <row r="174" spans="1:2">
      <c r="A174" t="s">
        <v>2158</v>
      </c>
      <c r="B174">
        <v>1.6309345424939888E-2</v>
      </c>
    </row>
    <row r="175" spans="1:2">
      <c r="A175" t="s">
        <v>2159</v>
      </c>
      <c r="B175">
        <v>4.5722109535616447E-3</v>
      </c>
    </row>
    <row r="176" spans="1:2">
      <c r="A176" t="s">
        <v>225</v>
      </c>
      <c r="B176">
        <v>7.6002980324555401E-4</v>
      </c>
    </row>
    <row r="177" spans="1:2">
      <c r="A177" t="s">
        <v>226</v>
      </c>
      <c r="B177">
        <v>2.196283842078407E-4</v>
      </c>
    </row>
    <row r="178" spans="1:2">
      <c r="A178" t="s">
        <v>227</v>
      </c>
      <c r="B178">
        <v>2.9485587058020475E-6</v>
      </c>
    </row>
    <row r="179" spans="1:2">
      <c r="A179" t="s">
        <v>228</v>
      </c>
      <c r="B179">
        <v>7.4054185957259116E-6</v>
      </c>
    </row>
    <row r="180" spans="1:2">
      <c r="A180" t="s">
        <v>229</v>
      </c>
      <c r="B180">
        <v>9.9907058680403535E-8</v>
      </c>
    </row>
    <row r="181" spans="1:2">
      <c r="A181" t="s">
        <v>230</v>
      </c>
      <c r="B181">
        <v>4.5121129426526458E-7</v>
      </c>
    </row>
    <row r="182" spans="1:2">
      <c r="A182" t="s">
        <v>231</v>
      </c>
      <c r="B182">
        <v>7.3376861085698813E-6</v>
      </c>
    </row>
    <row r="183" spans="1:2">
      <c r="A183" t="s">
        <v>232</v>
      </c>
      <c r="B183">
        <v>4.9636732015693138E-6</v>
      </c>
    </row>
    <row r="184" spans="1:2">
      <c r="A184" t="s">
        <v>233</v>
      </c>
      <c r="B184">
        <v>1.2736993395074335E-4</v>
      </c>
    </row>
    <row r="185" spans="1:2">
      <c r="A185" t="s">
        <v>2160</v>
      </c>
      <c r="B185">
        <v>1.2821812440990479E-3</v>
      </c>
    </row>
    <row r="186" spans="1:2">
      <c r="A186" t="s">
        <v>2161</v>
      </c>
      <c r="B186">
        <v>4.5601788194733248E-2</v>
      </c>
    </row>
    <row r="187" spans="1:2">
      <c r="A187" t="s">
        <v>2162</v>
      </c>
      <c r="B187">
        <v>2.0815230647445806E-2</v>
      </c>
    </row>
    <row r="188" spans="1:2">
      <c r="A188" t="s">
        <v>2163</v>
      </c>
      <c r="B188">
        <v>3.6290428301567812E-2</v>
      </c>
    </row>
    <row r="189" spans="1:2">
      <c r="A189" t="s">
        <v>2163</v>
      </c>
      <c r="B189">
        <v>5.0966704452937155E-2</v>
      </c>
    </row>
    <row r="190" spans="1:2">
      <c r="A190" t="s">
        <v>2164</v>
      </c>
      <c r="B190">
        <v>4.9159374507797539E-2</v>
      </c>
    </row>
    <row r="191" spans="1:2">
      <c r="A191" t="s">
        <v>2165</v>
      </c>
      <c r="B191">
        <v>0.21935037359491938</v>
      </c>
    </row>
    <row r="192" spans="1:2">
      <c r="A192" t="s">
        <v>2166</v>
      </c>
      <c r="B192">
        <v>0.34263330724663632</v>
      </c>
    </row>
    <row r="193" spans="1:2">
      <c r="A193" t="s">
        <v>2167</v>
      </c>
      <c r="B193">
        <v>0.73426608110163694</v>
      </c>
    </row>
    <row r="194" spans="1:2">
      <c r="A194" t="s">
        <v>2168</v>
      </c>
      <c r="B194">
        <v>1.4321222738841846</v>
      </c>
    </row>
    <row r="195" spans="1:2">
      <c r="A195" t="s">
        <v>2169</v>
      </c>
      <c r="B195">
        <v>3.4657359027997261</v>
      </c>
    </row>
    <row r="196" spans="1:2">
      <c r="A196" t="s">
        <v>2170</v>
      </c>
      <c r="B196">
        <v>407.73363562349726</v>
      </c>
    </row>
    <row r="197" spans="1:2">
      <c r="A197" t="s">
        <v>2171</v>
      </c>
      <c r="B197">
        <v>7.8766725063630147</v>
      </c>
    </row>
    <row r="198" spans="1:2">
      <c r="A198" t="s">
        <v>2171</v>
      </c>
      <c r="B198">
        <v>60.27366787477785</v>
      </c>
    </row>
    <row r="199" spans="1:2">
      <c r="A199" t="s">
        <v>2172</v>
      </c>
      <c r="B199">
        <v>24.755256448569472</v>
      </c>
    </row>
    <row r="200" spans="1:2">
      <c r="A200" t="s">
        <v>2173</v>
      </c>
      <c r="B200">
        <v>2.4235915404193888</v>
      </c>
    </row>
    <row r="201" spans="1:2">
      <c r="A201" t="s">
        <v>2174</v>
      </c>
      <c r="B201">
        <v>2.1459665032815645</v>
      </c>
    </row>
    <row r="202" spans="1:2">
      <c r="A202" t="s">
        <v>2175</v>
      </c>
      <c r="B202">
        <v>2.2431947590936741</v>
      </c>
    </row>
    <row r="203" spans="1:2">
      <c r="A203" t="s">
        <v>2176</v>
      </c>
      <c r="B203">
        <v>4.813522087221842</v>
      </c>
    </row>
    <row r="204" spans="1:2">
      <c r="A204" t="s">
        <v>2177</v>
      </c>
      <c r="B204">
        <v>1.8385866858353985</v>
      </c>
    </row>
    <row r="205" spans="1:2">
      <c r="A205" t="s">
        <v>2178</v>
      </c>
      <c r="B205">
        <v>1.7864618055668693</v>
      </c>
    </row>
    <row r="206" spans="1:2">
      <c r="A206" t="s">
        <v>2179</v>
      </c>
      <c r="B206">
        <v>0.34657359027997264</v>
      </c>
    </row>
    <row r="207" spans="1:2">
      <c r="A207" t="s">
        <v>2180</v>
      </c>
      <c r="B207">
        <v>0.15506648334674392</v>
      </c>
    </row>
    <row r="208" spans="1:2">
      <c r="A208" t="s">
        <v>2180</v>
      </c>
      <c r="B208">
        <v>0.56815342668847979</v>
      </c>
    </row>
    <row r="209" spans="1:2">
      <c r="A209" t="s">
        <v>2181</v>
      </c>
      <c r="B209">
        <v>9.9447228200852986E-2</v>
      </c>
    </row>
    <row r="210" spans="1:2">
      <c r="A210" t="s">
        <v>2182</v>
      </c>
      <c r="B210">
        <v>2.5390006613917406</v>
      </c>
    </row>
    <row r="211" spans="1:2">
      <c r="A211" t="s">
        <v>2183</v>
      </c>
      <c r="B211">
        <v>1.6119701873487099E-2</v>
      </c>
    </row>
    <row r="212" spans="1:2">
      <c r="A212" t="s">
        <v>2183</v>
      </c>
      <c r="B212">
        <v>1.4747812352339261E-2</v>
      </c>
    </row>
    <row r="213" spans="1:2">
      <c r="A213" t="s">
        <v>2184</v>
      </c>
      <c r="B213">
        <v>0.10830424696249144</v>
      </c>
    </row>
    <row r="214" spans="1:2">
      <c r="A214" t="s">
        <v>2185</v>
      </c>
      <c r="B214">
        <v>8.1546727124699441E-3</v>
      </c>
    </row>
    <row r="215" spans="1:2">
      <c r="A215" t="s">
        <v>2186</v>
      </c>
      <c r="B215">
        <v>3.7671042421736156E-3</v>
      </c>
    </row>
    <row r="216" spans="1:2">
      <c r="A216" t="s">
        <v>2186</v>
      </c>
      <c r="B216">
        <v>3.8085009920876115E-3</v>
      </c>
    </row>
    <row r="217" spans="1:2">
      <c r="A217" t="s">
        <v>2187</v>
      </c>
      <c r="B217">
        <v>1.5068416968694462</v>
      </c>
    </row>
    <row r="218" spans="1:2">
      <c r="A218" t="s">
        <v>2188</v>
      </c>
      <c r="B218">
        <v>1.5611422985584353E-3</v>
      </c>
    </row>
    <row r="219" spans="1:2">
      <c r="A219" t="s">
        <v>2189</v>
      </c>
      <c r="B219">
        <v>1.2557014140578719E-3</v>
      </c>
    </row>
    <row r="220" spans="1:2">
      <c r="A220" t="s">
        <v>2190</v>
      </c>
      <c r="B220">
        <v>6.418029449629123</v>
      </c>
    </row>
    <row r="221" spans="1:2">
      <c r="A221" t="s">
        <v>2191</v>
      </c>
      <c r="B221">
        <v>4.2945921967778517E-4</v>
      </c>
    </row>
    <row r="222" spans="1:2">
      <c r="A222" t="s">
        <v>2192</v>
      </c>
      <c r="B222">
        <v>3.7876895112565315E-4</v>
      </c>
    </row>
    <row r="223" spans="1:2">
      <c r="A223" t="s">
        <v>234</v>
      </c>
      <c r="B223">
        <v>1.0637617872313464E-4</v>
      </c>
    </row>
    <row r="224" spans="1:2">
      <c r="A224" t="s">
        <v>2193</v>
      </c>
      <c r="B224">
        <v>1.1812324140421699E-4</v>
      </c>
    </row>
    <row r="225" spans="1:2">
      <c r="A225" t="s">
        <v>2194</v>
      </c>
      <c r="B225">
        <v>3.5524148245179649E-5</v>
      </c>
    </row>
    <row r="226" spans="1:2">
      <c r="A226" t="s">
        <v>2195</v>
      </c>
      <c r="B226">
        <v>2.3770479443070827E-5</v>
      </c>
    </row>
    <row r="227" spans="1:2">
      <c r="A227" t="s">
        <v>235</v>
      </c>
      <c r="B227">
        <v>2.6682494940254111E-5</v>
      </c>
    </row>
    <row r="228" spans="1:2">
      <c r="A228" t="s">
        <v>2196</v>
      </c>
      <c r="B228">
        <v>2.2074750973246666</v>
      </c>
    </row>
    <row r="229" spans="1:2">
      <c r="A229" t="s">
        <v>2197</v>
      </c>
      <c r="B229">
        <v>5.7284890955367382</v>
      </c>
    </row>
    <row r="230" spans="1:2">
      <c r="A230" t="s">
        <v>2198</v>
      </c>
      <c r="B230">
        <v>5589896.6174189141</v>
      </c>
    </row>
    <row r="231" spans="1:2">
      <c r="A231" t="s">
        <v>2199</v>
      </c>
      <c r="B231">
        <v>1242199.2483153141</v>
      </c>
    </row>
    <row r="232" spans="1:2">
      <c r="A232" t="s">
        <v>57</v>
      </c>
      <c r="B232">
        <v>18733.707582701223</v>
      </c>
    </row>
    <row r="233" spans="1:2">
      <c r="A233" t="s">
        <v>2200</v>
      </c>
      <c r="B233">
        <v>2310.4906018664847</v>
      </c>
    </row>
    <row r="234" spans="1:2">
      <c r="A234" t="s">
        <v>62</v>
      </c>
      <c r="B234">
        <v>21.262183452759054</v>
      </c>
    </row>
    <row r="235" spans="1:2">
      <c r="A235" t="s">
        <v>64</v>
      </c>
      <c r="B235">
        <v>0.54152123481245729</v>
      </c>
    </row>
    <row r="236" spans="1:2">
      <c r="A236" t="s">
        <v>67</v>
      </c>
      <c r="B236">
        <v>1.2377628224284737E-2</v>
      </c>
    </row>
    <row r="237" spans="1:2">
      <c r="A237" t="s">
        <v>2201</v>
      </c>
      <c r="B237">
        <v>3.1138687356691164E-3</v>
      </c>
    </row>
    <row r="238" spans="1:2">
      <c r="A238" t="s">
        <v>2202</v>
      </c>
      <c r="B238">
        <v>5.0228056562314875E-3</v>
      </c>
    </row>
    <row r="239" spans="1:2">
      <c r="A239" t="s">
        <v>2203</v>
      </c>
      <c r="B239">
        <v>1.2836058899258247E-2</v>
      </c>
    </row>
    <row r="240" spans="1:2">
      <c r="A240" t="s">
        <v>2204</v>
      </c>
      <c r="B240">
        <v>1.3862943611198907E-2</v>
      </c>
    </row>
    <row r="241" spans="1:2">
      <c r="A241" t="s">
        <v>2205</v>
      </c>
      <c r="B241">
        <v>9.0964196923877336E-3</v>
      </c>
    </row>
    <row r="242" spans="1:2">
      <c r="A242" t="s">
        <v>2206</v>
      </c>
      <c r="B242">
        <v>2390.1626915860184</v>
      </c>
    </row>
    <row r="243" spans="1:2">
      <c r="A243" t="s">
        <v>2206</v>
      </c>
      <c r="B243">
        <v>1117.9793234837828</v>
      </c>
    </row>
    <row r="244" spans="1:2">
      <c r="A244" t="s">
        <v>2207</v>
      </c>
      <c r="B244">
        <v>31506.690025452059</v>
      </c>
    </row>
    <row r="245" spans="1:2">
      <c r="A245" t="s">
        <v>2207</v>
      </c>
      <c r="B245">
        <v>669.06098509647222</v>
      </c>
    </row>
    <row r="246" spans="1:2">
      <c r="A246" t="s">
        <v>2208</v>
      </c>
      <c r="B246">
        <v>31.506690025452059</v>
      </c>
    </row>
    <row r="247" spans="1:2">
      <c r="A247" t="s">
        <v>2208</v>
      </c>
      <c r="B247">
        <v>84.530143970725049</v>
      </c>
    </row>
    <row r="248" spans="1:2">
      <c r="A248" t="s">
        <v>2209</v>
      </c>
      <c r="B248">
        <v>26.355406104940887</v>
      </c>
    </row>
    <row r="249" spans="1:2">
      <c r="A249" t="s">
        <v>2209</v>
      </c>
      <c r="B249">
        <v>56.815342668847975</v>
      </c>
    </row>
    <row r="250" spans="1:2">
      <c r="A250" t="s">
        <v>2210</v>
      </c>
      <c r="B250">
        <v>4.9866703637406129</v>
      </c>
    </row>
    <row r="251" spans="1:2">
      <c r="A251" t="s">
        <v>2210</v>
      </c>
      <c r="B251">
        <v>4.2786862997527484</v>
      </c>
    </row>
    <row r="252" spans="1:2">
      <c r="A252" t="s">
        <v>2211</v>
      </c>
      <c r="B252">
        <v>3.4484934356216179</v>
      </c>
    </row>
    <row r="253" spans="1:2">
      <c r="A253" t="s">
        <v>2211</v>
      </c>
      <c r="B253">
        <v>5.0594684712404758</v>
      </c>
    </row>
    <row r="254" spans="1:2">
      <c r="A254" t="s">
        <v>2212</v>
      </c>
      <c r="B254">
        <v>0.6601401719618526</v>
      </c>
    </row>
    <row r="255" spans="1:2">
      <c r="A255" t="s">
        <v>2212</v>
      </c>
      <c r="B255">
        <v>0.5096670445293715</v>
      </c>
    </row>
    <row r="256" spans="1:2">
      <c r="A256" t="s">
        <v>2213</v>
      </c>
      <c r="B256">
        <v>0.47671745568084273</v>
      </c>
    </row>
    <row r="257" spans="1:2">
      <c r="A257" t="s">
        <v>2213</v>
      </c>
      <c r="B257">
        <v>0.58741286488130962</v>
      </c>
    </row>
    <row r="258" spans="1:2">
      <c r="A258" t="s">
        <v>2214</v>
      </c>
      <c r="B258">
        <v>0.20386681781174862</v>
      </c>
    </row>
    <row r="259" spans="1:2">
      <c r="A259" t="s">
        <v>2214</v>
      </c>
      <c r="B259">
        <v>0.25672117798516492</v>
      </c>
    </row>
    <row r="260" spans="1:2">
      <c r="A260" t="s">
        <v>2215</v>
      </c>
      <c r="B260">
        <v>9.6270441744436844E-2</v>
      </c>
    </row>
    <row r="261" spans="1:2">
      <c r="A261" t="s">
        <v>2216</v>
      </c>
      <c r="B261">
        <v>8.7740149437967749E-2</v>
      </c>
    </row>
    <row r="262" spans="1:2">
      <c r="A262" t="s">
        <v>2217</v>
      </c>
      <c r="B262">
        <v>5.0594684712404768E-2</v>
      </c>
    </row>
    <row r="263" spans="1:2">
      <c r="A263" t="s">
        <v>2218</v>
      </c>
      <c r="B263">
        <v>4.4719172939351307E-2</v>
      </c>
    </row>
    <row r="264" spans="1:2">
      <c r="A264" t="s">
        <v>2219</v>
      </c>
      <c r="B264">
        <v>1.6195027583176293E-2</v>
      </c>
    </row>
    <row r="265" spans="1:2">
      <c r="A265" t="s">
        <v>2220</v>
      </c>
      <c r="B265">
        <v>3.3007008598092635E-2</v>
      </c>
    </row>
    <row r="266" spans="1:2">
      <c r="A266" t="s">
        <v>2221</v>
      </c>
      <c r="B266">
        <v>1.4938516822412614E-2</v>
      </c>
    </row>
    <row r="267" spans="1:2">
      <c r="A267" t="s">
        <v>2222</v>
      </c>
      <c r="B267">
        <v>2.6866169789145165E-3</v>
      </c>
    </row>
    <row r="268" spans="1:2">
      <c r="A268" t="s">
        <v>2223</v>
      </c>
      <c r="B268">
        <v>1.6988901484312384E-3</v>
      </c>
    </row>
    <row r="269" spans="1:2">
      <c r="A269" t="s">
        <v>2224</v>
      </c>
      <c r="B269">
        <v>1.079668505545086E-3</v>
      </c>
    </row>
    <row r="270" spans="1:2">
      <c r="A270" t="s">
        <v>2225</v>
      </c>
      <c r="B270">
        <v>1.3918618083533037E-3</v>
      </c>
    </row>
    <row r="271" spans="1:2">
      <c r="A271" t="s">
        <v>2226</v>
      </c>
      <c r="B271">
        <v>0.30136833937388929</v>
      </c>
    </row>
    <row r="272" spans="1:2">
      <c r="A272" t="s">
        <v>2227</v>
      </c>
      <c r="B272">
        <v>1.3068385757163373E-3</v>
      </c>
    </row>
    <row r="273" spans="1:2">
      <c r="A273" t="s">
        <v>2228</v>
      </c>
      <c r="B273">
        <v>4.0252449509869064E-4</v>
      </c>
    </row>
    <row r="274" spans="1:2">
      <c r="A274" t="s">
        <v>2229</v>
      </c>
      <c r="B274">
        <v>2.495130239596635E-3</v>
      </c>
    </row>
    <row r="275" spans="1:2">
      <c r="A275" t="s">
        <v>2230</v>
      </c>
      <c r="B275">
        <v>2.6991712638627151E-4</v>
      </c>
    </row>
    <row r="276" spans="1:2">
      <c r="A276" t="s">
        <v>2231</v>
      </c>
      <c r="B276">
        <v>5.5451774444795623</v>
      </c>
    </row>
    <row r="277" spans="1:2">
      <c r="A277" t="s">
        <v>2232</v>
      </c>
      <c r="B277">
        <v>6.0547447638010597E-5</v>
      </c>
    </row>
    <row r="278" spans="1:2">
      <c r="A278" t="s">
        <v>2233</v>
      </c>
      <c r="B278">
        <v>0.75342084843472312</v>
      </c>
    </row>
    <row r="279" spans="1:2">
      <c r="A279" t="s">
        <v>2234</v>
      </c>
      <c r="B279">
        <v>3.8975887345925848E-5</v>
      </c>
    </row>
    <row r="280" spans="1:2">
      <c r="A280" t="s">
        <v>2235</v>
      </c>
      <c r="B280">
        <v>4.3321698784996583</v>
      </c>
    </row>
    <row r="281" spans="1:2">
      <c r="A281" t="s">
        <v>236</v>
      </c>
      <c r="B281">
        <v>1.0908831925715225E-5</v>
      </c>
    </row>
    <row r="282" spans="1:2">
      <c r="A282" t="s">
        <v>2236</v>
      </c>
      <c r="B282">
        <v>0.17773004629742187</v>
      </c>
    </row>
    <row r="283" spans="1:2">
      <c r="A283" t="s">
        <v>237</v>
      </c>
      <c r="B283">
        <v>5.0588776534123408E-6</v>
      </c>
    </row>
    <row r="284" spans="1:2">
      <c r="A284" t="s">
        <v>2237</v>
      </c>
      <c r="B284">
        <v>1.1552453009332422</v>
      </c>
    </row>
    <row r="285" spans="1:2">
      <c r="A285" t="s">
        <v>2237</v>
      </c>
      <c r="B285">
        <v>1.6503504299046317</v>
      </c>
    </row>
    <row r="286" spans="1:2">
      <c r="A286" t="s">
        <v>238</v>
      </c>
      <c r="B286">
        <v>4.3129599548607084E-8</v>
      </c>
    </row>
    <row r="287" spans="1:2">
      <c r="A287" t="s">
        <v>2238</v>
      </c>
      <c r="B287">
        <v>2.6303399383725917E-7</v>
      </c>
    </row>
    <row r="288" spans="1:2">
      <c r="A288" t="s">
        <v>2239</v>
      </c>
      <c r="B288">
        <v>1.3032061098174794E-6</v>
      </c>
    </row>
    <row r="289" spans="1:2">
      <c r="A289" t="s">
        <v>2240</v>
      </c>
      <c r="B289">
        <v>8.5573725995054972E-2</v>
      </c>
    </row>
    <row r="290" spans="1:2">
      <c r="A290" t="s">
        <v>2240</v>
      </c>
      <c r="B290">
        <v>2.0041728269894213E-5</v>
      </c>
    </row>
    <row r="291" spans="1:2">
      <c r="A291" t="s">
        <v>2241</v>
      </c>
      <c r="B291">
        <v>8.9669751689514257E-2</v>
      </c>
    </row>
    <row r="292" spans="1:2">
      <c r="A292" t="s">
        <v>239</v>
      </c>
      <c r="B292">
        <v>2.9771650215929859E-6</v>
      </c>
    </row>
    <row r="293" spans="1:2">
      <c r="A293" t="s">
        <v>240</v>
      </c>
      <c r="B293">
        <v>3.5186564965071953E-6</v>
      </c>
    </row>
    <row r="294" spans="1:2">
      <c r="A294" t="s">
        <v>241</v>
      </c>
      <c r="B294">
        <v>2.5590229065506869E-6</v>
      </c>
    </row>
    <row r="295" spans="1:2">
      <c r="A295" t="s">
        <v>242</v>
      </c>
      <c r="B295">
        <v>2.3868704564736408E-4</v>
      </c>
    </row>
    <row r="296" spans="1:2">
      <c r="A296" t="s">
        <v>243</v>
      </c>
      <c r="B296">
        <v>1.0296303929886293E-5</v>
      </c>
    </row>
    <row r="297" spans="1:2">
      <c r="A297" t="s">
        <v>244</v>
      </c>
      <c r="B297">
        <v>4.4432511574355469E-4</v>
      </c>
    </row>
    <row r="298" spans="1:2">
      <c r="A298" t="s">
        <v>2242</v>
      </c>
      <c r="B298">
        <v>2.4406590864786807E-2</v>
      </c>
    </row>
    <row r="299" spans="1:2">
      <c r="A299" t="s">
        <v>2243</v>
      </c>
      <c r="B299">
        <v>1.1552453009332421E-2</v>
      </c>
    </row>
    <row r="300" spans="1:2">
      <c r="A300" t="s">
        <v>2244</v>
      </c>
      <c r="B300">
        <v>1.8050707827081909E-2</v>
      </c>
    </row>
    <row r="301" spans="1:2">
      <c r="A301" t="s">
        <v>2245</v>
      </c>
      <c r="B301">
        <v>2.166084939249829E-2</v>
      </c>
    </row>
    <row r="302" spans="1:2">
      <c r="A302" t="s">
        <v>2246</v>
      </c>
      <c r="B302">
        <v>0.11552453009332421</v>
      </c>
    </row>
    <row r="303" spans="1:2">
      <c r="A303" t="s">
        <v>2247</v>
      </c>
      <c r="B303">
        <v>1.4747812352339261E-2</v>
      </c>
    </row>
    <row r="304" spans="1:2">
      <c r="A304" t="s">
        <v>2248</v>
      </c>
      <c r="B304">
        <v>34.280275992084341</v>
      </c>
    </row>
    <row r="305" spans="1:2">
      <c r="A305" t="s">
        <v>2249</v>
      </c>
      <c r="B305">
        <v>40.393192340323147</v>
      </c>
    </row>
    <row r="306" spans="1:2">
      <c r="A306" t="s">
        <v>2250</v>
      </c>
      <c r="B306">
        <v>56.170760175036087</v>
      </c>
    </row>
    <row r="307" spans="1:2">
      <c r="A307" t="s">
        <v>2251</v>
      </c>
      <c r="B307">
        <v>68.089114003923896</v>
      </c>
    </row>
    <row r="308" spans="1:2">
      <c r="A308" t="s">
        <v>2252</v>
      </c>
      <c r="B308">
        <v>136.71542022878603</v>
      </c>
    </row>
    <row r="309" spans="1:2">
      <c r="A309" t="s">
        <v>2253</v>
      </c>
      <c r="B309">
        <v>237.3791714246388</v>
      </c>
    </row>
    <row r="310" spans="1:2">
      <c r="A310" t="s">
        <v>2254</v>
      </c>
      <c r="B310">
        <v>0.89774275425455941</v>
      </c>
    </row>
    <row r="311" spans="1:2">
      <c r="A311" t="s">
        <v>2255</v>
      </c>
      <c r="B311">
        <v>1.6906028794145007</v>
      </c>
    </row>
    <row r="312" spans="1:2">
      <c r="A312" t="s">
        <v>2256</v>
      </c>
      <c r="B312">
        <v>1.5403270679109895</v>
      </c>
    </row>
    <row r="313" spans="1:2">
      <c r="A313" t="s">
        <v>2257</v>
      </c>
      <c r="B313">
        <v>0.53319013889226563</v>
      </c>
    </row>
    <row r="314" spans="1:2">
      <c r="A314" t="s">
        <v>2258</v>
      </c>
      <c r="B314">
        <v>0.39608410317711157</v>
      </c>
    </row>
    <row r="315" spans="1:2">
      <c r="A315" t="s">
        <v>2259</v>
      </c>
      <c r="B315">
        <v>0.13329753472306641</v>
      </c>
    </row>
    <row r="316" spans="1:2">
      <c r="A316" t="s">
        <v>2260</v>
      </c>
      <c r="B316">
        <v>0.12836058899258246</v>
      </c>
    </row>
    <row r="317" spans="1:2">
      <c r="A317" t="s">
        <v>2261</v>
      </c>
      <c r="B317">
        <v>2.8881132523331052E-2</v>
      </c>
    </row>
    <row r="318" spans="1:2">
      <c r="A318" t="s">
        <v>2262</v>
      </c>
      <c r="B318">
        <v>2.3338288907742265E-2</v>
      </c>
    </row>
    <row r="319" spans="1:2">
      <c r="A319" t="s">
        <v>2263</v>
      </c>
      <c r="B319">
        <v>5.9243348765807289E-3</v>
      </c>
    </row>
    <row r="320" spans="1:2">
      <c r="A320" t="s">
        <v>2264</v>
      </c>
      <c r="B320">
        <v>4.8135220872218424E-3</v>
      </c>
    </row>
    <row r="321" spans="1:2">
      <c r="A321" t="s">
        <v>2265</v>
      </c>
      <c r="B321">
        <v>1.0696715749381872E-3</v>
      </c>
    </row>
    <row r="322" spans="1:2">
      <c r="A322" t="s">
        <v>2266</v>
      </c>
      <c r="B322">
        <v>3.5007433361613398E-3</v>
      </c>
    </row>
    <row r="323" spans="1:2">
      <c r="A323" t="s">
        <v>245</v>
      </c>
      <c r="B323">
        <v>1.1716483782284403E-4</v>
      </c>
    </row>
    <row r="324" spans="1:2">
      <c r="A324" t="s">
        <v>2267</v>
      </c>
      <c r="B324">
        <v>9.0253539135409539E-4</v>
      </c>
    </row>
    <row r="325" spans="1:2">
      <c r="A325" t="s">
        <v>2268</v>
      </c>
      <c r="B325">
        <v>0.359143616870438</v>
      </c>
    </row>
    <row r="326" spans="1:2">
      <c r="A326" t="s">
        <v>246</v>
      </c>
      <c r="B326">
        <v>3.3014554782042812E-6</v>
      </c>
    </row>
    <row r="327" spans="1:2">
      <c r="A327" t="s">
        <v>2269</v>
      </c>
      <c r="B327">
        <v>8.6341203358239325E-5</v>
      </c>
    </row>
    <row r="328" spans="1:2">
      <c r="A328" t="s">
        <v>2270</v>
      </c>
      <c r="B328">
        <v>8.9888367641864465E-5</v>
      </c>
    </row>
    <row r="329" spans="1:2">
      <c r="A329" t="s">
        <v>247</v>
      </c>
      <c r="B329">
        <v>6.9640076493371558E-7</v>
      </c>
    </row>
    <row r="330" spans="1:2">
      <c r="A330" t="s">
        <v>248</v>
      </c>
      <c r="B330">
        <v>8.1012994455346575E-4</v>
      </c>
    </row>
    <row r="331" spans="1:2">
      <c r="A331" t="s">
        <v>249</v>
      </c>
      <c r="B331">
        <v>2.0847103953711209E-9</v>
      </c>
    </row>
    <row r="332" spans="1:2">
      <c r="A332" t="s">
        <v>250</v>
      </c>
      <c r="B332">
        <v>4.9534572546661612E-6</v>
      </c>
    </row>
    <row r="333" spans="1:2">
      <c r="A333" t="s">
        <v>251</v>
      </c>
      <c r="B333">
        <v>6.8471153445545413E-6</v>
      </c>
    </row>
    <row r="334" spans="1:2">
      <c r="A334" t="s">
        <v>2271</v>
      </c>
      <c r="B334">
        <v>2.2936703526139821</v>
      </c>
    </row>
    <row r="335" spans="1:2">
      <c r="A335" t="s">
        <v>32</v>
      </c>
      <c r="B335">
        <v>4.5271780740388824E-3</v>
      </c>
    </row>
    <row r="336" spans="1:2">
      <c r="A336" t="s">
        <v>252</v>
      </c>
      <c r="B336">
        <v>1.3937088924276055E-4</v>
      </c>
    </row>
    <row r="337" spans="1:2">
      <c r="A337" t="s">
        <v>253</v>
      </c>
      <c r="B337">
        <v>6.2909028841462958E-7</v>
      </c>
    </row>
    <row r="338" spans="1:2">
      <c r="A338" t="s">
        <v>254</v>
      </c>
      <c r="B338">
        <v>6.3335816937129508E-4</v>
      </c>
    </row>
    <row r="339" spans="1:2">
      <c r="A339" t="s">
        <v>255</v>
      </c>
      <c r="B339">
        <v>1.0991867753884321E-3</v>
      </c>
    </row>
    <row r="340" spans="1:2">
      <c r="A340" t="s">
        <v>2272</v>
      </c>
      <c r="B340">
        <v>4.820216832822985E-2</v>
      </c>
    </row>
    <row r="341" spans="1:2">
      <c r="A341" t="s">
        <v>2273</v>
      </c>
      <c r="B341">
        <v>5.9243348765807294E-2</v>
      </c>
    </row>
    <row r="342" spans="1:2">
      <c r="A342" t="s">
        <v>2274</v>
      </c>
      <c r="B342">
        <v>0.17372109788469806</v>
      </c>
    </row>
    <row r="343" spans="1:2">
      <c r="A343" t="s">
        <v>2275</v>
      </c>
      <c r="B343">
        <v>0.32090147248145612</v>
      </c>
    </row>
    <row r="344" spans="1:2">
      <c r="A344" t="s">
        <v>2276</v>
      </c>
      <c r="B344">
        <v>0.77533241673371955</v>
      </c>
    </row>
    <row r="345" spans="1:2">
      <c r="A345" t="s">
        <v>2277</v>
      </c>
      <c r="B345">
        <v>1.1197854290144511</v>
      </c>
    </row>
    <row r="346" spans="1:2">
      <c r="A346" t="s">
        <v>2278</v>
      </c>
      <c r="B346">
        <v>1.9691681265907537</v>
      </c>
    </row>
    <row r="347" spans="1:2">
      <c r="A347" t="s">
        <v>2279</v>
      </c>
      <c r="B347">
        <v>2.6866169789145165</v>
      </c>
    </row>
    <row r="348" spans="1:2">
      <c r="A348" t="s">
        <v>2280</v>
      </c>
      <c r="B348">
        <v>4.1505819195206302</v>
      </c>
    </row>
    <row r="349" spans="1:2">
      <c r="A349" t="s">
        <v>2281</v>
      </c>
      <c r="B349">
        <v>4.9510512897138943</v>
      </c>
    </row>
    <row r="350" spans="1:2">
      <c r="A350" t="s">
        <v>2282</v>
      </c>
      <c r="B350">
        <v>6.1340458456632323</v>
      </c>
    </row>
    <row r="351" spans="1:2">
      <c r="A351" t="s">
        <v>2283</v>
      </c>
      <c r="B351">
        <v>13.078248689810289</v>
      </c>
    </row>
    <row r="352" spans="1:2">
      <c r="A352" t="s">
        <v>256</v>
      </c>
      <c r="B352">
        <v>1.5801804838582824E-14</v>
      </c>
    </row>
    <row r="353" spans="1:2">
      <c r="A353" t="s">
        <v>2284</v>
      </c>
      <c r="B353">
        <v>5.0337485879444102E-2</v>
      </c>
    </row>
    <row r="354" spans="1:2">
      <c r="A354" t="s">
        <v>2285</v>
      </c>
      <c r="B354">
        <v>32.299495832243487</v>
      </c>
    </row>
    <row r="355" spans="1:2">
      <c r="A355" t="s">
        <v>2286</v>
      </c>
      <c r="B355">
        <v>149.06390979783768</v>
      </c>
    </row>
    <row r="356" spans="1:2">
      <c r="A356" t="s">
        <v>257</v>
      </c>
      <c r="B356">
        <v>1.5051663812451038E-7</v>
      </c>
    </row>
    <row r="357" spans="1:2">
      <c r="A357" t="s">
        <v>2287</v>
      </c>
      <c r="B357">
        <v>19.804205158855577</v>
      </c>
    </row>
    <row r="358" spans="1:2">
      <c r="A358" t="s">
        <v>2288</v>
      </c>
      <c r="B358">
        <v>59.243348765807291</v>
      </c>
    </row>
    <row r="359" spans="1:2">
      <c r="A359" t="s">
        <v>2289</v>
      </c>
      <c r="B359">
        <v>7.8766725063630147</v>
      </c>
    </row>
    <row r="360" spans="1:2">
      <c r="A360" t="s">
        <v>2289</v>
      </c>
      <c r="B360">
        <v>73.739061761696306</v>
      </c>
    </row>
    <row r="361" spans="1:2">
      <c r="A361" t="s">
        <v>2290</v>
      </c>
      <c r="B361">
        <v>0.70014866723226798</v>
      </c>
    </row>
    <row r="362" spans="1:2">
      <c r="A362" t="s">
        <v>2291</v>
      </c>
      <c r="B362">
        <v>0.73739061761696312</v>
      </c>
    </row>
    <row r="363" spans="1:2">
      <c r="A363" t="s">
        <v>2292</v>
      </c>
      <c r="B363">
        <v>6.9314718055994526E-2</v>
      </c>
    </row>
    <row r="364" spans="1:2">
      <c r="A364" t="s">
        <v>2293</v>
      </c>
      <c r="B364">
        <v>4.332169878499658E-2</v>
      </c>
    </row>
    <row r="365" spans="1:2">
      <c r="A365" t="s">
        <v>2294</v>
      </c>
      <c r="B365">
        <v>1.1552453009332421E-2</v>
      </c>
    </row>
    <row r="366" spans="1:2">
      <c r="A366" t="s">
        <v>2295</v>
      </c>
      <c r="B366">
        <v>0.46209812037329684</v>
      </c>
    </row>
    <row r="367" spans="1:2">
      <c r="A367" t="s">
        <v>2296</v>
      </c>
      <c r="B367">
        <v>7.3739061761696298E-2</v>
      </c>
    </row>
    <row r="368" spans="1:2">
      <c r="A368" t="s">
        <v>2297</v>
      </c>
      <c r="B368">
        <v>1.575334501272603E-2</v>
      </c>
    </row>
    <row r="369" spans="1:2">
      <c r="A369" t="s">
        <v>2298</v>
      </c>
      <c r="B369">
        <v>6.0802384259644321E-4</v>
      </c>
    </row>
    <row r="370" spans="1:2">
      <c r="A370" t="s">
        <v>2299</v>
      </c>
      <c r="B370">
        <v>53.319013889226554</v>
      </c>
    </row>
    <row r="371" spans="1:2">
      <c r="A371" t="s">
        <v>2300</v>
      </c>
      <c r="B371">
        <v>247552.56448569475</v>
      </c>
    </row>
    <row r="372" spans="1:2">
      <c r="A372" t="s">
        <v>2301</v>
      </c>
      <c r="B372">
        <v>46.834268956753057</v>
      </c>
    </row>
    <row r="373" spans="1:2">
      <c r="A373" t="s">
        <v>2302</v>
      </c>
      <c r="B373">
        <v>18.733707582701225</v>
      </c>
    </row>
    <row r="374" spans="1:2">
      <c r="A374" t="s">
        <v>2303</v>
      </c>
      <c r="B374">
        <v>11.552453009332423</v>
      </c>
    </row>
    <row r="375" spans="1:2">
      <c r="A375" t="s">
        <v>2303</v>
      </c>
      <c r="B375">
        <v>2.6156497379620576</v>
      </c>
    </row>
    <row r="376" spans="1:2">
      <c r="A376" t="s">
        <v>2304</v>
      </c>
      <c r="B376">
        <v>1.0118936942480952</v>
      </c>
    </row>
    <row r="377" spans="1:2">
      <c r="A377" t="s">
        <v>2305</v>
      </c>
      <c r="B377">
        <v>0.11002336199364211</v>
      </c>
    </row>
    <row r="378" spans="1:2">
      <c r="A378" t="s">
        <v>2305</v>
      </c>
      <c r="B378">
        <v>0.11179793234837827</v>
      </c>
    </row>
    <row r="379" spans="1:2">
      <c r="A379" t="s">
        <v>2306</v>
      </c>
      <c r="B379">
        <v>5.5898966174189137E-2</v>
      </c>
    </row>
    <row r="380" spans="1:2">
      <c r="A380" t="s">
        <v>2307</v>
      </c>
      <c r="B380">
        <v>5.5011680996821051</v>
      </c>
    </row>
    <row r="381" spans="1:2">
      <c r="A381" t="s">
        <v>2308</v>
      </c>
      <c r="B381">
        <v>2.0033155507512869E-2</v>
      </c>
    </row>
    <row r="382" spans="1:2">
      <c r="A382" t="s">
        <v>2308</v>
      </c>
      <c r="B382">
        <v>1.7415758305526264E-2</v>
      </c>
    </row>
    <row r="383" spans="1:2">
      <c r="A383" t="s">
        <v>2309</v>
      </c>
      <c r="B383">
        <v>1.1002336199364211E-2</v>
      </c>
    </row>
    <row r="384" spans="1:2">
      <c r="A384" t="s">
        <v>2309</v>
      </c>
      <c r="B384">
        <v>0.21660849392498288</v>
      </c>
    </row>
    <row r="385" spans="1:2">
      <c r="A385" t="s">
        <v>2310</v>
      </c>
      <c r="B385">
        <v>6.9314718055994533E-3</v>
      </c>
    </row>
    <row r="386" spans="1:2">
      <c r="A386" t="s">
        <v>2310</v>
      </c>
      <c r="B386">
        <v>5.5451774444795626E-3</v>
      </c>
    </row>
    <row r="387" spans="1:2">
      <c r="A387" t="s">
        <v>2310</v>
      </c>
      <c r="B387">
        <v>5.9754067289650454E-3</v>
      </c>
    </row>
    <row r="388" spans="1:2">
      <c r="A388" t="s">
        <v>2311</v>
      </c>
      <c r="B388">
        <v>3.7876895112565318E-3</v>
      </c>
    </row>
    <row r="389" spans="1:2">
      <c r="A389" t="s">
        <v>2311</v>
      </c>
      <c r="B389">
        <v>7.9672089719533944E-3</v>
      </c>
    </row>
    <row r="390" spans="1:2">
      <c r="A390" t="s">
        <v>2312</v>
      </c>
      <c r="B390">
        <v>2.2519401577646043E-3</v>
      </c>
    </row>
    <row r="391" spans="1:2">
      <c r="A391" t="s">
        <v>2312</v>
      </c>
      <c r="B391">
        <v>1.1552453009332422</v>
      </c>
    </row>
    <row r="392" spans="1:2">
      <c r="A392" t="s">
        <v>2312</v>
      </c>
      <c r="B392">
        <v>2.8881132523331052E-3</v>
      </c>
    </row>
    <row r="393" spans="1:2">
      <c r="A393" t="s">
        <v>2313</v>
      </c>
      <c r="B393">
        <v>1.1552453009332422</v>
      </c>
    </row>
    <row r="394" spans="1:2">
      <c r="A394" t="s">
        <v>2313</v>
      </c>
      <c r="B394">
        <v>2.8881132523331052E-3</v>
      </c>
    </row>
    <row r="395" spans="1:2">
      <c r="A395" t="s">
        <v>2314</v>
      </c>
      <c r="B395">
        <v>1.2382050385136574E-3</v>
      </c>
    </row>
    <row r="396" spans="1:2">
      <c r="A396" t="s">
        <v>2315</v>
      </c>
      <c r="B396">
        <v>2.292153374867544E-3</v>
      </c>
    </row>
    <row r="397" spans="1:2">
      <c r="A397" t="s">
        <v>2316</v>
      </c>
      <c r="B397">
        <v>1.1215973795468371E-3</v>
      </c>
    </row>
    <row r="398" spans="1:2">
      <c r="A398" t="s">
        <v>2316</v>
      </c>
      <c r="B398">
        <v>9.959011214941743E-4</v>
      </c>
    </row>
    <row r="399" spans="1:2">
      <c r="A399" t="s">
        <v>2317</v>
      </c>
      <c r="B399">
        <v>9.0019114358434446E-2</v>
      </c>
    </row>
    <row r="400" spans="1:2">
      <c r="A400" t="s">
        <v>2318</v>
      </c>
      <c r="B400">
        <v>4.2786862997527489E-4</v>
      </c>
    </row>
    <row r="401" spans="1:2">
      <c r="A401" t="s">
        <v>2319</v>
      </c>
      <c r="B401">
        <v>4.6771064815111018E-4</v>
      </c>
    </row>
    <row r="402" spans="1:2">
      <c r="A402" t="s">
        <v>258</v>
      </c>
      <c r="B402">
        <v>3.1737508267396761E-4</v>
      </c>
    </row>
    <row r="403" spans="1:2">
      <c r="A403" t="s">
        <v>2320</v>
      </c>
      <c r="B403">
        <v>3.7265977449459423E-4</v>
      </c>
    </row>
    <row r="404" spans="1:2">
      <c r="A404" t="s">
        <v>2320</v>
      </c>
      <c r="B404">
        <v>1.732867951399863</v>
      </c>
    </row>
    <row r="405" spans="1:2">
      <c r="A405" t="s">
        <v>259</v>
      </c>
      <c r="B405">
        <v>1.0407615323722903E-4</v>
      </c>
    </row>
    <row r="406" spans="1:2">
      <c r="A406" t="s">
        <v>2321</v>
      </c>
      <c r="B406">
        <v>1.9747782921935764E-4</v>
      </c>
    </row>
    <row r="407" spans="1:2">
      <c r="A407" t="s">
        <v>260</v>
      </c>
      <c r="B407">
        <v>1.1259700788823022E-4</v>
      </c>
    </row>
    <row r="408" spans="1:2">
      <c r="A408" t="s">
        <v>261</v>
      </c>
      <c r="B408">
        <v>1.6372524106196744E-5</v>
      </c>
    </row>
    <row r="409" spans="1:2">
      <c r="A409" t="s">
        <v>2322</v>
      </c>
      <c r="B409">
        <v>2.2726137067539192</v>
      </c>
    </row>
    <row r="410" spans="1:2">
      <c r="A410" t="s">
        <v>2323</v>
      </c>
      <c r="B410">
        <v>1.7069227259651922E-5</v>
      </c>
    </row>
    <row r="411" spans="1:2">
      <c r="A411" t="s">
        <v>262</v>
      </c>
      <c r="B411">
        <v>5.3806417250411826E-7</v>
      </c>
    </row>
    <row r="412" spans="1:2">
      <c r="A412" t="s">
        <v>263</v>
      </c>
      <c r="B412">
        <v>1.2850451404831656E-6</v>
      </c>
    </row>
    <row r="413" spans="1:2">
      <c r="A413" t="s">
        <v>264</v>
      </c>
      <c r="B413">
        <v>7.0353967731038207E-10</v>
      </c>
    </row>
    <row r="414" spans="1:2">
      <c r="A414" t="s">
        <v>2324</v>
      </c>
      <c r="B414">
        <v>5.9686165015299255E-14</v>
      </c>
    </row>
    <row r="415" spans="1:2">
      <c r="A415" t="s">
        <v>2325</v>
      </c>
      <c r="B415">
        <v>1.0927616281408023E-27</v>
      </c>
    </row>
    <row r="416" spans="1:2">
      <c r="A416" t="s">
        <v>43</v>
      </c>
      <c r="B416">
        <v>1.6006657645723072E-6</v>
      </c>
    </row>
    <row r="417" spans="1:2">
      <c r="A417" t="s">
        <v>43</v>
      </c>
      <c r="B417">
        <v>6.9950664731306136E-15</v>
      </c>
    </row>
    <row r="418" spans="1:2">
      <c r="A418" t="s">
        <v>47</v>
      </c>
      <c r="B418">
        <v>5.3983425277254306E-3</v>
      </c>
    </row>
    <row r="419" spans="1:2">
      <c r="A419" t="s">
        <v>50</v>
      </c>
      <c r="B419">
        <v>1.9078880628449441E-4</v>
      </c>
    </row>
    <row r="420" spans="1:2">
      <c r="A420" t="s">
        <v>50</v>
      </c>
      <c r="B420">
        <v>4.6025709200527573E-4</v>
      </c>
    </row>
    <row r="421" spans="1:2">
      <c r="A421" t="s">
        <v>2326</v>
      </c>
      <c r="B421">
        <v>1.6045073624072809E-3</v>
      </c>
    </row>
    <row r="422" spans="1:2">
      <c r="A422" t="s">
        <v>53</v>
      </c>
      <c r="B422">
        <v>2.5330438330371259E-4</v>
      </c>
    </row>
    <row r="423" spans="1:2">
      <c r="A423" t="s">
        <v>55</v>
      </c>
      <c r="B423">
        <v>5.8612141092503401E-4</v>
      </c>
    </row>
    <row r="424" spans="1:2">
      <c r="A424" t="s">
        <v>2327</v>
      </c>
      <c r="B424">
        <v>1.2302931852324196E-3</v>
      </c>
    </row>
    <row r="425" spans="1:2">
      <c r="A425" t="s">
        <v>59</v>
      </c>
      <c r="B425">
        <v>1.520059606491108E-3</v>
      </c>
    </row>
    <row r="426" spans="1:2">
      <c r="A426" t="s">
        <v>2328</v>
      </c>
      <c r="B426">
        <v>1.8784476437938898E-2</v>
      </c>
    </row>
    <row r="427" spans="1:2">
      <c r="A427" t="s">
        <v>2329</v>
      </c>
      <c r="B427">
        <v>5.1344235597032984E-3</v>
      </c>
    </row>
    <row r="428" spans="1:2">
      <c r="A428" t="s">
        <v>2329</v>
      </c>
      <c r="B428">
        <v>1.7503716680806699E-3</v>
      </c>
    </row>
    <row r="429" spans="1:2">
      <c r="A429" t="s">
        <v>2330</v>
      </c>
      <c r="B429">
        <v>7.037027213806551E-3</v>
      </c>
    </row>
    <row r="430" spans="1:2">
      <c r="A430" t="s">
        <v>2331</v>
      </c>
      <c r="B430">
        <v>2.1004460016968041E-2</v>
      </c>
    </row>
    <row r="431" spans="1:2">
      <c r="A431" t="s">
        <v>2332</v>
      </c>
      <c r="B431">
        <v>7.9672089719533948E-2</v>
      </c>
    </row>
    <row r="432" spans="1:2">
      <c r="A432" t="s">
        <v>2333</v>
      </c>
      <c r="B432">
        <v>7.2962861111573185E-2</v>
      </c>
    </row>
    <row r="433" spans="1:2">
      <c r="A433" t="s">
        <v>2334</v>
      </c>
      <c r="B433">
        <v>3.3007008598092635E-2</v>
      </c>
    </row>
    <row r="434" spans="1:2">
      <c r="A434" t="s">
        <v>2335</v>
      </c>
      <c r="B434">
        <v>3.6481430555786593E-2</v>
      </c>
    </row>
    <row r="435" spans="1:2">
      <c r="A435" t="s">
        <v>2336</v>
      </c>
      <c r="B435">
        <v>3.1506690025452061E-2</v>
      </c>
    </row>
    <row r="436" spans="1:2">
      <c r="A436" t="s">
        <v>2337</v>
      </c>
      <c r="B436">
        <v>4.8135220872218424E-3</v>
      </c>
    </row>
    <row r="437" spans="1:2">
      <c r="A437" t="s">
        <v>2338</v>
      </c>
      <c r="B437">
        <v>2.4067610436109212E-3</v>
      </c>
    </row>
    <row r="438" spans="1:2">
      <c r="A438" t="s">
        <v>2339</v>
      </c>
      <c r="B438">
        <v>2.5114028281157438E-3</v>
      </c>
    </row>
    <row r="439" spans="1:2">
      <c r="A439" t="s">
        <v>2340</v>
      </c>
      <c r="B439">
        <v>1.6503504299046317E-3</v>
      </c>
    </row>
    <row r="440" spans="1:2">
      <c r="A440" t="s">
        <v>2341</v>
      </c>
      <c r="B440">
        <v>4.1856713801929064E-5</v>
      </c>
    </row>
    <row r="441" spans="1:2">
      <c r="A441" t="s">
        <v>2342</v>
      </c>
      <c r="B441">
        <v>3.8354757667106313E-5</v>
      </c>
    </row>
    <row r="442" spans="1:2">
      <c r="A442" t="s">
        <v>266</v>
      </c>
      <c r="B442">
        <v>1.6174469379105654E-6</v>
      </c>
    </row>
    <row r="443" spans="1:2">
      <c r="A443" t="s">
        <v>267</v>
      </c>
      <c r="B443">
        <v>4.4569648955757801E-6</v>
      </c>
    </row>
    <row r="444" spans="1:2">
      <c r="A444" t="s">
        <v>268</v>
      </c>
      <c r="B444">
        <v>1.5916310670746468E-11</v>
      </c>
    </row>
    <row r="445" spans="1:2">
      <c r="A445" t="s">
        <v>2343</v>
      </c>
      <c r="B445">
        <v>8.1240879109229401E-6</v>
      </c>
    </row>
    <row r="446" spans="1:2">
      <c r="A446" t="s">
        <v>269</v>
      </c>
      <c r="B446">
        <v>2.4518755538008568E-8</v>
      </c>
    </row>
    <row r="447" spans="1:2">
      <c r="A447" t="s">
        <v>270</v>
      </c>
      <c r="B447">
        <v>5.9944235208242119E-5</v>
      </c>
    </row>
    <row r="448" spans="1:2">
      <c r="A448" t="s">
        <v>2344</v>
      </c>
      <c r="B448">
        <v>2.0629380373807897E-4</v>
      </c>
    </row>
    <row r="449" spans="1:2">
      <c r="A449" t="s">
        <v>2345</v>
      </c>
      <c r="B449">
        <v>6.4180294496291234E-3</v>
      </c>
    </row>
    <row r="450" spans="1:2">
      <c r="A450" t="s">
        <v>2346</v>
      </c>
      <c r="B450">
        <v>19804205.15885558</v>
      </c>
    </row>
    <row r="451" spans="1:2">
      <c r="A451" t="s">
        <v>2347</v>
      </c>
      <c r="B451">
        <v>8.787362836713303</v>
      </c>
    </row>
    <row r="452" spans="1:2">
      <c r="A452" t="s">
        <v>2347</v>
      </c>
      <c r="B452">
        <v>0.32060461635520132</v>
      </c>
    </row>
    <row r="453" spans="1:2">
      <c r="A453" t="s">
        <v>2348</v>
      </c>
      <c r="B453">
        <v>3.2390055166352585E-2</v>
      </c>
    </row>
    <row r="454" spans="1:2">
      <c r="A454" t="s">
        <v>2349</v>
      </c>
      <c r="B454">
        <v>8.818666419337727E-3</v>
      </c>
    </row>
    <row r="455" spans="1:2">
      <c r="A455" t="s">
        <v>2350</v>
      </c>
      <c r="B455">
        <v>6.7295842772810213E-2</v>
      </c>
    </row>
    <row r="456" spans="1:2">
      <c r="A456" t="s">
        <v>2351</v>
      </c>
      <c r="B456">
        <v>3.3977802968624769E-3</v>
      </c>
    </row>
    <row r="457" spans="1:2">
      <c r="A457" t="s">
        <v>271</v>
      </c>
      <c r="B457">
        <v>4.5482098461938666E-4</v>
      </c>
    </row>
    <row r="458" spans="1:2">
      <c r="A458" t="s">
        <v>271</v>
      </c>
      <c r="B458">
        <v>2.6255575021210049E-4</v>
      </c>
    </row>
    <row r="459" spans="1:2">
      <c r="A459" t="s">
        <v>273</v>
      </c>
      <c r="B459">
        <v>1.1946693908306538E-4</v>
      </c>
    </row>
    <row r="460" spans="1:2">
      <c r="A460" t="s">
        <v>274</v>
      </c>
      <c r="B460">
        <v>1.1914658631737233E-5</v>
      </c>
    </row>
    <row r="461" spans="1:2">
      <c r="A461" t="s">
        <v>2352</v>
      </c>
      <c r="B461">
        <v>0.49510512897138953</v>
      </c>
    </row>
    <row r="462" spans="1:2">
      <c r="A462" t="s">
        <v>275</v>
      </c>
      <c r="B462">
        <v>3.3755414356394406E-6</v>
      </c>
    </row>
    <row r="463" spans="1:2">
      <c r="A463" t="s">
        <v>2353</v>
      </c>
      <c r="B463">
        <v>2.7182242374899817E-3</v>
      </c>
    </row>
    <row r="464" spans="1:2">
      <c r="A464" t="s">
        <v>2354</v>
      </c>
      <c r="B464">
        <v>1.7910779859430111E-3</v>
      </c>
    </row>
    <row r="465" spans="1:2">
      <c r="A465" t="s">
        <v>2355</v>
      </c>
      <c r="B465">
        <v>0.14291694444534955</v>
      </c>
    </row>
    <row r="466" spans="1:2">
      <c r="A466" t="s">
        <v>276</v>
      </c>
      <c r="B466">
        <v>6.5341928785816864E-4</v>
      </c>
    </row>
    <row r="467" spans="1:2">
      <c r="A467" t="s">
        <v>277</v>
      </c>
      <c r="B467">
        <v>4.3557344016123812E-5</v>
      </c>
    </row>
    <row r="468" spans="1:2">
      <c r="A468" t="s">
        <v>278</v>
      </c>
      <c r="B468">
        <v>5.4568893404623539E-6</v>
      </c>
    </row>
    <row r="469" spans="1:2">
      <c r="A469" t="s">
        <v>2356</v>
      </c>
      <c r="B469">
        <v>1.8845763473625482E-3</v>
      </c>
    </row>
    <row r="470" spans="1:2">
      <c r="A470" t="s">
        <v>279</v>
      </c>
      <c r="B470">
        <v>8.1103994729938379E-5</v>
      </c>
    </row>
    <row r="471" spans="1:2">
      <c r="A471" t="s">
        <v>280</v>
      </c>
      <c r="B471">
        <v>3.6374222321575633E-4</v>
      </c>
    </row>
    <row r="472" spans="1:2">
      <c r="A472" t="s">
        <v>280</v>
      </c>
      <c r="B472">
        <v>1.9254088348887369E-3</v>
      </c>
    </row>
    <row r="473" spans="1:2">
      <c r="A473" t="s">
        <v>2357</v>
      </c>
      <c r="B473">
        <v>3.9294057854872182E-3</v>
      </c>
    </row>
    <row r="474" spans="1:2">
      <c r="A474" t="s">
        <v>2358</v>
      </c>
      <c r="B474">
        <v>1.2579803639926411E-2</v>
      </c>
    </row>
    <row r="475" spans="1:2">
      <c r="A475" t="s">
        <v>2359</v>
      </c>
      <c r="B475">
        <v>1.2448764018677179E-2</v>
      </c>
    </row>
    <row r="476" spans="1:2">
      <c r="A476" t="s">
        <v>2360</v>
      </c>
      <c r="B476">
        <v>4.242026808812395E-2</v>
      </c>
    </row>
    <row r="477" spans="1:2">
      <c r="A477" t="s">
        <v>2361</v>
      </c>
      <c r="B477">
        <v>0.15941747482979424</v>
      </c>
    </row>
    <row r="478" spans="1:2">
      <c r="A478" t="s">
        <v>2362</v>
      </c>
      <c r="B478">
        <v>0.36290428301567818</v>
      </c>
    </row>
    <row r="479" spans="1:2">
      <c r="A479" t="s">
        <v>2363</v>
      </c>
      <c r="B479">
        <v>1.2741676113234288</v>
      </c>
    </row>
    <row r="480" spans="1:2">
      <c r="A480" t="s">
        <v>2364</v>
      </c>
      <c r="B480">
        <v>2.0149627341858873</v>
      </c>
    </row>
    <row r="481" spans="1:2">
      <c r="A481" t="s">
        <v>2365</v>
      </c>
      <c r="B481">
        <v>4.5601788194733244</v>
      </c>
    </row>
    <row r="482" spans="1:2">
      <c r="A482" t="s">
        <v>2366</v>
      </c>
      <c r="B482">
        <v>9.9021025794277886</v>
      </c>
    </row>
    <row r="483" spans="1:2">
      <c r="A483" t="s">
        <v>2367</v>
      </c>
      <c r="B483">
        <v>3.5911570632331441E-2</v>
      </c>
    </row>
    <row r="484" spans="1:2">
      <c r="A484" t="s">
        <v>198</v>
      </c>
      <c r="B484">
        <v>5.6796441557968851E-4</v>
      </c>
    </row>
    <row r="485" spans="1:2">
      <c r="A485" t="s">
        <v>2</v>
      </c>
      <c r="B485">
        <v>3.8629104336317492E-12</v>
      </c>
    </row>
    <row r="486" spans="1:2">
      <c r="A486" t="s">
        <v>2368</v>
      </c>
      <c r="B486">
        <v>0.28280178725415961</v>
      </c>
    </row>
    <row r="487" spans="1:2">
      <c r="A487" t="s">
        <v>2369</v>
      </c>
      <c r="B487">
        <v>0.92419624074659368</v>
      </c>
    </row>
    <row r="488" spans="1:2">
      <c r="A488" t="s">
        <v>2370</v>
      </c>
      <c r="B488">
        <v>3.5914361687043797</v>
      </c>
    </row>
    <row r="489" spans="1:2">
      <c r="A489" t="s">
        <v>2371</v>
      </c>
      <c r="B489">
        <v>7.5342084843472312</v>
      </c>
    </row>
    <row r="490" spans="1:2">
      <c r="A490" t="s">
        <v>2372</v>
      </c>
      <c r="B490">
        <v>14.970781437579811</v>
      </c>
    </row>
    <row r="491" spans="1:2">
      <c r="A491" t="s">
        <v>2373</v>
      </c>
      <c r="B491">
        <v>43.321698784996578</v>
      </c>
    </row>
    <row r="492" spans="1:2">
      <c r="A492" t="s">
        <v>2374</v>
      </c>
      <c r="B492">
        <v>113.63068533769595</v>
      </c>
    </row>
    <row r="493" spans="1:2">
      <c r="A493" t="s">
        <v>2375</v>
      </c>
      <c r="B493">
        <v>5.4794243522525319</v>
      </c>
    </row>
    <row r="494" spans="1:2">
      <c r="A494" t="s">
        <v>2376</v>
      </c>
      <c r="B494">
        <v>26.970707414783863</v>
      </c>
    </row>
    <row r="495" spans="1:2">
      <c r="A495" t="s">
        <v>2377</v>
      </c>
      <c r="B495">
        <v>6.876460124602632</v>
      </c>
    </row>
    <row r="496" spans="1:2">
      <c r="A496" t="s">
        <v>2378</v>
      </c>
      <c r="B496">
        <v>3.829542434032847</v>
      </c>
    </row>
    <row r="497" spans="1:2">
      <c r="A497" t="s">
        <v>2379</v>
      </c>
      <c r="B497">
        <v>1.5619514175359879</v>
      </c>
    </row>
    <row r="498" spans="1:2">
      <c r="A498" t="s">
        <v>2380</v>
      </c>
      <c r="B498">
        <v>0.8057040341275663</v>
      </c>
    </row>
    <row r="499" spans="1:2">
      <c r="A499" t="s">
        <v>281</v>
      </c>
      <c r="B499">
        <v>2.2097091273269745E-13</v>
      </c>
    </row>
    <row r="500" spans="1:2">
      <c r="A500" t="s">
        <v>8</v>
      </c>
      <c r="B500">
        <v>4.9336060586903648E-8</v>
      </c>
    </row>
    <row r="501" spans="1:2">
      <c r="A501" t="s">
        <v>282</v>
      </c>
      <c r="B501">
        <v>1.7686368633237223E-6</v>
      </c>
    </row>
    <row r="502" spans="1:2">
      <c r="A502" t="s">
        <v>2381</v>
      </c>
      <c r="B502">
        <v>3.9222337010053794E-28</v>
      </c>
    </row>
    <row r="503" spans="1:2">
      <c r="A503" t="s">
        <v>2382</v>
      </c>
      <c r="B503">
        <v>1.3251265209144783E-3</v>
      </c>
    </row>
    <row r="504" spans="1:2">
      <c r="A504" t="s">
        <v>2383</v>
      </c>
      <c r="B504">
        <v>5.1535106361334224E-2</v>
      </c>
    </row>
    <row r="505" spans="1:2">
      <c r="A505" t="s">
        <v>2384</v>
      </c>
      <c r="B505">
        <v>6.9314718055994526E-2</v>
      </c>
    </row>
    <row r="506" spans="1:2">
      <c r="A506" t="s">
        <v>2385</v>
      </c>
      <c r="B506">
        <v>0.15068416968694465</v>
      </c>
    </row>
    <row r="507" spans="1:2">
      <c r="A507" t="s">
        <v>2386</v>
      </c>
      <c r="B507">
        <v>1.5035730597829615</v>
      </c>
    </row>
    <row r="508" spans="1:2">
      <c r="A508" t="s">
        <v>2387</v>
      </c>
      <c r="B508">
        <v>7.7016353395549482</v>
      </c>
    </row>
    <row r="509" spans="1:2">
      <c r="A509" t="s">
        <v>2388</v>
      </c>
      <c r="B509">
        <v>31.506690025452059</v>
      </c>
    </row>
    <row r="510" spans="1:2">
      <c r="A510" t="s">
        <v>2389</v>
      </c>
      <c r="B510">
        <v>63.013380050904118</v>
      </c>
    </row>
    <row r="511" spans="1:2">
      <c r="A511" t="s">
        <v>2390</v>
      </c>
      <c r="B511">
        <v>1.4117050520569149E-2</v>
      </c>
    </row>
    <row r="512" spans="1:2">
      <c r="A512" t="s">
        <v>2391</v>
      </c>
      <c r="B512">
        <v>8.4944507421561913E-3</v>
      </c>
    </row>
    <row r="513" spans="1:2">
      <c r="A513" t="s">
        <v>2392</v>
      </c>
      <c r="B513">
        <v>2.1004460016968039E-3</v>
      </c>
    </row>
    <row r="514" spans="1:2">
      <c r="A514" t="s">
        <v>2393</v>
      </c>
      <c r="B514">
        <v>1.5403270679109895E-3</v>
      </c>
    </row>
    <row r="515" spans="1:2">
      <c r="A515" t="s">
        <v>283</v>
      </c>
      <c r="B515">
        <v>1.9986942922720451E-4</v>
      </c>
    </row>
    <row r="516" spans="1:2">
      <c r="A516" t="s">
        <v>2394</v>
      </c>
      <c r="B516">
        <v>2.0852803265942999E-4</v>
      </c>
    </row>
    <row r="517" spans="1:2">
      <c r="A517" t="s">
        <v>284</v>
      </c>
      <c r="B517">
        <v>2.9530810351054248E-5</v>
      </c>
    </row>
    <row r="518" spans="1:2">
      <c r="A518" t="s">
        <v>285</v>
      </c>
      <c r="B518">
        <v>1.7365550049864506E-8</v>
      </c>
    </row>
    <row r="519" spans="1:2">
      <c r="A519" t="s">
        <v>2395</v>
      </c>
      <c r="B519">
        <v>2.3819490740891591E-4</v>
      </c>
    </row>
    <row r="520" spans="1:2">
      <c r="A520" t="s">
        <v>145</v>
      </c>
      <c r="B520">
        <v>2.7319040703520057E-24</v>
      </c>
    </row>
    <row r="521" spans="1:2">
      <c r="A521" t="s">
        <v>115</v>
      </c>
      <c r="B521">
        <v>1.5813181227955456E-9</v>
      </c>
    </row>
    <row r="522" spans="1:2">
      <c r="A522" t="s">
        <v>286</v>
      </c>
      <c r="B522">
        <v>3.6056345222635521E-6</v>
      </c>
    </row>
    <row r="523" spans="1:2">
      <c r="A523" t="s">
        <v>286</v>
      </c>
      <c r="B523">
        <v>1.7987750699633193E-7</v>
      </c>
    </row>
    <row r="524" spans="1:2">
      <c r="A524" t="s">
        <v>2396</v>
      </c>
      <c r="B524">
        <v>8.1957122110560175E-28</v>
      </c>
    </row>
    <row r="525" spans="1:2">
      <c r="A525" t="s">
        <v>288</v>
      </c>
      <c r="B525">
        <v>7.6924044542098943E-5</v>
      </c>
    </row>
    <row r="526" spans="1:2">
      <c r="A526" t="s">
        <v>288</v>
      </c>
      <c r="B526">
        <v>5.6020041748290286E-5</v>
      </c>
    </row>
    <row r="527" spans="1:2">
      <c r="A527" t="s">
        <v>2397</v>
      </c>
      <c r="B527">
        <v>2.2967103398275192E-4</v>
      </c>
    </row>
    <row r="528" spans="1:2">
      <c r="A528" t="s">
        <v>2398</v>
      </c>
      <c r="B528">
        <v>4.2945921967778517E-3</v>
      </c>
    </row>
    <row r="529" spans="1:2">
      <c r="A529" t="s">
        <v>2398</v>
      </c>
      <c r="B529">
        <v>5.2511150042420102E-3</v>
      </c>
    </row>
    <row r="530" spans="1:2">
      <c r="A530" t="s">
        <v>2399</v>
      </c>
      <c r="B530">
        <v>1.3644629538581601E-2</v>
      </c>
    </row>
    <row r="531" spans="1:2">
      <c r="A531" t="s">
        <v>2400</v>
      </c>
      <c r="B531">
        <v>5.1344235597032988E-2</v>
      </c>
    </row>
    <row r="532" spans="1:2">
      <c r="A532" t="s">
        <v>2400</v>
      </c>
      <c r="B532">
        <v>8.3511708501198226E-2</v>
      </c>
    </row>
    <row r="533" spans="1:2">
      <c r="A533" t="s">
        <v>2401</v>
      </c>
      <c r="B533">
        <v>0.1322799962900659</v>
      </c>
    </row>
    <row r="534" spans="1:2">
      <c r="A534" t="s">
        <v>2402</v>
      </c>
      <c r="B534">
        <v>0.3300700859809263</v>
      </c>
    </row>
    <row r="535" spans="1:2">
      <c r="A535" t="s">
        <v>2402</v>
      </c>
      <c r="B535">
        <v>0.38508176697774738</v>
      </c>
    </row>
    <row r="536" spans="1:2">
      <c r="A536" t="s">
        <v>2403</v>
      </c>
      <c r="B536">
        <v>0.55451774444795621</v>
      </c>
    </row>
    <row r="537" spans="1:2">
      <c r="A537" t="s">
        <v>2404</v>
      </c>
      <c r="B537">
        <v>1.019334089058743</v>
      </c>
    </row>
    <row r="538" spans="1:2">
      <c r="A538" t="s">
        <v>2404</v>
      </c>
      <c r="B538">
        <v>1.4440566261665528</v>
      </c>
    </row>
    <row r="539" spans="1:2">
      <c r="A539" t="s">
        <v>2405</v>
      </c>
      <c r="B539">
        <v>1.353803087031143</v>
      </c>
    </row>
    <row r="540" spans="1:2">
      <c r="A540" t="s">
        <v>2406</v>
      </c>
      <c r="B540">
        <v>1.5403270679109895</v>
      </c>
    </row>
    <row r="541" spans="1:2">
      <c r="A541" t="s">
        <v>2406</v>
      </c>
      <c r="B541">
        <v>1.925408834888737</v>
      </c>
    </row>
    <row r="542" spans="1:2">
      <c r="A542" t="s">
        <v>2407</v>
      </c>
      <c r="B542">
        <v>2.8188173263926202</v>
      </c>
    </row>
    <row r="543" spans="1:2">
      <c r="A543" t="s">
        <v>2408</v>
      </c>
      <c r="B543">
        <v>4.5903786792049361</v>
      </c>
    </row>
    <row r="544" spans="1:2">
      <c r="A544" t="s">
        <v>2408</v>
      </c>
      <c r="B544">
        <v>4.5601788194733244</v>
      </c>
    </row>
    <row r="545" spans="1:2">
      <c r="A545" t="s">
        <v>2409</v>
      </c>
      <c r="B545">
        <v>5.3732339578290329</v>
      </c>
    </row>
    <row r="546" spans="1:2">
      <c r="A546" t="s">
        <v>2410</v>
      </c>
      <c r="B546">
        <v>7.0729304138769926</v>
      </c>
    </row>
    <row r="547" spans="1:2">
      <c r="A547" t="s">
        <v>2411</v>
      </c>
      <c r="B547">
        <v>8.2517521495231581</v>
      </c>
    </row>
    <row r="548" spans="1:2">
      <c r="A548" t="s">
        <v>2412</v>
      </c>
      <c r="B548">
        <v>11.363068533769596</v>
      </c>
    </row>
    <row r="549" spans="1:2">
      <c r="A549" t="s">
        <v>2413</v>
      </c>
      <c r="B549">
        <v>10.663802777845312</v>
      </c>
    </row>
    <row r="550" spans="1:2">
      <c r="A550" t="s">
        <v>2414</v>
      </c>
      <c r="B550">
        <v>21.660849392498289</v>
      </c>
    </row>
    <row r="551" spans="1:2">
      <c r="A551" t="s">
        <v>2415</v>
      </c>
      <c r="B551">
        <v>0.68628433718806459</v>
      </c>
    </row>
    <row r="552" spans="1:2">
      <c r="A552" t="s">
        <v>2415</v>
      </c>
      <c r="B552">
        <v>1.3591121187449908</v>
      </c>
    </row>
    <row r="553" spans="1:2">
      <c r="A553" t="s">
        <v>2416</v>
      </c>
      <c r="B553">
        <v>0.59754067289650459</v>
      </c>
    </row>
    <row r="554" spans="1:2">
      <c r="A554" t="s">
        <v>2416</v>
      </c>
      <c r="B554">
        <v>0.179571808435219</v>
      </c>
    </row>
    <row r="555" spans="1:2">
      <c r="A555" t="s">
        <v>2417</v>
      </c>
      <c r="B555">
        <v>0.94951668569855519</v>
      </c>
    </row>
    <row r="556" spans="1:2">
      <c r="A556" t="s">
        <v>2418</v>
      </c>
      <c r="B556">
        <v>7.453195489891884E-2</v>
      </c>
    </row>
    <row r="557" spans="1:2">
      <c r="A557" t="s">
        <v>2419</v>
      </c>
      <c r="B557">
        <v>4.0773363562349722E-2</v>
      </c>
    </row>
    <row r="558" spans="1:2">
      <c r="A558" t="s">
        <v>2420</v>
      </c>
      <c r="B558">
        <v>0.63013380050904111</v>
      </c>
    </row>
    <row r="559" spans="1:2">
      <c r="A559" t="s">
        <v>2421</v>
      </c>
      <c r="B559">
        <v>0.18240715277893299</v>
      </c>
    </row>
    <row r="560" spans="1:2">
      <c r="A560" t="s">
        <v>2422</v>
      </c>
      <c r="B560">
        <v>7.6170019841752229E-2</v>
      </c>
    </row>
    <row r="561" spans="1:2">
      <c r="A561" t="s">
        <v>2423</v>
      </c>
      <c r="B561">
        <v>7.1458472222674776E-2</v>
      </c>
    </row>
    <row r="562" spans="1:2">
      <c r="A562" t="s">
        <v>2424</v>
      </c>
      <c r="B562">
        <v>1.3591121187449907E-2</v>
      </c>
    </row>
    <row r="563" spans="1:2">
      <c r="A563" t="s">
        <v>2425</v>
      </c>
      <c r="B563">
        <v>2.0386681781174861E-2</v>
      </c>
    </row>
    <row r="564" spans="1:2">
      <c r="A564" t="s">
        <v>2425</v>
      </c>
      <c r="B564">
        <v>2.423591540419389E-2</v>
      </c>
    </row>
    <row r="565" spans="1:2">
      <c r="A565" t="s">
        <v>2426</v>
      </c>
      <c r="B565">
        <v>2.8881132523331052E-3</v>
      </c>
    </row>
    <row r="566" spans="1:2">
      <c r="A566" t="s">
        <v>2427</v>
      </c>
      <c r="B566">
        <v>3.3007008598092634E-3</v>
      </c>
    </row>
    <row r="567" spans="1:2">
      <c r="A567" t="s">
        <v>2428</v>
      </c>
      <c r="B567">
        <v>5.0447393053853367E-4</v>
      </c>
    </row>
    <row r="568" spans="1:2">
      <c r="A568" t="s">
        <v>2429</v>
      </c>
      <c r="B568">
        <v>1.1215973795468371E-3</v>
      </c>
    </row>
    <row r="569" spans="1:2">
      <c r="A569" t="s">
        <v>2429</v>
      </c>
      <c r="B569">
        <v>2.3104906018664843E-3</v>
      </c>
    </row>
    <row r="570" spans="1:2">
      <c r="A570" t="s">
        <v>2430</v>
      </c>
      <c r="B570">
        <v>5.4854952560932673E-5</v>
      </c>
    </row>
    <row r="571" spans="1:2">
      <c r="A571" t="s">
        <v>2431</v>
      </c>
      <c r="B571">
        <v>1.1909745370445796E-4</v>
      </c>
    </row>
    <row r="572" spans="1:2">
      <c r="A572" t="s">
        <v>2432</v>
      </c>
      <c r="B572">
        <v>3.6151123448906066E-5</v>
      </c>
    </row>
    <row r="573" spans="1:2">
      <c r="A573" t="s">
        <v>290</v>
      </c>
      <c r="B573">
        <v>2.4914710596386348E-6</v>
      </c>
    </row>
    <row r="574" spans="1:2">
      <c r="A574" t="s">
        <v>291</v>
      </c>
      <c r="B574">
        <v>1.0878016016320548E-5</v>
      </c>
    </row>
    <row r="575" spans="1:2">
      <c r="A575" t="s">
        <v>2433</v>
      </c>
      <c r="B575">
        <v>3.4657359027997263E-2</v>
      </c>
    </row>
    <row r="576" spans="1:2">
      <c r="A576" t="s">
        <v>292</v>
      </c>
      <c r="B576">
        <v>2.1135113445540471E-5</v>
      </c>
    </row>
    <row r="577" spans="1:2">
      <c r="A577" t="s">
        <v>293</v>
      </c>
      <c r="B577">
        <v>5.5327840083009688E-6</v>
      </c>
    </row>
    <row r="578" spans="1:2">
      <c r="A578" t="s">
        <v>2434</v>
      </c>
      <c r="B578">
        <v>79.398302469638637</v>
      </c>
    </row>
    <row r="579" spans="1:2">
      <c r="A579" t="s">
        <v>294</v>
      </c>
      <c r="B579">
        <v>5.8286376140921279E-8</v>
      </c>
    </row>
    <row r="580" spans="1:2">
      <c r="A580" t="s">
        <v>2435</v>
      </c>
      <c r="B580">
        <v>1.2037985073983072E-2</v>
      </c>
    </row>
    <row r="581" spans="1:2">
      <c r="A581" t="s">
        <v>295</v>
      </c>
      <c r="B581">
        <v>2.4681690905846681E-7</v>
      </c>
    </row>
    <row r="582" spans="1:2">
      <c r="A582" t="s">
        <v>296</v>
      </c>
      <c r="B582">
        <v>5.8280377603557739E-6</v>
      </c>
    </row>
    <row r="583" spans="1:2">
      <c r="A583" t="s">
        <v>124</v>
      </c>
      <c r="B583">
        <v>2.8160516178528967E-8</v>
      </c>
    </row>
    <row r="584" spans="1:2">
      <c r="A584" t="s">
        <v>2436</v>
      </c>
      <c r="B584">
        <v>3.8253155660041135E-3</v>
      </c>
    </row>
    <row r="585" spans="1:2">
      <c r="A585" t="s">
        <v>2437</v>
      </c>
      <c r="B585">
        <v>8.7386180100850386E-4</v>
      </c>
    </row>
    <row r="586" spans="1:2">
      <c r="A586" t="s">
        <v>2438</v>
      </c>
      <c r="B586">
        <v>1.2289843626949385E-2</v>
      </c>
    </row>
    <row r="587" spans="1:2">
      <c r="A587" t="s">
        <v>2439</v>
      </c>
      <c r="B587">
        <v>1.2203295432393403E-2</v>
      </c>
    </row>
    <row r="588" spans="1:2">
      <c r="A588" t="s">
        <v>2440</v>
      </c>
      <c r="B588">
        <v>0.13329753472306641</v>
      </c>
    </row>
    <row r="589" spans="1:2">
      <c r="A589" t="s">
        <v>2441</v>
      </c>
      <c r="B589">
        <v>0.11456978191073476</v>
      </c>
    </row>
    <row r="590" spans="1:2">
      <c r="A590" t="s">
        <v>2442</v>
      </c>
      <c r="B590">
        <v>0.39836044859766973</v>
      </c>
    </row>
    <row r="591" spans="1:2">
      <c r="A591" t="s">
        <v>2443</v>
      </c>
      <c r="B591">
        <v>0.48813181729573613</v>
      </c>
    </row>
    <row r="592" spans="1:2">
      <c r="A592" t="s">
        <v>2444</v>
      </c>
      <c r="B592">
        <v>0.80132622030051481</v>
      </c>
    </row>
    <row r="593" spans="1:2">
      <c r="A593" t="s">
        <v>2445</v>
      </c>
      <c r="B593">
        <v>0.96003764620491039</v>
      </c>
    </row>
    <row r="594" spans="1:2">
      <c r="A594" t="s">
        <v>2446</v>
      </c>
      <c r="B594">
        <v>2.2145277334183557</v>
      </c>
    </row>
    <row r="595" spans="1:2">
      <c r="A595" t="s">
        <v>2447</v>
      </c>
      <c r="B595">
        <v>2.9748806032615676</v>
      </c>
    </row>
    <row r="596" spans="1:2">
      <c r="A596" t="s">
        <v>2448</v>
      </c>
      <c r="B596">
        <v>3.9608410317711154</v>
      </c>
    </row>
    <row r="597" spans="1:2">
      <c r="A597" t="s">
        <v>2449</v>
      </c>
      <c r="B597">
        <v>7.0014866723226792</v>
      </c>
    </row>
    <row r="598" spans="1:2">
      <c r="A598" t="s">
        <v>2450</v>
      </c>
      <c r="B598">
        <v>0.86643397569993152</v>
      </c>
    </row>
    <row r="599" spans="1:2">
      <c r="A599" t="s">
        <v>2451</v>
      </c>
      <c r="B599">
        <v>32.850577277722522</v>
      </c>
    </row>
    <row r="600" spans="1:2">
      <c r="A600" t="s">
        <v>2452</v>
      </c>
      <c r="B600">
        <v>2.4755256448569473E-2</v>
      </c>
    </row>
    <row r="601" spans="1:2">
      <c r="A601" t="s">
        <v>2453</v>
      </c>
      <c r="B601">
        <v>1.6823960693202553E-2</v>
      </c>
    </row>
    <row r="602" spans="1:2">
      <c r="A602" t="s">
        <v>2454</v>
      </c>
      <c r="B602">
        <v>3.0562044998233922E-3</v>
      </c>
    </row>
    <row r="603" spans="1:2">
      <c r="A603" t="s">
        <v>2455</v>
      </c>
      <c r="B603">
        <v>3.3101584553961094E-3</v>
      </c>
    </row>
    <row r="604" spans="1:2">
      <c r="A604" t="s">
        <v>2456</v>
      </c>
      <c r="B604">
        <v>1.0898540574841907E-3</v>
      </c>
    </row>
    <row r="605" spans="1:2">
      <c r="A605" t="s">
        <v>297</v>
      </c>
      <c r="B605">
        <v>5.9548726852228981E-4</v>
      </c>
    </row>
    <row r="606" spans="1:2">
      <c r="A606" t="s">
        <v>2457</v>
      </c>
      <c r="B606">
        <v>2.5672117798516492E-4</v>
      </c>
    </row>
    <row r="607" spans="1:2">
      <c r="A607" t="s">
        <v>298</v>
      </c>
      <c r="B607">
        <v>5.3933020585118672E-6</v>
      </c>
    </row>
    <row r="608" spans="1:2">
      <c r="A608" t="s">
        <v>2458</v>
      </c>
      <c r="B608">
        <v>6.1910251925682865E-5</v>
      </c>
    </row>
    <row r="609" spans="1:2">
      <c r="A609" t="s">
        <v>299</v>
      </c>
      <c r="B609">
        <v>2.4055582644786817E-8</v>
      </c>
    </row>
    <row r="610" spans="1:2">
      <c r="A610" t="s">
        <v>300</v>
      </c>
      <c r="B610">
        <v>6.2630478259566936E-11</v>
      </c>
    </row>
    <row r="611" spans="1:2">
      <c r="A611" t="s">
        <v>301</v>
      </c>
      <c r="B611">
        <v>1.6792437863631596E-9</v>
      </c>
    </row>
    <row r="612" spans="1:2">
      <c r="A612" t="s">
        <v>302</v>
      </c>
      <c r="B612">
        <v>2.4459363837004597E-11</v>
      </c>
    </row>
    <row r="613" spans="1:2">
      <c r="A613" t="s">
        <v>303</v>
      </c>
      <c r="B613">
        <v>8.2978876938534672E-9</v>
      </c>
    </row>
    <row r="614" spans="1:2">
      <c r="A614" t="s">
        <v>304</v>
      </c>
      <c r="B614">
        <v>4.5121129426526458E-7</v>
      </c>
    </row>
    <row r="615" spans="1:2">
      <c r="A615" t="s">
        <v>305</v>
      </c>
      <c r="B615">
        <v>1.3260391424853561E-7</v>
      </c>
    </row>
    <row r="616" spans="1:2">
      <c r="A616" t="s">
        <v>2459</v>
      </c>
      <c r="B616">
        <v>1.3591121187449907E-4</v>
      </c>
    </row>
    <row r="617" spans="1:2">
      <c r="A617" t="s">
        <v>2460</v>
      </c>
      <c r="B617">
        <v>9.3922382189694481E-4</v>
      </c>
    </row>
    <row r="618" spans="1:2">
      <c r="A618" t="s">
        <v>2461</v>
      </c>
      <c r="B618">
        <v>3.6481430555786591</v>
      </c>
    </row>
    <row r="619" spans="1:2">
      <c r="A619" t="s">
        <v>2462</v>
      </c>
      <c r="B619">
        <v>2.3174429306584594</v>
      </c>
    </row>
    <row r="620" spans="1:2">
      <c r="A620" t="s">
        <v>2463</v>
      </c>
      <c r="B620">
        <v>0.27659504411809471</v>
      </c>
    </row>
    <row r="621" spans="1:2">
      <c r="A621" t="s">
        <v>2464</v>
      </c>
      <c r="B621">
        <v>0.45407610911231266</v>
      </c>
    </row>
    <row r="622" spans="1:2">
      <c r="A622" t="s">
        <v>2465</v>
      </c>
      <c r="B622">
        <v>3.6112700873186689E-4</v>
      </c>
    </row>
    <row r="623" spans="1:2">
      <c r="A623" t="s">
        <v>7</v>
      </c>
      <c r="B623">
        <v>7.2971789786146596E-14</v>
      </c>
    </row>
    <row r="624" spans="1:2">
      <c r="A624" t="s">
        <v>306</v>
      </c>
      <c r="B624">
        <v>3.102495705589328E-4</v>
      </c>
    </row>
    <row r="625" spans="1:2">
      <c r="A625" t="s">
        <v>2466</v>
      </c>
      <c r="B625">
        <v>0.96943661616775567</v>
      </c>
    </row>
    <row r="626" spans="1:2">
      <c r="A626" t="s">
        <v>307</v>
      </c>
      <c r="B626">
        <v>2.0555966208776551E-4</v>
      </c>
    </row>
    <row r="627" spans="1:2">
      <c r="A627" t="s">
        <v>2467</v>
      </c>
      <c r="B627">
        <v>8.6860548942349017E-3</v>
      </c>
    </row>
    <row r="628" spans="1:2">
      <c r="A628" t="s">
        <v>2468</v>
      </c>
      <c r="B628">
        <v>1.8050707827081909E-2</v>
      </c>
    </row>
    <row r="629" spans="1:2">
      <c r="A629" t="s">
        <v>2469</v>
      </c>
      <c r="B629">
        <v>0.10193340890587431</v>
      </c>
    </row>
    <row r="630" spans="1:2">
      <c r="A630" t="s">
        <v>2470</v>
      </c>
      <c r="B630">
        <v>0.22145277334183555</v>
      </c>
    </row>
    <row r="631" spans="1:2">
      <c r="A631" t="s">
        <v>2471</v>
      </c>
      <c r="B631">
        <v>1.2788693368264672</v>
      </c>
    </row>
    <row r="632" spans="1:2">
      <c r="A632" t="s">
        <v>2472</v>
      </c>
      <c r="B632">
        <v>1.6783224710894558</v>
      </c>
    </row>
    <row r="633" spans="1:2">
      <c r="A633" t="s">
        <v>2473</v>
      </c>
      <c r="B633">
        <v>2.9877033644825226</v>
      </c>
    </row>
    <row r="634" spans="1:2">
      <c r="A634" t="s">
        <v>2474</v>
      </c>
      <c r="B634">
        <v>6.8628433718806461</v>
      </c>
    </row>
    <row r="635" spans="1:2">
      <c r="A635" t="s">
        <v>2475</v>
      </c>
      <c r="B635">
        <v>3.0136833937388925E-2</v>
      </c>
    </row>
    <row r="636" spans="1:2">
      <c r="A636" t="s">
        <v>2476</v>
      </c>
      <c r="B636">
        <v>1.3862943611198907E-2</v>
      </c>
    </row>
    <row r="637" spans="1:2">
      <c r="A637" t="s">
        <v>2477</v>
      </c>
      <c r="B637">
        <v>2.3104906018664843E-3</v>
      </c>
    </row>
    <row r="638" spans="1:2">
      <c r="A638" t="s">
        <v>2478</v>
      </c>
      <c r="B638">
        <v>1.6988901484312384E-3</v>
      </c>
    </row>
    <row r="639" spans="1:2">
      <c r="A639" t="s">
        <v>308</v>
      </c>
      <c r="B639">
        <v>8.7518583404033482E-5</v>
      </c>
    </row>
    <row r="640" spans="1:2">
      <c r="A640" t="s">
        <v>2479</v>
      </c>
      <c r="B640">
        <v>7.7016353395549473E-5</v>
      </c>
    </row>
    <row r="641" spans="1:2">
      <c r="A641" t="s">
        <v>309</v>
      </c>
      <c r="B641">
        <v>2.6389923723803962E-7</v>
      </c>
    </row>
    <row r="642" spans="1:2">
      <c r="A642" t="s">
        <v>310</v>
      </c>
      <c r="B642">
        <v>2.4458953695232942E-7</v>
      </c>
    </row>
    <row r="643" spans="1:2">
      <c r="A643" t="s">
        <v>136</v>
      </c>
      <c r="B643">
        <v>4.9254278069968099E-8</v>
      </c>
    </row>
    <row r="644" spans="1:2">
      <c r="A644" t="s">
        <v>105</v>
      </c>
      <c r="B644">
        <v>7.5272476784201938E-10</v>
      </c>
    </row>
    <row r="645" spans="1:2">
      <c r="A645" t="s">
        <v>106</v>
      </c>
      <c r="B645">
        <v>1.2127047662119108E-9</v>
      </c>
    </row>
    <row r="646" spans="1:2">
      <c r="A646" t="s">
        <v>137</v>
      </c>
      <c r="B646">
        <v>2.6639792268805492E-12</v>
      </c>
    </row>
    <row r="647" spans="1:2">
      <c r="A647" t="s">
        <v>138</v>
      </c>
      <c r="B647">
        <v>4.6173026541160665E-12</v>
      </c>
    </row>
    <row r="648" spans="1:2">
      <c r="A648" t="s">
        <v>2480</v>
      </c>
      <c r="B648">
        <v>0.61888141121423679</v>
      </c>
    </row>
    <row r="649" spans="1:2">
      <c r="A649" t="s">
        <v>311</v>
      </c>
      <c r="B649">
        <v>1.4079813285660337E-15</v>
      </c>
    </row>
    <row r="650" spans="1:2">
      <c r="A650" t="s">
        <v>312</v>
      </c>
      <c r="B650">
        <v>6.3116404383994622E-14</v>
      </c>
    </row>
    <row r="651" spans="1:2">
      <c r="A651" t="s">
        <v>313</v>
      </c>
      <c r="B651">
        <v>1.8008500404259424E-4</v>
      </c>
    </row>
    <row r="652" spans="1:2">
      <c r="A652" t="s">
        <v>2481</v>
      </c>
      <c r="B652">
        <v>6.8764601246026316E-4</v>
      </c>
    </row>
    <row r="653" spans="1:2">
      <c r="A653" t="s">
        <v>2482</v>
      </c>
      <c r="B653">
        <v>1136.3068533769595</v>
      </c>
    </row>
    <row r="654" spans="1:2">
      <c r="A654" t="s">
        <v>2483</v>
      </c>
      <c r="B654">
        <v>3.8508176697774741</v>
      </c>
    </row>
    <row r="655" spans="1:2">
      <c r="A655" t="s">
        <v>2484</v>
      </c>
      <c r="B655">
        <v>707.2930413876993</v>
      </c>
    </row>
    <row r="656" spans="1:2">
      <c r="A656" t="s">
        <v>2485</v>
      </c>
      <c r="B656">
        <v>0.15068416968694465</v>
      </c>
    </row>
    <row r="657" spans="1:2">
      <c r="A657" t="s">
        <v>2486</v>
      </c>
      <c r="B657">
        <v>5.7284890955367382</v>
      </c>
    </row>
    <row r="658" spans="1:2">
      <c r="A658" t="s">
        <v>2487</v>
      </c>
      <c r="B658">
        <v>2.1004460016968041E-2</v>
      </c>
    </row>
    <row r="659" spans="1:2">
      <c r="A659" t="s">
        <v>2488</v>
      </c>
      <c r="B659">
        <v>1.0502230008484019E-3</v>
      </c>
    </row>
    <row r="660" spans="1:2">
      <c r="A660" t="s">
        <v>2489</v>
      </c>
      <c r="B660">
        <v>17.864618055668693</v>
      </c>
    </row>
    <row r="661" spans="1:2">
      <c r="A661" t="s">
        <v>2490</v>
      </c>
      <c r="B661">
        <v>10.074813670929437</v>
      </c>
    </row>
    <row r="662" spans="1:2">
      <c r="A662" t="s">
        <v>2491</v>
      </c>
      <c r="B662">
        <v>6.2445691942337413</v>
      </c>
    </row>
    <row r="663" spans="1:2">
      <c r="A663" t="s">
        <v>2491</v>
      </c>
      <c r="B663">
        <v>6.7955605937249537</v>
      </c>
    </row>
    <row r="664" spans="1:2">
      <c r="A664" t="s">
        <v>2492</v>
      </c>
      <c r="B664">
        <v>2.840767133442399</v>
      </c>
    </row>
    <row r="665" spans="1:2">
      <c r="A665" t="s">
        <v>2492</v>
      </c>
      <c r="B665">
        <v>2.7949483087094569</v>
      </c>
    </row>
    <row r="666" spans="1:2">
      <c r="A666" t="s">
        <v>2493</v>
      </c>
      <c r="B666">
        <v>3.5864188987424082</v>
      </c>
    </row>
    <row r="667" spans="1:2">
      <c r="A667" t="s">
        <v>2493</v>
      </c>
      <c r="B667">
        <v>7.8057114927921768E-3</v>
      </c>
    </row>
    <row r="668" spans="1:2">
      <c r="A668" t="s">
        <v>315</v>
      </c>
      <c r="B668">
        <v>1.0983507329656228E-5</v>
      </c>
    </row>
    <row r="669" spans="1:2">
      <c r="A669" t="s">
        <v>316</v>
      </c>
      <c r="B669">
        <v>1.0387043363245641E-7</v>
      </c>
    </row>
    <row r="670" spans="1:2">
      <c r="A670" t="s">
        <v>12</v>
      </c>
      <c r="B670">
        <v>2.9516323811760131E-8</v>
      </c>
    </row>
    <row r="671" spans="1:2">
      <c r="A671" t="s">
        <v>317</v>
      </c>
      <c r="B671">
        <v>1.1317998408696591E-7</v>
      </c>
    </row>
    <row r="672" spans="1:2">
      <c r="A672" t="s">
        <v>318</v>
      </c>
      <c r="B672">
        <v>2.1741292173540391E-5</v>
      </c>
    </row>
    <row r="673" spans="1:2">
      <c r="A673" t="s">
        <v>14</v>
      </c>
      <c r="B673">
        <v>4.1670477567122229E-9</v>
      </c>
    </row>
    <row r="674" spans="1:2">
      <c r="A674" t="s">
        <v>319</v>
      </c>
      <c r="B674">
        <v>1.1037023989044065E-3</v>
      </c>
    </row>
    <row r="675" spans="1:2">
      <c r="A675" t="s">
        <v>320</v>
      </c>
      <c r="B675">
        <v>1.1669144453871133E-4</v>
      </c>
    </row>
    <row r="676" spans="1:2">
      <c r="A676" t="s">
        <v>2494</v>
      </c>
      <c r="B676">
        <v>7.650631132008227E-3</v>
      </c>
    </row>
    <row r="677" spans="1:2">
      <c r="A677" t="s">
        <v>321</v>
      </c>
      <c r="B677">
        <v>8.3111172729010221E-4</v>
      </c>
    </row>
    <row r="678" spans="1:2">
      <c r="A678" t="s">
        <v>2495</v>
      </c>
      <c r="B678">
        <v>2.5767553180667112E-2</v>
      </c>
    </row>
    <row r="679" spans="1:2">
      <c r="A679" t="s">
        <v>2496</v>
      </c>
      <c r="B679">
        <v>2.3104906018664844</v>
      </c>
    </row>
    <row r="680" spans="1:2">
      <c r="A680" t="s">
        <v>2497</v>
      </c>
      <c r="B680">
        <v>0.59754067289650459</v>
      </c>
    </row>
    <row r="681" spans="1:2">
      <c r="A681" t="s">
        <v>2498</v>
      </c>
      <c r="B681">
        <v>3.4657359027997261</v>
      </c>
    </row>
    <row r="682" spans="1:2">
      <c r="A682" t="s">
        <v>2499</v>
      </c>
      <c r="B682">
        <v>2.1068303360484659</v>
      </c>
    </row>
    <row r="683" spans="1:2">
      <c r="A683" t="s">
        <v>2500</v>
      </c>
      <c r="B683">
        <v>1.3974741543547284</v>
      </c>
    </row>
    <row r="684" spans="1:2">
      <c r="A684" t="s">
        <v>2501</v>
      </c>
      <c r="B684">
        <v>3.1222845971168707</v>
      </c>
    </row>
    <row r="685" spans="1:2">
      <c r="A685" t="s">
        <v>2501</v>
      </c>
      <c r="B685">
        <v>0.43321698784996576</v>
      </c>
    </row>
    <row r="686" spans="1:2">
      <c r="A686" t="s">
        <v>2502</v>
      </c>
      <c r="B686">
        <v>3.3007008598092633</v>
      </c>
    </row>
    <row r="687" spans="1:2">
      <c r="A687" t="s">
        <v>2502</v>
      </c>
      <c r="B687">
        <v>0.92419624074659368</v>
      </c>
    </row>
    <row r="688" spans="1:2">
      <c r="A688" t="s">
        <v>2503</v>
      </c>
      <c r="B688">
        <v>6.0802384259644322</v>
      </c>
    </row>
    <row r="689" spans="1:2">
      <c r="A689" t="s">
        <v>2503</v>
      </c>
      <c r="B689">
        <v>1.3671542022878604</v>
      </c>
    </row>
    <row r="690" spans="1:2">
      <c r="A690" t="s">
        <v>2504</v>
      </c>
      <c r="B690">
        <v>8.6643397569993166</v>
      </c>
    </row>
    <row r="691" spans="1:2">
      <c r="A691" t="s">
        <v>2505</v>
      </c>
      <c r="B691">
        <v>13.355437005008579</v>
      </c>
    </row>
    <row r="692" spans="1:2">
      <c r="A692" t="s">
        <v>2505</v>
      </c>
      <c r="B692">
        <v>14.500987041003041</v>
      </c>
    </row>
    <row r="693" spans="1:2">
      <c r="A693" t="s">
        <v>2505</v>
      </c>
      <c r="B693">
        <v>3.8508176697774741</v>
      </c>
    </row>
    <row r="694" spans="1:2">
      <c r="A694" t="s">
        <v>2506</v>
      </c>
      <c r="B694">
        <v>16.503504299046316</v>
      </c>
    </row>
    <row r="695" spans="1:2">
      <c r="A695" t="s">
        <v>2507</v>
      </c>
      <c r="B695">
        <v>22.145277334183554</v>
      </c>
    </row>
    <row r="696" spans="1:2">
      <c r="A696" t="s">
        <v>2508</v>
      </c>
      <c r="B696">
        <v>26.156497379620578</v>
      </c>
    </row>
    <row r="697" spans="1:2">
      <c r="A697" t="s">
        <v>2509</v>
      </c>
      <c r="B697">
        <v>43.321698784996578</v>
      </c>
    </row>
    <row r="698" spans="1:2">
      <c r="A698" t="s">
        <v>2509</v>
      </c>
      <c r="B698">
        <v>31.942266385250935</v>
      </c>
    </row>
    <row r="699" spans="1:2">
      <c r="A699" t="s">
        <v>2510</v>
      </c>
      <c r="B699">
        <v>53.319013889226554</v>
      </c>
    </row>
    <row r="700" spans="1:2">
      <c r="A700" t="s">
        <v>2511</v>
      </c>
      <c r="B700">
        <v>52.116329365409413</v>
      </c>
    </row>
    <row r="701" spans="1:2">
      <c r="A701" t="s">
        <v>2512</v>
      </c>
      <c r="B701">
        <v>32.850577277722522</v>
      </c>
    </row>
    <row r="702" spans="1:2">
      <c r="A702" t="s">
        <v>2513</v>
      </c>
      <c r="B702">
        <v>16.195027583176291</v>
      </c>
    </row>
    <row r="703" spans="1:2">
      <c r="A703" t="s">
        <v>2514</v>
      </c>
      <c r="B703">
        <v>11.381727102790563</v>
      </c>
    </row>
    <row r="704" spans="1:2">
      <c r="A704" t="s">
        <v>2515</v>
      </c>
      <c r="B704">
        <v>2.8372786760538076</v>
      </c>
    </row>
    <row r="705" spans="1:2">
      <c r="A705" t="s">
        <v>2516</v>
      </c>
      <c r="B705">
        <v>1.5048788114631899</v>
      </c>
    </row>
    <row r="706" spans="1:2">
      <c r="A706" t="s">
        <v>322</v>
      </c>
      <c r="B706">
        <v>8.9304676942891324E-6</v>
      </c>
    </row>
    <row r="707" spans="1:2">
      <c r="A707" t="s">
        <v>323</v>
      </c>
      <c r="B707">
        <v>2.7310763615443075E-4</v>
      </c>
    </row>
    <row r="708" spans="1:2">
      <c r="A708" t="s">
        <v>9</v>
      </c>
      <c r="B708">
        <v>2.8961808537192254E-7</v>
      </c>
    </row>
    <row r="709" spans="1:2">
      <c r="A709" t="s">
        <v>2517</v>
      </c>
      <c r="B709">
        <v>3.3025880529823958E-3</v>
      </c>
    </row>
    <row r="710" spans="1:2">
      <c r="A710" t="s">
        <v>2518</v>
      </c>
      <c r="B710">
        <v>1.944857408978522E-3</v>
      </c>
    </row>
    <row r="711" spans="1:2">
      <c r="A711" t="s">
        <v>2519</v>
      </c>
      <c r="B711">
        <v>3.2850577277722524E-2</v>
      </c>
    </row>
    <row r="712" spans="1:2">
      <c r="A712" t="s">
        <v>2520</v>
      </c>
      <c r="B712">
        <v>9.9021025794277892E-2</v>
      </c>
    </row>
    <row r="713" spans="1:2">
      <c r="A713" t="s">
        <v>2521</v>
      </c>
      <c r="B713">
        <v>0.6601401719618526</v>
      </c>
    </row>
    <row r="714" spans="1:2">
      <c r="A714" t="s">
        <v>2522</v>
      </c>
      <c r="B714">
        <v>1.4145860827753987</v>
      </c>
    </row>
    <row r="715" spans="1:2">
      <c r="A715" t="s">
        <v>2523</v>
      </c>
      <c r="B715">
        <v>2.8524575331684994</v>
      </c>
    </row>
    <row r="716" spans="1:2">
      <c r="A716" t="s">
        <v>2524</v>
      </c>
      <c r="B716">
        <v>3.3647921386405106</v>
      </c>
    </row>
    <row r="717" spans="1:2">
      <c r="A717" t="s">
        <v>2525</v>
      </c>
      <c r="B717">
        <v>5.3732339578290329</v>
      </c>
    </row>
    <row r="718" spans="1:2">
      <c r="A718" t="s">
        <v>2526</v>
      </c>
      <c r="B718">
        <v>16.119701873487099</v>
      </c>
    </row>
    <row r="719" spans="1:2">
      <c r="A719" t="s">
        <v>2527</v>
      </c>
      <c r="B719">
        <v>24.755256448569472</v>
      </c>
    </row>
    <row r="720" spans="1:2">
      <c r="A720" t="s">
        <v>2528</v>
      </c>
      <c r="B720">
        <v>28.881132523331054</v>
      </c>
    </row>
    <row r="721" spans="1:2">
      <c r="A721" t="s">
        <v>2529</v>
      </c>
      <c r="B721">
        <v>1420.3835667211995</v>
      </c>
    </row>
    <row r="722" spans="1:2">
      <c r="A722" t="s">
        <v>2530</v>
      </c>
      <c r="B722">
        <v>41014.626068635822</v>
      </c>
    </row>
    <row r="723" spans="1:2">
      <c r="A723" t="s">
        <v>2531</v>
      </c>
      <c r="B723">
        <v>1.2160476851928865</v>
      </c>
    </row>
    <row r="724" spans="1:2">
      <c r="A724" t="s">
        <v>2532</v>
      </c>
      <c r="B724">
        <v>0.67295842772810222</v>
      </c>
    </row>
    <row r="725" spans="1:2">
      <c r="A725" t="s">
        <v>2533</v>
      </c>
      <c r="B725">
        <v>0.99021025794277906</v>
      </c>
    </row>
    <row r="726" spans="1:2">
      <c r="A726" t="s">
        <v>2533</v>
      </c>
      <c r="B726">
        <v>0.17773004629742187</v>
      </c>
    </row>
    <row r="727" spans="1:2">
      <c r="A727" t="s">
        <v>2534</v>
      </c>
      <c r="B727">
        <v>8.2517521495231574E-2</v>
      </c>
    </row>
    <row r="728" spans="1:2">
      <c r="A728" t="s">
        <v>2534</v>
      </c>
      <c r="B728">
        <v>0.10663802777845312</v>
      </c>
    </row>
    <row r="729" spans="1:2">
      <c r="A729" t="s">
        <v>2535</v>
      </c>
      <c r="B729">
        <v>4.9510512897138946E-2</v>
      </c>
    </row>
    <row r="730" spans="1:2">
      <c r="A730" t="s">
        <v>2535</v>
      </c>
      <c r="B730">
        <v>4.0773363562349722E-2</v>
      </c>
    </row>
    <row r="731" spans="1:2">
      <c r="A731" t="s">
        <v>2536</v>
      </c>
      <c r="B731">
        <v>2.381949074089159E-2</v>
      </c>
    </row>
    <row r="732" spans="1:2">
      <c r="A732" t="s">
        <v>2536</v>
      </c>
      <c r="B732">
        <v>1.6119701873487099E-2</v>
      </c>
    </row>
    <row r="733" spans="1:2">
      <c r="A733" t="s">
        <v>2537</v>
      </c>
      <c r="B733">
        <v>1.147594669801234E-2</v>
      </c>
    </row>
    <row r="734" spans="1:2">
      <c r="A734" t="s">
        <v>2537</v>
      </c>
      <c r="B734">
        <v>1.2160476851928864E-2</v>
      </c>
    </row>
    <row r="735" spans="1:2">
      <c r="A735" t="s">
        <v>2538</v>
      </c>
      <c r="B735">
        <v>4.4719172939351312E-3</v>
      </c>
    </row>
    <row r="736" spans="1:2">
      <c r="A736" t="s">
        <v>2539</v>
      </c>
      <c r="B736">
        <v>5.6815342668847975E-3</v>
      </c>
    </row>
    <row r="737" spans="1:2">
      <c r="A737" t="s">
        <v>2540</v>
      </c>
      <c r="B737">
        <v>3.2726495777145669E-2</v>
      </c>
    </row>
    <row r="738" spans="1:2">
      <c r="A738" t="s">
        <v>2540</v>
      </c>
      <c r="B738">
        <v>3.1222845971168706E-3</v>
      </c>
    </row>
    <row r="739" spans="1:2">
      <c r="A739" t="s">
        <v>2541</v>
      </c>
      <c r="B739">
        <v>1.925408834888737</v>
      </c>
    </row>
    <row r="740" spans="1:2">
      <c r="A740" t="s">
        <v>2542</v>
      </c>
      <c r="B740">
        <v>1.9547297816129307E-3</v>
      </c>
    </row>
    <row r="741" spans="1:2">
      <c r="A741" t="s">
        <v>2543</v>
      </c>
      <c r="B741">
        <v>0.40773363562349724</v>
      </c>
    </row>
    <row r="742" spans="1:2">
      <c r="A742" t="s">
        <v>2544</v>
      </c>
      <c r="B742">
        <v>2.2431947590936741E-2</v>
      </c>
    </row>
    <row r="743" spans="1:2">
      <c r="A743" t="s">
        <v>2545</v>
      </c>
      <c r="B743">
        <v>0.10830424696249144</v>
      </c>
    </row>
    <row r="744" spans="1:2">
      <c r="A744" t="s">
        <v>324</v>
      </c>
      <c r="B744">
        <v>2.6048372061628907E-4</v>
      </c>
    </row>
    <row r="745" spans="1:2">
      <c r="A745" t="s">
        <v>2546</v>
      </c>
      <c r="B745">
        <v>7.0313164998980051E-3</v>
      </c>
    </row>
    <row r="746" spans="1:2">
      <c r="A746" t="s">
        <v>325</v>
      </c>
      <c r="B746">
        <v>3.0806541358219791E-5</v>
      </c>
    </row>
    <row r="747" spans="1:2">
      <c r="A747" t="s">
        <v>2547</v>
      </c>
      <c r="B747">
        <v>3.1737508267396762E-3</v>
      </c>
    </row>
    <row r="748" spans="1:2">
      <c r="A748" t="s">
        <v>326</v>
      </c>
      <c r="B748">
        <v>5.9925578427909638E-6</v>
      </c>
    </row>
    <row r="749" spans="1:2">
      <c r="A749" t="s">
        <v>327</v>
      </c>
      <c r="B749">
        <v>3.9563195237439801E-4</v>
      </c>
    </row>
    <row r="750" spans="1:2">
      <c r="A750" t="s">
        <v>2548</v>
      </c>
      <c r="B750">
        <v>3.338859251252145E-3</v>
      </c>
    </row>
    <row r="751" spans="1:2">
      <c r="A751" t="s">
        <v>328</v>
      </c>
      <c r="B751">
        <v>8.2809009207642473E-7</v>
      </c>
    </row>
    <row r="752" spans="1:2">
      <c r="A752" t="s">
        <v>329</v>
      </c>
      <c r="B752">
        <v>1.2380458043266055E-6</v>
      </c>
    </row>
    <row r="753" spans="1:2">
      <c r="A753" t="s">
        <v>122</v>
      </c>
      <c r="B753">
        <v>1.0633476338899172E-8</v>
      </c>
    </row>
    <row r="754" spans="1:2">
      <c r="A754" t="s">
        <v>330</v>
      </c>
      <c r="B754">
        <v>6.611980889040993E-5</v>
      </c>
    </row>
    <row r="755" spans="1:2">
      <c r="A755" t="s">
        <v>123</v>
      </c>
      <c r="B755">
        <v>1.6514668214759492E-14</v>
      </c>
    </row>
    <row r="756" spans="1:2">
      <c r="A756" t="s">
        <v>331</v>
      </c>
      <c r="B756">
        <v>2.1797081149683815E-4</v>
      </c>
    </row>
    <row r="757" spans="1:2">
      <c r="A757" t="s">
        <v>332</v>
      </c>
      <c r="B757">
        <v>6.1664387486828624E-7</v>
      </c>
    </row>
    <row r="758" spans="1:2">
      <c r="A758" t="s">
        <v>2549</v>
      </c>
      <c r="B758">
        <v>3.960841031771116E-2</v>
      </c>
    </row>
    <row r="759" spans="1:2">
      <c r="A759" t="s">
        <v>31</v>
      </c>
      <c r="B759">
        <v>7.319794956386885E-10</v>
      </c>
    </row>
    <row r="760" spans="1:2">
      <c r="A760" t="s">
        <v>333</v>
      </c>
      <c r="B760">
        <v>3.5567897196220512E-4</v>
      </c>
    </row>
    <row r="761" spans="1:2">
      <c r="A761" t="s">
        <v>2550</v>
      </c>
      <c r="B761">
        <v>3.9699151234819314E-3</v>
      </c>
    </row>
    <row r="762" spans="1:2">
      <c r="A762" t="s">
        <v>2551</v>
      </c>
      <c r="B762">
        <v>1.2489138388467483E-3</v>
      </c>
    </row>
    <row r="763" spans="1:2">
      <c r="A763" t="s">
        <v>2552</v>
      </c>
      <c r="B763">
        <v>1.0830424696249145E-2</v>
      </c>
    </row>
    <row r="764" spans="1:2">
      <c r="A764" t="s">
        <v>2553</v>
      </c>
      <c r="B764">
        <v>2.7882026571196511E-2</v>
      </c>
    </row>
    <row r="765" spans="1:2">
      <c r="A765" t="s">
        <v>2554</v>
      </c>
      <c r="B765">
        <v>0.41087562570239788</v>
      </c>
    </row>
    <row r="766" spans="1:2">
      <c r="A766" t="s">
        <v>2555</v>
      </c>
      <c r="B766">
        <v>0.38615441813924528</v>
      </c>
    </row>
    <row r="767" spans="1:2">
      <c r="A767" t="s">
        <v>2556</v>
      </c>
      <c r="B767">
        <v>0.69803341446117351</v>
      </c>
    </row>
    <row r="768" spans="1:2">
      <c r="A768" t="s">
        <v>2557</v>
      </c>
      <c r="B768">
        <v>1.1788217356461654</v>
      </c>
    </row>
    <row r="769" spans="1:2">
      <c r="A769" t="s">
        <v>2558</v>
      </c>
      <c r="B769">
        <v>2.1526309955277805</v>
      </c>
    </row>
    <row r="770" spans="1:2">
      <c r="A770" t="s">
        <v>2559</v>
      </c>
      <c r="B770">
        <v>2.9877033644825226</v>
      </c>
    </row>
    <row r="771" spans="1:2">
      <c r="A771" t="s">
        <v>2560</v>
      </c>
      <c r="B771">
        <v>4.5903786792049361</v>
      </c>
    </row>
    <row r="772" spans="1:2">
      <c r="A772" t="s">
        <v>2561</v>
      </c>
      <c r="B772">
        <v>6.1888141121423681</v>
      </c>
    </row>
    <row r="773" spans="1:2">
      <c r="A773" t="s">
        <v>2562</v>
      </c>
      <c r="B773">
        <v>8.5785542148508078</v>
      </c>
    </row>
    <row r="774" spans="1:2">
      <c r="A774" t="s">
        <v>2563</v>
      </c>
      <c r="B774">
        <v>11.748257297626191</v>
      </c>
    </row>
    <row r="775" spans="1:2">
      <c r="A775" t="s">
        <v>2564</v>
      </c>
      <c r="B775">
        <v>12.399770671913155</v>
      </c>
    </row>
    <row r="776" spans="1:2">
      <c r="A776" t="s">
        <v>2565</v>
      </c>
      <c r="B776">
        <v>8.5785542148508078</v>
      </c>
    </row>
    <row r="777" spans="1:2">
      <c r="A777" t="s">
        <v>2566</v>
      </c>
      <c r="B777">
        <v>3.5292626301422874</v>
      </c>
    </row>
    <row r="778" spans="1:2">
      <c r="A778" t="s">
        <v>2567</v>
      </c>
      <c r="B778">
        <v>0.21627057115754922</v>
      </c>
    </row>
    <row r="779" spans="1:2">
      <c r="A779" t="s">
        <v>144</v>
      </c>
      <c r="B779">
        <v>8.4530143970725034E-3</v>
      </c>
    </row>
    <row r="780" spans="1:2">
      <c r="A780" t="s">
        <v>334</v>
      </c>
      <c r="B780">
        <v>4.8662396837963027E-4</v>
      </c>
    </row>
    <row r="781" spans="1:2">
      <c r="A781" t="s">
        <v>335</v>
      </c>
      <c r="B781">
        <v>5.7664235845724375E-5</v>
      </c>
    </row>
    <row r="782" spans="1:2">
      <c r="A782" t="s">
        <v>2568</v>
      </c>
      <c r="B782">
        <v>1.1944223541493404E-3</v>
      </c>
    </row>
    <row r="783" spans="1:2">
      <c r="A783" t="s">
        <v>16</v>
      </c>
      <c r="B783">
        <v>1.5159863904263049E-5</v>
      </c>
    </row>
    <row r="784" spans="1:2">
      <c r="A784" t="s">
        <v>2569</v>
      </c>
      <c r="B784">
        <v>2.2696371334641301E-3</v>
      </c>
    </row>
    <row r="785" spans="1:2">
      <c r="A785" t="s">
        <v>336</v>
      </c>
      <c r="B785">
        <v>3.1150442240555524E-6</v>
      </c>
    </row>
    <row r="786" spans="1:2">
      <c r="A786" t="s">
        <v>2570</v>
      </c>
      <c r="B786">
        <v>2.2504778589608612E-2</v>
      </c>
    </row>
    <row r="787" spans="1:2">
      <c r="A787" t="s">
        <v>2571</v>
      </c>
      <c r="B787">
        <v>3.0643111430589979E-3</v>
      </c>
    </row>
    <row r="788" spans="1:2">
      <c r="A788" t="s">
        <v>2572</v>
      </c>
      <c r="B788">
        <v>3.9836044859766972E-3</v>
      </c>
    </row>
    <row r="789" spans="1:2">
      <c r="A789" t="s">
        <v>2573</v>
      </c>
      <c r="B789">
        <v>1.5576341136178546E-2</v>
      </c>
    </row>
    <row r="790" spans="1:2">
      <c r="A790" t="s">
        <v>2573</v>
      </c>
      <c r="B790">
        <v>2.1004460016968041E-2</v>
      </c>
    </row>
    <row r="791" spans="1:2">
      <c r="A791" t="s">
        <v>2573</v>
      </c>
      <c r="B791">
        <v>0.10830424696249144</v>
      </c>
    </row>
    <row r="792" spans="1:2">
      <c r="A792" t="s">
        <v>2574</v>
      </c>
      <c r="B792">
        <v>2.1004460016968041E-2</v>
      </c>
    </row>
    <row r="793" spans="1:2">
      <c r="A793" t="s">
        <v>2574</v>
      </c>
      <c r="B793">
        <v>0.10830424696249144</v>
      </c>
    </row>
    <row r="794" spans="1:2">
      <c r="A794" t="s">
        <v>2575</v>
      </c>
      <c r="B794">
        <v>3.5729236111337388E-2</v>
      </c>
    </row>
    <row r="795" spans="1:2">
      <c r="A795" t="s">
        <v>2576</v>
      </c>
      <c r="B795">
        <v>0.10454708605730699</v>
      </c>
    </row>
    <row r="796" spans="1:2">
      <c r="A796" t="s">
        <v>2577</v>
      </c>
      <c r="B796">
        <v>0.16503504299046315</v>
      </c>
    </row>
    <row r="797" spans="1:2">
      <c r="A797" t="s">
        <v>2578</v>
      </c>
      <c r="B797">
        <v>0.43159849349934326</v>
      </c>
    </row>
    <row r="798" spans="1:2">
      <c r="A798" t="s">
        <v>2579</v>
      </c>
      <c r="B798">
        <v>0.56629671614374621</v>
      </c>
    </row>
    <row r="799" spans="1:2">
      <c r="A799" t="s">
        <v>2580</v>
      </c>
      <c r="B799">
        <v>1.0881431405964603</v>
      </c>
    </row>
    <row r="800" spans="1:2">
      <c r="A800" t="s">
        <v>2581</v>
      </c>
      <c r="B800">
        <v>1.4754090688802581</v>
      </c>
    </row>
    <row r="801" spans="1:2">
      <c r="A801" t="s">
        <v>2582</v>
      </c>
      <c r="B801">
        <v>2.0922039859944013</v>
      </c>
    </row>
    <row r="802" spans="1:2">
      <c r="A802" t="s">
        <v>2583</v>
      </c>
      <c r="B802">
        <v>2.8761293799167853</v>
      </c>
    </row>
    <row r="803" spans="1:2">
      <c r="A803" t="s">
        <v>2584</v>
      </c>
      <c r="B803">
        <v>6.1178038884372929</v>
      </c>
    </row>
    <row r="804" spans="1:2">
      <c r="A804" t="s">
        <v>2585</v>
      </c>
      <c r="B804">
        <v>9.4692237781413287</v>
      </c>
    </row>
    <row r="805" spans="1:2">
      <c r="A805" t="s">
        <v>2586</v>
      </c>
      <c r="B805">
        <v>21.004460016968039</v>
      </c>
    </row>
    <row r="806" spans="1:2">
      <c r="A806" t="s">
        <v>2587</v>
      </c>
      <c r="B806">
        <v>12.836058899258246</v>
      </c>
    </row>
    <row r="807" spans="1:2">
      <c r="A807" t="s">
        <v>2587</v>
      </c>
      <c r="B807">
        <v>247.55256448569475</v>
      </c>
    </row>
    <row r="808" spans="1:2">
      <c r="A808" t="s">
        <v>2588</v>
      </c>
      <c r="B808">
        <v>0.36481430555786598</v>
      </c>
    </row>
    <row r="809" spans="1:2">
      <c r="A809" t="s">
        <v>2589</v>
      </c>
      <c r="B809">
        <v>0.30136833937388929</v>
      </c>
    </row>
    <row r="810" spans="1:2">
      <c r="A810" t="s">
        <v>2589</v>
      </c>
      <c r="B810">
        <v>1.0345480306864854</v>
      </c>
    </row>
    <row r="811" spans="1:2">
      <c r="A811" t="s">
        <v>2590</v>
      </c>
      <c r="B811">
        <v>0.33324383680766601</v>
      </c>
    </row>
    <row r="812" spans="1:2">
      <c r="A812" t="s">
        <v>2590</v>
      </c>
      <c r="B812">
        <v>0.15861491545994172</v>
      </c>
    </row>
    <row r="813" spans="1:2">
      <c r="A813" t="s">
        <v>2591</v>
      </c>
      <c r="B813">
        <v>1.3591121187449908</v>
      </c>
    </row>
    <row r="814" spans="1:2">
      <c r="A814" t="s">
        <v>2592</v>
      </c>
      <c r="B814">
        <v>0.45903786792049356</v>
      </c>
    </row>
    <row r="815" spans="1:2">
      <c r="A815" t="s">
        <v>2593</v>
      </c>
      <c r="B815">
        <v>0.16906028794145009</v>
      </c>
    </row>
    <row r="816" spans="1:2">
      <c r="A816" t="s">
        <v>2594</v>
      </c>
      <c r="B816">
        <v>2.0149627341858874E-2</v>
      </c>
    </row>
    <row r="817" spans="1:2">
      <c r="A817" t="s">
        <v>2595</v>
      </c>
      <c r="B817">
        <v>2.5672117798516494E-2</v>
      </c>
    </row>
    <row r="818" spans="1:2">
      <c r="A818" t="s">
        <v>2596</v>
      </c>
      <c r="B818">
        <v>4.8135220872218423E-4</v>
      </c>
    </row>
    <row r="819" spans="1:2">
      <c r="A819" t="s">
        <v>2597</v>
      </c>
      <c r="B819">
        <v>1.4623358239661293E-4</v>
      </c>
    </row>
    <row r="820" spans="1:2">
      <c r="A820" t="s">
        <v>2598</v>
      </c>
      <c r="B820">
        <v>7.293215283669458E-6</v>
      </c>
    </row>
    <row r="821" spans="1:2">
      <c r="A821" t="s">
        <v>2599</v>
      </c>
      <c r="B821">
        <v>1.2836058899258247E-5</v>
      </c>
    </row>
    <row r="822" spans="1:2">
      <c r="A822" t="s">
        <v>2600</v>
      </c>
      <c r="B822">
        <v>231049.06018664842</v>
      </c>
    </row>
    <row r="823" spans="1:2">
      <c r="A823" t="s">
        <v>2601</v>
      </c>
      <c r="B823">
        <v>3850.8176697774743</v>
      </c>
    </row>
    <row r="824" spans="1:2">
      <c r="A824" t="s">
        <v>2602</v>
      </c>
      <c r="B824">
        <v>3648.1430555786592</v>
      </c>
    </row>
    <row r="825" spans="1:2">
      <c r="A825" t="s">
        <v>2603</v>
      </c>
      <c r="B825">
        <v>433.21698784996579</v>
      </c>
    </row>
    <row r="826" spans="1:2">
      <c r="A826" t="s">
        <v>2603</v>
      </c>
      <c r="B826">
        <v>10.045611312462974</v>
      </c>
    </row>
    <row r="827" spans="1:2">
      <c r="A827" t="s">
        <v>2604</v>
      </c>
      <c r="B827">
        <v>3648.1430555786596</v>
      </c>
    </row>
    <row r="828" spans="1:2">
      <c r="A828" t="s">
        <v>2605</v>
      </c>
      <c r="B828">
        <v>198.04205158855578</v>
      </c>
    </row>
    <row r="829" spans="1:2">
      <c r="A829" t="s">
        <v>2606</v>
      </c>
      <c r="B829">
        <v>3.2090147248145615</v>
      </c>
    </row>
    <row r="830" spans="1:2">
      <c r="A830" t="s">
        <v>2606</v>
      </c>
      <c r="B830">
        <v>4.077336356234972</v>
      </c>
    </row>
    <row r="831" spans="1:2">
      <c r="A831" t="s">
        <v>2607</v>
      </c>
      <c r="B831">
        <v>1925.4088348887371</v>
      </c>
    </row>
    <row r="832" spans="1:2">
      <c r="A832" t="s">
        <v>2608</v>
      </c>
      <c r="B832">
        <v>5.7762265046662105E-2</v>
      </c>
    </row>
    <row r="833" spans="1:2">
      <c r="A833" t="s">
        <v>2609</v>
      </c>
      <c r="B833">
        <v>1.050223000848402E-2</v>
      </c>
    </row>
    <row r="834" spans="1:2">
      <c r="A834" t="s">
        <v>2610</v>
      </c>
      <c r="B834">
        <v>1.1552453009332422</v>
      </c>
    </row>
    <row r="835" spans="1:2">
      <c r="A835" t="s">
        <v>2611</v>
      </c>
      <c r="B835">
        <v>0.69314718055994529</v>
      </c>
    </row>
    <row r="836" spans="1:2">
      <c r="A836" t="s">
        <v>2612</v>
      </c>
      <c r="B836">
        <v>0.30136833937388929</v>
      </c>
    </row>
    <row r="837" spans="1:2">
      <c r="A837" t="s">
        <v>2613</v>
      </c>
      <c r="B837">
        <v>0.16119701873487099</v>
      </c>
    </row>
    <row r="838" spans="1:2">
      <c r="A838" t="s">
        <v>2613</v>
      </c>
      <c r="B838">
        <v>0.23104906018664842</v>
      </c>
    </row>
    <row r="839" spans="1:2">
      <c r="A839" t="s">
        <v>2614</v>
      </c>
      <c r="B839">
        <v>7.6170019841752229E-2</v>
      </c>
    </row>
    <row r="840" spans="1:2">
      <c r="A840" t="s">
        <v>2615</v>
      </c>
      <c r="B840">
        <v>7.2962861111573185E-2</v>
      </c>
    </row>
    <row r="841" spans="1:2">
      <c r="A841" t="s">
        <v>2615</v>
      </c>
      <c r="B841">
        <v>4.8471830808387781E-2</v>
      </c>
    </row>
    <row r="842" spans="1:2">
      <c r="A842" t="s">
        <v>2616</v>
      </c>
      <c r="B842">
        <v>2.0877927125299556E-2</v>
      </c>
    </row>
    <row r="843" spans="1:2">
      <c r="A843" t="s">
        <v>2617</v>
      </c>
      <c r="B843">
        <v>4.6209812037329687</v>
      </c>
    </row>
    <row r="844" spans="1:2">
      <c r="A844" t="s">
        <v>2618</v>
      </c>
      <c r="B844">
        <v>1.0345480306864855E-2</v>
      </c>
    </row>
    <row r="845" spans="1:2">
      <c r="A845" t="s">
        <v>2619</v>
      </c>
      <c r="B845">
        <v>1.2557014140578719E-2</v>
      </c>
    </row>
    <row r="846" spans="1:2">
      <c r="A846" t="s">
        <v>2620</v>
      </c>
      <c r="B846">
        <v>3.6101415654163816E-3</v>
      </c>
    </row>
    <row r="847" spans="1:2">
      <c r="A847" t="s">
        <v>2621</v>
      </c>
      <c r="B847">
        <v>2.7505840498410527E-3</v>
      </c>
    </row>
    <row r="848" spans="1:2">
      <c r="A848" t="s">
        <v>2622</v>
      </c>
      <c r="B848">
        <v>1.4145860827753987</v>
      </c>
    </row>
    <row r="849" spans="1:2">
      <c r="A849" t="s">
        <v>2623</v>
      </c>
      <c r="B849">
        <v>1.6112207823336712E-3</v>
      </c>
    </row>
    <row r="850" spans="1:2">
      <c r="A850" t="s">
        <v>2624</v>
      </c>
      <c r="B850">
        <v>6.418029449629123E-4</v>
      </c>
    </row>
    <row r="851" spans="1:2">
      <c r="A851" t="s">
        <v>2625</v>
      </c>
      <c r="B851">
        <v>8.0899530877678026E-5</v>
      </c>
    </row>
    <row r="852" spans="1:2">
      <c r="A852" t="s">
        <v>2626</v>
      </c>
      <c r="B852">
        <v>2.9990791820696836E-5</v>
      </c>
    </row>
    <row r="853" spans="1:2">
      <c r="A853" t="s">
        <v>2627</v>
      </c>
      <c r="B853">
        <v>7.9870940820473183E-15</v>
      </c>
    </row>
    <row r="854" spans="1:2">
      <c r="A854" t="s">
        <v>337</v>
      </c>
      <c r="B854">
        <v>1.9409363254926783E-5</v>
      </c>
    </row>
    <row r="855" spans="1:2">
      <c r="A855" t="s">
        <v>338</v>
      </c>
      <c r="B855">
        <v>2.3653671190279322E-5</v>
      </c>
    </row>
    <row r="856" spans="1:2">
      <c r="A856" t="s">
        <v>339</v>
      </c>
      <c r="B856">
        <v>5.5213605038103251E-8</v>
      </c>
    </row>
    <row r="857" spans="1:2">
      <c r="A857" t="s">
        <v>340</v>
      </c>
      <c r="B857">
        <v>8.260012161684843E-5</v>
      </c>
    </row>
    <row r="858" spans="1:2">
      <c r="A858" t="s">
        <v>2628</v>
      </c>
      <c r="B858">
        <v>9.1831899915202075E-3</v>
      </c>
    </row>
    <row r="859" spans="1:2">
      <c r="A859" t="s">
        <v>341</v>
      </c>
      <c r="B859">
        <v>2.3587024805693214E-6</v>
      </c>
    </row>
    <row r="860" spans="1:2">
      <c r="A860" t="s">
        <v>2629</v>
      </c>
      <c r="B860">
        <v>1.8632988724729713E-3</v>
      </c>
    </row>
    <row r="861" spans="1:2">
      <c r="A861" t="s">
        <v>2630</v>
      </c>
      <c r="B861">
        <v>1.3278681619922324E-3</v>
      </c>
    </row>
    <row r="862" spans="1:2">
      <c r="A862" t="s">
        <v>2631</v>
      </c>
      <c r="B862">
        <v>1.7773004629742187E-2</v>
      </c>
    </row>
    <row r="863" spans="1:2">
      <c r="A863" t="s">
        <v>2632</v>
      </c>
      <c r="B863">
        <v>1.2602676010180823E-2</v>
      </c>
    </row>
    <row r="864" spans="1:2">
      <c r="A864" t="s">
        <v>2633</v>
      </c>
      <c r="B864">
        <v>0.16906028794145009</v>
      </c>
    </row>
    <row r="865" spans="1:2">
      <c r="A865" t="s">
        <v>2634</v>
      </c>
      <c r="B865">
        <v>0.19691681265907537</v>
      </c>
    </row>
    <row r="866" spans="1:2">
      <c r="A866" t="s">
        <v>2635</v>
      </c>
      <c r="B866">
        <v>0.99021025794277906</v>
      </c>
    </row>
    <row r="867" spans="1:2">
      <c r="A867" t="s">
        <v>2636</v>
      </c>
      <c r="B867">
        <v>0.48471830808387784</v>
      </c>
    </row>
    <row r="868" spans="1:2">
      <c r="A868" t="s">
        <v>2637</v>
      </c>
      <c r="B868">
        <v>0.77016353395549475</v>
      </c>
    </row>
    <row r="869" spans="1:2">
      <c r="A869" t="s">
        <v>2637</v>
      </c>
      <c r="B869">
        <v>0.69314718055994529</v>
      </c>
    </row>
    <row r="870" spans="1:2">
      <c r="A870" t="s">
        <v>2638</v>
      </c>
      <c r="B870">
        <v>0.40773363562349724</v>
      </c>
    </row>
    <row r="871" spans="1:2">
      <c r="A871" t="s">
        <v>2639</v>
      </c>
      <c r="B871">
        <v>0.21660849392498288</v>
      </c>
    </row>
    <row r="872" spans="1:2">
      <c r="A872" t="s">
        <v>2639</v>
      </c>
      <c r="B872">
        <v>0.43321698784996576</v>
      </c>
    </row>
    <row r="873" spans="1:2">
      <c r="A873" t="s">
        <v>2640</v>
      </c>
      <c r="B873">
        <v>0.15068416968694465</v>
      </c>
    </row>
    <row r="874" spans="1:2">
      <c r="A874" t="s">
        <v>2641</v>
      </c>
      <c r="B874">
        <v>0.17328679513998632</v>
      </c>
    </row>
    <row r="875" spans="1:2">
      <c r="A875" t="s">
        <v>2642</v>
      </c>
      <c r="B875">
        <v>7.7881705680892727E-2</v>
      </c>
    </row>
    <row r="876" spans="1:2">
      <c r="A876" t="s">
        <v>2643</v>
      </c>
      <c r="B876">
        <v>3.7066694147590659E-2</v>
      </c>
    </row>
    <row r="877" spans="1:2">
      <c r="A877" t="s">
        <v>2644</v>
      </c>
      <c r="B877">
        <v>2.9495624704678522E-2</v>
      </c>
    </row>
    <row r="878" spans="1:2">
      <c r="A878" t="s">
        <v>2645</v>
      </c>
      <c r="B878">
        <v>1.1950813457930092</v>
      </c>
    </row>
    <row r="879" spans="1:2">
      <c r="A879" t="s">
        <v>2646</v>
      </c>
      <c r="B879">
        <v>6.7955605937249544E-2</v>
      </c>
    </row>
    <row r="880" spans="1:2">
      <c r="A880" t="s">
        <v>2647</v>
      </c>
      <c r="B880">
        <v>1.8683212414014699E-2</v>
      </c>
    </row>
    <row r="881" spans="1:2">
      <c r="A881" t="s">
        <v>2648</v>
      </c>
      <c r="B881">
        <v>3.0971723885609708E-3</v>
      </c>
    </row>
    <row r="882" spans="1:2">
      <c r="A882" t="s">
        <v>2649</v>
      </c>
      <c r="B882">
        <v>2.1797081149683814E-3</v>
      </c>
    </row>
    <row r="883" spans="1:2">
      <c r="A883" t="s">
        <v>2650</v>
      </c>
      <c r="B883">
        <v>5.9243348765807284E-4</v>
      </c>
    </row>
    <row r="884" spans="1:2">
      <c r="A884" t="s">
        <v>2651</v>
      </c>
      <c r="B884">
        <v>6.1943447771219422E-4</v>
      </c>
    </row>
    <row r="885" spans="1:2">
      <c r="A885" t="s">
        <v>2652</v>
      </c>
      <c r="B885">
        <v>8.5195081189767135E-5</v>
      </c>
    </row>
    <row r="886" spans="1:2">
      <c r="A886" t="s">
        <v>2653</v>
      </c>
      <c r="B886">
        <v>3.2090147248145615E-4</v>
      </c>
    </row>
    <row r="887" spans="1:2">
      <c r="A887" t="s">
        <v>2654</v>
      </c>
      <c r="B887">
        <v>6.7369098491558323E-6</v>
      </c>
    </row>
    <row r="888" spans="1:2">
      <c r="A888" t="s">
        <v>342</v>
      </c>
      <c r="B888">
        <v>5.9981583641393672E-5</v>
      </c>
    </row>
    <row r="889" spans="1:2">
      <c r="A889" t="s">
        <v>2655</v>
      </c>
      <c r="B889">
        <v>1.5403270679109895E-4</v>
      </c>
    </row>
    <row r="890" spans="1:2">
      <c r="A890" t="s">
        <v>343</v>
      </c>
      <c r="B890">
        <v>1.8585027363790896E-5</v>
      </c>
    </row>
    <row r="891" spans="1:2">
      <c r="A891" t="s">
        <v>2656</v>
      </c>
      <c r="B891">
        <v>0.30548575608635753</v>
      </c>
    </row>
    <row r="892" spans="1:2">
      <c r="A892" t="s">
        <v>344</v>
      </c>
      <c r="B892">
        <v>8.5437026752251372E-7</v>
      </c>
    </row>
    <row r="893" spans="1:2">
      <c r="A893" t="s">
        <v>345</v>
      </c>
      <c r="B893">
        <v>2.5617467201819281E-5</v>
      </c>
    </row>
    <row r="894" spans="1:2">
      <c r="A894" t="s">
        <v>346</v>
      </c>
      <c r="B894">
        <v>3.9054945940948014E-6</v>
      </c>
    </row>
    <row r="895" spans="1:2">
      <c r="A895" t="s">
        <v>2657</v>
      </c>
      <c r="B895">
        <v>8.2517521495231588E-3</v>
      </c>
    </row>
    <row r="896" spans="1:2">
      <c r="A896" t="s">
        <v>2658</v>
      </c>
      <c r="B896">
        <v>3.6101415654163816E-3</v>
      </c>
    </row>
    <row r="897" spans="1:2">
      <c r="A897" t="s">
        <v>2659</v>
      </c>
      <c r="B897">
        <v>0.17773004629742187</v>
      </c>
    </row>
    <row r="898" spans="1:2">
      <c r="A898" t="s">
        <v>2660</v>
      </c>
      <c r="B898">
        <v>9.6270441744436847E-3</v>
      </c>
    </row>
    <row r="899" spans="1:2">
      <c r="A899" t="s">
        <v>2661</v>
      </c>
      <c r="B899">
        <v>0.10345480306864854</v>
      </c>
    </row>
    <row r="900" spans="1:2">
      <c r="A900" t="s">
        <v>2662</v>
      </c>
      <c r="B900">
        <v>0.16119701873487099</v>
      </c>
    </row>
    <row r="901" spans="1:2">
      <c r="A901" t="s">
        <v>2663</v>
      </c>
      <c r="B901">
        <v>3.8940852840446363E-2</v>
      </c>
    </row>
    <row r="902" spans="1:2">
      <c r="A902" t="s">
        <v>2664</v>
      </c>
      <c r="B902">
        <v>3.1506690025452061E-2</v>
      </c>
    </row>
    <row r="903" spans="1:2">
      <c r="A903" t="s">
        <v>2665</v>
      </c>
      <c r="B903">
        <v>1.8733707582701223E-2</v>
      </c>
    </row>
    <row r="904" spans="1:2">
      <c r="A904" t="s">
        <v>2666</v>
      </c>
      <c r="B904">
        <v>1.0314690186903947E-2</v>
      </c>
    </row>
    <row r="905" spans="1:2">
      <c r="A905" t="s">
        <v>2667</v>
      </c>
      <c r="B905">
        <v>1.5403270679109895E-3</v>
      </c>
    </row>
    <row r="906" spans="1:2">
      <c r="A906" t="s">
        <v>2668</v>
      </c>
      <c r="B906">
        <v>2.5390006613917409E-3</v>
      </c>
    </row>
    <row r="907" spans="1:2">
      <c r="A907" t="s">
        <v>2669</v>
      </c>
      <c r="B907">
        <v>4.8135220872218423E-4</v>
      </c>
    </row>
    <row r="908" spans="1:2">
      <c r="A908" t="s">
        <v>2670</v>
      </c>
      <c r="B908">
        <v>1.1303770067839942E-4</v>
      </c>
    </row>
    <row r="909" spans="1:2">
      <c r="A909" t="s">
        <v>2671</v>
      </c>
      <c r="B909">
        <v>2.2651868645749846E-5</v>
      </c>
    </row>
    <row r="910" spans="1:2">
      <c r="A910" t="s">
        <v>2671</v>
      </c>
      <c r="B910">
        <v>8.7122571714422491E-5</v>
      </c>
    </row>
    <row r="911" spans="1:2">
      <c r="A911" t="s">
        <v>348</v>
      </c>
      <c r="B911">
        <v>5.8345722269355664E-6</v>
      </c>
    </row>
    <row r="912" spans="1:2">
      <c r="A912" t="s">
        <v>2672</v>
      </c>
      <c r="B912">
        <v>1.7007710010677134E-8</v>
      </c>
    </row>
    <row r="913" spans="1:2">
      <c r="A913" t="s">
        <v>349</v>
      </c>
      <c r="B913">
        <v>3.9199339450974314E-7</v>
      </c>
    </row>
    <row r="914" spans="1:2">
      <c r="A914" t="s">
        <v>350</v>
      </c>
      <c r="B914">
        <v>2.9098791483628596E-8</v>
      </c>
    </row>
    <row r="915" spans="1:2">
      <c r="A915" t="s">
        <v>351</v>
      </c>
      <c r="B915">
        <v>4.9117572318590224E-6</v>
      </c>
    </row>
    <row r="916" spans="1:2">
      <c r="A916" t="s">
        <v>2673</v>
      </c>
      <c r="B916">
        <v>2.0157127668433178E-7</v>
      </c>
    </row>
    <row r="917" spans="1:2">
      <c r="A917" t="s">
        <v>2674</v>
      </c>
      <c r="B917">
        <v>4.5482098461938666E-4</v>
      </c>
    </row>
    <row r="918" spans="1:2">
      <c r="A918" t="s">
        <v>2674</v>
      </c>
      <c r="B918">
        <v>2.5334326774851802E-5</v>
      </c>
    </row>
    <row r="919" spans="1:2">
      <c r="A919" t="s">
        <v>2675</v>
      </c>
      <c r="B919">
        <v>1.0418878976670655E-6</v>
      </c>
    </row>
    <row r="920" spans="1:2">
      <c r="A920" t="s">
        <v>2676</v>
      </c>
      <c r="B920">
        <v>770.1635339554947</v>
      </c>
    </row>
    <row r="921" spans="1:2">
      <c r="A921" t="s">
        <v>2677</v>
      </c>
      <c r="B921">
        <v>38.940852840446368</v>
      </c>
    </row>
    <row r="922" spans="1:2">
      <c r="A922" t="s">
        <v>2678</v>
      </c>
      <c r="B922">
        <v>1.3862943611198906</v>
      </c>
    </row>
    <row r="923" spans="1:2">
      <c r="A923" t="s">
        <v>2679</v>
      </c>
      <c r="B923">
        <v>0.46209812037329684</v>
      </c>
    </row>
    <row r="924" spans="1:2">
      <c r="A924" t="s">
        <v>2680</v>
      </c>
      <c r="B924">
        <v>0.21004460016968041</v>
      </c>
    </row>
    <row r="925" spans="1:2">
      <c r="A925" t="s">
        <v>2680</v>
      </c>
      <c r="B925">
        <v>0.18240715277893299</v>
      </c>
    </row>
    <row r="926" spans="1:2">
      <c r="A926" t="s">
        <v>2681</v>
      </c>
      <c r="B926">
        <v>6.3013380050904122E-2</v>
      </c>
    </row>
    <row r="927" spans="1:2">
      <c r="A927" t="s">
        <v>2682</v>
      </c>
      <c r="B927">
        <v>5.728489095536738E-2</v>
      </c>
    </row>
    <row r="928" spans="1:2">
      <c r="A928" t="s">
        <v>2683</v>
      </c>
      <c r="B928">
        <v>3.8723306176533259E-2</v>
      </c>
    </row>
    <row r="929" spans="1:2">
      <c r="A929" t="s">
        <v>2684</v>
      </c>
      <c r="B929">
        <v>0.45903786792049356</v>
      </c>
    </row>
    <row r="930" spans="1:2">
      <c r="A930" t="s">
        <v>2685</v>
      </c>
      <c r="B930">
        <v>5.5451774444795623</v>
      </c>
    </row>
    <row r="931" spans="1:2">
      <c r="A931" t="s">
        <v>2686</v>
      </c>
      <c r="B931">
        <v>1.7030643257001113E-2</v>
      </c>
    </row>
    <row r="932" spans="1:2">
      <c r="A932" t="s">
        <v>2687</v>
      </c>
      <c r="B932">
        <v>0.23104906018664842</v>
      </c>
    </row>
    <row r="933" spans="1:2">
      <c r="A933" t="s">
        <v>2688</v>
      </c>
      <c r="B933">
        <v>0.29370643244065481</v>
      </c>
    </row>
    <row r="934" spans="1:2">
      <c r="A934" t="s">
        <v>2688</v>
      </c>
      <c r="B934">
        <v>9.4459959193233193E-3</v>
      </c>
    </row>
    <row r="935" spans="1:2">
      <c r="A935" t="s">
        <v>2689</v>
      </c>
      <c r="B935">
        <v>4.4432511574355469E-3</v>
      </c>
    </row>
    <row r="936" spans="1:2">
      <c r="A936" t="s">
        <v>2690</v>
      </c>
      <c r="B936">
        <v>6.7955605937249544E-2</v>
      </c>
    </row>
    <row r="937" spans="1:2">
      <c r="A937" t="s">
        <v>352</v>
      </c>
      <c r="B937">
        <v>1.3528729868526819E-6</v>
      </c>
    </row>
    <row r="938" spans="1:2">
      <c r="A938" t="s">
        <v>353</v>
      </c>
      <c r="B938">
        <v>1.7402465969710203E-6</v>
      </c>
    </row>
    <row r="939" spans="1:2">
      <c r="A939" t="s">
        <v>354</v>
      </c>
      <c r="B939">
        <v>3.3288534489777605E-7</v>
      </c>
    </row>
    <row r="940" spans="1:2">
      <c r="A940" t="s">
        <v>355</v>
      </c>
      <c r="B940">
        <v>1.4747310316243388E-7</v>
      </c>
    </row>
    <row r="941" spans="1:2">
      <c r="A941" t="s">
        <v>356</v>
      </c>
      <c r="B941">
        <v>8.6171179506298657E-8</v>
      </c>
    </row>
    <row r="942" spans="1:2">
      <c r="A942" t="s">
        <v>357</v>
      </c>
      <c r="B942">
        <v>6.0012318922486687E-10</v>
      </c>
    </row>
    <row r="943" spans="1:2">
      <c r="A943" t="s">
        <v>357</v>
      </c>
      <c r="B943">
        <v>1.5042256522568257E-5</v>
      </c>
    </row>
    <row r="944" spans="1:2">
      <c r="A944" t="s">
        <v>2691</v>
      </c>
      <c r="B944">
        <v>4.7748932012239407E-27</v>
      </c>
    </row>
    <row r="945" spans="1:2">
      <c r="A945" t="s">
        <v>36</v>
      </c>
      <c r="B945">
        <v>1.6249544074595049E-9</v>
      </c>
    </row>
    <row r="946" spans="1:2">
      <c r="A946" t="s">
        <v>36</v>
      </c>
      <c r="B946">
        <v>2.0677529478164192E-5</v>
      </c>
    </row>
    <row r="947" spans="1:2">
      <c r="A947" t="s">
        <v>359</v>
      </c>
      <c r="B947">
        <v>1.2058927984689375E-4</v>
      </c>
    </row>
    <row r="948" spans="1:2">
      <c r="A948" t="s">
        <v>129</v>
      </c>
      <c r="B948">
        <v>2.5566882464940203E-9</v>
      </c>
    </row>
    <row r="949" spans="1:2">
      <c r="A949" t="s">
        <v>2692</v>
      </c>
      <c r="B949">
        <v>2.4951302395966355E-4</v>
      </c>
    </row>
    <row r="950" spans="1:2">
      <c r="A950" t="s">
        <v>130</v>
      </c>
      <c r="B950">
        <v>4.631908208694671E-9</v>
      </c>
    </row>
    <row r="951" spans="1:2">
      <c r="A951" t="s">
        <v>360</v>
      </c>
      <c r="B951">
        <v>5.2919108258815331E-7</v>
      </c>
    </row>
    <row r="952" spans="1:2">
      <c r="A952" t="s">
        <v>361</v>
      </c>
      <c r="B952">
        <v>1.2683852667251232E-5</v>
      </c>
    </row>
    <row r="953" spans="1:2">
      <c r="A953" t="s">
        <v>362</v>
      </c>
      <c r="B953">
        <v>2.5168742939722053E-4</v>
      </c>
    </row>
    <row r="954" spans="1:2">
      <c r="A954" t="s">
        <v>2693</v>
      </c>
      <c r="B954">
        <v>6.3825707233880783E-4</v>
      </c>
    </row>
    <row r="955" spans="1:2">
      <c r="A955" t="s">
        <v>2694</v>
      </c>
      <c r="B955">
        <v>1.6271060576524537E-2</v>
      </c>
    </row>
    <row r="956" spans="1:2">
      <c r="A956" t="s">
        <v>2694</v>
      </c>
      <c r="B956">
        <v>2.2504778589608612E-2</v>
      </c>
    </row>
    <row r="957" spans="1:2">
      <c r="A957" t="s">
        <v>2695</v>
      </c>
      <c r="B957">
        <v>2.6659506944613279E-2</v>
      </c>
    </row>
    <row r="958" spans="1:2">
      <c r="A958" t="s">
        <v>2696</v>
      </c>
      <c r="B958">
        <v>5.9243348765807294E-2</v>
      </c>
    </row>
    <row r="959" spans="1:2">
      <c r="A959" t="s">
        <v>2696</v>
      </c>
      <c r="B959">
        <v>5.7762265046662105E-2</v>
      </c>
    </row>
    <row r="960" spans="1:2">
      <c r="A960" t="s">
        <v>2697</v>
      </c>
      <c r="B960">
        <v>9.0019114358434446E-2</v>
      </c>
    </row>
    <row r="961" spans="1:2">
      <c r="A961" t="s">
        <v>2698</v>
      </c>
      <c r="B961">
        <v>0.16988901484312385</v>
      </c>
    </row>
    <row r="962" spans="1:2">
      <c r="A962" t="s">
        <v>2699</v>
      </c>
      <c r="B962">
        <v>0.30806541358219791</v>
      </c>
    </row>
    <row r="963" spans="1:2">
      <c r="A963" t="s">
        <v>2700</v>
      </c>
      <c r="B963">
        <v>0.53732339578290333</v>
      </c>
    </row>
    <row r="964" spans="1:2">
      <c r="A964" t="s">
        <v>2701</v>
      </c>
      <c r="B964">
        <v>0.80411505865422883</v>
      </c>
    </row>
    <row r="965" spans="1:2">
      <c r="A965" t="s">
        <v>2702</v>
      </c>
      <c r="B965">
        <v>1.575334501272603</v>
      </c>
    </row>
    <row r="966" spans="1:2">
      <c r="A966" t="s">
        <v>2703</v>
      </c>
      <c r="B966">
        <v>1.7818693587659262</v>
      </c>
    </row>
    <row r="967" spans="1:2">
      <c r="A967" t="s">
        <v>2704</v>
      </c>
      <c r="B967">
        <v>3.5185136069032752</v>
      </c>
    </row>
    <row r="968" spans="1:2">
      <c r="A968" t="s">
        <v>2705</v>
      </c>
      <c r="B968">
        <v>1.0768505787968329E-2</v>
      </c>
    </row>
    <row r="969" spans="1:2">
      <c r="A969" t="s">
        <v>191</v>
      </c>
      <c r="B969">
        <v>1.0527687871883301E-4</v>
      </c>
    </row>
    <row r="970" spans="1:2">
      <c r="A970" t="s">
        <v>2706</v>
      </c>
      <c r="B970">
        <v>6.2976739039099561E-2</v>
      </c>
    </row>
    <row r="971" spans="1:2">
      <c r="A971" t="s">
        <v>2707</v>
      </c>
      <c r="B971">
        <v>0.16670206362673046</v>
      </c>
    </row>
    <row r="972" spans="1:2">
      <c r="A972" t="s">
        <v>2708</v>
      </c>
      <c r="B972">
        <v>0.16386458169265844</v>
      </c>
    </row>
    <row r="973" spans="1:2">
      <c r="A973" t="s">
        <v>2709</v>
      </c>
      <c r="B973">
        <v>0.31082833208966154</v>
      </c>
    </row>
    <row r="974" spans="1:2">
      <c r="A974" t="s">
        <v>2710</v>
      </c>
      <c r="B974">
        <v>1.8050707827081909</v>
      </c>
    </row>
    <row r="975" spans="1:2">
      <c r="A975" t="s">
        <v>2711</v>
      </c>
      <c r="B975">
        <v>8.5573725995054968</v>
      </c>
    </row>
    <row r="976" spans="1:2">
      <c r="A976" t="s">
        <v>2712</v>
      </c>
      <c r="B976">
        <v>80.598509367435497</v>
      </c>
    </row>
    <row r="977" spans="1:2">
      <c r="A977" t="s">
        <v>2713</v>
      </c>
      <c r="B977">
        <v>315.06690025452059</v>
      </c>
    </row>
    <row r="978" spans="1:2">
      <c r="A978" t="s">
        <v>2714</v>
      </c>
      <c r="B978">
        <v>130.78248689810289</v>
      </c>
    </row>
    <row r="979" spans="1:2">
      <c r="A979" t="s">
        <v>2715</v>
      </c>
      <c r="B979">
        <v>210.04460016968039</v>
      </c>
    </row>
    <row r="980" spans="1:2">
      <c r="A980" t="s">
        <v>2716</v>
      </c>
      <c r="B980">
        <v>266.59506944613275</v>
      </c>
    </row>
    <row r="981" spans="1:2">
      <c r="A981" t="s">
        <v>2717</v>
      </c>
      <c r="B981">
        <v>49.866703637406133</v>
      </c>
    </row>
    <row r="982" spans="1:2">
      <c r="A982" t="s">
        <v>2718</v>
      </c>
      <c r="B982">
        <v>31.650556189951839</v>
      </c>
    </row>
    <row r="983" spans="1:2">
      <c r="A983" t="s">
        <v>2719</v>
      </c>
      <c r="B983">
        <v>15.234003968350446</v>
      </c>
    </row>
    <row r="984" spans="1:2">
      <c r="A984" t="s">
        <v>2720</v>
      </c>
      <c r="B984">
        <v>10.713248540339183</v>
      </c>
    </row>
    <row r="985" spans="1:2">
      <c r="A985" t="s">
        <v>2721</v>
      </c>
      <c r="B985">
        <v>4.5601788194733244</v>
      </c>
    </row>
    <row r="986" spans="1:2">
      <c r="A986" t="s">
        <v>2722</v>
      </c>
      <c r="B986">
        <v>2.2726137067539192</v>
      </c>
    </row>
    <row r="987" spans="1:2">
      <c r="A987" t="s">
        <v>363</v>
      </c>
      <c r="B987">
        <v>2.3273405474298765E-5</v>
      </c>
    </row>
    <row r="988" spans="1:2">
      <c r="A988" t="s">
        <v>2723</v>
      </c>
      <c r="B988">
        <v>1.510124576383323E-2</v>
      </c>
    </row>
    <row r="989" spans="1:2">
      <c r="A989" t="s">
        <v>2724</v>
      </c>
      <c r="B989">
        <v>1.3575150422247264E-3</v>
      </c>
    </row>
    <row r="990" spans="1:2">
      <c r="A990" t="s">
        <v>2725</v>
      </c>
      <c r="B990">
        <v>4.5482098461938668E-3</v>
      </c>
    </row>
    <row r="991" spans="1:2">
      <c r="A991" t="s">
        <v>11</v>
      </c>
      <c r="B991">
        <v>7.9697056333926444E-9</v>
      </c>
    </row>
    <row r="992" spans="1:2">
      <c r="A992" t="s">
        <v>13</v>
      </c>
      <c r="B992">
        <v>1.80301984763151E-7</v>
      </c>
    </row>
    <row r="993" spans="1:2">
      <c r="A993" t="s">
        <v>364</v>
      </c>
      <c r="B993">
        <v>8.4155205845326155E-15</v>
      </c>
    </row>
    <row r="994" spans="1:2">
      <c r="A994" t="s">
        <v>2726</v>
      </c>
      <c r="B994">
        <v>1.9158296864564546E-3</v>
      </c>
    </row>
    <row r="995" spans="1:2">
      <c r="A995" t="s">
        <v>2727</v>
      </c>
      <c r="B995">
        <v>1.0193340890587431E-2</v>
      </c>
    </row>
    <row r="996" spans="1:2">
      <c r="A996" t="s">
        <v>2728</v>
      </c>
      <c r="B996">
        <v>0.11363068533769595</v>
      </c>
    </row>
    <row r="997" spans="1:2">
      <c r="A997" t="s">
        <v>2729</v>
      </c>
      <c r="B997">
        <v>0.34657359027997264</v>
      </c>
    </row>
    <row r="998" spans="1:2">
      <c r="A998" t="s">
        <v>2730</v>
      </c>
      <c r="B998">
        <v>0.86319698699868652</v>
      </c>
    </row>
    <row r="999" spans="1:2">
      <c r="A999" t="s">
        <v>2730</v>
      </c>
      <c r="B999">
        <v>0.60273667874777859</v>
      </c>
    </row>
    <row r="1000" spans="1:2">
      <c r="A1000" t="s">
        <v>2731</v>
      </c>
      <c r="B1000">
        <v>1.4685321622032739</v>
      </c>
    </row>
    <row r="1001" spans="1:2">
      <c r="A1001" t="s">
        <v>2732</v>
      </c>
      <c r="B1001">
        <v>1.7415758305526263</v>
      </c>
    </row>
    <row r="1002" spans="1:2">
      <c r="A1002" t="s">
        <v>2733</v>
      </c>
      <c r="B1002">
        <v>3.7265977449459426</v>
      </c>
    </row>
    <row r="1003" spans="1:2">
      <c r="A1003" t="s">
        <v>2734</v>
      </c>
      <c r="B1003">
        <v>4.2786862997527484</v>
      </c>
    </row>
    <row r="1004" spans="1:2">
      <c r="A1004" t="s">
        <v>2735</v>
      </c>
      <c r="B1004">
        <v>11.270685862763338</v>
      </c>
    </row>
    <row r="1005" spans="1:2">
      <c r="A1005" t="s">
        <v>2736</v>
      </c>
      <c r="B1005">
        <v>20.386681781174861</v>
      </c>
    </row>
    <row r="1006" spans="1:2">
      <c r="A1006" t="s">
        <v>2737</v>
      </c>
      <c r="B1006">
        <v>36.481430555786595</v>
      </c>
    </row>
    <row r="1007" spans="1:2">
      <c r="A1007" t="s">
        <v>2738</v>
      </c>
      <c r="B1007">
        <v>53.732339578290329</v>
      </c>
    </row>
    <row r="1008" spans="1:2">
      <c r="A1008" t="s">
        <v>2739</v>
      </c>
      <c r="B1008">
        <v>84.530143970725049</v>
      </c>
    </row>
    <row r="1009" spans="1:2">
      <c r="A1009" t="s">
        <v>2740</v>
      </c>
      <c r="B1009">
        <v>277.25887222397813</v>
      </c>
    </row>
    <row r="1010" spans="1:2">
      <c r="A1010" t="s">
        <v>2741</v>
      </c>
      <c r="B1010">
        <v>6.9314718055994522</v>
      </c>
    </row>
    <row r="1011" spans="1:2">
      <c r="A1011" t="s">
        <v>2742</v>
      </c>
      <c r="B1011">
        <v>5.7284890955367382</v>
      </c>
    </row>
    <row r="1012" spans="1:2">
      <c r="A1012" t="s">
        <v>2743</v>
      </c>
      <c r="B1012">
        <v>1.732867951399863</v>
      </c>
    </row>
    <row r="1013" spans="1:2">
      <c r="A1013" t="s">
        <v>2744</v>
      </c>
      <c r="B1013">
        <v>1.0830424696249146</v>
      </c>
    </row>
    <row r="1014" spans="1:2">
      <c r="A1014" t="s">
        <v>2745</v>
      </c>
      <c r="B1014">
        <v>0.28881132523331055</v>
      </c>
    </row>
    <row r="1015" spans="1:2">
      <c r="A1015" t="s">
        <v>2746</v>
      </c>
      <c r="B1015">
        <v>3.6481430555786593E-2</v>
      </c>
    </row>
    <row r="1016" spans="1:2">
      <c r="A1016" t="s">
        <v>2747</v>
      </c>
      <c r="B1016">
        <v>949.51668569855519</v>
      </c>
    </row>
    <row r="1017" spans="1:2">
      <c r="A1017" t="s">
        <v>2748</v>
      </c>
      <c r="B1017">
        <v>866.43397569993158</v>
      </c>
    </row>
    <row r="1018" spans="1:2">
      <c r="A1018" t="s">
        <v>2749</v>
      </c>
      <c r="B1018">
        <v>3.0006371452811482</v>
      </c>
    </row>
    <row r="1019" spans="1:2">
      <c r="A1019" t="s">
        <v>2750</v>
      </c>
      <c r="B1019">
        <v>222.1625578717773</v>
      </c>
    </row>
    <row r="1020" spans="1:2">
      <c r="A1020" t="s">
        <v>2751</v>
      </c>
      <c r="B1020">
        <v>0.12836058899258246</v>
      </c>
    </row>
    <row r="1021" spans="1:2">
      <c r="A1021" t="s">
        <v>2752</v>
      </c>
      <c r="B1021">
        <v>0.45303737291499691</v>
      </c>
    </row>
    <row r="1022" spans="1:2">
      <c r="A1022" t="s">
        <v>2753</v>
      </c>
      <c r="B1022">
        <v>2.2359586469675653E-2</v>
      </c>
    </row>
    <row r="1023" spans="1:2">
      <c r="A1023" t="s">
        <v>2754</v>
      </c>
      <c r="B1023">
        <v>0.13591121187449909</v>
      </c>
    </row>
    <row r="1024" spans="1:2">
      <c r="A1024" t="s">
        <v>2755</v>
      </c>
      <c r="B1024">
        <v>2.009122262492595E-2</v>
      </c>
    </row>
    <row r="1025" spans="1:2">
      <c r="A1025" t="s">
        <v>2756</v>
      </c>
      <c r="B1025">
        <v>7.2202831308327631E-3</v>
      </c>
    </row>
    <row r="1026" spans="1:2">
      <c r="A1026" t="s">
        <v>2757</v>
      </c>
      <c r="B1026">
        <v>3.73865793182279E-4</v>
      </c>
    </row>
    <row r="1027" spans="1:2">
      <c r="A1027" t="s">
        <v>2758</v>
      </c>
      <c r="B1027">
        <v>0.36481430555786598</v>
      </c>
    </row>
    <row r="1028" spans="1:2">
      <c r="A1028" t="s">
        <v>2759</v>
      </c>
      <c r="B1028">
        <v>3.6328468582806354E-5</v>
      </c>
    </row>
    <row r="1029" spans="1:2">
      <c r="A1029" t="s">
        <v>365</v>
      </c>
      <c r="B1029">
        <v>7.5863232265119661E-6</v>
      </c>
    </row>
    <row r="1030" spans="1:2">
      <c r="A1030" t="s">
        <v>366</v>
      </c>
      <c r="B1030">
        <v>2.6741789373454678E-6</v>
      </c>
    </row>
    <row r="1031" spans="1:2">
      <c r="A1031" t="s">
        <v>367</v>
      </c>
      <c r="B1031">
        <v>5.9426198607677067E-5</v>
      </c>
    </row>
    <row r="1032" spans="1:2">
      <c r="A1032" t="s">
        <v>368</v>
      </c>
      <c r="B1032">
        <v>9.5934670398043689E-6</v>
      </c>
    </row>
    <row r="1033" spans="1:2">
      <c r="A1033" t="s">
        <v>2760</v>
      </c>
      <c r="B1033">
        <v>7.3535665240817449E-5</v>
      </c>
    </row>
    <row r="1034" spans="1:2">
      <c r="A1034" t="s">
        <v>369</v>
      </c>
      <c r="B1034">
        <v>7.9826236935685611E-8</v>
      </c>
    </row>
    <row r="1035" spans="1:2">
      <c r="A1035" t="s">
        <v>2761</v>
      </c>
      <c r="B1035">
        <v>1873.3707582701225</v>
      </c>
    </row>
    <row r="1036" spans="1:2">
      <c r="A1036" t="s">
        <v>2762</v>
      </c>
      <c r="B1036">
        <v>0.46209812037329684</v>
      </c>
    </row>
    <row r="1037" spans="1:2">
      <c r="A1037" t="s">
        <v>2763</v>
      </c>
      <c r="B1037">
        <v>1155.2453009332423</v>
      </c>
    </row>
    <row r="1038" spans="1:2">
      <c r="A1038" t="s">
        <v>2764</v>
      </c>
      <c r="B1038">
        <v>46.209812037329691</v>
      </c>
    </row>
    <row r="1039" spans="1:2">
      <c r="A1039" t="s">
        <v>2764</v>
      </c>
      <c r="B1039">
        <v>630.13380050904118</v>
      </c>
    </row>
    <row r="1040" spans="1:2">
      <c r="A1040" t="s">
        <v>2765</v>
      </c>
      <c r="B1040">
        <v>154.03270679109895</v>
      </c>
    </row>
    <row r="1041" spans="1:2">
      <c r="A1041" t="s">
        <v>2766</v>
      </c>
      <c r="B1041">
        <v>13.862943611198904</v>
      </c>
    </row>
    <row r="1042" spans="1:2">
      <c r="A1042" t="s">
        <v>2767</v>
      </c>
      <c r="B1042">
        <v>11.00233619936421</v>
      </c>
    </row>
    <row r="1043" spans="1:2">
      <c r="A1043" t="s">
        <v>2767</v>
      </c>
      <c r="B1043">
        <v>25.672117798516492</v>
      </c>
    </row>
    <row r="1044" spans="1:2">
      <c r="A1044" t="s">
        <v>2768</v>
      </c>
      <c r="B1044">
        <v>1.9042504960438058</v>
      </c>
    </row>
    <row r="1045" spans="1:2">
      <c r="A1045" t="s">
        <v>2768</v>
      </c>
      <c r="B1045">
        <v>2.4235915404193888</v>
      </c>
    </row>
    <row r="1046" spans="1:2">
      <c r="A1046" t="s">
        <v>2769</v>
      </c>
      <c r="B1046">
        <v>1.2602676010180822</v>
      </c>
    </row>
    <row r="1047" spans="1:2">
      <c r="A1047" t="s">
        <v>2770</v>
      </c>
      <c r="B1047">
        <v>16.119701873487099</v>
      </c>
    </row>
    <row r="1048" spans="1:2">
      <c r="A1048" t="s">
        <v>2771</v>
      </c>
      <c r="B1048">
        <v>0.38508176697774738</v>
      </c>
    </row>
    <row r="1049" spans="1:2">
      <c r="A1049" t="s">
        <v>2771</v>
      </c>
      <c r="B1049">
        <v>0.31506690025452055</v>
      </c>
    </row>
    <row r="1050" spans="1:2">
      <c r="A1050" t="s">
        <v>2771</v>
      </c>
      <c r="B1050">
        <v>0.42008920033936081</v>
      </c>
    </row>
    <row r="1051" spans="1:2">
      <c r="A1051" t="s">
        <v>2772</v>
      </c>
      <c r="B1051">
        <v>0.17773004629742187</v>
      </c>
    </row>
    <row r="1052" spans="1:2">
      <c r="A1052" t="s">
        <v>2773</v>
      </c>
      <c r="B1052">
        <v>0.99021025794277906</v>
      </c>
    </row>
    <row r="1053" spans="1:2">
      <c r="A1053" t="s">
        <v>2774</v>
      </c>
      <c r="B1053">
        <v>4.6834268956753057E-2</v>
      </c>
    </row>
    <row r="1054" spans="1:2">
      <c r="A1054" t="s">
        <v>2775</v>
      </c>
      <c r="B1054">
        <v>1.1828450180203844E-2</v>
      </c>
    </row>
    <row r="1055" spans="1:2">
      <c r="A1055" t="s">
        <v>2776</v>
      </c>
      <c r="B1055">
        <v>1.3725686743761293E-2</v>
      </c>
    </row>
    <row r="1056" spans="1:2">
      <c r="A1056" t="s">
        <v>2777</v>
      </c>
      <c r="B1056">
        <v>3.6328468582806353E-3</v>
      </c>
    </row>
    <row r="1057" spans="1:2">
      <c r="A1057" t="s">
        <v>2778</v>
      </c>
      <c r="B1057">
        <v>3.7265977449459425E-3</v>
      </c>
    </row>
    <row r="1058" spans="1:2">
      <c r="A1058" t="s">
        <v>2779</v>
      </c>
      <c r="B1058">
        <v>5.6908635513952814E-4</v>
      </c>
    </row>
    <row r="1059" spans="1:2">
      <c r="A1059" t="s">
        <v>2780</v>
      </c>
      <c r="B1059">
        <v>2.0285255503656577E-2</v>
      </c>
    </row>
    <row r="1060" spans="1:2">
      <c r="A1060" t="s">
        <v>2781</v>
      </c>
      <c r="B1060">
        <v>126.02676010180824</v>
      </c>
    </row>
    <row r="1061" spans="1:2">
      <c r="A1061" t="s">
        <v>2782</v>
      </c>
      <c r="B1061">
        <v>7788170.5680892728</v>
      </c>
    </row>
    <row r="1062" spans="1:2">
      <c r="A1062" t="s">
        <v>2783</v>
      </c>
      <c r="B1062">
        <v>990210.25794277899</v>
      </c>
    </row>
    <row r="1063" spans="1:2">
      <c r="A1063" t="s">
        <v>2784</v>
      </c>
      <c r="B1063">
        <v>31506.690025452059</v>
      </c>
    </row>
    <row r="1064" spans="1:2">
      <c r="A1064" t="s">
        <v>2785</v>
      </c>
      <c r="B1064">
        <v>630.13380050904118</v>
      </c>
    </row>
    <row r="1065" spans="1:2">
      <c r="A1065" t="s">
        <v>2786</v>
      </c>
      <c r="B1065">
        <v>31.506690025452059</v>
      </c>
    </row>
    <row r="1066" spans="1:2">
      <c r="A1066" t="s">
        <v>2787</v>
      </c>
      <c r="B1066">
        <v>2.5297342356202384E-2</v>
      </c>
    </row>
    <row r="1067" spans="1:2">
      <c r="A1067" t="s">
        <v>69</v>
      </c>
      <c r="B1067">
        <v>2.4062597394985258E-3</v>
      </c>
    </row>
    <row r="1068" spans="1:2">
      <c r="A1068" t="s">
        <v>370</v>
      </c>
      <c r="B1068">
        <v>8.1355302882622684E-4</v>
      </c>
    </row>
    <row r="1069" spans="1:2">
      <c r="A1069" t="s">
        <v>72</v>
      </c>
      <c r="B1069">
        <v>5.2535029601329802E-4</v>
      </c>
    </row>
    <row r="1070" spans="1:2">
      <c r="A1070" t="s">
        <v>2788</v>
      </c>
      <c r="B1070">
        <v>3.4692051079076337E-3</v>
      </c>
    </row>
    <row r="1071" spans="1:2">
      <c r="A1071" t="s">
        <v>2789</v>
      </c>
      <c r="B1071">
        <v>2.8881132523331052E-3</v>
      </c>
    </row>
    <row r="1072" spans="1:2">
      <c r="A1072" t="s">
        <v>2790</v>
      </c>
      <c r="B1072">
        <v>1.4145860827753985E-2</v>
      </c>
    </row>
    <row r="1073" spans="1:2">
      <c r="A1073" t="s">
        <v>2791</v>
      </c>
      <c r="B1073">
        <v>4.6771064815111013E-3</v>
      </c>
    </row>
    <row r="1074" spans="1:2">
      <c r="A1074" t="s">
        <v>2792</v>
      </c>
      <c r="B1074">
        <v>1.8240715277893296E-2</v>
      </c>
    </row>
    <row r="1075" spans="1:2">
      <c r="A1075" t="s">
        <v>2793</v>
      </c>
      <c r="B1075">
        <v>1.3807712760158271E-2</v>
      </c>
    </row>
    <row r="1076" spans="1:2">
      <c r="A1076" t="s">
        <v>2794</v>
      </c>
      <c r="B1076">
        <v>3.6290428301567812E-2</v>
      </c>
    </row>
    <row r="1077" spans="1:2">
      <c r="A1077" t="s">
        <v>2795</v>
      </c>
      <c r="B1077">
        <v>3.9383362531815069E-2</v>
      </c>
    </row>
    <row r="1078" spans="1:2">
      <c r="A1078" t="s">
        <v>2796</v>
      </c>
      <c r="B1078">
        <v>0.12602676010180824</v>
      </c>
    </row>
    <row r="1079" spans="1:2">
      <c r="A1079" t="s">
        <v>2797</v>
      </c>
      <c r="B1079">
        <v>0.77016353395549475</v>
      </c>
    </row>
    <row r="1080" spans="1:2">
      <c r="A1080" t="s">
        <v>2798</v>
      </c>
      <c r="B1080">
        <v>9.9877115354458965</v>
      </c>
    </row>
    <row r="1081" spans="1:2">
      <c r="A1081" t="s">
        <v>2799</v>
      </c>
      <c r="B1081">
        <v>4.1755854250599107</v>
      </c>
    </row>
    <row r="1082" spans="1:2">
      <c r="A1082" t="s">
        <v>2800</v>
      </c>
      <c r="B1082">
        <v>5.9690774485669955</v>
      </c>
    </row>
    <row r="1083" spans="1:2">
      <c r="A1083" t="s">
        <v>2801</v>
      </c>
      <c r="B1083">
        <v>2.1593370110901722E-2</v>
      </c>
    </row>
    <row r="1084" spans="1:2">
      <c r="A1084" t="s">
        <v>2802</v>
      </c>
      <c r="B1084">
        <v>4.3975839396012267E-3</v>
      </c>
    </row>
    <row r="1085" spans="1:2">
      <c r="A1085" t="s">
        <v>371</v>
      </c>
      <c r="B1085">
        <v>7.6334432465524128E-4</v>
      </c>
    </row>
    <row r="1086" spans="1:2">
      <c r="A1086" t="s">
        <v>372</v>
      </c>
      <c r="B1086">
        <v>2.0694419979457619E-5</v>
      </c>
    </row>
    <row r="1087" spans="1:2">
      <c r="A1087" t="s">
        <v>373</v>
      </c>
      <c r="B1087">
        <v>2.4597690670048762E-6</v>
      </c>
    </row>
    <row r="1088" spans="1:2">
      <c r="A1088" t="s">
        <v>374</v>
      </c>
      <c r="B1088">
        <v>1.7028216631535193E-4</v>
      </c>
    </row>
    <row r="1089" spans="1:2">
      <c r="A1089" t="s">
        <v>375</v>
      </c>
      <c r="B1089">
        <v>5.4647365228630181E-4</v>
      </c>
    </row>
    <row r="1090" spans="1:2">
      <c r="A1090" t="s">
        <v>376</v>
      </c>
      <c r="B1090">
        <v>1.3728405239848391E-5</v>
      </c>
    </row>
    <row r="1091" spans="1:2">
      <c r="A1091" t="s">
        <v>377</v>
      </c>
      <c r="B1091">
        <v>3.9536115706134231E-5</v>
      </c>
    </row>
    <row r="1092" spans="1:2">
      <c r="A1092" t="s">
        <v>2803</v>
      </c>
      <c r="B1092">
        <v>1.4262287665842495E-3</v>
      </c>
    </row>
    <row r="1093" spans="1:2">
      <c r="A1093" t="s">
        <v>2804</v>
      </c>
      <c r="B1093">
        <v>7.2962861111573185E-2</v>
      </c>
    </row>
    <row r="1094" spans="1:2">
      <c r="A1094" t="s">
        <v>2805</v>
      </c>
      <c r="B1094">
        <v>5.5011680996821053E-3</v>
      </c>
    </row>
    <row r="1095" spans="1:2">
      <c r="A1095" t="s">
        <v>2806</v>
      </c>
      <c r="B1095">
        <v>2.2359586469675653E-2</v>
      </c>
    </row>
    <row r="1096" spans="1:2">
      <c r="A1096" t="s">
        <v>2807</v>
      </c>
      <c r="B1096">
        <v>5.2511150042420102E-2</v>
      </c>
    </row>
    <row r="1097" spans="1:2">
      <c r="A1097" t="s">
        <v>2808</v>
      </c>
      <c r="B1097">
        <v>0.13617822800784779</v>
      </c>
    </row>
    <row r="1098" spans="1:2">
      <c r="A1098" t="s">
        <v>2809</v>
      </c>
      <c r="B1098">
        <v>0.24338033025278979</v>
      </c>
    </row>
    <row r="1099" spans="1:2">
      <c r="A1099" t="s">
        <v>2810</v>
      </c>
      <c r="B1099">
        <v>0.36481430555786598</v>
      </c>
    </row>
    <row r="1100" spans="1:2">
      <c r="A1100" t="s">
        <v>2810</v>
      </c>
      <c r="B1100">
        <v>0.53319013889226563</v>
      </c>
    </row>
    <row r="1101" spans="1:2">
      <c r="A1101" t="s">
        <v>2811</v>
      </c>
      <c r="B1101">
        <v>0.56955396923578083</v>
      </c>
    </row>
    <row r="1102" spans="1:2">
      <c r="A1102" t="s">
        <v>2812</v>
      </c>
      <c r="B1102">
        <v>1.1552453009332422</v>
      </c>
    </row>
    <row r="1103" spans="1:2">
      <c r="A1103" t="s">
        <v>2813</v>
      </c>
      <c r="B1103">
        <v>2.2359586469675654</v>
      </c>
    </row>
    <row r="1104" spans="1:2">
      <c r="A1104" t="s">
        <v>2814</v>
      </c>
      <c r="B1104">
        <v>7.1019178336059969</v>
      </c>
    </row>
    <row r="1105" spans="1:2">
      <c r="A1105" t="s">
        <v>2815</v>
      </c>
      <c r="B1105">
        <v>7.2886138860141472</v>
      </c>
    </row>
    <row r="1106" spans="1:2">
      <c r="A1106" t="s">
        <v>2816</v>
      </c>
      <c r="B1106">
        <v>14.145860827753985</v>
      </c>
    </row>
    <row r="1107" spans="1:2">
      <c r="A1107" t="s">
        <v>2817</v>
      </c>
      <c r="B1107">
        <v>23.901626915860181</v>
      </c>
    </row>
    <row r="1108" spans="1:2">
      <c r="A1108" t="s">
        <v>2818</v>
      </c>
      <c r="B1108">
        <v>0.63013380050904111</v>
      </c>
    </row>
    <row r="1109" spans="1:2">
      <c r="A1109" t="s">
        <v>2819</v>
      </c>
      <c r="B1109">
        <v>0.31506690025452055</v>
      </c>
    </row>
    <row r="1110" spans="1:2">
      <c r="A1110" t="s">
        <v>2820</v>
      </c>
      <c r="B1110">
        <v>0.1474781235233926</v>
      </c>
    </row>
    <row r="1111" spans="1:2">
      <c r="A1111" t="s">
        <v>2821</v>
      </c>
      <c r="B1111">
        <v>0.12377628224284738</v>
      </c>
    </row>
    <row r="1112" spans="1:2">
      <c r="A1112" t="s">
        <v>2821</v>
      </c>
      <c r="B1112">
        <v>0.14440566261665527</v>
      </c>
    </row>
    <row r="1113" spans="1:2">
      <c r="A1113" t="s">
        <v>2822</v>
      </c>
      <c r="B1113">
        <v>4.3870074718983874E-2</v>
      </c>
    </row>
    <row r="1114" spans="1:2">
      <c r="A1114" t="s">
        <v>2823</v>
      </c>
      <c r="B1114">
        <v>4.0773363562349722E-2</v>
      </c>
    </row>
    <row r="1115" spans="1:2">
      <c r="A1115" t="s">
        <v>2824</v>
      </c>
      <c r="B1115">
        <v>2.8407671334423987E-2</v>
      </c>
    </row>
    <row r="1116" spans="1:2">
      <c r="A1116" t="s">
        <v>2825</v>
      </c>
      <c r="B1116">
        <v>9.8738914609678811E-3</v>
      </c>
    </row>
    <row r="1117" spans="1:2">
      <c r="A1117" t="s">
        <v>2826</v>
      </c>
      <c r="B1117">
        <v>1.7773004629742187E-2</v>
      </c>
    </row>
    <row r="1118" spans="1:2">
      <c r="A1118" t="s">
        <v>2826</v>
      </c>
      <c r="B1118">
        <v>6.3013380050904117E-3</v>
      </c>
    </row>
    <row r="1119" spans="1:2">
      <c r="A1119" t="s">
        <v>2827</v>
      </c>
      <c r="B1119">
        <v>2.5786725467259867E-3</v>
      </c>
    </row>
    <row r="1120" spans="1:2">
      <c r="A1120" t="s">
        <v>378</v>
      </c>
      <c r="B1120">
        <v>4.9795056074708715E-4</v>
      </c>
    </row>
    <row r="1121" spans="1:2">
      <c r="A1121" t="s">
        <v>2828</v>
      </c>
      <c r="B1121">
        <v>8.1546727124699441E-3</v>
      </c>
    </row>
    <row r="1122" spans="1:2">
      <c r="A1122" t="s">
        <v>379</v>
      </c>
      <c r="B1122">
        <v>1.6620130126447902E-7</v>
      </c>
    </row>
    <row r="1123" spans="1:2">
      <c r="A1123" t="s">
        <v>380</v>
      </c>
      <c r="B1123">
        <v>5.0588776534123408E-6</v>
      </c>
    </row>
    <row r="1124" spans="1:2">
      <c r="A1124" t="s">
        <v>381</v>
      </c>
      <c r="B1124">
        <v>2.5275614183694049E-10</v>
      </c>
    </row>
    <row r="1125" spans="1:2">
      <c r="A1125" t="s">
        <v>382</v>
      </c>
      <c r="B1125">
        <v>8.6449750129702627E-7</v>
      </c>
    </row>
    <row r="1126" spans="1:2">
      <c r="A1126" t="s">
        <v>2829</v>
      </c>
      <c r="B1126">
        <v>1.2270675265715155E-14</v>
      </c>
    </row>
    <row r="1127" spans="1:2">
      <c r="A1127" t="s">
        <v>383</v>
      </c>
      <c r="B1127">
        <v>6.4438046683023327E-8</v>
      </c>
    </row>
    <row r="1128" spans="1:2">
      <c r="A1128" t="s">
        <v>35</v>
      </c>
      <c r="B1128">
        <v>2.0337508079287153E-22</v>
      </c>
    </row>
    <row r="1129" spans="1:2">
      <c r="A1129" t="s">
        <v>384</v>
      </c>
      <c r="B1129">
        <v>3.3370229241863499E-8</v>
      </c>
    </row>
    <row r="1130" spans="1:2">
      <c r="A1130" t="s">
        <v>385</v>
      </c>
      <c r="B1130">
        <v>1.0419442799332956E-5</v>
      </c>
    </row>
    <row r="1131" spans="1:2">
      <c r="A1131" t="s">
        <v>2830</v>
      </c>
      <c r="B1131">
        <v>3.1564079260471092E-3</v>
      </c>
    </row>
    <row r="1132" spans="1:2">
      <c r="A1132" t="s">
        <v>2831</v>
      </c>
      <c r="B1132">
        <v>1.3769312287642934E-3</v>
      </c>
    </row>
    <row r="1133" spans="1:2">
      <c r="A1133" t="s">
        <v>2832</v>
      </c>
      <c r="B1133">
        <v>1.0193340890587431E-2</v>
      </c>
    </row>
    <row r="1134" spans="1:2">
      <c r="A1134" t="s">
        <v>2833</v>
      </c>
      <c r="B1134">
        <v>2.9495624704678522E-2</v>
      </c>
    </row>
    <row r="1135" spans="1:2">
      <c r="A1135" t="s">
        <v>2834</v>
      </c>
      <c r="B1135">
        <v>1.5403270679109895E-2</v>
      </c>
    </row>
    <row r="1136" spans="1:2">
      <c r="A1136" t="s">
        <v>2835</v>
      </c>
      <c r="B1136">
        <v>5.9754067289650457E-2</v>
      </c>
    </row>
    <row r="1137" spans="1:2">
      <c r="A1137" t="s">
        <v>2836</v>
      </c>
      <c r="B1137">
        <v>0.13862943611198905</v>
      </c>
    </row>
    <row r="1138" spans="1:2">
      <c r="A1138" t="s">
        <v>2837</v>
      </c>
      <c r="B1138">
        <v>0.16271060576524538</v>
      </c>
    </row>
    <row r="1139" spans="1:2">
      <c r="A1139" t="s">
        <v>2838</v>
      </c>
      <c r="B1139">
        <v>0.22951893396024678</v>
      </c>
    </row>
    <row r="1140" spans="1:2">
      <c r="A1140" t="s">
        <v>2839</v>
      </c>
      <c r="B1140">
        <v>0.77707083022415391</v>
      </c>
    </row>
    <row r="1141" spans="1:2">
      <c r="A1141" t="s">
        <v>2840</v>
      </c>
      <c r="B1141">
        <v>1.1252389294804306</v>
      </c>
    </row>
    <row r="1142" spans="1:2">
      <c r="A1142" t="s">
        <v>2841</v>
      </c>
      <c r="B1142">
        <v>1.7682326034692482</v>
      </c>
    </row>
    <row r="1143" spans="1:2">
      <c r="A1143" t="s">
        <v>2842</v>
      </c>
      <c r="B1143">
        <v>4.2524366905518116</v>
      </c>
    </row>
    <row r="1144" spans="1:2">
      <c r="A1144" t="s">
        <v>2843</v>
      </c>
      <c r="B1144">
        <v>52.116329365409413</v>
      </c>
    </row>
    <row r="1145" spans="1:2">
      <c r="A1145" t="s">
        <v>2844</v>
      </c>
      <c r="B1145">
        <v>27.725887222397809</v>
      </c>
    </row>
    <row r="1146" spans="1:2">
      <c r="A1146" t="s">
        <v>2845</v>
      </c>
      <c r="B1146">
        <v>17.03064325700111</v>
      </c>
    </row>
    <row r="1147" spans="1:2">
      <c r="A1147" t="s">
        <v>2846</v>
      </c>
      <c r="B1147">
        <v>9.4305738851693235</v>
      </c>
    </row>
    <row r="1148" spans="1:2">
      <c r="A1148" t="s">
        <v>2847</v>
      </c>
      <c r="B1148">
        <v>4.5215080271359769</v>
      </c>
    </row>
    <row r="1149" spans="1:2">
      <c r="A1149" t="s">
        <v>2848</v>
      </c>
      <c r="B1149">
        <v>1.0881431405964604E-2</v>
      </c>
    </row>
    <row r="1150" spans="1:2">
      <c r="A1150" t="s">
        <v>2849</v>
      </c>
      <c r="B1150">
        <v>2.2504778589608612E-2</v>
      </c>
    </row>
    <row r="1151" spans="1:2">
      <c r="A1151" t="s">
        <v>386</v>
      </c>
      <c r="B1151">
        <v>8.5195081189767135E-5</v>
      </c>
    </row>
    <row r="1152" spans="1:2">
      <c r="A1152" t="s">
        <v>387</v>
      </c>
      <c r="B1152">
        <v>6.1124089996467839E-4</v>
      </c>
    </row>
    <row r="1153" spans="1:2">
      <c r="A1153" t="s">
        <v>388</v>
      </c>
      <c r="B1153">
        <v>2.9599088001905269E-8</v>
      </c>
    </row>
    <row r="1154" spans="1:2">
      <c r="A1154" t="s">
        <v>389</v>
      </c>
      <c r="B1154">
        <v>4.9496371076831279E-6</v>
      </c>
    </row>
    <row r="1155" spans="1:2">
      <c r="A1155" t="s">
        <v>390</v>
      </c>
      <c r="B1155">
        <v>7.0249884518707569E-7</v>
      </c>
    </row>
    <row r="1156" spans="1:2">
      <c r="A1156" t="s">
        <v>2850</v>
      </c>
      <c r="B1156">
        <v>1.5437576404453124</v>
      </c>
    </row>
    <row r="1157" spans="1:2">
      <c r="A1157" t="s">
        <v>391</v>
      </c>
      <c r="B1157">
        <v>1.3955608853989394E-4</v>
      </c>
    </row>
    <row r="1158" spans="1:2">
      <c r="A1158" t="s">
        <v>2851</v>
      </c>
      <c r="B1158">
        <v>1.4410544294385557E-2</v>
      </c>
    </row>
    <row r="1159" spans="1:2">
      <c r="A1159" t="s">
        <v>2852</v>
      </c>
      <c r="B1159">
        <v>1.1621433188164089E-29</v>
      </c>
    </row>
    <row r="1160" spans="1:2">
      <c r="A1160" t="s">
        <v>392</v>
      </c>
      <c r="B1160">
        <v>1.7174282712414031E-5</v>
      </c>
    </row>
    <row r="1161" spans="1:2">
      <c r="A1161" t="s">
        <v>2853</v>
      </c>
      <c r="B1161">
        <v>1.2907768725511085E-2</v>
      </c>
    </row>
    <row r="1162" spans="1:2">
      <c r="A1162" t="s">
        <v>393</v>
      </c>
      <c r="B1162">
        <v>1.3278681619922322E-4</v>
      </c>
    </row>
    <row r="1163" spans="1:2">
      <c r="A1163" t="s">
        <v>2854</v>
      </c>
      <c r="B1163">
        <v>3.6539123909327641E-2</v>
      </c>
    </row>
    <row r="1164" spans="1:2">
      <c r="A1164" t="s">
        <v>2855</v>
      </c>
      <c r="B1164">
        <v>1.7459626714356302E-2</v>
      </c>
    </row>
    <row r="1165" spans="1:2">
      <c r="A1165" t="s">
        <v>2856</v>
      </c>
      <c r="B1165">
        <v>2.3496514595252382E-2</v>
      </c>
    </row>
    <row r="1166" spans="1:2">
      <c r="A1166" t="s">
        <v>2857</v>
      </c>
      <c r="B1166">
        <v>0.10830424696249144</v>
      </c>
    </row>
    <row r="1167" spans="1:2">
      <c r="A1167" t="s">
        <v>2857</v>
      </c>
      <c r="B1167">
        <v>8.0598509367435497E-2</v>
      </c>
    </row>
    <row r="1168" spans="1:2">
      <c r="A1168" t="s">
        <v>2858</v>
      </c>
      <c r="B1168">
        <v>0.1547203528035592</v>
      </c>
    </row>
    <row r="1169" spans="1:2">
      <c r="A1169" t="s">
        <v>2859</v>
      </c>
      <c r="B1169">
        <v>0.37467415165402446</v>
      </c>
    </row>
    <row r="1170" spans="1:2">
      <c r="A1170" t="s">
        <v>2860</v>
      </c>
      <c r="B1170">
        <v>0.72809577789910218</v>
      </c>
    </row>
    <row r="1171" spans="1:2">
      <c r="A1171" t="s">
        <v>2861</v>
      </c>
      <c r="B1171">
        <v>1.3485353707391932</v>
      </c>
    </row>
    <row r="1172" spans="1:2">
      <c r="A1172" t="s">
        <v>2862</v>
      </c>
      <c r="B1172">
        <v>3.0670229228316161</v>
      </c>
    </row>
    <row r="1173" spans="1:2">
      <c r="A1173" t="s">
        <v>2863</v>
      </c>
      <c r="B1173">
        <v>6.7295842772810213</v>
      </c>
    </row>
    <row r="1174" spans="1:2">
      <c r="A1174" t="s">
        <v>2864</v>
      </c>
      <c r="B1174">
        <v>11.363068533769596</v>
      </c>
    </row>
    <row r="1175" spans="1:2">
      <c r="A1175" t="s">
        <v>1</v>
      </c>
      <c r="B1175">
        <v>1.7825296601740065E-9</v>
      </c>
    </row>
    <row r="1176" spans="1:2">
      <c r="A1176" t="s">
        <v>2865</v>
      </c>
      <c r="B1176">
        <v>0.8587907381305695</v>
      </c>
    </row>
    <row r="1177" spans="1:2">
      <c r="A1177" t="s">
        <v>2866</v>
      </c>
      <c r="B1177">
        <v>5.8247662231928174</v>
      </c>
    </row>
    <row r="1178" spans="1:2">
      <c r="A1178" t="s">
        <v>2867</v>
      </c>
      <c r="B1178">
        <v>0.34657359027997264</v>
      </c>
    </row>
    <row r="1179" spans="1:2">
      <c r="A1179" t="s">
        <v>2868</v>
      </c>
      <c r="B1179">
        <v>0.82517521495231583</v>
      </c>
    </row>
    <row r="1180" spans="1:2">
      <c r="A1180" t="s">
        <v>2869</v>
      </c>
      <c r="B1180">
        <v>30.136833937388925</v>
      </c>
    </row>
    <row r="1181" spans="1:2">
      <c r="A1181" t="s">
        <v>2870</v>
      </c>
      <c r="B1181">
        <v>6.027366787477785</v>
      </c>
    </row>
    <row r="1182" spans="1:2">
      <c r="A1182" t="s">
        <v>2871</v>
      </c>
      <c r="B1182">
        <v>0.23901626915860183</v>
      </c>
    </row>
    <row r="1183" spans="1:2">
      <c r="A1183" t="s">
        <v>2872</v>
      </c>
      <c r="B1183">
        <v>0.13329753472306641</v>
      </c>
    </row>
    <row r="1184" spans="1:2">
      <c r="A1184" t="s">
        <v>2873</v>
      </c>
      <c r="B1184">
        <v>5.0966704452937155E-2</v>
      </c>
    </row>
    <row r="1185" spans="1:2">
      <c r="A1185" t="s">
        <v>2874</v>
      </c>
      <c r="B1185">
        <v>3.7671042421736162E-2</v>
      </c>
    </row>
    <row r="1186" spans="1:2">
      <c r="A1186" t="s">
        <v>2875</v>
      </c>
      <c r="B1186">
        <v>1.7910779859430109E-2</v>
      </c>
    </row>
    <row r="1187" spans="1:2">
      <c r="A1187" t="s">
        <v>2876</v>
      </c>
      <c r="B1187">
        <v>1.7328679513998631E-2</v>
      </c>
    </row>
    <row r="1188" spans="1:2">
      <c r="A1188" t="s">
        <v>2877</v>
      </c>
      <c r="B1188">
        <v>6.2445691942337412E-3</v>
      </c>
    </row>
    <row r="1189" spans="1:2">
      <c r="A1189" t="s">
        <v>2878</v>
      </c>
      <c r="B1189">
        <v>9.1203576389466481E-3</v>
      </c>
    </row>
    <row r="1190" spans="1:2">
      <c r="A1190" t="s">
        <v>2879</v>
      </c>
      <c r="B1190">
        <v>1.706418465189427E-3</v>
      </c>
    </row>
    <row r="1191" spans="1:2">
      <c r="A1191" t="s">
        <v>2880</v>
      </c>
      <c r="B1191">
        <v>5.6353429313816695E-3</v>
      </c>
    </row>
    <row r="1192" spans="1:2">
      <c r="A1192" t="s">
        <v>2881</v>
      </c>
      <c r="B1192">
        <v>4.4518123350028601E-4</v>
      </c>
    </row>
    <row r="1193" spans="1:2">
      <c r="A1193" t="s">
        <v>2882</v>
      </c>
      <c r="B1193">
        <v>3.5546009259484375E-3</v>
      </c>
    </row>
    <row r="1194" spans="1:2">
      <c r="A1194" t="s">
        <v>394</v>
      </c>
      <c r="B1194">
        <v>1.2026288787562377E-5</v>
      </c>
    </row>
    <row r="1195" spans="1:2">
      <c r="A1195" t="s">
        <v>2883</v>
      </c>
      <c r="B1195">
        <v>1.5912469709824271E-5</v>
      </c>
    </row>
    <row r="1196" spans="1:2">
      <c r="A1196" t="s">
        <v>2884</v>
      </c>
      <c r="B1196">
        <v>2.3496514595252382E-2</v>
      </c>
    </row>
    <row r="1197" spans="1:2">
      <c r="A1197" t="s">
        <v>395</v>
      </c>
      <c r="B1197">
        <v>1.1745726591246057E-8</v>
      </c>
    </row>
    <row r="1198" spans="1:2">
      <c r="A1198" t="s">
        <v>396</v>
      </c>
      <c r="B1198">
        <v>8.1585120122404098E-6</v>
      </c>
    </row>
    <row r="1199" spans="1:2">
      <c r="A1199" t="s">
        <v>2885</v>
      </c>
      <c r="B1199">
        <v>3.1377869608043036E-25</v>
      </c>
    </row>
    <row r="1200" spans="1:2">
      <c r="A1200" t="s">
        <v>397</v>
      </c>
      <c r="B1200">
        <v>1.1352110955195138E-7</v>
      </c>
    </row>
    <row r="1201" spans="1:2">
      <c r="A1201" t="s">
        <v>398</v>
      </c>
      <c r="B1201">
        <v>0.63591484455040848</v>
      </c>
    </row>
    <row r="1202" spans="1:2">
      <c r="A1202" t="s">
        <v>398</v>
      </c>
      <c r="B1202">
        <v>2.2475589512319886E-4</v>
      </c>
    </row>
    <row r="1203" spans="1:2">
      <c r="A1203" t="s">
        <v>399</v>
      </c>
      <c r="B1203">
        <v>0.16119701873487099</v>
      </c>
    </row>
    <row r="1204" spans="1:2">
      <c r="A1204" t="s">
        <v>399</v>
      </c>
      <c r="B1204">
        <v>7.0853253953645571E-10</v>
      </c>
    </row>
    <row r="1205" spans="1:2">
      <c r="A1205" t="s">
        <v>400</v>
      </c>
      <c r="B1205">
        <v>3.7126254984464126E-2</v>
      </c>
    </row>
    <row r="1206" spans="1:2">
      <c r="A1206" t="s">
        <v>400</v>
      </c>
      <c r="B1206">
        <v>3.2270864087033001E-7</v>
      </c>
    </row>
    <row r="1207" spans="1:2">
      <c r="A1207" t="s">
        <v>401</v>
      </c>
      <c r="B1207">
        <v>3.4830116405367892E-5</v>
      </c>
    </row>
    <row r="1208" spans="1:2">
      <c r="A1208" t="s">
        <v>402</v>
      </c>
      <c r="B1208">
        <v>1.8925540957858937E-7</v>
      </c>
    </row>
    <row r="1209" spans="1:2">
      <c r="A1209" t="s">
        <v>403</v>
      </c>
      <c r="B1209">
        <v>2.467922328722486E-15</v>
      </c>
    </row>
    <row r="1210" spans="1:2">
      <c r="A1210" t="s">
        <v>404</v>
      </c>
      <c r="B1210">
        <v>1.8784476437938897E-4</v>
      </c>
    </row>
    <row r="1211" spans="1:2">
      <c r="A1211" t="s">
        <v>405</v>
      </c>
      <c r="B1211">
        <v>1.8895081794786429E-4</v>
      </c>
    </row>
    <row r="1212" spans="1:2">
      <c r="A1212" t="s">
        <v>406</v>
      </c>
      <c r="B1212">
        <v>4.6733224147784875E-5</v>
      </c>
    </row>
    <row r="1213" spans="1:2">
      <c r="A1213" t="s">
        <v>406</v>
      </c>
      <c r="B1213">
        <v>9.6270441744436845E-4</v>
      </c>
    </row>
    <row r="1214" spans="1:2">
      <c r="A1214" t="s">
        <v>2886</v>
      </c>
      <c r="B1214">
        <v>1.4440566261665526E-2</v>
      </c>
    </row>
    <row r="1215" spans="1:2">
      <c r="A1215" t="s">
        <v>2886</v>
      </c>
      <c r="B1215">
        <v>9.6270441744436845E-4</v>
      </c>
    </row>
    <row r="1216" spans="1:2">
      <c r="A1216" t="s">
        <v>2887</v>
      </c>
      <c r="B1216">
        <v>3.3007008598092634E-3</v>
      </c>
    </row>
    <row r="1217" spans="1:2">
      <c r="A1217" t="s">
        <v>2888</v>
      </c>
      <c r="B1217">
        <v>4.4432511574355469E-3</v>
      </c>
    </row>
    <row r="1218" spans="1:2">
      <c r="A1218" t="s">
        <v>2889</v>
      </c>
      <c r="B1218">
        <v>8664.3397569993176</v>
      </c>
    </row>
    <row r="1219" spans="1:2">
      <c r="A1219" t="s">
        <v>2890</v>
      </c>
      <c r="B1219">
        <v>11748.257297626193</v>
      </c>
    </row>
    <row r="1220" spans="1:2">
      <c r="A1220" t="s">
        <v>2891</v>
      </c>
      <c r="B1220">
        <v>3000.6371452811486</v>
      </c>
    </row>
    <row r="1221" spans="1:2">
      <c r="A1221" t="s">
        <v>2892</v>
      </c>
      <c r="B1221">
        <v>866.43397569993158</v>
      </c>
    </row>
    <row r="1222" spans="1:2">
      <c r="A1222" t="s">
        <v>2893</v>
      </c>
      <c r="B1222">
        <v>364.81430555786596</v>
      </c>
    </row>
    <row r="1223" spans="1:2">
      <c r="A1223" t="s">
        <v>2894</v>
      </c>
      <c r="B1223">
        <v>67.955605937249544</v>
      </c>
    </row>
    <row r="1224" spans="1:2">
      <c r="A1224" t="s">
        <v>2895</v>
      </c>
      <c r="B1224">
        <v>34.657359027997266</v>
      </c>
    </row>
    <row r="1225" spans="1:2">
      <c r="A1225" t="s">
        <v>2896</v>
      </c>
      <c r="B1225">
        <v>5.9243348765807289</v>
      </c>
    </row>
    <row r="1226" spans="1:2">
      <c r="A1226" t="s">
        <v>2897</v>
      </c>
      <c r="B1226">
        <v>2.6058164682704708</v>
      </c>
    </row>
    <row r="1227" spans="1:2">
      <c r="A1227" t="s">
        <v>2898</v>
      </c>
      <c r="B1227">
        <v>0.6601401719618526</v>
      </c>
    </row>
    <row r="1228" spans="1:2">
      <c r="A1228" t="s">
        <v>2899</v>
      </c>
      <c r="B1228">
        <v>0.26866169789145167</v>
      </c>
    </row>
    <row r="1229" spans="1:2">
      <c r="A1229" t="s">
        <v>2900</v>
      </c>
      <c r="B1229">
        <v>0.19254088348887369</v>
      </c>
    </row>
    <row r="1230" spans="1:2">
      <c r="A1230" t="s">
        <v>2901</v>
      </c>
      <c r="B1230">
        <v>6.3708380566171438E-2</v>
      </c>
    </row>
    <row r="1231" spans="1:2">
      <c r="A1231" t="s">
        <v>2902</v>
      </c>
      <c r="B1231">
        <v>7.7881705680892727E-2</v>
      </c>
    </row>
    <row r="1232" spans="1:2">
      <c r="A1232" t="s">
        <v>2903</v>
      </c>
      <c r="B1232">
        <v>2.2431947590936741E-2</v>
      </c>
    </row>
    <row r="1233" spans="1:2">
      <c r="A1233" t="s">
        <v>2904</v>
      </c>
      <c r="B1233">
        <v>1.4380646899583927E-2</v>
      </c>
    </row>
    <row r="1234" spans="1:2">
      <c r="A1234" t="s">
        <v>2905</v>
      </c>
      <c r="B1234">
        <v>2.3901626915860182E-2</v>
      </c>
    </row>
    <row r="1235" spans="1:2">
      <c r="A1235" t="s">
        <v>2906</v>
      </c>
      <c r="B1235">
        <v>8.3713427603858137E-3</v>
      </c>
    </row>
    <row r="1236" spans="1:2">
      <c r="A1236" t="s">
        <v>2907</v>
      </c>
      <c r="B1236">
        <v>6.0802384259644321E-3</v>
      </c>
    </row>
    <row r="1237" spans="1:2">
      <c r="A1237" t="s">
        <v>2907</v>
      </c>
      <c r="B1237">
        <v>4.8135220872218424E-3</v>
      </c>
    </row>
    <row r="1238" spans="1:2">
      <c r="A1238" t="s">
        <v>2908</v>
      </c>
      <c r="B1238">
        <v>3.5546009259484375E-3</v>
      </c>
    </row>
    <row r="1239" spans="1:2">
      <c r="A1239" t="s">
        <v>2909</v>
      </c>
      <c r="B1239">
        <v>1.4440566261665526E-3</v>
      </c>
    </row>
    <row r="1240" spans="1:2">
      <c r="A1240" t="s">
        <v>2909</v>
      </c>
      <c r="B1240">
        <v>1.3433084894572582E-3</v>
      </c>
    </row>
    <row r="1241" spans="1:2">
      <c r="A1241" t="s">
        <v>2910</v>
      </c>
      <c r="B1241">
        <v>5.7762265046662107E-4</v>
      </c>
    </row>
    <row r="1242" spans="1:2">
      <c r="A1242" t="s">
        <v>2911</v>
      </c>
      <c r="B1242">
        <v>2.3576434712923309E-4</v>
      </c>
    </row>
    <row r="1243" spans="1:2">
      <c r="A1243" t="s">
        <v>2911</v>
      </c>
      <c r="B1243">
        <v>2.2741049230969333E-4</v>
      </c>
    </row>
    <row r="1244" spans="1:2">
      <c r="A1244" t="s">
        <v>2912</v>
      </c>
      <c r="B1244">
        <v>3.9699151234819319E-5</v>
      </c>
    </row>
    <row r="1245" spans="1:2">
      <c r="A1245" t="s">
        <v>407</v>
      </c>
      <c r="B1245">
        <v>5.0668653549703603E-5</v>
      </c>
    </row>
    <row r="1246" spans="1:2">
      <c r="A1246" t="s">
        <v>408</v>
      </c>
      <c r="B1246">
        <v>1.7346025539538169E-5</v>
      </c>
    </row>
    <row r="1247" spans="1:2">
      <c r="A1247" t="s">
        <v>409</v>
      </c>
      <c r="B1247">
        <v>4.9137603413042787E-11</v>
      </c>
    </row>
    <row r="1248" spans="1:2">
      <c r="A1248" t="s">
        <v>410</v>
      </c>
      <c r="B1248">
        <v>1.802817261131776E-5</v>
      </c>
    </row>
    <row r="1249" spans="1:2">
      <c r="A1249" t="s">
        <v>411</v>
      </c>
      <c r="B1249">
        <v>4.6283866223286941E-6</v>
      </c>
    </row>
    <row r="1250" spans="1:2">
      <c r="A1250" t="s">
        <v>412</v>
      </c>
      <c r="B1250">
        <v>2.963991433018376E-6</v>
      </c>
    </row>
    <row r="1251" spans="1:2">
      <c r="A1251" t="s">
        <v>413</v>
      </c>
      <c r="B1251">
        <v>8.0831605159056959E-6</v>
      </c>
    </row>
    <row r="1252" spans="1:2">
      <c r="A1252" t="s">
        <v>414</v>
      </c>
      <c r="B1252">
        <v>2.7080293036409804E-4</v>
      </c>
    </row>
    <row r="1253" spans="1:2">
      <c r="A1253" t="s">
        <v>415</v>
      </c>
      <c r="B1253">
        <v>1.7211312134292464E-7</v>
      </c>
    </row>
    <row r="1254" spans="1:2">
      <c r="A1254" t="s">
        <v>2913</v>
      </c>
      <c r="B1254">
        <v>2.2651868645749847E-3</v>
      </c>
    </row>
    <row r="1255" spans="1:2">
      <c r="A1255" t="s">
        <v>2914</v>
      </c>
      <c r="B1255">
        <v>1.3885159866986081E-3</v>
      </c>
    </row>
    <row r="1256" spans="1:2">
      <c r="A1256" t="s">
        <v>2915</v>
      </c>
      <c r="B1256">
        <v>3.9836044859766972E-3</v>
      </c>
    </row>
    <row r="1257" spans="1:2">
      <c r="A1257" t="s">
        <v>2916</v>
      </c>
      <c r="B1257">
        <v>5.1344235597032984E-3</v>
      </c>
    </row>
    <row r="1258" spans="1:2">
      <c r="A1258" t="s">
        <v>2917</v>
      </c>
      <c r="B1258">
        <v>0.11002336199364211</v>
      </c>
    </row>
    <row r="1259" spans="1:2">
      <c r="A1259" t="s">
        <v>2918</v>
      </c>
      <c r="B1259">
        <v>1.0881431405964604E-2</v>
      </c>
    </row>
    <row r="1260" spans="1:2">
      <c r="A1260" t="s">
        <v>2919</v>
      </c>
      <c r="B1260">
        <v>2.6255575021210051E-2</v>
      </c>
    </row>
    <row r="1261" spans="1:2">
      <c r="A1261" t="s">
        <v>2920</v>
      </c>
      <c r="B1261">
        <v>115.52453009332422</v>
      </c>
    </row>
    <row r="1262" spans="1:2">
      <c r="A1262" t="s">
        <v>2921</v>
      </c>
      <c r="B1262">
        <v>169.0602879414501</v>
      </c>
    </row>
    <row r="1263" spans="1:2">
      <c r="A1263" t="s">
        <v>2922</v>
      </c>
      <c r="B1263">
        <v>1.732867951399863</v>
      </c>
    </row>
    <row r="1264" spans="1:2">
      <c r="A1264" t="s">
        <v>2923</v>
      </c>
      <c r="B1264">
        <v>0.99021025794277906</v>
      </c>
    </row>
    <row r="1265" spans="1:2">
      <c r="A1265" t="s">
        <v>2924</v>
      </c>
      <c r="B1265">
        <v>0.28881132523331055</v>
      </c>
    </row>
    <row r="1266" spans="1:2">
      <c r="A1266" t="s">
        <v>2925</v>
      </c>
      <c r="B1266">
        <v>0.21004460016968041</v>
      </c>
    </row>
    <row r="1267" spans="1:2">
      <c r="A1267" t="s">
        <v>2926</v>
      </c>
      <c r="B1267">
        <v>0.11950813457930091</v>
      </c>
    </row>
    <row r="1268" spans="1:2">
      <c r="A1268" t="s">
        <v>2927</v>
      </c>
      <c r="B1268">
        <v>0.31506690025452055</v>
      </c>
    </row>
    <row r="1269" spans="1:2">
      <c r="A1269" t="s">
        <v>2927</v>
      </c>
      <c r="B1269">
        <v>7.2202831308327636E-2</v>
      </c>
    </row>
    <row r="1270" spans="1:2">
      <c r="A1270" t="s">
        <v>2928</v>
      </c>
      <c r="B1270">
        <v>3.3007008598092635E-2</v>
      </c>
    </row>
    <row r="1271" spans="1:2">
      <c r="A1271" t="s">
        <v>2928</v>
      </c>
      <c r="B1271">
        <v>1.2377628224284737E-2</v>
      </c>
    </row>
    <row r="1272" spans="1:2">
      <c r="A1272" t="s">
        <v>2929</v>
      </c>
      <c r="B1272">
        <v>9.001911435843446E-3</v>
      </c>
    </row>
    <row r="1273" spans="1:2">
      <c r="A1273" t="s">
        <v>2929</v>
      </c>
      <c r="B1273">
        <v>2.9495624704678522E-2</v>
      </c>
    </row>
    <row r="1274" spans="1:2">
      <c r="A1274" t="s">
        <v>2930</v>
      </c>
      <c r="B1274">
        <v>1.9691681265907535E-2</v>
      </c>
    </row>
    <row r="1275" spans="1:2">
      <c r="A1275" t="s">
        <v>2930</v>
      </c>
      <c r="B1275">
        <v>1.4685321622032739E-2</v>
      </c>
    </row>
    <row r="1276" spans="1:2">
      <c r="A1276" t="s">
        <v>2931</v>
      </c>
      <c r="B1276">
        <v>4.7152869425846622E-3</v>
      </c>
    </row>
    <row r="1277" spans="1:2">
      <c r="A1277" t="s">
        <v>2931</v>
      </c>
      <c r="B1277">
        <v>1.3918618083533039E-2</v>
      </c>
    </row>
    <row r="1278" spans="1:2">
      <c r="A1278" t="s">
        <v>2932</v>
      </c>
      <c r="B1278">
        <v>5.7474890593693642E-3</v>
      </c>
    </row>
    <row r="1279" spans="1:2">
      <c r="A1279" t="s">
        <v>2932</v>
      </c>
      <c r="B1279">
        <v>1.2421992483153141E-3</v>
      </c>
    </row>
    <row r="1280" spans="1:2">
      <c r="A1280" t="s">
        <v>2933</v>
      </c>
      <c r="B1280">
        <v>9.8235144637180455E-4</v>
      </c>
    </row>
    <row r="1281" spans="1:2">
      <c r="A1281" t="s">
        <v>2934</v>
      </c>
      <c r="B1281">
        <v>3.7265977449459425E-3</v>
      </c>
    </row>
    <row r="1282" spans="1:2">
      <c r="A1282" t="s">
        <v>416</v>
      </c>
      <c r="B1282">
        <v>2.4067610436109211E-4</v>
      </c>
    </row>
    <row r="1283" spans="1:2">
      <c r="A1283" t="s">
        <v>2935</v>
      </c>
      <c r="B1283">
        <v>2.0629380373807897E-4</v>
      </c>
    </row>
    <row r="1284" spans="1:2">
      <c r="A1284" t="s">
        <v>2935</v>
      </c>
      <c r="B1284">
        <v>1.526083620783675E-3</v>
      </c>
    </row>
    <row r="1285" spans="1:2">
      <c r="A1285" t="s">
        <v>2936</v>
      </c>
      <c r="B1285">
        <v>7.2962861111573185E-2</v>
      </c>
    </row>
    <row r="1286" spans="1:2">
      <c r="A1286" t="s">
        <v>2936</v>
      </c>
      <c r="B1286">
        <v>1.526083620783675E-3</v>
      </c>
    </row>
    <row r="1287" spans="1:2">
      <c r="A1287" t="s">
        <v>417</v>
      </c>
      <c r="B1287">
        <v>9.0964196923877332E-4</v>
      </c>
    </row>
    <row r="1288" spans="1:2">
      <c r="A1288" t="s">
        <v>2937</v>
      </c>
      <c r="B1288">
        <v>1.0223409742772054E-3</v>
      </c>
    </row>
    <row r="1289" spans="1:2">
      <c r="A1289" t="s">
        <v>2937</v>
      </c>
      <c r="B1289">
        <v>4.1258760747615793E-4</v>
      </c>
    </row>
    <row r="1290" spans="1:2">
      <c r="A1290" t="s">
        <v>2937</v>
      </c>
      <c r="B1290">
        <v>5.4750962129537545E-4</v>
      </c>
    </row>
    <row r="1291" spans="1:2">
      <c r="A1291" t="s">
        <v>2938</v>
      </c>
      <c r="B1291">
        <v>4.1258760747615793E-4</v>
      </c>
    </row>
    <row r="1292" spans="1:2">
      <c r="A1292" t="s">
        <v>2938</v>
      </c>
      <c r="B1292">
        <v>5.4750962129537545E-4</v>
      </c>
    </row>
    <row r="1293" spans="1:2">
      <c r="A1293" t="s">
        <v>418</v>
      </c>
      <c r="B1293">
        <v>3.4954472040340162E-4</v>
      </c>
    </row>
    <row r="1294" spans="1:2">
      <c r="A1294" t="s">
        <v>2939</v>
      </c>
      <c r="B1294">
        <v>8.3511708501198226E-2</v>
      </c>
    </row>
    <row r="1295" spans="1:2">
      <c r="A1295" t="s">
        <v>2940</v>
      </c>
      <c r="B1295">
        <v>4.5126769567704769E-4</v>
      </c>
    </row>
    <row r="1296" spans="1:2">
      <c r="A1296" t="s">
        <v>2941</v>
      </c>
      <c r="B1296">
        <v>3.8662828009813997E-5</v>
      </c>
    </row>
    <row r="1297" spans="1:2">
      <c r="A1297" t="s">
        <v>2941</v>
      </c>
      <c r="B1297">
        <v>0.21660849392498288</v>
      </c>
    </row>
    <row r="1298" spans="1:2">
      <c r="A1298" t="s">
        <v>419</v>
      </c>
      <c r="B1298">
        <v>7.7637453019707131E-5</v>
      </c>
    </row>
    <row r="1299" spans="1:2">
      <c r="A1299" t="s">
        <v>2942</v>
      </c>
      <c r="B1299">
        <v>0.10238510791136564</v>
      </c>
    </row>
    <row r="1300" spans="1:2">
      <c r="A1300" t="s">
        <v>420</v>
      </c>
      <c r="B1300">
        <v>7.7016353395549476E-4</v>
      </c>
    </row>
    <row r="1301" spans="1:2">
      <c r="A1301" t="s">
        <v>421</v>
      </c>
      <c r="B1301">
        <v>1.721677050571151E-4</v>
      </c>
    </row>
    <row r="1302" spans="1:2">
      <c r="A1302" t="s">
        <v>2943</v>
      </c>
      <c r="B1302">
        <v>4.8062382331794589E-12</v>
      </c>
    </row>
    <row r="1303" spans="1:2">
      <c r="A1303" t="s">
        <v>2944</v>
      </c>
      <c r="B1303">
        <v>0.63591484455040848</v>
      </c>
    </row>
    <row r="1304" spans="1:2">
      <c r="A1304" t="s">
        <v>422</v>
      </c>
      <c r="B1304">
        <v>4.0112684060182021E-4</v>
      </c>
    </row>
    <row r="1305" spans="1:2">
      <c r="A1305" t="s">
        <v>423</v>
      </c>
      <c r="B1305">
        <v>3.1564079260471098E-4</v>
      </c>
    </row>
    <row r="1306" spans="1:2">
      <c r="A1306" t="s">
        <v>424</v>
      </c>
      <c r="B1306">
        <v>7.1822173787255182E-6</v>
      </c>
    </row>
    <row r="1307" spans="1:2">
      <c r="A1307" t="s">
        <v>424</v>
      </c>
      <c r="B1307">
        <v>1.9392997285564301E-11</v>
      </c>
    </row>
    <row r="1308" spans="1:2">
      <c r="A1308" t="s">
        <v>426</v>
      </c>
      <c r="B1308">
        <v>6.4883195783950692E-5</v>
      </c>
    </row>
    <row r="1309" spans="1:2">
      <c r="A1309" t="s">
        <v>2945</v>
      </c>
      <c r="B1309">
        <v>3.8636966586396058E-3</v>
      </c>
    </row>
    <row r="1310" spans="1:2">
      <c r="A1310" t="s">
        <v>2946</v>
      </c>
      <c r="B1310">
        <v>5.2511150042420102E-3</v>
      </c>
    </row>
    <row r="1311" spans="1:2">
      <c r="A1311" t="s">
        <v>2947</v>
      </c>
      <c r="B1311">
        <v>2.4579687253898771E-3</v>
      </c>
    </row>
    <row r="1312" spans="1:2">
      <c r="A1312" t="s">
        <v>2948</v>
      </c>
      <c r="B1312">
        <v>4.1856713801929069E-3</v>
      </c>
    </row>
    <row r="1313" spans="1:2">
      <c r="A1313" t="s">
        <v>2948</v>
      </c>
      <c r="B1313">
        <v>1.6119701873487099E-2</v>
      </c>
    </row>
    <row r="1314" spans="1:2">
      <c r="A1314" t="s">
        <v>2949</v>
      </c>
      <c r="B1314">
        <v>1.3078248689810288E-2</v>
      </c>
    </row>
    <row r="1315" spans="1:2">
      <c r="A1315" t="s">
        <v>2950</v>
      </c>
      <c r="B1315">
        <v>2.7725887222397813E-2</v>
      </c>
    </row>
    <row r="1316" spans="1:2">
      <c r="A1316" t="s">
        <v>2951</v>
      </c>
      <c r="B1316">
        <v>9.7626363459147228E-2</v>
      </c>
    </row>
    <row r="1317" spans="1:2">
      <c r="A1317" t="s">
        <v>2952</v>
      </c>
      <c r="B1317">
        <v>0.19804205158855578</v>
      </c>
    </row>
    <row r="1318" spans="1:2">
      <c r="A1318" t="s">
        <v>2953</v>
      </c>
      <c r="B1318">
        <v>0.36481430555786598</v>
      </c>
    </row>
    <row r="1319" spans="1:2">
      <c r="A1319" t="s">
        <v>2954</v>
      </c>
      <c r="B1319">
        <v>936.68537913506123</v>
      </c>
    </row>
    <row r="1320" spans="1:2">
      <c r="A1320" t="s">
        <v>2955</v>
      </c>
      <c r="B1320">
        <v>1100.2336199364211</v>
      </c>
    </row>
    <row r="1321" spans="1:2">
      <c r="A1321" t="s">
        <v>2956</v>
      </c>
      <c r="B1321">
        <v>364.81430555786596</v>
      </c>
    </row>
    <row r="1322" spans="1:2">
      <c r="A1322" t="s">
        <v>2957</v>
      </c>
      <c r="B1322">
        <v>233.38288907742262</v>
      </c>
    </row>
    <row r="1323" spans="1:2">
      <c r="A1323" t="s">
        <v>2957</v>
      </c>
      <c r="B1323">
        <v>9.3668537913506125</v>
      </c>
    </row>
    <row r="1324" spans="1:2">
      <c r="A1324" t="s">
        <v>2958</v>
      </c>
      <c r="B1324">
        <v>13.078248689810289</v>
      </c>
    </row>
    <row r="1325" spans="1:2">
      <c r="A1325" t="s">
        <v>2958</v>
      </c>
      <c r="B1325">
        <v>0.86643397569993152</v>
      </c>
    </row>
    <row r="1326" spans="1:2">
      <c r="A1326" t="s">
        <v>2959</v>
      </c>
      <c r="B1326">
        <v>1.732867951399863</v>
      </c>
    </row>
    <row r="1327" spans="1:2">
      <c r="A1327" t="s">
        <v>2960</v>
      </c>
      <c r="B1327">
        <v>5.3319013889226559E-2</v>
      </c>
    </row>
    <row r="1328" spans="1:2">
      <c r="A1328" t="s">
        <v>2961</v>
      </c>
      <c r="B1328">
        <v>9.1203576389466495E-2</v>
      </c>
    </row>
    <row r="1329" spans="1:2">
      <c r="A1329" t="s">
        <v>2962</v>
      </c>
      <c r="B1329">
        <v>1.3591121187449908</v>
      </c>
    </row>
    <row r="1330" spans="1:2">
      <c r="A1330" t="s">
        <v>2963</v>
      </c>
      <c r="B1330">
        <v>3.4657359027997261</v>
      </c>
    </row>
    <row r="1331" spans="1:2">
      <c r="A1331" t="s">
        <v>2964</v>
      </c>
      <c r="B1331">
        <v>231.04906018664843</v>
      </c>
    </row>
    <row r="1332" spans="1:2">
      <c r="A1332" t="s">
        <v>2965</v>
      </c>
      <c r="B1332">
        <v>26.255575021210049</v>
      </c>
    </row>
    <row r="1333" spans="1:2">
      <c r="A1333" t="s">
        <v>2966</v>
      </c>
      <c r="B1333">
        <v>7477.3158636455801</v>
      </c>
    </row>
    <row r="1334" spans="1:2">
      <c r="A1334" t="s">
        <v>2967</v>
      </c>
      <c r="B1334">
        <v>1.0345480306864854</v>
      </c>
    </row>
    <row r="1335" spans="1:2">
      <c r="A1335" t="s">
        <v>2968</v>
      </c>
      <c r="B1335">
        <v>0.2772588722239781</v>
      </c>
    </row>
    <row r="1336" spans="1:2">
      <c r="A1336" t="s">
        <v>2969</v>
      </c>
      <c r="B1336">
        <v>0.20752909597603153</v>
      </c>
    </row>
    <row r="1337" spans="1:2">
      <c r="A1337" t="s">
        <v>2970</v>
      </c>
      <c r="B1337">
        <v>0.11748257297626191</v>
      </c>
    </row>
    <row r="1338" spans="1:2">
      <c r="A1338" t="s">
        <v>2971</v>
      </c>
      <c r="B1338">
        <v>0.3300700859809263</v>
      </c>
    </row>
    <row r="1339" spans="1:2">
      <c r="A1339" t="s">
        <v>2972</v>
      </c>
      <c r="B1339">
        <v>0.11179793234837827</v>
      </c>
    </row>
    <row r="1340" spans="1:2">
      <c r="A1340" t="s">
        <v>2973</v>
      </c>
      <c r="B1340">
        <v>8.8865023148710937E-3</v>
      </c>
    </row>
    <row r="1341" spans="1:2">
      <c r="A1341" t="s">
        <v>2974</v>
      </c>
      <c r="B1341">
        <v>0.23819490740891588</v>
      </c>
    </row>
    <row r="1342" spans="1:2">
      <c r="A1342" t="s">
        <v>2975</v>
      </c>
      <c r="B1342">
        <v>5.2038076618614506E-3</v>
      </c>
    </row>
    <row r="1343" spans="1:2">
      <c r="A1343" t="s">
        <v>2976</v>
      </c>
      <c r="B1343">
        <v>8.3713427603858122E-4</v>
      </c>
    </row>
    <row r="1344" spans="1:2">
      <c r="A1344" t="s">
        <v>2977</v>
      </c>
      <c r="B1344">
        <v>1.3591121187449908E-3</v>
      </c>
    </row>
    <row r="1345" spans="1:2">
      <c r="A1345" t="s">
        <v>2978</v>
      </c>
      <c r="B1345">
        <v>6.1449218134746928E-4</v>
      </c>
    </row>
    <row r="1346" spans="1:2">
      <c r="A1346" t="s">
        <v>190</v>
      </c>
      <c r="B1346">
        <v>1.4140089362707983E-4</v>
      </c>
    </row>
    <row r="1347" spans="1:2">
      <c r="A1347" t="s">
        <v>190</v>
      </c>
      <c r="B1347">
        <v>2.2651868645749847E-4</v>
      </c>
    </row>
    <row r="1348" spans="1:2">
      <c r="A1348" t="s">
        <v>189</v>
      </c>
      <c r="B1348">
        <v>9.0821171457015893E-5</v>
      </c>
    </row>
    <row r="1349" spans="1:2">
      <c r="A1349" t="s">
        <v>2979</v>
      </c>
      <c r="B1349">
        <v>3.1824939419648549E-3</v>
      </c>
    </row>
    <row r="1350" spans="1:2">
      <c r="A1350" t="s">
        <v>25</v>
      </c>
      <c r="B1350">
        <v>1.4561169145109901E-5</v>
      </c>
    </row>
    <row r="1351" spans="1:2">
      <c r="A1351" t="s">
        <v>26</v>
      </c>
      <c r="B1351">
        <v>1.9211055584378362E-6</v>
      </c>
    </row>
    <row r="1352" spans="1:2">
      <c r="A1352" t="s">
        <v>27</v>
      </c>
      <c r="B1352">
        <v>1.3506408990262978E-7</v>
      </c>
    </row>
    <row r="1353" spans="1:2">
      <c r="A1353" t="s">
        <v>188</v>
      </c>
      <c r="B1353">
        <v>6.2045915019616423E-7</v>
      </c>
    </row>
    <row r="1354" spans="1:2">
      <c r="A1354" t="s">
        <v>187</v>
      </c>
      <c r="B1354">
        <v>4.6209812037329687E-4</v>
      </c>
    </row>
    <row r="1355" spans="1:2">
      <c r="A1355" t="s">
        <v>28</v>
      </c>
      <c r="B1355">
        <v>1.3642552003496974E-15</v>
      </c>
    </row>
    <row r="1356" spans="1:2">
      <c r="A1356" t="s">
        <v>186</v>
      </c>
      <c r="B1356">
        <v>1.5577741382594957E-5</v>
      </c>
    </row>
    <row r="1357" spans="1:2">
      <c r="A1357" t="s">
        <v>2980</v>
      </c>
      <c r="B1357">
        <v>1.3083185741033321E-3</v>
      </c>
    </row>
    <row r="1358" spans="1:2">
      <c r="A1358" t="s">
        <v>30</v>
      </c>
      <c r="B1358">
        <v>9.9973043379022319E-7</v>
      </c>
    </row>
    <row r="1359" spans="1:2">
      <c r="A1359" t="s">
        <v>185</v>
      </c>
      <c r="B1359">
        <v>8.4303552471156208E-5</v>
      </c>
    </row>
    <row r="1360" spans="1:2">
      <c r="A1360" t="s">
        <v>428</v>
      </c>
      <c r="B1360">
        <v>1.3881822890329755E-4</v>
      </c>
    </row>
    <row r="1361" spans="1:2">
      <c r="A1361" t="s">
        <v>184</v>
      </c>
      <c r="B1361">
        <v>9.2567732446573882E-6</v>
      </c>
    </row>
    <row r="1362" spans="1:2">
      <c r="A1362" t="s">
        <v>2981</v>
      </c>
      <c r="B1362">
        <v>7.7016353395549478E-2</v>
      </c>
    </row>
    <row r="1363" spans="1:2">
      <c r="A1363" t="s">
        <v>183</v>
      </c>
      <c r="B1363">
        <v>2.196283842078407E-4</v>
      </c>
    </row>
    <row r="1364" spans="1:2">
      <c r="A1364" t="s">
        <v>2982</v>
      </c>
      <c r="B1364">
        <v>3.272649577714567E-3</v>
      </c>
    </row>
    <row r="1365" spans="1:2">
      <c r="A1365" t="s">
        <v>182</v>
      </c>
      <c r="B1365">
        <v>2.9395554731125753E-5</v>
      </c>
    </row>
    <row r="1366" spans="1:2">
      <c r="A1366" t="s">
        <v>2983</v>
      </c>
      <c r="B1366">
        <v>8.3111172729010228E-3</v>
      </c>
    </row>
    <row r="1367" spans="1:2">
      <c r="A1367" t="s">
        <v>2983</v>
      </c>
      <c r="B1367">
        <v>1.4874403016307838E-2</v>
      </c>
    </row>
    <row r="1368" spans="1:2">
      <c r="A1368" t="s">
        <v>2984</v>
      </c>
      <c r="B1368">
        <v>2.8725535870698107E-2</v>
      </c>
    </row>
    <row r="1369" spans="1:2">
      <c r="A1369" t="s">
        <v>2985</v>
      </c>
      <c r="B1369">
        <v>0.1099709948532358</v>
      </c>
    </row>
    <row r="1370" spans="1:2">
      <c r="A1370" t="s">
        <v>2986</v>
      </c>
      <c r="B1370">
        <v>0.30268435832312018</v>
      </c>
    </row>
    <row r="1371" spans="1:2">
      <c r="A1371" t="s">
        <v>2987</v>
      </c>
      <c r="B1371">
        <v>1.8240715277893296</v>
      </c>
    </row>
    <row r="1372" spans="1:2">
      <c r="A1372" t="s">
        <v>2987</v>
      </c>
      <c r="B1372">
        <v>0.76170019841752223</v>
      </c>
    </row>
    <row r="1373" spans="1:2">
      <c r="A1373" t="s">
        <v>2987</v>
      </c>
      <c r="B1373">
        <v>1.474781235233926</v>
      </c>
    </row>
    <row r="1374" spans="1:2">
      <c r="A1374" t="s">
        <v>2988</v>
      </c>
      <c r="B1374">
        <v>1.6582468434448452</v>
      </c>
    </row>
    <row r="1375" spans="1:2">
      <c r="A1375" t="s">
        <v>2989</v>
      </c>
      <c r="B1375">
        <v>2.949562470467852</v>
      </c>
    </row>
    <row r="1376" spans="1:2">
      <c r="A1376" t="s">
        <v>2990</v>
      </c>
      <c r="B1376">
        <v>3.8085009920876116</v>
      </c>
    </row>
    <row r="1377" spans="1:2">
      <c r="A1377" t="s">
        <v>2991</v>
      </c>
      <c r="B1377">
        <v>7.3739061761696307</v>
      </c>
    </row>
    <row r="1378" spans="1:2">
      <c r="A1378" t="s">
        <v>2992</v>
      </c>
      <c r="B1378">
        <v>7.7273933172792111</v>
      </c>
    </row>
    <row r="1379" spans="1:2">
      <c r="A1379" t="s">
        <v>2993</v>
      </c>
      <c r="B1379">
        <v>7.3739061761696307</v>
      </c>
    </row>
    <row r="1380" spans="1:2">
      <c r="A1380" t="s">
        <v>2994</v>
      </c>
      <c r="B1380">
        <v>0.12246416617666878</v>
      </c>
    </row>
    <row r="1381" spans="1:2">
      <c r="A1381" t="s">
        <v>2995</v>
      </c>
      <c r="B1381">
        <v>4.5903786792049359E-2</v>
      </c>
    </row>
    <row r="1382" spans="1:2">
      <c r="A1382" t="s">
        <v>2996</v>
      </c>
      <c r="B1382">
        <v>2.9748806032615677E-2</v>
      </c>
    </row>
    <row r="1383" spans="1:2">
      <c r="A1383" t="s">
        <v>2997</v>
      </c>
      <c r="B1383">
        <v>1.0663802777845312E-2</v>
      </c>
    </row>
    <row r="1384" spans="1:2">
      <c r="A1384" t="s">
        <v>2998</v>
      </c>
      <c r="B1384">
        <v>2.0386681781174861E-2</v>
      </c>
    </row>
    <row r="1385" spans="1:2">
      <c r="A1385" t="s">
        <v>2999</v>
      </c>
      <c r="B1385">
        <v>6.4180294496291234E-3</v>
      </c>
    </row>
    <row r="1386" spans="1:2">
      <c r="A1386" t="s">
        <v>3000</v>
      </c>
      <c r="B1386">
        <v>4.4149501946493329E-2</v>
      </c>
    </row>
    <row r="1387" spans="1:2">
      <c r="A1387" t="s">
        <v>3001</v>
      </c>
      <c r="B1387">
        <v>2.2785903371464341E-3</v>
      </c>
    </row>
    <row r="1388" spans="1:2">
      <c r="A1388" t="s">
        <v>3002</v>
      </c>
      <c r="B1388">
        <v>1.4440566261665526E-2</v>
      </c>
    </row>
    <row r="1389" spans="1:2">
      <c r="A1389" t="s">
        <v>3003</v>
      </c>
      <c r="B1389">
        <v>1.8543263257355411E-3</v>
      </c>
    </row>
    <row r="1390" spans="1:2">
      <c r="A1390" t="s">
        <v>3003</v>
      </c>
      <c r="B1390">
        <v>2.1756032032641099E-3</v>
      </c>
    </row>
    <row r="1391" spans="1:2">
      <c r="A1391" t="s">
        <v>3004</v>
      </c>
      <c r="B1391">
        <v>3.5655719164606238E-4</v>
      </c>
    </row>
    <row r="1392" spans="1:2">
      <c r="A1392" t="s">
        <v>3005</v>
      </c>
      <c r="B1392">
        <v>1.3725686743761293E-2</v>
      </c>
    </row>
    <row r="1393" spans="1:2">
      <c r="A1393" t="s">
        <v>3006</v>
      </c>
      <c r="B1393">
        <v>1.9918022429883485E-4</v>
      </c>
    </row>
    <row r="1394" spans="1:2">
      <c r="A1394" t="s">
        <v>3006</v>
      </c>
      <c r="B1394">
        <v>2.9172861134677832E-4</v>
      </c>
    </row>
    <row r="1395" spans="1:2">
      <c r="A1395" t="s">
        <v>429</v>
      </c>
      <c r="B1395">
        <v>4.6294994827812862E-5</v>
      </c>
    </row>
    <row r="1396" spans="1:2">
      <c r="A1396" t="s">
        <v>3007</v>
      </c>
      <c r="B1396">
        <v>8.6212335890540458E-3</v>
      </c>
    </row>
    <row r="1397" spans="1:2">
      <c r="A1397" t="s">
        <v>3007</v>
      </c>
      <c r="B1397">
        <v>3.3007008598092633</v>
      </c>
    </row>
    <row r="1398" spans="1:2">
      <c r="A1398" t="s">
        <v>430</v>
      </c>
      <c r="B1398">
        <v>3.9294057854872179E-5</v>
      </c>
    </row>
    <row r="1399" spans="1:2">
      <c r="A1399" t="s">
        <v>430</v>
      </c>
      <c r="B1399">
        <v>1.6742685520771625E-4</v>
      </c>
    </row>
    <row r="1400" spans="1:2">
      <c r="A1400" t="s">
        <v>432</v>
      </c>
      <c r="B1400">
        <v>2.8602883670979761E-6</v>
      </c>
    </row>
    <row r="1401" spans="1:2">
      <c r="A1401" t="s">
        <v>3008</v>
      </c>
      <c r="B1401">
        <v>1.5003185726405741E-3</v>
      </c>
    </row>
    <row r="1402" spans="1:2">
      <c r="A1402" t="s">
        <v>433</v>
      </c>
      <c r="B1402">
        <v>7.7637453019707128E-4</v>
      </c>
    </row>
    <row r="1403" spans="1:2">
      <c r="A1403" t="s">
        <v>3009</v>
      </c>
      <c r="B1403">
        <v>5.5889951665855932E-4</v>
      </c>
    </row>
    <row r="1404" spans="1:2">
      <c r="A1404" t="s">
        <v>434</v>
      </c>
      <c r="B1404">
        <v>1.1612839776168497E-4</v>
      </c>
    </row>
    <row r="1405" spans="1:2">
      <c r="A1405" t="s">
        <v>3010</v>
      </c>
      <c r="B1405">
        <v>9.6404336656459692E-3</v>
      </c>
    </row>
    <row r="1406" spans="1:2">
      <c r="A1406" t="s">
        <v>435</v>
      </c>
      <c r="B1406">
        <v>1.6203871565413862E-7</v>
      </c>
    </row>
    <row r="1407" spans="1:2">
      <c r="A1407" t="s">
        <v>436</v>
      </c>
      <c r="B1407">
        <v>4.980614223498895E-23</v>
      </c>
    </row>
    <row r="1408" spans="1:2">
      <c r="A1408" t="s">
        <v>437</v>
      </c>
      <c r="B1408">
        <v>4.2929962873773391E-5</v>
      </c>
    </row>
    <row r="1409" spans="1:2">
      <c r="A1409" t="s">
        <v>3011</v>
      </c>
      <c r="B1409">
        <v>4.9159374507797539E-2</v>
      </c>
    </row>
    <row r="1410" spans="1:2">
      <c r="A1410" t="s">
        <v>3011</v>
      </c>
      <c r="B1410">
        <v>2.133811047161511E-4</v>
      </c>
    </row>
    <row r="1411" spans="1:2">
      <c r="A1411" t="s">
        <v>438</v>
      </c>
      <c r="B1411">
        <v>0.31795742227520424</v>
      </c>
    </row>
    <row r="1412" spans="1:2">
      <c r="A1412" t="s">
        <v>439</v>
      </c>
      <c r="B1412">
        <v>2.6741789373454681E-4</v>
      </c>
    </row>
    <row r="1413" spans="1:2">
      <c r="A1413" t="s">
        <v>440</v>
      </c>
      <c r="B1413">
        <v>9.9504332552389504E-5</v>
      </c>
    </row>
    <row r="1414" spans="1:2">
      <c r="A1414" t="s">
        <v>3012</v>
      </c>
      <c r="B1414">
        <v>0.12836058899258246</v>
      </c>
    </row>
    <row r="1415" spans="1:2">
      <c r="A1415" t="s">
        <v>3012</v>
      </c>
      <c r="B1415">
        <v>2.6255575021210051E-3</v>
      </c>
    </row>
    <row r="1416" spans="1:2">
      <c r="A1416" t="s">
        <v>3013</v>
      </c>
      <c r="B1416">
        <v>8.1546727124699445E-2</v>
      </c>
    </row>
    <row r="1417" spans="1:2">
      <c r="A1417" t="s">
        <v>3014</v>
      </c>
      <c r="B1417">
        <v>4.8135220872218424E-3</v>
      </c>
    </row>
    <row r="1418" spans="1:2">
      <c r="A1418" t="s">
        <v>441</v>
      </c>
      <c r="B1418">
        <v>6.418029449629123E-4</v>
      </c>
    </row>
    <row r="1419" spans="1:2">
      <c r="A1419" t="s">
        <v>3015</v>
      </c>
      <c r="B1419">
        <v>0.22504778589608612</v>
      </c>
    </row>
    <row r="1420" spans="1:2">
      <c r="A1420" t="s">
        <v>3015</v>
      </c>
      <c r="B1420">
        <v>1.4654274430442819E-2</v>
      </c>
    </row>
    <row r="1421" spans="1:2">
      <c r="A1421" t="s">
        <v>3015</v>
      </c>
      <c r="B1421">
        <v>1.5003185726405742E-2</v>
      </c>
    </row>
    <row r="1422" spans="1:2">
      <c r="A1422" t="s">
        <v>3016</v>
      </c>
      <c r="B1422">
        <v>3.0006371452811483E-2</v>
      </c>
    </row>
    <row r="1423" spans="1:2">
      <c r="A1423" t="s">
        <v>3017</v>
      </c>
      <c r="B1423">
        <v>2.9774363426114492E-3</v>
      </c>
    </row>
    <row r="1424" spans="1:2">
      <c r="A1424" t="s">
        <v>3018</v>
      </c>
      <c r="B1424">
        <v>0.46209812037329684</v>
      </c>
    </row>
    <row r="1425" spans="1:2">
      <c r="A1425" t="s">
        <v>3018</v>
      </c>
      <c r="B1425">
        <v>6.7295842772810213E-2</v>
      </c>
    </row>
    <row r="1426" spans="1:2">
      <c r="A1426" t="s">
        <v>3018</v>
      </c>
      <c r="B1426">
        <v>6.4180294496291229E-2</v>
      </c>
    </row>
    <row r="1427" spans="1:2">
      <c r="A1427" t="s">
        <v>3019</v>
      </c>
      <c r="B1427">
        <v>0.11234152035007217</v>
      </c>
    </row>
    <row r="1428" spans="1:2">
      <c r="A1428" t="s">
        <v>3019</v>
      </c>
      <c r="B1428">
        <v>1.4623358239661294E-2</v>
      </c>
    </row>
    <row r="1429" spans="1:2">
      <c r="A1429" t="s">
        <v>3020</v>
      </c>
      <c r="B1429">
        <v>0.22216255787177733</v>
      </c>
    </row>
    <row r="1430" spans="1:2">
      <c r="A1430" t="s">
        <v>3020</v>
      </c>
      <c r="B1430">
        <v>0.18886844156946739</v>
      </c>
    </row>
    <row r="1431" spans="1:2">
      <c r="A1431" t="s">
        <v>3021</v>
      </c>
      <c r="B1431">
        <v>0.29370643244065481</v>
      </c>
    </row>
    <row r="1432" spans="1:2">
      <c r="A1432" t="s">
        <v>3021</v>
      </c>
      <c r="B1432">
        <v>5.6815342668847975E-2</v>
      </c>
    </row>
    <row r="1433" spans="1:2">
      <c r="A1433" t="s">
        <v>3022</v>
      </c>
      <c r="B1433">
        <v>0.45303737291499691</v>
      </c>
    </row>
    <row r="1434" spans="1:2">
      <c r="A1434" t="s">
        <v>3022</v>
      </c>
      <c r="B1434">
        <v>0.42265071985362518</v>
      </c>
    </row>
    <row r="1435" spans="1:2">
      <c r="A1435" t="s">
        <v>3023</v>
      </c>
      <c r="B1435">
        <v>0.63766989931917695</v>
      </c>
    </row>
    <row r="1436" spans="1:2">
      <c r="A1436" t="s">
        <v>3023</v>
      </c>
      <c r="B1436">
        <v>0.19158296864564547</v>
      </c>
    </row>
    <row r="1437" spans="1:2">
      <c r="A1437" t="s">
        <v>3023</v>
      </c>
      <c r="B1437">
        <v>0.66648767361533201</v>
      </c>
    </row>
    <row r="1438" spans="1:2">
      <c r="A1438" t="s">
        <v>3024</v>
      </c>
      <c r="B1438">
        <v>0.82517521495231583</v>
      </c>
    </row>
    <row r="1439" spans="1:2">
      <c r="A1439" t="s">
        <v>3024</v>
      </c>
      <c r="B1439">
        <v>0.96270441744436852</v>
      </c>
    </row>
    <row r="1440" spans="1:2">
      <c r="A1440" t="s">
        <v>3025</v>
      </c>
      <c r="B1440">
        <v>1.1019827989824249</v>
      </c>
    </row>
    <row r="1441" spans="1:2">
      <c r="A1441" t="s">
        <v>3025</v>
      </c>
      <c r="B1441">
        <v>0.56815342668847979</v>
      </c>
    </row>
    <row r="1442" spans="1:2">
      <c r="A1442" t="s">
        <v>3025</v>
      </c>
      <c r="B1442">
        <v>1.0647422128416979</v>
      </c>
    </row>
    <row r="1443" spans="1:2">
      <c r="A1443" t="s">
        <v>3025</v>
      </c>
      <c r="B1443">
        <v>7.0729304138769926</v>
      </c>
    </row>
    <row r="1444" spans="1:2">
      <c r="A1444" t="s">
        <v>3026</v>
      </c>
      <c r="B1444">
        <v>0.56815342668847979</v>
      </c>
    </row>
    <row r="1445" spans="1:2">
      <c r="A1445" t="s">
        <v>3026</v>
      </c>
      <c r="B1445">
        <v>1.0647422128416979</v>
      </c>
    </row>
    <row r="1446" spans="1:2">
      <c r="A1446" t="s">
        <v>3026</v>
      </c>
      <c r="B1446">
        <v>7.0729304138769926</v>
      </c>
    </row>
    <row r="1447" spans="1:2">
      <c r="A1447" t="s">
        <v>3027</v>
      </c>
      <c r="B1447">
        <v>2.5023363919131598</v>
      </c>
    </row>
    <row r="1448" spans="1:2">
      <c r="A1448" t="s">
        <v>3027</v>
      </c>
      <c r="B1448">
        <v>1.281233235785481</v>
      </c>
    </row>
    <row r="1449" spans="1:2">
      <c r="A1449" t="s">
        <v>3028</v>
      </c>
      <c r="B1449">
        <v>2.6557363239844647</v>
      </c>
    </row>
    <row r="1450" spans="1:2">
      <c r="A1450" t="s">
        <v>3028</v>
      </c>
      <c r="B1450">
        <v>2.1132535992681256</v>
      </c>
    </row>
    <row r="1451" spans="1:2">
      <c r="A1451" t="s">
        <v>3028</v>
      </c>
      <c r="B1451">
        <v>2.1526309955277805</v>
      </c>
    </row>
    <row r="1452" spans="1:2">
      <c r="A1452" t="s">
        <v>3029</v>
      </c>
      <c r="B1452">
        <v>3.4657359027997261</v>
      </c>
    </row>
    <row r="1453" spans="1:2">
      <c r="A1453" t="s">
        <v>3030</v>
      </c>
      <c r="B1453">
        <v>4.2786862997527484</v>
      </c>
    </row>
    <row r="1454" spans="1:2">
      <c r="A1454" t="s">
        <v>3030</v>
      </c>
      <c r="B1454">
        <v>4.1505819195206302</v>
      </c>
    </row>
    <row r="1455" spans="1:2">
      <c r="A1455" t="s">
        <v>3031</v>
      </c>
      <c r="B1455">
        <v>5.7284890955367382</v>
      </c>
    </row>
    <row r="1456" spans="1:2">
      <c r="A1456" t="s">
        <v>3032</v>
      </c>
      <c r="B1456">
        <v>7.1458472222674772</v>
      </c>
    </row>
    <row r="1457" spans="1:2">
      <c r="A1457" t="s">
        <v>3033</v>
      </c>
      <c r="B1457">
        <v>8.1546727124699441</v>
      </c>
    </row>
    <row r="1458" spans="1:2">
      <c r="A1458" t="s">
        <v>3034</v>
      </c>
      <c r="B1458">
        <v>10.663802777845312</v>
      </c>
    </row>
    <row r="1459" spans="1:2">
      <c r="A1459" t="s">
        <v>3035</v>
      </c>
      <c r="B1459">
        <v>19.254088348887368</v>
      </c>
    </row>
    <row r="1460" spans="1:2">
      <c r="A1460" t="s">
        <v>3036</v>
      </c>
      <c r="B1460">
        <v>23.104906018664845</v>
      </c>
    </row>
    <row r="1461" spans="1:2">
      <c r="A1461" t="s">
        <v>3036</v>
      </c>
      <c r="B1461">
        <v>0.77881705680892732</v>
      </c>
    </row>
    <row r="1462" spans="1:2">
      <c r="A1462" t="s">
        <v>3037</v>
      </c>
      <c r="B1462">
        <v>0.22287690693245829</v>
      </c>
    </row>
    <row r="1463" spans="1:2">
      <c r="A1463" t="s">
        <v>3038</v>
      </c>
      <c r="B1463">
        <v>2100.4460016968037</v>
      </c>
    </row>
    <row r="1464" spans="1:2">
      <c r="A1464" t="s">
        <v>3039</v>
      </c>
      <c r="B1464">
        <v>59.243348765807291</v>
      </c>
    </row>
    <row r="1465" spans="1:2">
      <c r="A1465" t="s">
        <v>3039</v>
      </c>
      <c r="B1465">
        <v>46.209812037329691</v>
      </c>
    </row>
    <row r="1466" spans="1:2">
      <c r="A1466" t="s">
        <v>3040</v>
      </c>
      <c r="B1466">
        <v>23.104906018664845</v>
      </c>
    </row>
    <row r="1467" spans="1:2">
      <c r="A1467" t="s">
        <v>3040</v>
      </c>
      <c r="B1467">
        <v>24.235915404193889</v>
      </c>
    </row>
    <row r="1468" spans="1:2">
      <c r="A1468" t="s">
        <v>3041</v>
      </c>
      <c r="B1468">
        <v>3.1222845971168707</v>
      </c>
    </row>
    <row r="1469" spans="1:2">
      <c r="A1469" t="s">
        <v>3041</v>
      </c>
      <c r="B1469">
        <v>4.3321698784996583</v>
      </c>
    </row>
    <row r="1470" spans="1:2">
      <c r="A1470" t="s">
        <v>3042</v>
      </c>
      <c r="B1470">
        <v>1.9635897466287402</v>
      </c>
    </row>
    <row r="1471" spans="1:2">
      <c r="A1471" t="s">
        <v>3042</v>
      </c>
      <c r="B1471">
        <v>2.4755256448569471</v>
      </c>
    </row>
    <row r="1472" spans="1:2">
      <c r="A1472" t="s">
        <v>3043</v>
      </c>
      <c r="B1472">
        <v>0.79672089719533945</v>
      </c>
    </row>
    <row r="1473" spans="1:2">
      <c r="A1473" t="s">
        <v>3044</v>
      </c>
      <c r="B1473">
        <v>0.85468209686799657</v>
      </c>
    </row>
    <row r="1474" spans="1:2">
      <c r="A1474" t="s">
        <v>3045</v>
      </c>
      <c r="B1474">
        <v>0.21660849392498288</v>
      </c>
    </row>
    <row r="1475" spans="1:2">
      <c r="A1475" t="s">
        <v>3045</v>
      </c>
      <c r="B1475">
        <v>0.57762265046662109</v>
      </c>
    </row>
    <row r="1476" spans="1:2">
      <c r="A1476" t="s">
        <v>3046</v>
      </c>
      <c r="B1476">
        <v>0.15753345012726028</v>
      </c>
    </row>
    <row r="1477" spans="1:2">
      <c r="A1477" t="s">
        <v>3046</v>
      </c>
      <c r="B1477">
        <v>0.3165055618995184</v>
      </c>
    </row>
    <row r="1478" spans="1:2">
      <c r="A1478" t="s">
        <v>3047</v>
      </c>
      <c r="B1478">
        <v>7.7016353395549478E-2</v>
      </c>
    </row>
    <row r="1479" spans="1:2">
      <c r="A1479" t="s">
        <v>3047</v>
      </c>
      <c r="B1479">
        <v>0.31506690025452055</v>
      </c>
    </row>
    <row r="1480" spans="1:2">
      <c r="A1480" t="s">
        <v>3048</v>
      </c>
      <c r="B1480">
        <v>8.7740149437967749E-2</v>
      </c>
    </row>
    <row r="1481" spans="1:2">
      <c r="A1481" t="s">
        <v>3048</v>
      </c>
      <c r="B1481">
        <v>0.14145860827753984</v>
      </c>
    </row>
    <row r="1482" spans="1:2">
      <c r="A1482" t="s">
        <v>3049</v>
      </c>
      <c r="B1482">
        <v>7.7881705680892727E-2</v>
      </c>
    </row>
    <row r="1483" spans="1:2">
      <c r="A1483" t="s">
        <v>3050</v>
      </c>
      <c r="B1483">
        <v>2.1004460016968041E-2</v>
      </c>
    </row>
    <row r="1484" spans="1:2">
      <c r="A1484" t="s">
        <v>3051</v>
      </c>
      <c r="B1484">
        <v>7.7881705680892727E-2</v>
      </c>
    </row>
    <row r="1485" spans="1:2">
      <c r="A1485" t="s">
        <v>3052</v>
      </c>
      <c r="B1485">
        <v>2.3104906018664842E-2</v>
      </c>
    </row>
    <row r="1486" spans="1:2">
      <c r="A1486" t="s">
        <v>3053</v>
      </c>
      <c r="B1486">
        <v>5.7762265046662105E-2</v>
      </c>
    </row>
    <row r="1487" spans="1:2">
      <c r="A1487" t="s">
        <v>3054</v>
      </c>
      <c r="B1487">
        <v>8.7740149437967752E-3</v>
      </c>
    </row>
    <row r="1488" spans="1:2">
      <c r="A1488" t="s">
        <v>3055</v>
      </c>
      <c r="B1488">
        <v>7.7016353395549476E-3</v>
      </c>
    </row>
    <row r="1489" spans="1:2">
      <c r="A1489" t="s">
        <v>3056</v>
      </c>
      <c r="B1489">
        <v>2.3576434712923311E-3</v>
      </c>
    </row>
    <row r="1490" spans="1:2">
      <c r="A1490" t="s">
        <v>442</v>
      </c>
      <c r="B1490">
        <v>7.7016353395549476E-4</v>
      </c>
    </row>
    <row r="1491" spans="1:2">
      <c r="A1491" t="s">
        <v>3057</v>
      </c>
      <c r="B1491">
        <v>1.9918022429883485E-4</v>
      </c>
    </row>
    <row r="1492" spans="1:2">
      <c r="A1492" t="s">
        <v>443</v>
      </c>
      <c r="B1492">
        <v>6.2310965530379829E-5</v>
      </c>
    </row>
    <row r="1493" spans="1:2">
      <c r="A1493" t="s">
        <v>444</v>
      </c>
      <c r="B1493">
        <v>1.337089468672734E-5</v>
      </c>
    </row>
    <row r="1494" spans="1:2">
      <c r="A1494" t="s">
        <v>445</v>
      </c>
      <c r="B1494">
        <v>1.1570966555821736E-5</v>
      </c>
    </row>
    <row r="1495" spans="1:2">
      <c r="A1495" t="s">
        <v>446</v>
      </c>
      <c r="B1495">
        <v>1.0296303929886293E-4</v>
      </c>
    </row>
    <row r="1496" spans="1:2">
      <c r="A1496" t="s">
        <v>447</v>
      </c>
      <c r="B1496">
        <v>1.833722699894035E-5</v>
      </c>
    </row>
    <row r="1497" spans="1:2">
      <c r="A1497" t="s">
        <v>3058</v>
      </c>
      <c r="B1497">
        <v>22.876144572935488</v>
      </c>
    </row>
    <row r="1498" spans="1:2">
      <c r="A1498" t="s">
        <v>448</v>
      </c>
      <c r="B1498">
        <v>4.6395393611776789E-6</v>
      </c>
    </row>
    <row r="1499" spans="1:2">
      <c r="A1499" t="s">
        <v>449</v>
      </c>
      <c r="B1499">
        <v>6.077679403057882E-7</v>
      </c>
    </row>
    <row r="1500" spans="1:2">
      <c r="A1500" t="s">
        <v>450</v>
      </c>
      <c r="B1500">
        <v>6.8103028964655379E-7</v>
      </c>
    </row>
    <row r="1501" spans="1:2">
      <c r="A1501" t="s">
        <v>450</v>
      </c>
      <c r="B1501">
        <v>6.2371520404559021E-5</v>
      </c>
    </row>
    <row r="1502" spans="1:2">
      <c r="A1502" t="s">
        <v>451</v>
      </c>
      <c r="B1502">
        <v>1.7191150311506576E-4</v>
      </c>
    </row>
    <row r="1503" spans="1:2">
      <c r="A1503" t="s">
        <v>451</v>
      </c>
      <c r="B1503">
        <v>6.2371520404559021E-5</v>
      </c>
    </row>
    <row r="1504" spans="1:2">
      <c r="A1504" t="s">
        <v>3059</v>
      </c>
      <c r="B1504">
        <v>0.14174788968506039</v>
      </c>
    </row>
    <row r="1505" spans="1:2">
      <c r="A1505" t="s">
        <v>3059</v>
      </c>
      <c r="B1505">
        <v>0.12160476851928864</v>
      </c>
    </row>
    <row r="1506" spans="1:2">
      <c r="A1506" t="s">
        <v>453</v>
      </c>
      <c r="B1506">
        <v>1.0866817668621358E-7</v>
      </c>
    </row>
    <row r="1507" spans="1:2">
      <c r="A1507" t="s">
        <v>3060</v>
      </c>
      <c r="B1507">
        <v>8.0225368120364054E-3</v>
      </c>
    </row>
    <row r="1508" spans="1:2">
      <c r="A1508" t="s">
        <v>3060</v>
      </c>
      <c r="B1508">
        <v>9.1139040355311732E-11</v>
      </c>
    </row>
    <row r="1509" spans="1:2">
      <c r="A1509" t="s">
        <v>455</v>
      </c>
      <c r="B1509">
        <v>7.6115150019320731E-7</v>
      </c>
    </row>
    <row r="1510" spans="1:2">
      <c r="A1510" t="s">
        <v>456</v>
      </c>
      <c r="B1510">
        <v>1.0028171015045505E-5</v>
      </c>
    </row>
    <row r="1511" spans="1:2">
      <c r="A1511" t="s">
        <v>456</v>
      </c>
      <c r="B1511">
        <v>4.6915419953429263E-8</v>
      </c>
    </row>
    <row r="1512" spans="1:2">
      <c r="A1512" t="s">
        <v>458</v>
      </c>
      <c r="B1512">
        <v>8.4078988423088945E-5</v>
      </c>
    </row>
    <row r="1513" spans="1:2">
      <c r="A1513" t="s">
        <v>459</v>
      </c>
      <c r="B1513">
        <v>5.1481519649431467E-5</v>
      </c>
    </row>
    <row r="1514" spans="1:2">
      <c r="A1514" t="s">
        <v>3061</v>
      </c>
      <c r="B1514">
        <v>1.335543700500858E-2</v>
      </c>
    </row>
    <row r="1515" spans="1:2">
      <c r="A1515" t="s">
        <v>3062</v>
      </c>
      <c r="B1515">
        <v>1.3752920249205264E-4</v>
      </c>
    </row>
    <row r="1516" spans="1:2">
      <c r="A1516" t="s">
        <v>3063</v>
      </c>
      <c r="B1516">
        <v>1.9918022429883486E-3</v>
      </c>
    </row>
    <row r="1517" spans="1:2">
      <c r="A1517" t="s">
        <v>3064</v>
      </c>
      <c r="B1517">
        <v>1.2980284280148789E-3</v>
      </c>
    </row>
    <row r="1518" spans="1:2">
      <c r="A1518" t="s">
        <v>3065</v>
      </c>
      <c r="B1518">
        <v>7.6170019841752229E-2</v>
      </c>
    </row>
    <row r="1519" spans="1:2">
      <c r="A1519" t="s">
        <v>3066</v>
      </c>
      <c r="B1519">
        <v>0.11552453009332421</v>
      </c>
    </row>
    <row r="1520" spans="1:2">
      <c r="A1520" t="s">
        <v>3067</v>
      </c>
      <c r="B1520">
        <v>1.6119701873487099E-2</v>
      </c>
    </row>
    <row r="1521" spans="1:2">
      <c r="A1521" t="s">
        <v>3068</v>
      </c>
      <c r="B1521">
        <v>3.3007008598092635E-2</v>
      </c>
    </row>
    <row r="1522" spans="1:2">
      <c r="A1522" t="s">
        <v>3069</v>
      </c>
      <c r="B1522">
        <v>6.3013380050904122E-2</v>
      </c>
    </row>
    <row r="1523" spans="1:2">
      <c r="A1523" t="s">
        <v>3070</v>
      </c>
      <c r="B1523">
        <v>3.8940852840446367</v>
      </c>
    </row>
    <row r="1524" spans="1:2">
      <c r="A1524" t="s">
        <v>3071</v>
      </c>
      <c r="B1524">
        <v>2.0326896790614231</v>
      </c>
    </row>
    <row r="1525" spans="1:2">
      <c r="A1525" t="s">
        <v>3072</v>
      </c>
      <c r="B1525">
        <v>0.56058552213959523</v>
      </c>
    </row>
    <row r="1526" spans="1:2">
      <c r="A1526" t="s">
        <v>3073</v>
      </c>
      <c r="B1526">
        <v>1.5111122314365496E-3</v>
      </c>
    </row>
    <row r="1527" spans="1:2">
      <c r="A1527" t="s">
        <v>3074</v>
      </c>
      <c r="B1527">
        <v>0.74983468256160246</v>
      </c>
    </row>
    <row r="1528" spans="1:2">
      <c r="A1528" t="s">
        <v>181</v>
      </c>
      <c r="B1528">
        <v>1.7571606980504102E-17</v>
      </c>
    </row>
    <row r="1529" spans="1:2">
      <c r="A1529" t="s">
        <v>180</v>
      </c>
      <c r="B1529">
        <v>1.5579001819635382E-5</v>
      </c>
    </row>
    <row r="1530" spans="1:2">
      <c r="A1530" t="s">
        <v>179</v>
      </c>
      <c r="B1530">
        <v>8.6418708926783523E-6</v>
      </c>
    </row>
    <row r="1531" spans="1:2">
      <c r="A1531" t="s">
        <v>178</v>
      </c>
      <c r="B1531">
        <v>5.2202679662595669E-4</v>
      </c>
    </row>
    <row r="1532" spans="1:2">
      <c r="A1532" t="s">
        <v>177</v>
      </c>
      <c r="B1532">
        <v>6.4937903368928742E-4</v>
      </c>
    </row>
    <row r="1533" spans="1:2">
      <c r="A1533" t="s">
        <v>3075</v>
      </c>
      <c r="B1533">
        <v>7.1970426805102825E-3</v>
      </c>
    </row>
    <row r="1534" spans="1:2">
      <c r="A1534" t="s">
        <v>3076</v>
      </c>
      <c r="B1534">
        <v>3.9881886108167168E-2</v>
      </c>
    </row>
    <row r="1535" spans="1:2">
      <c r="A1535" t="s">
        <v>3077</v>
      </c>
      <c r="B1535">
        <v>0.10193340890587431</v>
      </c>
    </row>
    <row r="1536" spans="1:2">
      <c r="A1536" t="s">
        <v>3078</v>
      </c>
      <c r="B1536">
        <v>0.55011680996821055</v>
      </c>
    </row>
    <row r="1537" spans="1:2">
      <c r="A1537" t="s">
        <v>3079</v>
      </c>
      <c r="B1537">
        <v>1.4685321622032739</v>
      </c>
    </row>
    <row r="1538" spans="1:2">
      <c r="A1538" t="s">
        <v>3080</v>
      </c>
      <c r="B1538">
        <v>1.8990333713971104</v>
      </c>
    </row>
    <row r="1539" spans="1:2">
      <c r="A1539" t="s">
        <v>3081</v>
      </c>
      <c r="B1539">
        <v>6.301338005090412</v>
      </c>
    </row>
    <row r="1540" spans="1:2">
      <c r="A1540" t="s">
        <v>3082</v>
      </c>
      <c r="B1540">
        <v>23.104906018664845</v>
      </c>
    </row>
    <row r="1541" spans="1:2">
      <c r="A1541" t="s">
        <v>3083</v>
      </c>
      <c r="B1541">
        <v>69.314718055994533</v>
      </c>
    </row>
    <row r="1542" spans="1:2">
      <c r="A1542" t="s">
        <v>3084</v>
      </c>
      <c r="B1542">
        <v>99.02102579427789</v>
      </c>
    </row>
    <row r="1543" spans="1:2">
      <c r="A1543" t="s">
        <v>3085</v>
      </c>
      <c r="B1543">
        <v>93.668537913506114</v>
      </c>
    </row>
    <row r="1544" spans="1:2">
      <c r="A1544" t="s">
        <v>3086</v>
      </c>
      <c r="B1544">
        <v>32.090147248145612</v>
      </c>
    </row>
    <row r="1545" spans="1:2">
      <c r="A1545" t="s">
        <v>3087</v>
      </c>
      <c r="B1545">
        <v>24.843984966306284</v>
      </c>
    </row>
    <row r="1546" spans="1:2">
      <c r="A1546" t="s">
        <v>3088</v>
      </c>
      <c r="B1546">
        <v>15.338508089399099</v>
      </c>
    </row>
    <row r="1547" spans="1:2">
      <c r="A1547" t="s">
        <v>3089</v>
      </c>
      <c r="B1547">
        <v>7.2962861111573183</v>
      </c>
    </row>
    <row r="1548" spans="1:2">
      <c r="A1548" t="s">
        <v>3090</v>
      </c>
      <c r="B1548">
        <v>4.0534922839762878E-2</v>
      </c>
    </row>
    <row r="1549" spans="1:2">
      <c r="A1549" t="s">
        <v>3091</v>
      </c>
      <c r="B1549">
        <v>2.539000661391741E-2</v>
      </c>
    </row>
    <row r="1550" spans="1:2">
      <c r="A1550" t="s">
        <v>3092</v>
      </c>
      <c r="B1550">
        <v>1.0045611312462974E-3</v>
      </c>
    </row>
    <row r="1551" spans="1:2">
      <c r="A1551" t="s">
        <v>3093</v>
      </c>
      <c r="B1551">
        <v>2.5390006613917409E-3</v>
      </c>
    </row>
    <row r="1552" spans="1:2">
      <c r="A1552" t="s">
        <v>3094</v>
      </c>
      <c r="B1552">
        <v>1.3009519154653629E-5</v>
      </c>
    </row>
    <row r="1553" spans="1:2">
      <c r="A1553" t="s">
        <v>3095</v>
      </c>
      <c r="B1553">
        <v>1.6213969135905152E-4</v>
      </c>
    </row>
    <row r="1554" spans="1:2">
      <c r="A1554" t="s">
        <v>3096</v>
      </c>
      <c r="B1554">
        <v>5.5074623423590871E-6</v>
      </c>
    </row>
    <row r="1555" spans="1:2">
      <c r="A1555" t="s">
        <v>3097</v>
      </c>
      <c r="B1555">
        <v>1.3862943611198907E-2</v>
      </c>
    </row>
    <row r="1556" spans="1:2">
      <c r="A1556" t="s">
        <v>3098</v>
      </c>
      <c r="B1556">
        <v>9.5914885264760377E-14</v>
      </c>
    </row>
    <row r="1557" spans="1:2">
      <c r="A1557" t="s">
        <v>3099</v>
      </c>
      <c r="B1557">
        <v>5.2471398982584801E-2</v>
      </c>
    </row>
    <row r="1558" spans="1:2">
      <c r="A1558" t="s">
        <v>3100</v>
      </c>
      <c r="B1558">
        <v>1.0521359753490366E-4</v>
      </c>
    </row>
    <row r="1559" spans="1:2">
      <c r="A1559" t="s">
        <v>18</v>
      </c>
      <c r="B1559">
        <v>2.0470185205619876E-9</v>
      </c>
    </row>
    <row r="1560" spans="1:2">
      <c r="A1560" t="s">
        <v>2033</v>
      </c>
      <c r="B1560">
        <v>4.2977875778766441E-5</v>
      </c>
    </row>
    <row r="1561" spans="1:2">
      <c r="A1561" t="s">
        <v>3101</v>
      </c>
      <c r="B1561">
        <v>1.5182616650456592E-4</v>
      </c>
    </row>
    <row r="1562" spans="1:2">
      <c r="A1562" t="s">
        <v>3102</v>
      </c>
      <c r="B1562">
        <v>6.8691003742017015E-5</v>
      </c>
    </row>
    <row r="1563" spans="1:2">
      <c r="A1563" t="s">
        <v>3103</v>
      </c>
      <c r="B1563">
        <v>3.6709415345829114E-3</v>
      </c>
    </row>
    <row r="1564" spans="1:2">
      <c r="A1564" t="s">
        <v>3104</v>
      </c>
      <c r="B1564">
        <v>2.1446385537127018E-2</v>
      </c>
    </row>
    <row r="1565" spans="1:2">
      <c r="A1565" t="s">
        <v>3105</v>
      </c>
      <c r="B1565">
        <v>8.0880651173855928E-2</v>
      </c>
    </row>
    <row r="1566" spans="1:2">
      <c r="A1566" t="s">
        <v>3106</v>
      </c>
      <c r="B1566">
        <v>0.37650580149915552</v>
      </c>
    </row>
    <row r="1567" spans="1:2">
      <c r="A1567" t="s">
        <v>3107</v>
      </c>
      <c r="B1567">
        <v>0.53983425277254304</v>
      </c>
    </row>
    <row r="1568" spans="1:2">
      <c r="A1568" t="s">
        <v>3108</v>
      </c>
      <c r="B1568">
        <v>3.2695621724525723</v>
      </c>
    </row>
    <row r="1569" spans="1:2">
      <c r="A1569" t="s">
        <v>3109</v>
      </c>
      <c r="B1569">
        <v>6.0802384259644322</v>
      </c>
    </row>
    <row r="1570" spans="1:2">
      <c r="A1570" t="s">
        <v>3110</v>
      </c>
      <c r="B1570">
        <v>8.6643397569993166</v>
      </c>
    </row>
    <row r="1571" spans="1:2">
      <c r="A1571" t="s">
        <v>3111</v>
      </c>
      <c r="B1571">
        <v>11.179793234837827</v>
      </c>
    </row>
    <row r="1572" spans="1:2">
      <c r="A1572" t="s">
        <v>3112</v>
      </c>
      <c r="B1572">
        <v>16.119701873487099</v>
      </c>
    </row>
    <row r="1573" spans="1:2">
      <c r="A1573" t="s">
        <v>3113</v>
      </c>
      <c r="B1573">
        <v>53.319013889226554</v>
      </c>
    </row>
    <row r="1574" spans="1:2">
      <c r="A1574" t="s">
        <v>3114</v>
      </c>
      <c r="B1574">
        <v>31.942266385250935</v>
      </c>
    </row>
    <row r="1575" spans="1:2">
      <c r="A1575" t="s">
        <v>3115</v>
      </c>
      <c r="B1575">
        <v>0.24755256448569476</v>
      </c>
    </row>
    <row r="1576" spans="1:2">
      <c r="A1576" t="s">
        <v>3116</v>
      </c>
      <c r="B1576">
        <v>0.1307824868981029</v>
      </c>
    </row>
    <row r="1577" spans="1:2">
      <c r="A1577" t="s">
        <v>3117</v>
      </c>
      <c r="B1577">
        <v>7.9672089719533948E-2</v>
      </c>
    </row>
    <row r="1578" spans="1:2">
      <c r="A1578" t="s">
        <v>3118</v>
      </c>
      <c r="B1578">
        <v>4.2524366905518113E-2</v>
      </c>
    </row>
    <row r="1579" spans="1:2">
      <c r="A1579" t="s">
        <v>3119</v>
      </c>
      <c r="B1579">
        <v>3.3007008598092635E-2</v>
      </c>
    </row>
    <row r="1580" spans="1:2">
      <c r="A1580" t="s">
        <v>3119</v>
      </c>
      <c r="B1580">
        <v>2.3729790501881044E-2</v>
      </c>
    </row>
    <row r="1581" spans="1:2">
      <c r="A1581" t="s">
        <v>3120</v>
      </c>
      <c r="B1581">
        <v>1.0696715749381872E-2</v>
      </c>
    </row>
    <row r="1582" spans="1:2">
      <c r="A1582" t="s">
        <v>3121</v>
      </c>
      <c r="B1582">
        <v>1.7773004629742186</v>
      </c>
    </row>
    <row r="1583" spans="1:2">
      <c r="A1583" t="s">
        <v>3122</v>
      </c>
      <c r="B1583">
        <v>1.2836058899258247E-2</v>
      </c>
    </row>
    <row r="1584" spans="1:2">
      <c r="A1584" t="s">
        <v>3123</v>
      </c>
      <c r="B1584">
        <v>2.2651868645749847E-3</v>
      </c>
    </row>
    <row r="1585" spans="1:2">
      <c r="A1585" t="s">
        <v>3123</v>
      </c>
      <c r="B1585">
        <v>3.1222845971168706E-3</v>
      </c>
    </row>
    <row r="1586" spans="1:2">
      <c r="A1586" t="s">
        <v>3124</v>
      </c>
      <c r="B1586">
        <v>2.2651868645749847E-3</v>
      </c>
    </row>
    <row r="1587" spans="1:2">
      <c r="A1587" t="s">
        <v>3125</v>
      </c>
      <c r="B1587">
        <v>9.959011214941743E-4</v>
      </c>
    </row>
    <row r="1588" spans="1:2">
      <c r="A1588" t="s">
        <v>3126</v>
      </c>
      <c r="B1588">
        <v>1.2377628224284736</v>
      </c>
    </row>
    <row r="1589" spans="1:2">
      <c r="A1589" t="s">
        <v>3127</v>
      </c>
      <c r="B1589">
        <v>1.3278681619922324E-3</v>
      </c>
    </row>
    <row r="1590" spans="1:2">
      <c r="A1590" t="s">
        <v>460</v>
      </c>
      <c r="B1590">
        <v>1.9580428829376985E-4</v>
      </c>
    </row>
    <row r="1591" spans="1:2">
      <c r="A1591" t="s">
        <v>461</v>
      </c>
      <c r="B1591">
        <v>4.2039494211544473E-5</v>
      </c>
    </row>
    <row r="1592" spans="1:2">
      <c r="A1592" t="s">
        <v>3128</v>
      </c>
      <c r="B1592">
        <v>4.7540958886141654E-4</v>
      </c>
    </row>
    <row r="1593" spans="1:2">
      <c r="A1593" t="s">
        <v>3129</v>
      </c>
      <c r="B1593">
        <v>4.9496371076831286E-5</v>
      </c>
    </row>
    <row r="1594" spans="1:2">
      <c r="A1594" t="s">
        <v>3130</v>
      </c>
      <c r="B1594">
        <v>1.7910779859430111E-3</v>
      </c>
    </row>
    <row r="1595" spans="1:2">
      <c r="A1595" t="s">
        <v>462</v>
      </c>
      <c r="B1595">
        <v>1.0160468785692544E-5</v>
      </c>
    </row>
    <row r="1596" spans="1:2">
      <c r="A1596" t="s">
        <v>3131</v>
      </c>
      <c r="B1596">
        <v>1.1704612978047035E-3</v>
      </c>
    </row>
    <row r="1597" spans="1:2">
      <c r="A1597" t="s">
        <v>3132</v>
      </c>
      <c r="B1597">
        <v>6.1340458456632323</v>
      </c>
    </row>
    <row r="1598" spans="1:2">
      <c r="A1598" t="s">
        <v>463</v>
      </c>
      <c r="B1598">
        <v>3.6607514542716879E-13</v>
      </c>
    </row>
    <row r="1599" spans="1:2">
      <c r="A1599" t="s">
        <v>464</v>
      </c>
      <c r="B1599">
        <v>2.1324765753038959E-19</v>
      </c>
    </row>
    <row r="1600" spans="1:2">
      <c r="A1600" t="s">
        <v>465</v>
      </c>
      <c r="B1600">
        <v>4.7795870193842145E-6</v>
      </c>
    </row>
    <row r="1601" spans="1:2">
      <c r="A1601" t="s">
        <v>466</v>
      </c>
      <c r="B1601">
        <v>4.8992591218542921E-5</v>
      </c>
    </row>
    <row r="1602" spans="1:2">
      <c r="A1602" t="s">
        <v>467</v>
      </c>
      <c r="B1602">
        <v>1.2584371469861027E-4</v>
      </c>
    </row>
    <row r="1603" spans="1:2">
      <c r="A1603" t="s">
        <v>468</v>
      </c>
      <c r="B1603">
        <v>8.1990440094623291E-4</v>
      </c>
    </row>
    <row r="1604" spans="1:2">
      <c r="A1604" t="s">
        <v>3133</v>
      </c>
      <c r="B1604">
        <v>1.6988901484312386E-2</v>
      </c>
    </row>
    <row r="1605" spans="1:2">
      <c r="A1605" t="s">
        <v>3134</v>
      </c>
      <c r="B1605">
        <v>2.7949483087094568E-2</v>
      </c>
    </row>
    <row r="1606" spans="1:2">
      <c r="A1606" t="s">
        <v>3135</v>
      </c>
      <c r="B1606">
        <v>0.11363068533769595</v>
      </c>
    </row>
    <row r="1607" spans="1:2">
      <c r="A1607" t="s">
        <v>3136</v>
      </c>
      <c r="B1607">
        <v>7.0729304138769919E-2</v>
      </c>
    </row>
    <row r="1608" spans="1:2">
      <c r="A1608" t="s">
        <v>3137</v>
      </c>
      <c r="B1608">
        <v>0.17225327548706393</v>
      </c>
    </row>
    <row r="1609" spans="1:2">
      <c r="A1609" t="s">
        <v>3138</v>
      </c>
      <c r="B1609">
        <v>0.49124534412469545</v>
      </c>
    </row>
    <row r="1610" spans="1:2">
      <c r="A1610" t="s">
        <v>3139</v>
      </c>
      <c r="B1610">
        <v>0.63884532770501867</v>
      </c>
    </row>
    <row r="1611" spans="1:2">
      <c r="A1611" t="s">
        <v>3140</v>
      </c>
      <c r="B1611">
        <v>1.3591121187449908</v>
      </c>
    </row>
    <row r="1612" spans="1:2">
      <c r="A1612" t="s">
        <v>3141</v>
      </c>
      <c r="B1612">
        <v>1.5167334366738408</v>
      </c>
    </row>
    <row r="1613" spans="1:2">
      <c r="A1613" t="s">
        <v>3142</v>
      </c>
      <c r="B1613">
        <v>2.325997250201159</v>
      </c>
    </row>
    <row r="1614" spans="1:2">
      <c r="A1614" t="s">
        <v>3143</v>
      </c>
      <c r="B1614">
        <v>2.840767133442399</v>
      </c>
    </row>
    <row r="1615" spans="1:2">
      <c r="A1615" t="s">
        <v>3144</v>
      </c>
      <c r="B1615">
        <v>4.2524366905518116</v>
      </c>
    </row>
    <row r="1616" spans="1:2">
      <c r="A1616" t="s">
        <v>3145</v>
      </c>
      <c r="B1616">
        <v>6.9314718055994522</v>
      </c>
    </row>
    <row r="1617" spans="1:2">
      <c r="A1617" t="s">
        <v>3146</v>
      </c>
      <c r="B1617">
        <v>8.2517521495231581</v>
      </c>
    </row>
    <row r="1618" spans="1:2">
      <c r="A1618" t="s">
        <v>3147</v>
      </c>
      <c r="B1618">
        <v>79.216820635422309</v>
      </c>
    </row>
    <row r="1619" spans="1:2">
      <c r="A1619" t="s">
        <v>3148</v>
      </c>
      <c r="B1619">
        <v>0.82636557488757045</v>
      </c>
    </row>
    <row r="1620" spans="1:2">
      <c r="A1620" t="s">
        <v>3149</v>
      </c>
      <c r="B1620">
        <v>3.8940852840446367</v>
      </c>
    </row>
    <row r="1621" spans="1:2">
      <c r="A1621" t="s">
        <v>3150</v>
      </c>
      <c r="B1621">
        <v>28.407671334423988</v>
      </c>
    </row>
    <row r="1622" spans="1:2">
      <c r="A1622" t="s">
        <v>3150</v>
      </c>
      <c r="B1622">
        <v>16.503504299046316</v>
      </c>
    </row>
    <row r="1623" spans="1:2">
      <c r="A1623" t="s">
        <v>3151</v>
      </c>
      <c r="B1623">
        <v>1.9804205158855581</v>
      </c>
    </row>
    <row r="1624" spans="1:2">
      <c r="A1624" t="s">
        <v>3152</v>
      </c>
      <c r="B1624">
        <v>1.0663802777845313</v>
      </c>
    </row>
    <row r="1625" spans="1:2">
      <c r="A1625" t="s">
        <v>3152</v>
      </c>
      <c r="B1625">
        <v>0.48135220872218426</v>
      </c>
    </row>
    <row r="1626" spans="1:2">
      <c r="A1626" t="s">
        <v>3153</v>
      </c>
      <c r="B1626">
        <v>5.8247662231928177E-2</v>
      </c>
    </row>
    <row r="1627" spans="1:2">
      <c r="A1627" t="s">
        <v>3154</v>
      </c>
      <c r="B1627">
        <v>3.4145181308371686E-2</v>
      </c>
    </row>
    <row r="1628" spans="1:2">
      <c r="A1628" t="s">
        <v>3155</v>
      </c>
      <c r="B1628">
        <v>2.2287690693245828E-2</v>
      </c>
    </row>
    <row r="1629" spans="1:2">
      <c r="A1629" t="s">
        <v>3156</v>
      </c>
      <c r="B1629">
        <v>0.27289259077163197</v>
      </c>
    </row>
    <row r="1630" spans="1:2">
      <c r="A1630" t="s">
        <v>3157</v>
      </c>
      <c r="B1630">
        <v>2.4843984966306285E-2</v>
      </c>
    </row>
    <row r="1631" spans="1:2">
      <c r="A1631" t="s">
        <v>3158</v>
      </c>
      <c r="B1631">
        <v>0.11748257297626191</v>
      </c>
    </row>
    <row r="1632" spans="1:2">
      <c r="A1632" t="s">
        <v>3159</v>
      </c>
      <c r="B1632">
        <v>3.4145181308371688</v>
      </c>
    </row>
    <row r="1633" spans="1:2">
      <c r="A1633" t="s">
        <v>3160</v>
      </c>
      <c r="B1633">
        <v>0.179571808435219</v>
      </c>
    </row>
    <row r="1634" spans="1:2">
      <c r="A1634" t="s">
        <v>3161</v>
      </c>
      <c r="B1634">
        <v>0.11143845346622915</v>
      </c>
    </row>
    <row r="1635" spans="1:2">
      <c r="A1635" t="s">
        <v>3162</v>
      </c>
      <c r="B1635">
        <v>3.8508176697774738E-3</v>
      </c>
    </row>
    <row r="1636" spans="1:2">
      <c r="A1636" t="s">
        <v>3163</v>
      </c>
      <c r="B1636">
        <v>2.7505840498410529E-4</v>
      </c>
    </row>
    <row r="1637" spans="1:2">
      <c r="A1637" t="s">
        <v>3164</v>
      </c>
      <c r="B1637">
        <v>3.9294057854872179E-5</v>
      </c>
    </row>
    <row r="1638" spans="1:2">
      <c r="A1638" t="s">
        <v>3165</v>
      </c>
      <c r="B1638">
        <v>1.7503716680806699E-5</v>
      </c>
    </row>
    <row r="1639" spans="1:2">
      <c r="A1639" t="s">
        <v>3166</v>
      </c>
      <c r="B1639">
        <v>15.403270679109896</v>
      </c>
    </row>
    <row r="1640" spans="1:2">
      <c r="A1640" t="s">
        <v>3167</v>
      </c>
      <c r="B1640">
        <v>8.7740149437967752</v>
      </c>
    </row>
    <row r="1641" spans="1:2">
      <c r="A1641" t="s">
        <v>3167</v>
      </c>
      <c r="B1641">
        <v>43321.698784996581</v>
      </c>
    </row>
    <row r="1642" spans="1:2">
      <c r="A1642" t="s">
        <v>3168</v>
      </c>
      <c r="B1642">
        <v>1.0663802777845313</v>
      </c>
    </row>
    <row r="1643" spans="1:2">
      <c r="A1643" t="s">
        <v>3169</v>
      </c>
      <c r="B1643">
        <v>0.77016353395549475</v>
      </c>
    </row>
    <row r="1644" spans="1:2">
      <c r="A1644" t="s">
        <v>3170</v>
      </c>
      <c r="B1644">
        <v>0.61888141121423679</v>
      </c>
    </row>
    <row r="1645" spans="1:2">
      <c r="A1645" t="s">
        <v>3171</v>
      </c>
      <c r="B1645">
        <v>10.345480306864854</v>
      </c>
    </row>
    <row r="1646" spans="1:2">
      <c r="A1646" t="s">
        <v>3171</v>
      </c>
      <c r="B1646">
        <v>5.0228056562314869</v>
      </c>
    </row>
    <row r="1647" spans="1:2">
      <c r="A1647" t="s">
        <v>3172</v>
      </c>
      <c r="B1647">
        <v>1.4031319444533306</v>
      </c>
    </row>
    <row r="1648" spans="1:2">
      <c r="A1648" t="s">
        <v>3172</v>
      </c>
      <c r="B1648">
        <v>3.5007433361613396</v>
      </c>
    </row>
    <row r="1649" spans="1:2">
      <c r="A1649" t="s">
        <v>3173</v>
      </c>
      <c r="B1649">
        <v>9.1203576389466495E-2</v>
      </c>
    </row>
    <row r="1650" spans="1:2">
      <c r="A1650" t="s">
        <v>3173</v>
      </c>
      <c r="B1650">
        <v>0.14470713581627251</v>
      </c>
    </row>
    <row r="1651" spans="1:2">
      <c r="A1651" t="s">
        <v>3174</v>
      </c>
      <c r="B1651">
        <v>6.539124344905145E-2</v>
      </c>
    </row>
    <row r="1652" spans="1:2">
      <c r="A1652" t="s">
        <v>3175</v>
      </c>
      <c r="B1652">
        <v>5.728489095536738E-2</v>
      </c>
    </row>
    <row r="1653" spans="1:2">
      <c r="A1653" t="s">
        <v>3176</v>
      </c>
      <c r="B1653">
        <v>1.9200752924098206E-2</v>
      </c>
    </row>
    <row r="1654" spans="1:2">
      <c r="A1654" t="s">
        <v>3176</v>
      </c>
      <c r="B1654">
        <v>1.7328679513998631E-2</v>
      </c>
    </row>
    <row r="1655" spans="1:2">
      <c r="A1655" t="s">
        <v>3177</v>
      </c>
      <c r="B1655">
        <v>9.001911435843446E-3</v>
      </c>
    </row>
    <row r="1656" spans="1:2">
      <c r="A1656" t="s">
        <v>3178</v>
      </c>
      <c r="B1656">
        <v>8.4324474520674608E-3</v>
      </c>
    </row>
    <row r="1657" spans="1:2">
      <c r="A1657" t="s">
        <v>3178</v>
      </c>
      <c r="B1657">
        <v>7.7016353395549476E-3</v>
      </c>
    </row>
    <row r="1658" spans="1:2">
      <c r="A1658" t="s">
        <v>3178</v>
      </c>
      <c r="B1658">
        <v>6.0802384259644321E-3</v>
      </c>
    </row>
    <row r="1659" spans="1:2">
      <c r="A1659" t="s">
        <v>3179</v>
      </c>
      <c r="B1659">
        <v>7.7016353395549476E-3</v>
      </c>
    </row>
    <row r="1660" spans="1:2">
      <c r="A1660" t="s">
        <v>3179</v>
      </c>
      <c r="B1660">
        <v>6.0802384259644321E-3</v>
      </c>
    </row>
    <row r="1661" spans="1:2">
      <c r="A1661" t="s">
        <v>3180</v>
      </c>
      <c r="B1661">
        <v>2.8809109748958658E-3</v>
      </c>
    </row>
    <row r="1662" spans="1:2">
      <c r="A1662" t="s">
        <v>3181</v>
      </c>
      <c r="B1662">
        <v>3.6674453997880704E-3</v>
      </c>
    </row>
    <row r="1663" spans="1:2">
      <c r="A1663" t="s">
        <v>3182</v>
      </c>
      <c r="B1663">
        <v>1.0756473937925904E-3</v>
      </c>
    </row>
    <row r="1664" spans="1:2">
      <c r="A1664" t="s">
        <v>3183</v>
      </c>
      <c r="B1664">
        <v>4.3594162299367628E-3</v>
      </c>
    </row>
    <row r="1665" spans="1:2">
      <c r="A1665" t="s">
        <v>3183</v>
      </c>
      <c r="B1665">
        <v>8.1932290846329237E-3</v>
      </c>
    </row>
    <row r="1666" spans="1:2">
      <c r="A1666" t="s">
        <v>3183</v>
      </c>
      <c r="B1666">
        <v>5.4492702874209533E-3</v>
      </c>
    </row>
    <row r="1667" spans="1:2">
      <c r="A1667" t="s">
        <v>3184</v>
      </c>
      <c r="B1667">
        <v>8.1932290846329237E-3</v>
      </c>
    </row>
    <row r="1668" spans="1:2">
      <c r="A1668" t="s">
        <v>3184</v>
      </c>
      <c r="B1668">
        <v>5.4492702874209533E-3</v>
      </c>
    </row>
    <row r="1669" spans="1:2">
      <c r="A1669" t="s">
        <v>3185</v>
      </c>
      <c r="B1669">
        <v>2.2216255787177734E-4</v>
      </c>
    </row>
    <row r="1670" spans="1:2">
      <c r="A1670" t="s">
        <v>3186</v>
      </c>
      <c r="B1670" t="e">
        <v>#DIV/0!</v>
      </c>
    </row>
    <row r="1671" spans="1:2">
      <c r="A1671" t="s">
        <v>3187</v>
      </c>
      <c r="B1671">
        <v>2.1004460016968039E-3</v>
      </c>
    </row>
    <row r="1672" spans="1:2">
      <c r="A1672" t="s">
        <v>3188</v>
      </c>
      <c r="B1672">
        <v>1.7503716680806699E-3</v>
      </c>
    </row>
    <row r="1673" spans="1:2">
      <c r="A1673" t="s">
        <v>469</v>
      </c>
      <c r="B1673">
        <v>5.6529912944472595E-6</v>
      </c>
    </row>
    <row r="1674" spans="1:2">
      <c r="A1674" t="s">
        <v>3189</v>
      </c>
      <c r="B1674">
        <v>4.3321698784996579E-3</v>
      </c>
    </row>
    <row r="1675" spans="1:2">
      <c r="A1675" t="s">
        <v>470</v>
      </c>
      <c r="B1675">
        <v>3.9913118467842816E-6</v>
      </c>
    </row>
    <row r="1676" spans="1:2">
      <c r="A1676" t="s">
        <v>3190</v>
      </c>
      <c r="B1676">
        <v>1.0345480306864854</v>
      </c>
    </row>
    <row r="1677" spans="1:2">
      <c r="A1677" t="s">
        <v>471</v>
      </c>
      <c r="B1677">
        <v>9.7242870448926099E-7</v>
      </c>
    </row>
    <row r="1678" spans="1:2">
      <c r="A1678" t="s">
        <v>3191</v>
      </c>
      <c r="B1678">
        <v>8.8865023148710937E-3</v>
      </c>
    </row>
    <row r="1679" spans="1:2">
      <c r="A1679" t="s">
        <v>472</v>
      </c>
      <c r="B1679">
        <v>1.1970362297875862E-6</v>
      </c>
    </row>
    <row r="1680" spans="1:2">
      <c r="A1680" t="s">
        <v>3192</v>
      </c>
      <c r="B1680">
        <v>3.1222845971168706E-3</v>
      </c>
    </row>
    <row r="1681" spans="1:2">
      <c r="A1681" t="s">
        <v>473</v>
      </c>
      <c r="B1681">
        <v>1.6032488120897904E-8</v>
      </c>
    </row>
    <row r="1682" spans="1:2">
      <c r="A1682" t="s">
        <v>474</v>
      </c>
      <c r="B1682">
        <v>6.6358032403716392E-9</v>
      </c>
    </row>
    <row r="1683" spans="1:2">
      <c r="A1683" t="s">
        <v>475</v>
      </c>
      <c r="B1683">
        <v>5.6496738112932423E-8</v>
      </c>
    </row>
    <row r="1684" spans="1:2">
      <c r="A1684" t="s">
        <v>476</v>
      </c>
      <c r="B1684">
        <v>5.9203527562345352E-19</v>
      </c>
    </row>
    <row r="1685" spans="1:2">
      <c r="A1685" t="s">
        <v>476</v>
      </c>
      <c r="B1685">
        <v>5.2397780299590079E-5</v>
      </c>
    </row>
    <row r="1686" spans="1:2">
      <c r="A1686" t="s">
        <v>478</v>
      </c>
      <c r="B1686">
        <v>1.2069046834812259E-6</v>
      </c>
    </row>
    <row r="1687" spans="1:2">
      <c r="A1687" t="s">
        <v>479</v>
      </c>
      <c r="B1687">
        <v>5.0031411362871246E-8</v>
      </c>
    </row>
    <row r="1688" spans="1:2">
      <c r="A1688" t="s">
        <v>480</v>
      </c>
      <c r="B1688">
        <v>4.0677651441311342E-4</v>
      </c>
    </row>
    <row r="1689" spans="1:2">
      <c r="A1689" t="s">
        <v>480</v>
      </c>
      <c r="B1689">
        <v>4.9795056074708715E-4</v>
      </c>
    </row>
    <row r="1690" spans="1:2">
      <c r="A1690" t="s">
        <v>482</v>
      </c>
      <c r="B1690">
        <v>4.1947904899536755E-5</v>
      </c>
    </row>
    <row r="1691" spans="1:2">
      <c r="A1691" t="s">
        <v>3193</v>
      </c>
      <c r="B1691">
        <v>2.0629380373807897E-3</v>
      </c>
    </row>
    <row r="1692" spans="1:2">
      <c r="A1692" t="s">
        <v>3194</v>
      </c>
      <c r="B1692">
        <v>3.3007008598092634E-3</v>
      </c>
    </row>
    <row r="1693" spans="1:2">
      <c r="A1693" t="s">
        <v>3195</v>
      </c>
      <c r="B1693">
        <v>5.7762265046662105E-3</v>
      </c>
    </row>
    <row r="1694" spans="1:2">
      <c r="A1694" t="s">
        <v>3196</v>
      </c>
      <c r="B1694">
        <v>1.1950813457930091E-2</v>
      </c>
    </row>
    <row r="1695" spans="1:2">
      <c r="A1695" t="s">
        <v>3197</v>
      </c>
      <c r="B1695">
        <v>3.6481430555786593E-2</v>
      </c>
    </row>
    <row r="1696" spans="1:2">
      <c r="A1696" t="s">
        <v>3198</v>
      </c>
      <c r="B1696">
        <v>83.511708501198228</v>
      </c>
    </row>
    <row r="1697" spans="1:2">
      <c r="A1697" t="s">
        <v>3199</v>
      </c>
      <c r="B1697">
        <v>36.481430555786595</v>
      </c>
    </row>
    <row r="1698" spans="1:2">
      <c r="A1698" t="s">
        <v>3200</v>
      </c>
      <c r="B1698">
        <v>54.152123481245724</v>
      </c>
    </row>
    <row r="1699" spans="1:2">
      <c r="A1699" t="s">
        <v>3201</v>
      </c>
      <c r="B1699">
        <v>7.2962861111573183</v>
      </c>
    </row>
    <row r="1700" spans="1:2">
      <c r="A1700" t="s">
        <v>3202</v>
      </c>
      <c r="B1700">
        <v>18.733707582701225</v>
      </c>
    </row>
    <row r="1701" spans="1:2">
      <c r="A1701" t="s">
        <v>3203</v>
      </c>
      <c r="B1701">
        <v>3.4831516611052526</v>
      </c>
    </row>
    <row r="1702" spans="1:2">
      <c r="A1702" t="s">
        <v>3204</v>
      </c>
      <c r="B1702">
        <v>2.5023363919131598</v>
      </c>
    </row>
    <row r="1703" spans="1:2">
      <c r="A1703" t="s">
        <v>3205</v>
      </c>
      <c r="B1703">
        <v>1.0663802777845313</v>
      </c>
    </row>
    <row r="1704" spans="1:2">
      <c r="A1704" t="s">
        <v>3206</v>
      </c>
      <c r="B1704">
        <v>1.7773004629742186</v>
      </c>
    </row>
    <row r="1705" spans="1:2">
      <c r="A1705" t="s">
        <v>3207</v>
      </c>
      <c r="B1705">
        <v>2.1004460016968038</v>
      </c>
    </row>
    <row r="1706" spans="1:2">
      <c r="A1706" t="s">
        <v>3208</v>
      </c>
      <c r="B1706">
        <v>0.77016353395549475</v>
      </c>
    </row>
    <row r="1707" spans="1:2">
      <c r="A1707" t="s">
        <v>3208</v>
      </c>
      <c r="B1707">
        <v>0.15753345012726028</v>
      </c>
    </row>
    <row r="1708" spans="1:2">
      <c r="A1708" t="s">
        <v>3209</v>
      </c>
      <c r="B1708">
        <v>0.57762265046662109</v>
      </c>
    </row>
    <row r="1709" spans="1:2">
      <c r="A1709" t="s">
        <v>3210</v>
      </c>
      <c r="B1709">
        <v>2.8881132523331057</v>
      </c>
    </row>
    <row r="1710" spans="1:2">
      <c r="A1710" t="s">
        <v>3211</v>
      </c>
      <c r="B1710">
        <v>9.9021025794277892E-2</v>
      </c>
    </row>
    <row r="1711" spans="1:2">
      <c r="A1711" t="s">
        <v>3212</v>
      </c>
      <c r="B1711">
        <v>2.707606174062286E-2</v>
      </c>
    </row>
    <row r="1712" spans="1:2">
      <c r="A1712" t="s">
        <v>3213</v>
      </c>
      <c r="B1712">
        <v>0.46209812037329684</v>
      </c>
    </row>
    <row r="1713" spans="1:2">
      <c r="A1713" t="s">
        <v>3214</v>
      </c>
      <c r="B1713">
        <v>1.2980284280148788E-2</v>
      </c>
    </row>
    <row r="1714" spans="1:2">
      <c r="A1714" t="s">
        <v>3215</v>
      </c>
      <c r="B1714">
        <v>1.6347810862262863E-2</v>
      </c>
    </row>
    <row r="1715" spans="1:2">
      <c r="A1715" t="s">
        <v>3216</v>
      </c>
      <c r="B1715">
        <v>2.70549250804038E-3</v>
      </c>
    </row>
    <row r="1716" spans="1:2">
      <c r="A1716" t="s">
        <v>3217</v>
      </c>
      <c r="B1716">
        <v>0.50594684712404758</v>
      </c>
    </row>
    <row r="1717" spans="1:2">
      <c r="A1717" t="s">
        <v>3218</v>
      </c>
      <c r="B1717">
        <v>5.0228056562314875E-3</v>
      </c>
    </row>
    <row r="1718" spans="1:2">
      <c r="A1718" t="s">
        <v>3219</v>
      </c>
      <c r="B1718">
        <v>1.7910779859430111E-3</v>
      </c>
    </row>
    <row r="1719" spans="1:2">
      <c r="A1719" t="s">
        <v>3220</v>
      </c>
      <c r="B1719">
        <v>1.1552453009332421E-3</v>
      </c>
    </row>
    <row r="1720" spans="1:2">
      <c r="A1720" t="s">
        <v>3220</v>
      </c>
      <c r="B1720">
        <v>4.1258760747615793E-4</v>
      </c>
    </row>
    <row r="1721" spans="1:2">
      <c r="A1721" t="s">
        <v>3221</v>
      </c>
      <c r="B1721">
        <v>4.2786862997527489E-4</v>
      </c>
    </row>
    <row r="1722" spans="1:2">
      <c r="A1722" t="s">
        <v>3222</v>
      </c>
      <c r="B1722">
        <v>1.4868021891032717E-4</v>
      </c>
    </row>
    <row r="1723" spans="1:2">
      <c r="A1723" t="s">
        <v>483</v>
      </c>
      <c r="B1723">
        <v>3.4880594834940884E-5</v>
      </c>
    </row>
    <row r="1724" spans="1:2">
      <c r="A1724" t="s">
        <v>484</v>
      </c>
      <c r="B1724">
        <v>1.5571694122741468E-7</v>
      </c>
    </row>
    <row r="1725" spans="1:2">
      <c r="A1725" t="s">
        <v>484</v>
      </c>
      <c r="B1725">
        <v>2.0091222624925951E-4</v>
      </c>
    </row>
    <row r="1726" spans="1:2">
      <c r="A1726" t="s">
        <v>3223</v>
      </c>
      <c r="B1726">
        <v>1.1959061086265447E-4</v>
      </c>
    </row>
    <row r="1727" spans="1:2">
      <c r="A1727" t="s">
        <v>3224</v>
      </c>
      <c r="B1727">
        <v>2.5228103182504414E-7</v>
      </c>
    </row>
    <row r="1728" spans="1:2">
      <c r="A1728" t="s">
        <v>3225</v>
      </c>
      <c r="B1728">
        <v>1.9804205158855579E-19</v>
      </c>
    </row>
    <row r="1729" spans="1:2">
      <c r="A1729" t="s">
        <v>3226</v>
      </c>
      <c r="B1729">
        <v>7.6675573070790399</v>
      </c>
    </row>
    <row r="1730" spans="1:2">
      <c r="A1730" t="s">
        <v>3227</v>
      </c>
      <c r="B1730">
        <v>5.7762265046662113</v>
      </c>
    </row>
    <row r="1731" spans="1:2">
      <c r="A1731" t="s">
        <v>3228</v>
      </c>
      <c r="B1731">
        <v>0.1789020843113075</v>
      </c>
    </row>
    <row r="1732" spans="1:2">
      <c r="A1732" t="s">
        <v>3229</v>
      </c>
      <c r="B1732">
        <v>6.1317667819035873E-2</v>
      </c>
    </row>
    <row r="1733" spans="1:2">
      <c r="A1733" t="s">
        <v>3230</v>
      </c>
      <c r="B1733">
        <v>1.2244253322026943E-3</v>
      </c>
    </row>
    <row r="1734" spans="1:2">
      <c r="A1734" t="s">
        <v>485</v>
      </c>
      <c r="B1734">
        <v>9.2058753759920479E-6</v>
      </c>
    </row>
    <row r="1735" spans="1:2">
      <c r="A1735" t="s">
        <v>3231</v>
      </c>
      <c r="B1735">
        <v>0.5291199851602636</v>
      </c>
    </row>
    <row r="1736" spans="1:2">
      <c r="A1736" t="s">
        <v>3232</v>
      </c>
      <c r="B1736">
        <v>2.2074750973246666</v>
      </c>
    </row>
    <row r="1737" spans="1:2">
      <c r="A1737" t="s">
        <v>3233</v>
      </c>
      <c r="B1737">
        <v>2.5672117798516489</v>
      </c>
    </row>
    <row r="1738" spans="1:2">
      <c r="A1738" t="s">
        <v>3234</v>
      </c>
      <c r="B1738">
        <v>8.6212335890540448</v>
      </c>
    </row>
    <row r="1739" spans="1:2">
      <c r="A1739" t="s">
        <v>3235</v>
      </c>
      <c r="B1739">
        <v>7.6845585427931846</v>
      </c>
    </row>
    <row r="1740" spans="1:2">
      <c r="A1740" t="s">
        <v>3236</v>
      </c>
      <c r="B1740">
        <v>15.437576404453123</v>
      </c>
    </row>
    <row r="1741" spans="1:2">
      <c r="A1741" t="s">
        <v>3237</v>
      </c>
      <c r="B1741">
        <v>61.340458456632319</v>
      </c>
    </row>
    <row r="1742" spans="1:2">
      <c r="A1742" t="s">
        <v>3238</v>
      </c>
      <c r="B1742">
        <v>96.270441744436837</v>
      </c>
    </row>
    <row r="1743" spans="1:2">
      <c r="A1743" t="s">
        <v>3239</v>
      </c>
      <c r="B1743">
        <v>108.30424696249145</v>
      </c>
    </row>
    <row r="1744" spans="1:2">
      <c r="A1744" t="s">
        <v>3240</v>
      </c>
      <c r="B1744">
        <v>223.59586469675651</v>
      </c>
    </row>
    <row r="1745" spans="1:2">
      <c r="A1745" t="s">
        <v>3241</v>
      </c>
      <c r="B1745">
        <v>19.147712170164233</v>
      </c>
    </row>
    <row r="1746" spans="1:2">
      <c r="A1746" t="s">
        <v>3242</v>
      </c>
      <c r="B1746">
        <v>7.8766725063630147</v>
      </c>
    </row>
    <row r="1747" spans="1:2">
      <c r="A1747" t="s">
        <v>3243</v>
      </c>
      <c r="B1747">
        <v>4.3953530790104338</v>
      </c>
    </row>
    <row r="1748" spans="1:2">
      <c r="A1748" t="s">
        <v>3244</v>
      </c>
      <c r="B1748">
        <v>1.8140465337868232</v>
      </c>
    </row>
    <row r="1749" spans="1:2">
      <c r="A1749" t="s">
        <v>3245</v>
      </c>
      <c r="B1749">
        <v>2.4476400316393421</v>
      </c>
    </row>
    <row r="1750" spans="1:2">
      <c r="A1750" t="s">
        <v>3245</v>
      </c>
      <c r="B1750">
        <v>6.6014017196185269E-3</v>
      </c>
    </row>
    <row r="1751" spans="1:2">
      <c r="A1751" t="s">
        <v>486</v>
      </c>
      <c r="B1751">
        <v>2.5201686320533206E-4</v>
      </c>
    </row>
    <row r="1752" spans="1:2">
      <c r="A1752" t="s">
        <v>487</v>
      </c>
      <c r="B1752">
        <v>1.4349019517146133E-6</v>
      </c>
    </row>
    <row r="1753" spans="1:2">
      <c r="A1753" t="s">
        <v>488</v>
      </c>
      <c r="B1753">
        <v>5.3983425277254302E-4</v>
      </c>
    </row>
    <row r="1754" spans="1:2">
      <c r="A1754" t="s">
        <v>489</v>
      </c>
      <c r="B1754">
        <v>6.0675438468591512E-15</v>
      </c>
    </row>
    <row r="1755" spans="1:2">
      <c r="A1755" t="s">
        <v>10</v>
      </c>
      <c r="B1755">
        <v>2.5705020224403725E-8</v>
      </c>
    </row>
    <row r="1756" spans="1:2">
      <c r="A1756" t="s">
        <v>490</v>
      </c>
      <c r="B1756">
        <v>7.4662976380050294E-5</v>
      </c>
    </row>
    <row r="1757" spans="1:2">
      <c r="A1757" t="s">
        <v>3246</v>
      </c>
      <c r="B1757">
        <v>8.1164775241211393E-3</v>
      </c>
    </row>
    <row r="1758" spans="1:2">
      <c r="A1758" t="s">
        <v>3247</v>
      </c>
      <c r="B1758">
        <v>0.23104906018664842</v>
      </c>
    </row>
    <row r="1759" spans="1:2">
      <c r="A1759" t="s">
        <v>3248</v>
      </c>
      <c r="B1759">
        <v>1.0598580742506808E-2</v>
      </c>
    </row>
    <row r="1760" spans="1:2">
      <c r="A1760" t="s">
        <v>3249</v>
      </c>
      <c r="B1760">
        <v>0.15101245763833232</v>
      </c>
    </row>
    <row r="1761" spans="1:2">
      <c r="A1761" t="s">
        <v>3250</v>
      </c>
      <c r="B1761">
        <v>2.4755256448569471</v>
      </c>
    </row>
    <row r="1762" spans="1:2">
      <c r="A1762" t="s">
        <v>3251</v>
      </c>
      <c r="B1762">
        <v>0.39160857658753973</v>
      </c>
    </row>
    <row r="1763" spans="1:2">
      <c r="A1763" t="s">
        <v>3252</v>
      </c>
      <c r="B1763">
        <v>0.97764059317340668</v>
      </c>
    </row>
    <row r="1764" spans="1:2">
      <c r="A1764" t="s">
        <v>3253</v>
      </c>
      <c r="B1764">
        <v>7.5342084843472312</v>
      </c>
    </row>
    <row r="1765" spans="1:2">
      <c r="A1765" t="s">
        <v>3254</v>
      </c>
      <c r="B1765">
        <v>1.0330062303426903</v>
      </c>
    </row>
    <row r="1766" spans="1:2">
      <c r="A1766" t="s">
        <v>3255</v>
      </c>
      <c r="B1766">
        <v>2.5023363919131598</v>
      </c>
    </row>
    <row r="1767" spans="1:2">
      <c r="A1767" t="s">
        <v>3256</v>
      </c>
      <c r="B1767">
        <v>7.7016353395549482</v>
      </c>
    </row>
    <row r="1768" spans="1:2">
      <c r="A1768" t="s">
        <v>3257</v>
      </c>
      <c r="B1768">
        <v>7.5588569308609079</v>
      </c>
    </row>
    <row r="1769" spans="1:2">
      <c r="A1769" t="s">
        <v>3258</v>
      </c>
      <c r="B1769">
        <v>10.847373717683025</v>
      </c>
    </row>
    <row r="1770" spans="1:2">
      <c r="A1770" t="s">
        <v>3259</v>
      </c>
      <c r="B1770">
        <v>14.747812352339261</v>
      </c>
    </row>
    <row r="1771" spans="1:2">
      <c r="A1771" t="s">
        <v>3260</v>
      </c>
      <c r="B1771">
        <v>20.446819485544108</v>
      </c>
    </row>
    <row r="1772" spans="1:2">
      <c r="A1772" t="s">
        <v>3261</v>
      </c>
      <c r="B1772">
        <v>31.364125817192093</v>
      </c>
    </row>
    <row r="1773" spans="1:2">
      <c r="A1773" t="s">
        <v>3262</v>
      </c>
      <c r="B1773">
        <v>34.831516611052528</v>
      </c>
    </row>
    <row r="1774" spans="1:2">
      <c r="A1774" t="s">
        <v>3263</v>
      </c>
      <c r="B1774">
        <v>3.106719763172578E-27</v>
      </c>
    </row>
    <row r="1775" spans="1:2">
      <c r="A1775" t="s">
        <v>491</v>
      </c>
      <c r="B1775">
        <v>7.9072231412268467E-4</v>
      </c>
    </row>
    <row r="1776" spans="1:2">
      <c r="A1776" t="s">
        <v>3264</v>
      </c>
      <c r="B1776">
        <v>1.0223409742772054E-3</v>
      </c>
    </row>
    <row r="1777" spans="1:2">
      <c r="A1777" t="s">
        <v>3265</v>
      </c>
      <c r="B1777">
        <v>1.0268847119406597E-2</v>
      </c>
    </row>
    <row r="1778" spans="1:2">
      <c r="A1778" t="s">
        <v>3266</v>
      </c>
      <c r="B1778">
        <v>1.1669144453871133E-2</v>
      </c>
    </row>
    <row r="1779" spans="1:2">
      <c r="A1779" t="s">
        <v>3267</v>
      </c>
      <c r="B1779">
        <v>1.9094963651789129E-2</v>
      </c>
    </row>
    <row r="1780" spans="1:2">
      <c r="A1780" t="s">
        <v>3268</v>
      </c>
      <c r="B1780">
        <v>7.9398302469638637E-2</v>
      </c>
    </row>
    <row r="1781" spans="1:2">
      <c r="A1781" t="s">
        <v>3269</v>
      </c>
      <c r="B1781">
        <v>0.19804205158855578</v>
      </c>
    </row>
    <row r="1782" spans="1:2">
      <c r="A1782" t="s">
        <v>3270</v>
      </c>
      <c r="B1782">
        <v>0.62671535312834104</v>
      </c>
    </row>
    <row r="1783" spans="1:2">
      <c r="A1783" t="s">
        <v>3271</v>
      </c>
      <c r="B1783">
        <v>0.99021025794277884</v>
      </c>
    </row>
    <row r="1784" spans="1:2">
      <c r="A1784" t="s">
        <v>3272</v>
      </c>
      <c r="B1784">
        <v>2.4151469705921436</v>
      </c>
    </row>
    <row r="1785" spans="1:2">
      <c r="A1785" t="s">
        <v>3273</v>
      </c>
      <c r="B1785">
        <v>3.7265977449459426</v>
      </c>
    </row>
    <row r="1786" spans="1:2">
      <c r="A1786" t="s">
        <v>3274</v>
      </c>
      <c r="B1786">
        <v>5.5451774444795623</v>
      </c>
    </row>
    <row r="1787" spans="1:2">
      <c r="A1787" t="s">
        <v>3275</v>
      </c>
      <c r="B1787">
        <v>8.6643397569993166</v>
      </c>
    </row>
    <row r="1788" spans="1:2">
      <c r="A1788" t="s">
        <v>3276</v>
      </c>
      <c r="B1788">
        <v>11.95081345793009</v>
      </c>
    </row>
    <row r="1789" spans="1:2">
      <c r="A1789" t="s">
        <v>3277</v>
      </c>
      <c r="B1789">
        <v>15.20059606491108</v>
      </c>
    </row>
    <row r="1790" spans="1:2">
      <c r="A1790" t="s">
        <v>3278</v>
      </c>
      <c r="B1790">
        <v>21.660849392498289</v>
      </c>
    </row>
    <row r="1791" spans="1:2">
      <c r="A1791" t="s">
        <v>3279</v>
      </c>
      <c r="B1791">
        <v>31.506690025452059</v>
      </c>
    </row>
    <row r="1792" spans="1:2">
      <c r="A1792" t="s">
        <v>3280</v>
      </c>
      <c r="B1792">
        <v>36.481430555786595</v>
      </c>
    </row>
    <row r="1793" spans="1:2">
      <c r="A1793" t="s">
        <v>3281</v>
      </c>
      <c r="B1793">
        <v>115.52453009332422</v>
      </c>
    </row>
    <row r="1794" spans="1:2">
      <c r="A1794" t="s">
        <v>3282</v>
      </c>
      <c r="B1794">
        <v>0.30136833937388929</v>
      </c>
    </row>
    <row r="1795" spans="1:2">
      <c r="A1795" t="s">
        <v>3283</v>
      </c>
      <c r="B1795">
        <v>0.21660849392498288</v>
      </c>
    </row>
    <row r="1796" spans="1:2">
      <c r="A1796" t="s">
        <v>3284</v>
      </c>
      <c r="B1796">
        <v>3.6290428301567812E-2</v>
      </c>
    </row>
    <row r="1797" spans="1:2">
      <c r="A1797" t="s">
        <v>3285</v>
      </c>
      <c r="B1797">
        <v>4.9159374507797539E-2</v>
      </c>
    </row>
    <row r="1798" spans="1:2">
      <c r="A1798" t="s">
        <v>3286</v>
      </c>
      <c r="B1798">
        <v>1.4440566261665526E-3</v>
      </c>
    </row>
    <row r="1799" spans="1:2">
      <c r="A1799" t="s">
        <v>3287</v>
      </c>
      <c r="B1799">
        <v>5.6629671614374611E-3</v>
      </c>
    </row>
    <row r="1800" spans="1:2">
      <c r="A1800" t="s">
        <v>3288</v>
      </c>
      <c r="B1800">
        <v>3.6481430555786591</v>
      </c>
    </row>
    <row r="1801" spans="1:2">
      <c r="A1801" t="s">
        <v>492</v>
      </c>
      <c r="B1801">
        <v>3.4629655303754263E-5</v>
      </c>
    </row>
    <row r="1802" spans="1:2">
      <c r="A1802" t="s">
        <v>3289</v>
      </c>
      <c r="B1802">
        <v>7.4580071073805177E-4</v>
      </c>
    </row>
    <row r="1803" spans="1:2">
      <c r="A1803" t="s">
        <v>3290</v>
      </c>
      <c r="B1803">
        <v>1.0663802777845312E-2</v>
      </c>
    </row>
    <row r="1804" spans="1:2">
      <c r="A1804" t="s">
        <v>493</v>
      </c>
      <c r="B1804">
        <v>5.4911271814075315E-12</v>
      </c>
    </row>
    <row r="1805" spans="1:2">
      <c r="A1805" t="s">
        <v>494</v>
      </c>
      <c r="B1805">
        <v>1.1711732572315917E-6</v>
      </c>
    </row>
    <row r="1806" spans="1:2">
      <c r="A1806" t="s">
        <v>495</v>
      </c>
      <c r="B1806">
        <v>2.9201177427941285E-6</v>
      </c>
    </row>
    <row r="1807" spans="1:2">
      <c r="A1807" t="s">
        <v>3291</v>
      </c>
      <c r="B1807">
        <v>330.07008598092625</v>
      </c>
    </row>
    <row r="1808" spans="1:2">
      <c r="A1808" t="s">
        <v>3292</v>
      </c>
      <c r="B1808">
        <v>33.007008598092632</v>
      </c>
    </row>
    <row r="1809" spans="1:2">
      <c r="A1809" t="s">
        <v>3293</v>
      </c>
      <c r="B1809">
        <v>1.4440566261665528</v>
      </c>
    </row>
    <row r="1810" spans="1:2">
      <c r="A1810" t="s">
        <v>3294</v>
      </c>
      <c r="B1810">
        <v>1.575334501272603</v>
      </c>
    </row>
    <row r="1811" spans="1:2">
      <c r="A1811" t="s">
        <v>3295</v>
      </c>
      <c r="B1811">
        <v>34.657359027997266</v>
      </c>
    </row>
    <row r="1812" spans="1:2">
      <c r="A1812" t="s">
        <v>3296</v>
      </c>
      <c r="B1812">
        <v>1.1179793234837827</v>
      </c>
    </row>
    <row r="1813" spans="1:2">
      <c r="A1813" t="s">
        <v>3296</v>
      </c>
      <c r="B1813">
        <v>0.17328679513998632</v>
      </c>
    </row>
    <row r="1814" spans="1:2">
      <c r="A1814" t="s">
        <v>3297</v>
      </c>
      <c r="B1814">
        <v>177.73004629742186</v>
      </c>
    </row>
    <row r="1815" spans="1:2">
      <c r="A1815" t="s">
        <v>3298</v>
      </c>
      <c r="B1815">
        <v>0.15403270679109896</v>
      </c>
    </row>
    <row r="1816" spans="1:2">
      <c r="A1816" t="s">
        <v>3299</v>
      </c>
      <c r="B1816">
        <v>1.1383596330431028E-3</v>
      </c>
    </row>
    <row r="1817" spans="1:2">
      <c r="A1817" t="s">
        <v>3300</v>
      </c>
      <c r="B1817">
        <v>63.036302342665081</v>
      </c>
    </row>
    <row r="1818" spans="1:2">
      <c r="A1818" t="s">
        <v>3301</v>
      </c>
      <c r="B1818">
        <v>1.159070232701156E-3</v>
      </c>
    </row>
    <row r="1819" spans="1:2">
      <c r="A1819" t="s">
        <v>3302</v>
      </c>
      <c r="B1819">
        <v>9.7215593346415885E-2</v>
      </c>
    </row>
    <row r="1820" spans="1:2">
      <c r="A1820" t="s">
        <v>3303</v>
      </c>
      <c r="B1820">
        <v>0.16618249354110412</v>
      </c>
    </row>
    <row r="1821" spans="1:2">
      <c r="A1821" t="s">
        <v>3304</v>
      </c>
      <c r="B1821">
        <v>1.1197854290144511</v>
      </c>
    </row>
    <row r="1822" spans="1:2">
      <c r="A1822" t="s">
        <v>3305</v>
      </c>
      <c r="B1822">
        <v>2.0629380373807895</v>
      </c>
    </row>
    <row r="1823" spans="1:2">
      <c r="A1823" t="s">
        <v>3306</v>
      </c>
      <c r="B1823">
        <v>5.0966704452937153</v>
      </c>
    </row>
    <row r="1824" spans="1:2">
      <c r="A1824" t="s">
        <v>3307</v>
      </c>
      <c r="B1824">
        <v>8.1259927381001784</v>
      </c>
    </row>
    <row r="1825" spans="1:2">
      <c r="A1825" t="s">
        <v>3308</v>
      </c>
      <c r="B1825">
        <v>33.164936868896909</v>
      </c>
    </row>
    <row r="1826" spans="1:2">
      <c r="A1826" t="s">
        <v>3309</v>
      </c>
      <c r="B1826">
        <v>49.159374507797537</v>
      </c>
    </row>
    <row r="1827" spans="1:2">
      <c r="A1827" t="s">
        <v>3310</v>
      </c>
      <c r="B1827">
        <v>1.547203528035592</v>
      </c>
    </row>
    <row r="1828" spans="1:2">
      <c r="A1828" t="s">
        <v>3311</v>
      </c>
      <c r="B1828">
        <v>3.0868552851058363E-2</v>
      </c>
    </row>
    <row r="1829" spans="1:2">
      <c r="A1829" t="s">
        <v>3</v>
      </c>
      <c r="B1829">
        <v>8.4417190228794834E-9</v>
      </c>
    </row>
    <row r="1830" spans="1:2">
      <c r="A1830" t="s">
        <v>496</v>
      </c>
      <c r="B1830">
        <v>1.2872272893665759E-5</v>
      </c>
    </row>
    <row r="1831" spans="1:2">
      <c r="A1831" t="s">
        <v>3312</v>
      </c>
      <c r="B1831">
        <v>1.1768203405092451E-2</v>
      </c>
    </row>
    <row r="1832" spans="1:2">
      <c r="A1832" t="s">
        <v>3313</v>
      </c>
      <c r="B1832">
        <v>0.64702708961237521</v>
      </c>
    </row>
    <row r="1833" spans="1:2">
      <c r="A1833" t="s">
        <v>3314</v>
      </c>
      <c r="B1833">
        <v>2.3028145533552999</v>
      </c>
    </row>
    <row r="1834" spans="1:2">
      <c r="A1834" t="s">
        <v>3315</v>
      </c>
      <c r="B1834">
        <v>20.03315550751287</v>
      </c>
    </row>
    <row r="1835" spans="1:2">
      <c r="A1835" t="s">
        <v>3316</v>
      </c>
      <c r="B1835">
        <v>16.045073624072806</v>
      </c>
    </row>
    <row r="1836" spans="1:2">
      <c r="A1836" t="s">
        <v>3317</v>
      </c>
      <c r="B1836">
        <v>15.472035280355922</v>
      </c>
    </row>
    <row r="1837" spans="1:2">
      <c r="A1837" t="s">
        <v>3318</v>
      </c>
      <c r="B1837">
        <v>40.773363562349722</v>
      </c>
    </row>
    <row r="1838" spans="1:2">
      <c r="A1838" t="s">
        <v>3319</v>
      </c>
      <c r="B1838">
        <v>52.511150042420098</v>
      </c>
    </row>
    <row r="1839" spans="1:2">
      <c r="A1839" t="s">
        <v>3320</v>
      </c>
      <c r="B1839">
        <v>84.530143970725049</v>
      </c>
    </row>
    <row r="1840" spans="1:2">
      <c r="A1840" t="s">
        <v>3321</v>
      </c>
      <c r="B1840">
        <v>126.02676010180824</v>
      </c>
    </row>
    <row r="1841" spans="1:2">
      <c r="A1841" t="s">
        <v>3322</v>
      </c>
      <c r="B1841">
        <v>288.81132523331058</v>
      </c>
    </row>
    <row r="1842" spans="1:2">
      <c r="A1842" t="s">
        <v>3323</v>
      </c>
      <c r="B1842">
        <v>0.49510512897138953</v>
      </c>
    </row>
    <row r="1843" spans="1:2">
      <c r="A1843" t="s">
        <v>3323</v>
      </c>
      <c r="B1843">
        <v>0.23182179951837634</v>
      </c>
    </row>
    <row r="1844" spans="1:2">
      <c r="A1844" t="s">
        <v>3324</v>
      </c>
      <c r="B1844">
        <v>9.6270441744436844E-2</v>
      </c>
    </row>
    <row r="1845" spans="1:2">
      <c r="A1845" t="s">
        <v>3325</v>
      </c>
      <c r="B1845">
        <v>0.16119701873487099</v>
      </c>
    </row>
    <row r="1846" spans="1:2">
      <c r="A1846" t="s">
        <v>3325</v>
      </c>
      <c r="B1846">
        <v>0.5291199851602636</v>
      </c>
    </row>
    <row r="1847" spans="1:2">
      <c r="A1847" t="s">
        <v>3326</v>
      </c>
      <c r="B1847">
        <v>0.5096670445293715</v>
      </c>
    </row>
    <row r="1848" spans="1:2">
      <c r="A1848" t="s">
        <v>3327</v>
      </c>
      <c r="B1848">
        <v>0.14145860827753984</v>
      </c>
    </row>
    <row r="1849" spans="1:2">
      <c r="A1849" t="s">
        <v>3327</v>
      </c>
      <c r="B1849">
        <v>0.70729304138769933</v>
      </c>
    </row>
    <row r="1850" spans="1:2">
      <c r="A1850" t="s">
        <v>3328</v>
      </c>
      <c r="B1850">
        <v>0.2373791714246388</v>
      </c>
    </row>
    <row r="1851" spans="1:2">
      <c r="A1851" t="s">
        <v>3329</v>
      </c>
      <c r="B1851">
        <v>0.63185704700086176</v>
      </c>
    </row>
    <row r="1852" spans="1:2">
      <c r="A1852" t="s">
        <v>3330</v>
      </c>
      <c r="B1852">
        <v>2.4151469705921436</v>
      </c>
    </row>
    <row r="1853" spans="1:2">
      <c r="A1853" t="s">
        <v>3331</v>
      </c>
      <c r="B1853">
        <v>3.5729236111337386</v>
      </c>
    </row>
    <row r="1854" spans="1:2">
      <c r="A1854" t="s">
        <v>3332</v>
      </c>
      <c r="B1854">
        <v>6.4780110332705165</v>
      </c>
    </row>
    <row r="1855" spans="1:2">
      <c r="A1855" t="s">
        <v>3333</v>
      </c>
      <c r="B1855">
        <v>9.2419624074659374</v>
      </c>
    </row>
    <row r="1856" spans="1:2">
      <c r="A1856" t="s">
        <v>3333</v>
      </c>
      <c r="B1856">
        <v>7.3739061761696307</v>
      </c>
    </row>
    <row r="1857" spans="1:2">
      <c r="A1857" t="s">
        <v>3334</v>
      </c>
      <c r="B1857">
        <v>12.836058899258246</v>
      </c>
    </row>
    <row r="1858" spans="1:2">
      <c r="A1858" t="s">
        <v>3335</v>
      </c>
      <c r="B1858">
        <v>18.240715277893297</v>
      </c>
    </row>
    <row r="1859" spans="1:2">
      <c r="A1859" t="s">
        <v>3336</v>
      </c>
      <c r="B1859">
        <v>21.660849392498289</v>
      </c>
    </row>
    <row r="1860" spans="1:2">
      <c r="A1860" t="s">
        <v>3337</v>
      </c>
      <c r="B1860">
        <v>40.773363562349722</v>
      </c>
    </row>
    <row r="1861" spans="1:2">
      <c r="A1861" t="s">
        <v>3338</v>
      </c>
      <c r="B1861">
        <v>30.136833937388925</v>
      </c>
    </row>
    <row r="1862" spans="1:2">
      <c r="A1862" t="s">
        <v>3339</v>
      </c>
      <c r="B1862">
        <v>13.862943611198904</v>
      </c>
    </row>
    <row r="1863" spans="1:2">
      <c r="A1863" t="s">
        <v>3340</v>
      </c>
      <c r="B1863">
        <v>0.17773004629742187</v>
      </c>
    </row>
    <row r="1864" spans="1:2">
      <c r="A1864" t="s">
        <v>3341</v>
      </c>
      <c r="B1864">
        <v>7.0729304138769919E-2</v>
      </c>
    </row>
    <row r="1865" spans="1:2">
      <c r="A1865" t="s">
        <v>3342</v>
      </c>
      <c r="B1865">
        <v>3.3812057588290013E-2</v>
      </c>
    </row>
    <row r="1866" spans="1:2">
      <c r="A1866" t="s">
        <v>3343</v>
      </c>
      <c r="B1866">
        <v>0.21004460016968041</v>
      </c>
    </row>
    <row r="1867" spans="1:2">
      <c r="A1867" t="s">
        <v>3344</v>
      </c>
      <c r="B1867">
        <v>7.8766725063630152E-3</v>
      </c>
    </row>
    <row r="1868" spans="1:2">
      <c r="A1868" t="s">
        <v>3345</v>
      </c>
      <c r="B1868">
        <v>3.1222845971168706E-3</v>
      </c>
    </row>
    <row r="1869" spans="1:2">
      <c r="A1869" t="s">
        <v>3345</v>
      </c>
      <c r="B1869">
        <v>4.4432511574355469E-3</v>
      </c>
    </row>
    <row r="1870" spans="1:2">
      <c r="A1870" t="s">
        <v>497</v>
      </c>
      <c r="B1870">
        <v>7.967208971953394E-4</v>
      </c>
    </row>
    <row r="1871" spans="1:2">
      <c r="A1871" t="s">
        <v>497</v>
      </c>
      <c r="B1871">
        <v>1.5003185726405741E-3</v>
      </c>
    </row>
    <row r="1872" spans="1:2">
      <c r="A1872" t="s">
        <v>498</v>
      </c>
      <c r="B1872">
        <v>9.4847725856588033E-5</v>
      </c>
    </row>
    <row r="1873" spans="1:2">
      <c r="A1873" t="s">
        <v>498</v>
      </c>
      <c r="B1873">
        <v>1.7503716680806699E-4</v>
      </c>
    </row>
    <row r="1874" spans="1:2">
      <c r="A1874" t="s">
        <v>500</v>
      </c>
      <c r="B1874">
        <v>1.3187731745813266E-5</v>
      </c>
    </row>
    <row r="1875" spans="1:2">
      <c r="A1875" t="s">
        <v>3346</v>
      </c>
      <c r="B1875">
        <v>3.6655059786353535E-2</v>
      </c>
    </row>
    <row r="1876" spans="1:2">
      <c r="A1876" t="s">
        <v>3347</v>
      </c>
      <c r="B1876">
        <v>3.2300748125926655E-11</v>
      </c>
    </row>
    <row r="1877" spans="1:2">
      <c r="A1877" t="s">
        <v>3348</v>
      </c>
      <c r="B1877">
        <v>1.3181953355301354E-7</v>
      </c>
    </row>
    <row r="1878" spans="1:2">
      <c r="A1878" t="s">
        <v>3349</v>
      </c>
      <c r="B1878">
        <v>6.3298296039279903E-16</v>
      </c>
    </row>
    <row r="1879" spans="1:2">
      <c r="A1879" t="s">
        <v>3349</v>
      </c>
      <c r="B1879">
        <v>7.9274079170320209E-7</v>
      </c>
    </row>
    <row r="1880" spans="1:2">
      <c r="A1880" t="s">
        <v>111</v>
      </c>
      <c r="B1880">
        <v>1.3625625760316455E-9</v>
      </c>
    </row>
    <row r="1881" spans="1:2">
      <c r="A1881" t="s">
        <v>501</v>
      </c>
      <c r="B1881">
        <v>1.0766916041975553E-12</v>
      </c>
    </row>
    <row r="1882" spans="1:2">
      <c r="A1882" t="s">
        <v>3350</v>
      </c>
      <c r="B1882">
        <v>1.8445558054179182E-3</v>
      </c>
    </row>
    <row r="1883" spans="1:2">
      <c r="A1883" t="s">
        <v>502</v>
      </c>
      <c r="B1883">
        <v>2.2927429373371449E-7</v>
      </c>
    </row>
    <row r="1884" spans="1:2">
      <c r="A1884" t="s">
        <v>503</v>
      </c>
      <c r="B1884">
        <v>2.2223093662150703E-6</v>
      </c>
    </row>
    <row r="1885" spans="1:2">
      <c r="A1885" t="s">
        <v>504</v>
      </c>
      <c r="B1885">
        <v>8.2458622479175036E-6</v>
      </c>
    </row>
    <row r="1886" spans="1:2">
      <c r="A1886" t="s">
        <v>505</v>
      </c>
      <c r="B1886">
        <v>1.6022819707811958E-4</v>
      </c>
    </row>
    <row r="1887" spans="1:2">
      <c r="A1887" t="s">
        <v>3351</v>
      </c>
      <c r="B1887">
        <v>1.1808299498465848E-2</v>
      </c>
    </row>
    <row r="1888" spans="1:2">
      <c r="A1888" t="s">
        <v>3352</v>
      </c>
      <c r="B1888">
        <v>0.24235915404193892</v>
      </c>
    </row>
    <row r="1889" spans="1:2">
      <c r="A1889" t="s">
        <v>506</v>
      </c>
      <c r="B1889">
        <v>2.2607540135679885E-4</v>
      </c>
    </row>
    <row r="1890" spans="1:2">
      <c r="A1890" t="s">
        <v>3353</v>
      </c>
      <c r="B1890">
        <v>4.6209812037329684E-2</v>
      </c>
    </row>
    <row r="1891" spans="1:2">
      <c r="A1891" t="s">
        <v>3354</v>
      </c>
      <c r="B1891">
        <v>4.6209812037329686E-3</v>
      </c>
    </row>
    <row r="1892" spans="1:2">
      <c r="A1892" t="s">
        <v>3355</v>
      </c>
      <c r="B1892">
        <v>1.0663802777845313</v>
      </c>
    </row>
    <row r="1893" spans="1:2">
      <c r="A1893" t="s">
        <v>3356</v>
      </c>
      <c r="B1893">
        <v>0.38508176697774738</v>
      </c>
    </row>
    <row r="1894" spans="1:2">
      <c r="A1894" t="s">
        <v>3357</v>
      </c>
      <c r="B1894">
        <v>0.10345480306864854</v>
      </c>
    </row>
    <row r="1895" spans="1:2">
      <c r="A1895" t="s">
        <v>3358</v>
      </c>
      <c r="B1895">
        <v>0.26659506944613282</v>
      </c>
    </row>
    <row r="1896" spans="1:2">
      <c r="A1896" t="s">
        <v>3359</v>
      </c>
      <c r="B1896">
        <v>3.3007008598092635E-2</v>
      </c>
    </row>
    <row r="1897" spans="1:2">
      <c r="A1897" t="s">
        <v>3360</v>
      </c>
      <c r="B1897">
        <v>2.7289259077163203E-2</v>
      </c>
    </row>
    <row r="1898" spans="1:2">
      <c r="A1898" t="s">
        <v>3361</v>
      </c>
      <c r="B1898">
        <v>7.3739061761696305E-3</v>
      </c>
    </row>
    <row r="1899" spans="1:2">
      <c r="A1899" t="s">
        <v>3362</v>
      </c>
      <c r="B1899">
        <v>9.9021025794277899E-3</v>
      </c>
    </row>
    <row r="1900" spans="1:2">
      <c r="A1900" t="s">
        <v>3363</v>
      </c>
      <c r="B1900">
        <v>1.3591121187449908E-3</v>
      </c>
    </row>
    <row r="1901" spans="1:2">
      <c r="A1901" t="s">
        <v>3364</v>
      </c>
      <c r="B1901">
        <v>9.3164943623648563E-4</v>
      </c>
    </row>
    <row r="1902" spans="1:2">
      <c r="A1902" t="s">
        <v>3365</v>
      </c>
      <c r="B1902">
        <v>2.1004460016968039E-3</v>
      </c>
    </row>
    <row r="1903" spans="1:2">
      <c r="A1903" t="s">
        <v>507</v>
      </c>
      <c r="B1903">
        <v>2.2808396859491455E-4</v>
      </c>
    </row>
    <row r="1904" spans="1:2">
      <c r="A1904" t="s">
        <v>3366</v>
      </c>
      <c r="B1904">
        <v>3.0006371452811483E-4</v>
      </c>
    </row>
    <row r="1905" spans="1:2">
      <c r="A1905" t="s">
        <v>3367</v>
      </c>
      <c r="B1905">
        <v>0.43321698784996576</v>
      </c>
    </row>
    <row r="1906" spans="1:2">
      <c r="A1906" t="s">
        <v>508</v>
      </c>
      <c r="B1906">
        <v>3.7679233559466475E-5</v>
      </c>
    </row>
    <row r="1907" spans="1:2">
      <c r="A1907" t="s">
        <v>509</v>
      </c>
      <c r="B1907">
        <v>3.8897148179570441E-4</v>
      </c>
    </row>
    <row r="1908" spans="1:2">
      <c r="A1908" t="s">
        <v>510</v>
      </c>
      <c r="B1908">
        <v>3.5007433361613398E-5</v>
      </c>
    </row>
    <row r="1909" spans="1:2">
      <c r="A1909" t="s">
        <v>3368</v>
      </c>
      <c r="B1909">
        <v>2.3805747216725232E-6</v>
      </c>
    </row>
    <row r="1910" spans="1:2">
      <c r="A1910" t="s">
        <v>511</v>
      </c>
      <c r="B1910">
        <v>7.7325656019627993E-5</v>
      </c>
    </row>
    <row r="1911" spans="1:2">
      <c r="A1911" t="s">
        <v>3369</v>
      </c>
      <c r="B1911">
        <v>1.1179793234837827E-2</v>
      </c>
    </row>
    <row r="1912" spans="1:2">
      <c r="A1912" t="s">
        <v>33</v>
      </c>
      <c r="B1912">
        <v>9.5914885264760378E-24</v>
      </c>
    </row>
    <row r="1913" spans="1:2">
      <c r="A1913" t="s">
        <v>512</v>
      </c>
      <c r="B1913">
        <v>7.2145115216154722E-7</v>
      </c>
    </row>
    <row r="1914" spans="1:2">
      <c r="A1914" t="s">
        <v>513</v>
      </c>
      <c r="B1914">
        <v>1.114241223893945E-4</v>
      </c>
    </row>
    <row r="1915" spans="1:2">
      <c r="A1915" t="s">
        <v>3370</v>
      </c>
      <c r="B1915">
        <v>2.3617751317881855E-27</v>
      </c>
    </row>
    <row r="1916" spans="1:2">
      <c r="A1916" t="s">
        <v>514</v>
      </c>
      <c r="B1916">
        <v>9.2865377888524286E-4</v>
      </c>
    </row>
    <row r="1917" spans="1:2">
      <c r="A1917" t="s">
        <v>3371</v>
      </c>
      <c r="B1917">
        <v>1.0133730709940721E-3</v>
      </c>
    </row>
    <row r="1918" spans="1:2">
      <c r="A1918" t="s">
        <v>3372</v>
      </c>
      <c r="B1918">
        <v>2.1935037359491937E-2</v>
      </c>
    </row>
    <row r="1919" spans="1:2">
      <c r="A1919" t="s">
        <v>3373</v>
      </c>
      <c r="B1919">
        <v>2.6762439403858893E-2</v>
      </c>
    </row>
    <row r="1920" spans="1:2">
      <c r="A1920" t="s">
        <v>3374</v>
      </c>
      <c r="B1920">
        <v>7.7881705680892727E-2</v>
      </c>
    </row>
    <row r="1921" spans="1:2">
      <c r="A1921" t="s">
        <v>3375</v>
      </c>
      <c r="B1921">
        <v>0.13152697923338622</v>
      </c>
    </row>
    <row r="1922" spans="1:2">
      <c r="A1922" t="s">
        <v>3376</v>
      </c>
      <c r="B1922">
        <v>0.59754067289650459</v>
      </c>
    </row>
    <row r="1923" spans="1:2">
      <c r="A1923" t="s">
        <v>3377</v>
      </c>
      <c r="B1923">
        <v>0.84530143970725025</v>
      </c>
    </row>
    <row r="1924" spans="1:2">
      <c r="A1924" t="s">
        <v>3378</v>
      </c>
      <c r="B1924">
        <v>1.4291694444534955</v>
      </c>
    </row>
    <row r="1925" spans="1:2">
      <c r="A1925" t="s">
        <v>3379</v>
      </c>
      <c r="B1925">
        <v>1.5789229625511283</v>
      </c>
    </row>
    <row r="1926" spans="1:2">
      <c r="A1926" t="s">
        <v>3380</v>
      </c>
      <c r="B1926">
        <v>3.22394037469742</v>
      </c>
    </row>
    <row r="1927" spans="1:2">
      <c r="A1927" t="s">
        <v>3381</v>
      </c>
      <c r="B1927">
        <v>2.2359586469675654</v>
      </c>
    </row>
    <row r="1928" spans="1:2">
      <c r="A1928" t="s">
        <v>3382</v>
      </c>
      <c r="B1928">
        <v>6.353319711823513</v>
      </c>
    </row>
    <row r="1929" spans="1:2">
      <c r="A1929" t="s">
        <v>3383</v>
      </c>
      <c r="B1929">
        <v>0.41647470472021325</v>
      </c>
    </row>
    <row r="1930" spans="1:2">
      <c r="A1930" t="s">
        <v>3384</v>
      </c>
      <c r="B1930">
        <v>4.016637869837255E-2</v>
      </c>
    </row>
    <row r="1931" spans="1:2">
      <c r="A1931" t="s">
        <v>3385</v>
      </c>
      <c r="B1931">
        <v>1.8659071297511178E-2</v>
      </c>
    </row>
    <row r="1932" spans="1:2">
      <c r="A1932" t="s">
        <v>3386</v>
      </c>
      <c r="B1932">
        <v>3.4178855057196518E-3</v>
      </c>
    </row>
    <row r="1933" spans="1:2">
      <c r="A1933" t="s">
        <v>3387</v>
      </c>
      <c r="B1933">
        <v>1.15140727667765</v>
      </c>
    </row>
    <row r="1934" spans="1:2">
      <c r="A1934" t="s">
        <v>3388</v>
      </c>
      <c r="B1934">
        <v>3.5364652069384963</v>
      </c>
    </row>
    <row r="1935" spans="1:2">
      <c r="A1935" t="s">
        <v>3389</v>
      </c>
      <c r="B1935">
        <v>22.431947590936741</v>
      </c>
    </row>
    <row r="1936" spans="1:2">
      <c r="A1936" t="s">
        <v>3390</v>
      </c>
      <c r="B1936">
        <v>37.066694147590653</v>
      </c>
    </row>
    <row r="1937" spans="1:2">
      <c r="A1937" t="s">
        <v>3391</v>
      </c>
      <c r="B1937">
        <v>49.510512897138945</v>
      </c>
    </row>
    <row r="1938" spans="1:2">
      <c r="A1938" t="s">
        <v>3392</v>
      </c>
      <c r="B1938">
        <v>94.951668569855514</v>
      </c>
    </row>
    <row r="1939" spans="1:2">
      <c r="A1939" t="s">
        <v>3393</v>
      </c>
      <c r="B1939">
        <v>203.86681781174863</v>
      </c>
    </row>
    <row r="1940" spans="1:2">
      <c r="A1940" t="s">
        <v>3394</v>
      </c>
      <c r="B1940">
        <v>154.03270679109895</v>
      </c>
    </row>
    <row r="1941" spans="1:2">
      <c r="A1941" t="s">
        <v>3395</v>
      </c>
      <c r="B1941">
        <v>0.49510512897138953</v>
      </c>
    </row>
    <row r="1942" spans="1:2">
      <c r="A1942" t="s">
        <v>3396</v>
      </c>
      <c r="B1942">
        <v>9.4951668569855521</v>
      </c>
    </row>
    <row r="1943" spans="1:2">
      <c r="A1943" t="s">
        <v>3397</v>
      </c>
      <c r="B1943">
        <v>9.9021025794277886</v>
      </c>
    </row>
    <row r="1944" spans="1:2">
      <c r="A1944" t="s">
        <v>3398</v>
      </c>
      <c r="B1944">
        <v>0.84530143970725036</v>
      </c>
    </row>
    <row r="1945" spans="1:2">
      <c r="A1945" t="s">
        <v>3399</v>
      </c>
      <c r="B1945">
        <v>0.3300700859809263</v>
      </c>
    </row>
    <row r="1946" spans="1:2">
      <c r="A1946" t="s">
        <v>3400</v>
      </c>
      <c r="B1946">
        <v>7.2962861111573185E-2</v>
      </c>
    </row>
    <row r="1947" spans="1:2">
      <c r="A1947" t="s">
        <v>3401</v>
      </c>
      <c r="B1947">
        <v>0.34657359027997264</v>
      </c>
    </row>
    <row r="1948" spans="1:2">
      <c r="A1948" t="s">
        <v>3402</v>
      </c>
      <c r="B1948">
        <v>330.07008598092625</v>
      </c>
    </row>
    <row r="1949" spans="1:2">
      <c r="A1949" t="s">
        <v>3403</v>
      </c>
      <c r="B1949">
        <v>92.419624074659382</v>
      </c>
    </row>
    <row r="1950" spans="1:2">
      <c r="A1950" t="s">
        <v>3404</v>
      </c>
      <c r="B1950">
        <v>39.383362531815074</v>
      </c>
    </row>
    <row r="1951" spans="1:2">
      <c r="A1951" t="s">
        <v>3405</v>
      </c>
      <c r="B1951">
        <v>29.123831115964087</v>
      </c>
    </row>
    <row r="1952" spans="1:2">
      <c r="A1952" t="s">
        <v>3406</v>
      </c>
      <c r="B1952">
        <v>16.742685520771627</v>
      </c>
    </row>
    <row r="1953" spans="1:2">
      <c r="A1953" t="s">
        <v>3407</v>
      </c>
      <c r="B1953">
        <v>12.557014140578717</v>
      </c>
    </row>
    <row r="1954" spans="1:2">
      <c r="A1954" t="s">
        <v>3408</v>
      </c>
      <c r="B1954">
        <v>6.0749095579311598</v>
      </c>
    </row>
    <row r="1955" spans="1:2">
      <c r="A1955" t="s">
        <v>3409</v>
      </c>
      <c r="B1955">
        <v>3.3994466922998789</v>
      </c>
    </row>
    <row r="1956" spans="1:2">
      <c r="A1956" t="s">
        <v>515</v>
      </c>
      <c r="B1956">
        <v>1.3192791994797572E-6</v>
      </c>
    </row>
    <row r="1957" spans="1:2">
      <c r="A1957" t="s">
        <v>516</v>
      </c>
      <c r="B1957">
        <v>5.4084517833953281E-6</v>
      </c>
    </row>
    <row r="1958" spans="1:2">
      <c r="A1958" t="s">
        <v>108</v>
      </c>
      <c r="B1958">
        <v>2.7116677439049537E-13</v>
      </c>
    </row>
    <row r="1959" spans="1:2">
      <c r="A1959" t="s">
        <v>15</v>
      </c>
      <c r="B1959">
        <v>2.1790187227807665E-10</v>
      </c>
    </row>
    <row r="1960" spans="1:2">
      <c r="A1960" t="s">
        <v>517</v>
      </c>
      <c r="B1960">
        <v>7.6480986490118651E-5</v>
      </c>
    </row>
    <row r="1961" spans="1:2">
      <c r="A1961" t="s">
        <v>518</v>
      </c>
      <c r="B1961">
        <v>3.526389807488529E-6</v>
      </c>
    </row>
    <row r="1962" spans="1:2">
      <c r="A1962" t="s">
        <v>3410</v>
      </c>
      <c r="B1962">
        <v>3.3007008598092635E-2</v>
      </c>
    </row>
    <row r="1963" spans="1:2">
      <c r="A1963" t="s">
        <v>3411</v>
      </c>
      <c r="B1963">
        <v>2.3901626915860182E-2</v>
      </c>
    </row>
    <row r="1964" spans="1:2">
      <c r="A1964" t="s">
        <v>3412</v>
      </c>
      <c r="B1964">
        <v>6.0802384259644321E-2</v>
      </c>
    </row>
    <row r="1965" spans="1:2">
      <c r="A1965" t="s">
        <v>3413</v>
      </c>
      <c r="B1965">
        <v>0.19804205158855578</v>
      </c>
    </row>
    <row r="1966" spans="1:2">
      <c r="A1966" t="s">
        <v>3414</v>
      </c>
      <c r="B1966">
        <v>0.11552453009332421</v>
      </c>
    </row>
    <row r="1967" spans="1:2">
      <c r="A1967" t="s">
        <v>3415</v>
      </c>
      <c r="B1967">
        <v>0.27182242374899818</v>
      </c>
    </row>
    <row r="1968" spans="1:2">
      <c r="A1968" t="s">
        <v>3415</v>
      </c>
      <c r="B1968">
        <v>0.30136833937388929</v>
      </c>
    </row>
    <row r="1969" spans="1:2">
      <c r="A1969" t="s">
        <v>3416</v>
      </c>
      <c r="B1969">
        <v>0.4414950194649333</v>
      </c>
    </row>
    <row r="1970" spans="1:2">
      <c r="A1970" t="s">
        <v>3417</v>
      </c>
      <c r="B1970">
        <v>0.82714460687344304</v>
      </c>
    </row>
    <row r="1971" spans="1:2">
      <c r="A1971" t="s">
        <v>3418</v>
      </c>
      <c r="B1971">
        <v>1.3652692152057224</v>
      </c>
    </row>
    <row r="1972" spans="1:2">
      <c r="A1972" t="s">
        <v>3419</v>
      </c>
      <c r="B1972">
        <v>2.0865357632749708</v>
      </c>
    </row>
    <row r="1973" spans="1:2">
      <c r="A1973" t="s">
        <v>3420</v>
      </c>
      <c r="B1973">
        <v>2.9533326824028348</v>
      </c>
    </row>
    <row r="1974" spans="1:2">
      <c r="A1974" t="s">
        <v>3421</v>
      </c>
      <c r="B1974">
        <v>4.3731683316084879</v>
      </c>
    </row>
    <row r="1975" spans="1:2">
      <c r="A1975" t="s">
        <v>3422</v>
      </c>
      <c r="B1975">
        <v>5.672235520130485</v>
      </c>
    </row>
    <row r="1976" spans="1:2">
      <c r="A1976" t="s">
        <v>3423</v>
      </c>
      <c r="B1976">
        <v>16.119701873487099</v>
      </c>
    </row>
    <row r="1977" spans="1:2">
      <c r="A1977" t="s">
        <v>3424</v>
      </c>
      <c r="B1977">
        <v>28.881132523331054</v>
      </c>
    </row>
    <row r="1978" spans="1:2">
      <c r="A1978" t="s">
        <v>3425</v>
      </c>
      <c r="B1978">
        <v>18.337226998940352</v>
      </c>
    </row>
    <row r="1979" spans="1:2">
      <c r="A1979" t="s">
        <v>3426</v>
      </c>
      <c r="B1979">
        <v>150684.16968694466</v>
      </c>
    </row>
    <row r="1980" spans="1:2">
      <c r="A1980" t="s">
        <v>3427</v>
      </c>
      <c r="B1980">
        <v>0.86643397569993152</v>
      </c>
    </row>
    <row r="1981" spans="1:2">
      <c r="A1981" t="s">
        <v>3427</v>
      </c>
      <c r="B1981">
        <v>0.69314718055994529</v>
      </c>
    </row>
    <row r="1982" spans="1:2">
      <c r="A1982" t="s">
        <v>3428</v>
      </c>
      <c r="B1982">
        <v>0.28291721655507968</v>
      </c>
    </row>
    <row r="1983" spans="1:2">
      <c r="A1983" t="s">
        <v>3429</v>
      </c>
      <c r="B1983">
        <v>6.3591484455040854</v>
      </c>
    </row>
    <row r="1984" spans="1:2">
      <c r="A1984" t="s">
        <v>3430</v>
      </c>
      <c r="B1984">
        <v>7.1754366517592675E-3</v>
      </c>
    </row>
    <row r="1985" spans="1:2">
      <c r="A1985" t="s">
        <v>3431</v>
      </c>
      <c r="B1985">
        <v>1.353803087031143E-2</v>
      </c>
    </row>
    <row r="1986" spans="1:2">
      <c r="A1986" t="s">
        <v>3432</v>
      </c>
      <c r="B1986">
        <v>2.6156497379620576</v>
      </c>
    </row>
    <row r="1987" spans="1:2">
      <c r="A1987" t="s">
        <v>3433</v>
      </c>
      <c r="B1987">
        <v>3.2819468776512564E-3</v>
      </c>
    </row>
    <row r="1988" spans="1:2">
      <c r="A1988" t="s">
        <v>3434</v>
      </c>
      <c r="B1988">
        <v>0.23656900360407687</v>
      </c>
    </row>
    <row r="1989" spans="1:2">
      <c r="A1989" t="s">
        <v>3435</v>
      </c>
      <c r="B1989">
        <v>2.829172165550797E-2</v>
      </c>
    </row>
    <row r="1990" spans="1:2">
      <c r="A1990" t="s">
        <v>3436</v>
      </c>
      <c r="B1990">
        <v>563.53429313816696</v>
      </c>
    </row>
    <row r="1991" spans="1:2">
      <c r="A1991" t="s">
        <v>3437</v>
      </c>
      <c r="B1991">
        <v>1.9918022429883485E-4</v>
      </c>
    </row>
    <row r="1992" spans="1:2">
      <c r="A1992" t="s">
        <v>3438</v>
      </c>
      <c r="B1992">
        <v>6.4780110332705165</v>
      </c>
    </row>
    <row r="1993" spans="1:2">
      <c r="A1993" t="s">
        <v>3439</v>
      </c>
      <c r="B1993">
        <v>4620.9812037329693</v>
      </c>
    </row>
    <row r="1994" spans="1:2">
      <c r="A1994" t="s">
        <v>3440</v>
      </c>
      <c r="B1994">
        <v>27725.887222397814</v>
      </c>
    </row>
    <row r="1995" spans="1:2">
      <c r="A1995" t="s">
        <v>3441</v>
      </c>
      <c r="B1995">
        <v>1824071.5277893296</v>
      </c>
    </row>
    <row r="1996" spans="1:2">
      <c r="A1996" t="s">
        <v>3442</v>
      </c>
      <c r="B1996">
        <v>322394.037469742</v>
      </c>
    </row>
    <row r="1997" spans="1:2">
      <c r="A1997" t="s">
        <v>3443</v>
      </c>
      <c r="B1997">
        <v>18240.715277893298</v>
      </c>
    </row>
    <row r="1998" spans="1:2">
      <c r="A1998" t="s">
        <v>3444</v>
      </c>
      <c r="B1998">
        <v>187.33707582701223</v>
      </c>
    </row>
    <row r="1999" spans="1:2">
      <c r="A1999" t="s">
        <v>3445</v>
      </c>
      <c r="B1999">
        <v>18.733707582701225</v>
      </c>
    </row>
    <row r="2000" spans="1:2">
      <c r="A2000" t="s">
        <v>3446</v>
      </c>
      <c r="B2000">
        <v>1.3591121187449908</v>
      </c>
    </row>
    <row r="2001" spans="1:2">
      <c r="A2001" t="s">
        <v>3447</v>
      </c>
      <c r="B2001">
        <v>1.1289042028663604E-2</v>
      </c>
    </row>
    <row r="2002" spans="1:2">
      <c r="A2002" t="s">
        <v>3448</v>
      </c>
      <c r="B2002">
        <v>2.8881132523331052E-3</v>
      </c>
    </row>
    <row r="2003" spans="1:2">
      <c r="A2003" t="s">
        <v>3449</v>
      </c>
      <c r="B2003">
        <v>2.495130239596635E-3</v>
      </c>
    </row>
    <row r="2004" spans="1:2">
      <c r="A2004" t="s">
        <v>3450</v>
      </c>
      <c r="B2004">
        <v>2.3673059445353324E-4</v>
      </c>
    </row>
    <row r="2005" spans="1:2">
      <c r="A2005" t="s">
        <v>519</v>
      </c>
      <c r="B2005">
        <v>7.8588115709744366E-4</v>
      </c>
    </row>
    <row r="2006" spans="1:2">
      <c r="A2006" t="s">
        <v>520</v>
      </c>
      <c r="B2006">
        <v>3.1912853616940392E-4</v>
      </c>
    </row>
    <row r="2007" spans="1:2">
      <c r="A2007" t="s">
        <v>521</v>
      </c>
      <c r="B2007">
        <v>1.8233038209173643E-6</v>
      </c>
    </row>
    <row r="2008" spans="1:2">
      <c r="A2008" t="s">
        <v>522</v>
      </c>
      <c r="B2008">
        <v>2.025381674333856E-8</v>
      </c>
    </row>
    <row r="2009" spans="1:2">
      <c r="A2009" t="s">
        <v>131</v>
      </c>
      <c r="B2009">
        <v>1.4170650790729113E-13</v>
      </c>
    </row>
    <row r="2010" spans="1:2">
      <c r="A2010" t="s">
        <v>131</v>
      </c>
      <c r="B2010">
        <v>8.5573725995054972E-6</v>
      </c>
    </row>
    <row r="2011" spans="1:2">
      <c r="A2011" t="s">
        <v>95</v>
      </c>
      <c r="B2011">
        <v>1.0263789124126228E-14</v>
      </c>
    </row>
    <row r="2012" spans="1:2">
      <c r="A2012" t="s">
        <v>149</v>
      </c>
      <c r="B2012">
        <v>3.8215294679352184E-6</v>
      </c>
    </row>
    <row r="2013" spans="1:2">
      <c r="A2013" t="s">
        <v>100</v>
      </c>
      <c r="B2013">
        <v>3.40544053486561E-6</v>
      </c>
    </row>
    <row r="2014" spans="1:2">
      <c r="A2014" t="s">
        <v>524</v>
      </c>
      <c r="B2014">
        <v>1.8663090483574186E-4</v>
      </c>
    </row>
    <row r="2015" spans="1:2">
      <c r="A2015" t="s">
        <v>3451</v>
      </c>
      <c r="B2015">
        <v>1.6000627436748506E-3</v>
      </c>
    </row>
    <row r="2016" spans="1:2">
      <c r="A2016" t="s">
        <v>3452</v>
      </c>
      <c r="B2016">
        <v>8.3111172729010221E-4</v>
      </c>
    </row>
    <row r="2017" spans="1:2">
      <c r="A2017" t="s">
        <v>3453</v>
      </c>
      <c r="B2017">
        <v>5.2511150042420102E-3</v>
      </c>
    </row>
    <row r="2018" spans="1:2">
      <c r="A2018" t="s">
        <v>3453</v>
      </c>
      <c r="B2018">
        <v>2.1004460016968039E-3</v>
      </c>
    </row>
    <row r="2019" spans="1:2">
      <c r="A2019" t="s">
        <v>3454</v>
      </c>
      <c r="B2019">
        <v>6.2445691942337412E-3</v>
      </c>
    </row>
    <row r="2020" spans="1:2">
      <c r="A2020" t="s">
        <v>3455</v>
      </c>
      <c r="B2020">
        <v>5.0447393053853363E-3</v>
      </c>
    </row>
    <row r="2021" spans="1:2">
      <c r="A2021" t="s">
        <v>3456</v>
      </c>
      <c r="B2021">
        <v>80.786384680646293</v>
      </c>
    </row>
    <row r="2022" spans="1:2">
      <c r="A2022" t="s">
        <v>3457</v>
      </c>
      <c r="B2022">
        <v>9.8154045135601577E-3</v>
      </c>
    </row>
    <row r="2023" spans="1:2">
      <c r="A2023" t="s">
        <v>3458</v>
      </c>
      <c r="B2023">
        <v>5.669080876107774E-3</v>
      </c>
    </row>
    <row r="2024" spans="1:2">
      <c r="A2024" t="s">
        <v>3459</v>
      </c>
      <c r="B2024">
        <v>2.6186142068755018E-2</v>
      </c>
    </row>
    <row r="2025" spans="1:2">
      <c r="A2025" t="s">
        <v>3460</v>
      </c>
      <c r="B2025">
        <v>5.130623098149114E-2</v>
      </c>
    </row>
    <row r="2026" spans="1:2">
      <c r="A2026" t="s">
        <v>3461</v>
      </c>
      <c r="B2026">
        <v>0.20267461419881441</v>
      </c>
    </row>
    <row r="2027" spans="1:2">
      <c r="A2027" t="s">
        <v>3462</v>
      </c>
      <c r="B2027">
        <v>0.3165055618995184</v>
      </c>
    </row>
    <row r="2028" spans="1:2">
      <c r="A2028" t="s">
        <v>3463</v>
      </c>
      <c r="B2028">
        <v>7.2202831308327635</v>
      </c>
    </row>
    <row r="2029" spans="1:2">
      <c r="A2029" t="s">
        <v>3464</v>
      </c>
      <c r="B2029">
        <v>9.6270441744436841</v>
      </c>
    </row>
    <row r="2030" spans="1:2">
      <c r="A2030" t="s">
        <v>3465</v>
      </c>
      <c r="B2030">
        <v>154032706791.09897</v>
      </c>
    </row>
    <row r="2031" spans="1:2">
      <c r="A2031" t="s">
        <v>3466</v>
      </c>
      <c r="B2031">
        <v>1195.0813457930092</v>
      </c>
    </row>
    <row r="2032" spans="1:2">
      <c r="A2032" t="s">
        <v>3467</v>
      </c>
      <c r="B2032">
        <v>1083.0424696249145</v>
      </c>
    </row>
    <row r="2033" spans="1:2">
      <c r="A2033" t="s">
        <v>3468</v>
      </c>
      <c r="B2033">
        <v>330.07008598092625</v>
      </c>
    </row>
    <row r="2034" spans="1:2">
      <c r="A2034" t="s">
        <v>3469</v>
      </c>
      <c r="B2034">
        <v>119.50813457930091</v>
      </c>
    </row>
    <row r="2035" spans="1:2">
      <c r="A2035" t="s">
        <v>3470</v>
      </c>
      <c r="B2035">
        <v>33.007008598092632</v>
      </c>
    </row>
    <row r="2036" spans="1:2">
      <c r="A2036" t="s">
        <v>3471</v>
      </c>
      <c r="B2036">
        <v>9.7626363459147214</v>
      </c>
    </row>
    <row r="2037" spans="1:2">
      <c r="A2037" t="s">
        <v>3472</v>
      </c>
      <c r="B2037">
        <v>3.2695621724525723</v>
      </c>
    </row>
    <row r="2038" spans="1:2">
      <c r="A2038" t="s">
        <v>3473</v>
      </c>
      <c r="B2038">
        <v>0.82615873725857603</v>
      </c>
    </row>
    <row r="2039" spans="1:2">
      <c r="A2039" t="s">
        <v>3474</v>
      </c>
      <c r="B2039">
        <v>0.3300700859809263</v>
      </c>
    </row>
    <row r="2040" spans="1:2">
      <c r="A2040" t="s">
        <v>3475</v>
      </c>
      <c r="B2040">
        <v>0.20386681781174862</v>
      </c>
    </row>
    <row r="2041" spans="1:2">
      <c r="A2041" t="s">
        <v>3476</v>
      </c>
      <c r="B2041">
        <v>9.3668537913506114E-2</v>
      </c>
    </row>
    <row r="2042" spans="1:2">
      <c r="A2042" t="s">
        <v>3477</v>
      </c>
      <c r="B2042">
        <v>8.3511708501198226E-2</v>
      </c>
    </row>
    <row r="2043" spans="1:2">
      <c r="A2043" t="s">
        <v>3478</v>
      </c>
      <c r="B2043">
        <v>3.6101415654163818E-2</v>
      </c>
    </row>
    <row r="2044" spans="1:2">
      <c r="A2044" t="s">
        <v>3479</v>
      </c>
      <c r="B2044">
        <v>3.0944070560711846E-2</v>
      </c>
    </row>
    <row r="2045" spans="1:2">
      <c r="A2045" t="s">
        <v>3480</v>
      </c>
      <c r="B2045">
        <v>1.575334501272603E-2</v>
      </c>
    </row>
    <row r="2046" spans="1:2">
      <c r="A2046" t="s">
        <v>3481</v>
      </c>
      <c r="B2046">
        <v>8.2517521495231588E-3</v>
      </c>
    </row>
    <row r="2047" spans="1:2">
      <c r="A2047" t="s">
        <v>3482</v>
      </c>
      <c r="B2047">
        <v>3.2090147248145617E-3</v>
      </c>
    </row>
    <row r="2048" spans="1:2">
      <c r="A2048" t="s">
        <v>3483</v>
      </c>
      <c r="B2048">
        <v>3.8508176697774738E-3</v>
      </c>
    </row>
    <row r="2049" spans="1:2">
      <c r="A2049" t="s">
        <v>3484</v>
      </c>
      <c r="B2049">
        <v>2.3104906018664843E-3</v>
      </c>
    </row>
    <row r="2050" spans="1:2">
      <c r="A2050" t="s">
        <v>3485</v>
      </c>
      <c r="B2050">
        <v>1.8337226998940352E-3</v>
      </c>
    </row>
    <row r="2051" spans="1:2">
      <c r="A2051" t="s">
        <v>525</v>
      </c>
      <c r="B2051">
        <v>5.3732339578290334E-4</v>
      </c>
    </row>
    <row r="2052" spans="1:2">
      <c r="A2052" t="s">
        <v>526</v>
      </c>
      <c r="B2052">
        <v>1.0898540574841908E-4</v>
      </c>
    </row>
    <row r="2053" spans="1:2">
      <c r="A2053" t="s">
        <v>3486</v>
      </c>
      <c r="B2053">
        <v>4.278686299752749E-3</v>
      </c>
    </row>
    <row r="2054" spans="1:2">
      <c r="A2054" t="s">
        <v>527</v>
      </c>
      <c r="B2054">
        <v>8.7359747499488968E-6</v>
      </c>
    </row>
    <row r="2055" spans="1:2">
      <c r="A2055" t="s">
        <v>3487</v>
      </c>
      <c r="B2055">
        <v>1.4810837191451823E-5</v>
      </c>
    </row>
    <row r="2056" spans="1:2">
      <c r="A2056" t="s">
        <v>3488</v>
      </c>
      <c r="B2056">
        <v>1.9448574089785222E-5</v>
      </c>
    </row>
    <row r="2057" spans="1:2">
      <c r="A2057" t="s">
        <v>3489</v>
      </c>
      <c r="B2057">
        <v>1.9611168505026899E-21</v>
      </c>
    </row>
    <row r="2058" spans="1:2">
      <c r="A2058" t="s">
        <v>528</v>
      </c>
      <c r="B2058">
        <v>8.6310240043425533E-8</v>
      </c>
    </row>
    <row r="2059" spans="1:2">
      <c r="A2059" t="s">
        <v>3490</v>
      </c>
      <c r="B2059">
        <v>1.0982254362815063E-23</v>
      </c>
    </row>
    <row r="2060" spans="1:2">
      <c r="A2060" t="s">
        <v>529</v>
      </c>
      <c r="B2060">
        <v>3.3139566865554851E-5</v>
      </c>
    </row>
    <row r="2061" spans="1:2">
      <c r="A2061" t="s">
        <v>3491</v>
      </c>
      <c r="B2061">
        <v>1.1716483782284405E-3</v>
      </c>
    </row>
    <row r="2062" spans="1:2">
      <c r="A2062" t="s">
        <v>530</v>
      </c>
      <c r="B2062">
        <v>5.3483578746909358E-7</v>
      </c>
    </row>
    <row r="2063" spans="1:2">
      <c r="A2063" t="s">
        <v>531</v>
      </c>
      <c r="B2063">
        <v>1.4675372217139763E-5</v>
      </c>
    </row>
    <row r="2064" spans="1:2">
      <c r="A2064" t="s">
        <v>3492</v>
      </c>
      <c r="B2064">
        <v>0.11363068533769595</v>
      </c>
    </row>
    <row r="2065" spans="1:2">
      <c r="A2065" t="s">
        <v>532</v>
      </c>
      <c r="B2065">
        <v>6.4546055477329434E-6</v>
      </c>
    </row>
    <row r="2066" spans="1:2">
      <c r="A2066" t="s">
        <v>533</v>
      </c>
      <c r="B2066">
        <v>3.6607514542716879E-9</v>
      </c>
    </row>
    <row r="2067" spans="1:2">
      <c r="A2067" t="s">
        <v>3493</v>
      </c>
      <c r="B2067">
        <v>1.8050707827081908E-3</v>
      </c>
    </row>
    <row r="2068" spans="1:2">
      <c r="A2068" t="s">
        <v>3494</v>
      </c>
      <c r="B2068">
        <v>1.4747812352339261E-2</v>
      </c>
    </row>
    <row r="2069" spans="1:2">
      <c r="A2069" t="s">
        <v>3495</v>
      </c>
      <c r="B2069">
        <v>3.3101584553961092E-4</v>
      </c>
    </row>
    <row r="2070" spans="1:2">
      <c r="A2070" t="s">
        <v>3496</v>
      </c>
      <c r="B2070">
        <v>7.453195489891885E-3</v>
      </c>
    </row>
    <row r="2071" spans="1:2">
      <c r="A2071" t="s">
        <v>3497</v>
      </c>
      <c r="B2071">
        <v>5.5451774444795626E-3</v>
      </c>
    </row>
    <row r="2072" spans="1:2">
      <c r="A2072" t="s">
        <v>3498</v>
      </c>
      <c r="B2072">
        <v>0.13862943611198905</v>
      </c>
    </row>
    <row r="2073" spans="1:2">
      <c r="A2073" t="s">
        <v>3499</v>
      </c>
      <c r="B2073">
        <v>0.11552453009332421</v>
      </c>
    </row>
    <row r="2074" spans="1:2">
      <c r="A2074" t="s">
        <v>3500</v>
      </c>
      <c r="B2074">
        <v>15.897871113760212</v>
      </c>
    </row>
    <row r="2075" spans="1:2">
      <c r="A2075" t="s">
        <v>3501</v>
      </c>
      <c r="B2075">
        <v>2.665950694461328</v>
      </c>
    </row>
    <row r="2076" spans="1:2">
      <c r="A2076" t="s">
        <v>3502</v>
      </c>
      <c r="B2076">
        <v>2.5643624881980953</v>
      </c>
    </row>
    <row r="2077" spans="1:2">
      <c r="A2077" t="s">
        <v>3503</v>
      </c>
      <c r="B2077">
        <v>0.1689696213153784</v>
      </c>
    </row>
    <row r="2078" spans="1:2">
      <c r="A2078" t="s">
        <v>3504</v>
      </c>
      <c r="B2078">
        <v>4.6209812037329686E-3</v>
      </c>
    </row>
    <row r="2079" spans="1:2">
      <c r="A2079" t="s">
        <v>4</v>
      </c>
      <c r="B2079">
        <v>5.6231420845562514E-7</v>
      </c>
    </row>
    <row r="2080" spans="1:2">
      <c r="A2080" t="s">
        <v>5</v>
      </c>
      <c r="B2080">
        <v>3.1647088015922699E-7</v>
      </c>
    </row>
    <row r="2081" spans="1:2">
      <c r="A2081" t="s">
        <v>3505</v>
      </c>
      <c r="B2081">
        <v>5.5764053142393022E-2</v>
      </c>
    </row>
    <row r="2082" spans="1:2">
      <c r="A2082" t="s">
        <v>3506</v>
      </c>
      <c r="B2082">
        <v>1.4654274430442819E-2</v>
      </c>
    </row>
    <row r="2083" spans="1:2">
      <c r="A2083" t="s">
        <v>3507</v>
      </c>
      <c r="B2083">
        <v>0.12377628224284738</v>
      </c>
    </row>
    <row r="2084" spans="1:2">
      <c r="A2084" t="s">
        <v>3508</v>
      </c>
      <c r="B2084">
        <v>0.30006371452811481</v>
      </c>
    </row>
    <row r="2085" spans="1:2">
      <c r="A2085" t="s">
        <v>3509</v>
      </c>
      <c r="B2085">
        <v>1.0830424696249146</v>
      </c>
    </row>
    <row r="2086" spans="1:2">
      <c r="A2086" t="s">
        <v>3510</v>
      </c>
      <c r="B2086">
        <v>3.3977802968624768</v>
      </c>
    </row>
    <row r="2087" spans="1:2">
      <c r="A2087" t="s">
        <v>3511</v>
      </c>
      <c r="B2087">
        <v>4.6209812037329687</v>
      </c>
    </row>
    <row r="2088" spans="1:2">
      <c r="A2088" t="s">
        <v>3512</v>
      </c>
      <c r="B2088">
        <v>6.8628433718806461</v>
      </c>
    </row>
    <row r="2089" spans="1:2">
      <c r="A2089" t="s">
        <v>3513</v>
      </c>
      <c r="B2089">
        <v>14.291694444534954</v>
      </c>
    </row>
    <row r="2090" spans="1:2">
      <c r="A2090" t="s">
        <v>3514</v>
      </c>
      <c r="B2090">
        <v>18.990333713971104</v>
      </c>
    </row>
    <row r="2091" spans="1:2">
      <c r="A2091" t="s">
        <v>3515</v>
      </c>
      <c r="B2091">
        <v>38.085009920876111</v>
      </c>
    </row>
    <row r="2092" spans="1:2">
      <c r="A2092" t="s">
        <v>3516</v>
      </c>
      <c r="B2092">
        <v>28.881132523331054</v>
      </c>
    </row>
    <row r="2093" spans="1:2">
      <c r="A2093" t="s">
        <v>3517</v>
      </c>
      <c r="B2093">
        <v>182.40715277893298</v>
      </c>
    </row>
    <row r="2094" spans="1:2">
      <c r="A2094" t="s">
        <v>3518</v>
      </c>
      <c r="B2094">
        <v>138.62943611198907</v>
      </c>
    </row>
    <row r="2095" spans="1:2">
      <c r="A2095" t="s">
        <v>3519</v>
      </c>
      <c r="B2095">
        <v>130.78248689810289</v>
      </c>
    </row>
    <row r="2096" spans="1:2">
      <c r="A2096" t="s">
        <v>3520</v>
      </c>
      <c r="B2096">
        <v>40.773363562349722</v>
      </c>
    </row>
    <row r="2097" spans="1:2">
      <c r="A2097" t="s">
        <v>3521</v>
      </c>
      <c r="B2097">
        <v>49.510512897138945</v>
      </c>
    </row>
    <row r="2098" spans="1:2">
      <c r="A2098" t="s">
        <v>3522</v>
      </c>
      <c r="B2098">
        <v>5.8741286488130955</v>
      </c>
    </row>
    <row r="2099" spans="1:2">
      <c r="A2099" t="s">
        <v>3523</v>
      </c>
      <c r="B2099">
        <v>187.33707582701223</v>
      </c>
    </row>
    <row r="2100" spans="1:2">
      <c r="A2100" t="s">
        <v>3524</v>
      </c>
      <c r="B2100">
        <v>6359.1484455040854</v>
      </c>
    </row>
    <row r="2101" spans="1:2">
      <c r="A2101" t="s">
        <v>3525</v>
      </c>
      <c r="B2101">
        <v>12602676.010180824</v>
      </c>
    </row>
    <row r="2102" spans="1:2">
      <c r="A2102" t="s">
        <v>3526</v>
      </c>
      <c r="B2102">
        <v>778817.05680892733</v>
      </c>
    </row>
    <row r="2103" spans="1:2">
      <c r="A2103" t="s">
        <v>3527</v>
      </c>
      <c r="B2103">
        <v>117482.5729762619</v>
      </c>
    </row>
    <row r="2104" spans="1:2">
      <c r="A2104" t="s">
        <v>3528</v>
      </c>
      <c r="B2104">
        <v>178.1869358765926</v>
      </c>
    </row>
    <row r="2105" spans="1:2">
      <c r="A2105" t="s">
        <v>3529</v>
      </c>
      <c r="B2105">
        <v>130.78248689810289</v>
      </c>
    </row>
    <row r="2106" spans="1:2">
      <c r="A2106" t="s">
        <v>3530</v>
      </c>
      <c r="B2106">
        <v>0.81546727124699447</v>
      </c>
    </row>
    <row r="2107" spans="1:2">
      <c r="A2107" t="s">
        <v>3531</v>
      </c>
      <c r="B2107">
        <v>0.40773363562349724</v>
      </c>
    </row>
    <row r="2108" spans="1:2">
      <c r="A2108" t="s">
        <v>3532</v>
      </c>
      <c r="B2108">
        <v>6.4180294496291234E-3</v>
      </c>
    </row>
    <row r="2109" spans="1:2">
      <c r="A2109" t="s">
        <v>534</v>
      </c>
      <c r="B2109">
        <v>3.0163062687552013E-4</v>
      </c>
    </row>
    <row r="2110" spans="1:2">
      <c r="A2110" t="s">
        <v>535</v>
      </c>
      <c r="B2110">
        <v>9.7242870448926112E-6</v>
      </c>
    </row>
    <row r="2111" spans="1:2">
      <c r="A2111" t="s">
        <v>3533</v>
      </c>
      <c r="B2111">
        <v>5.175830201313809E-6</v>
      </c>
    </row>
    <row r="2112" spans="1:2">
      <c r="A2112" t="s">
        <v>536</v>
      </c>
      <c r="B2112">
        <v>4.6106533402508075E-7</v>
      </c>
    </row>
    <row r="2113" spans="1:2">
      <c r="A2113" t="s">
        <v>84</v>
      </c>
      <c r="B2113">
        <v>6.7169751454526377E-13</v>
      </c>
    </row>
    <row r="2114" spans="1:2">
      <c r="A2114" t="s">
        <v>537</v>
      </c>
      <c r="B2114">
        <v>6.1240739023178651E-6</v>
      </c>
    </row>
    <row r="2115" spans="1:2">
      <c r="A2115" t="s">
        <v>88</v>
      </c>
      <c r="B2115">
        <v>2.9740636930626152E-7</v>
      </c>
    </row>
    <row r="2116" spans="1:2">
      <c r="A2116" t="s">
        <v>90</v>
      </c>
      <c r="B2116">
        <v>2.8862371981543047E-5</v>
      </c>
    </row>
    <row r="2117" spans="1:2">
      <c r="A2117" t="s">
        <v>91</v>
      </c>
      <c r="B2117">
        <v>9.9676039769908721E-3</v>
      </c>
    </row>
    <row r="2118" spans="1:2">
      <c r="A2118" t="s">
        <v>3534</v>
      </c>
      <c r="B2118">
        <v>4.7346118890706648E-4</v>
      </c>
    </row>
    <row r="2119" spans="1:2">
      <c r="A2119" t="s">
        <v>3535</v>
      </c>
      <c r="B2119">
        <v>1.2695003306958704E-3</v>
      </c>
    </row>
    <row r="2120" spans="1:2">
      <c r="A2120" t="s">
        <v>3536</v>
      </c>
      <c r="B2120">
        <v>1.3278681619922324E-3</v>
      </c>
    </row>
    <row r="2121" spans="1:2">
      <c r="A2121" t="s">
        <v>3537</v>
      </c>
      <c r="B2121">
        <v>5.0228056562314875E-3</v>
      </c>
    </row>
    <row r="2122" spans="1:2">
      <c r="A2122" t="s">
        <v>3538</v>
      </c>
      <c r="B2122">
        <v>1.0696715749381872E-4</v>
      </c>
    </row>
    <row r="2123" spans="1:2">
      <c r="A2123" t="s">
        <v>3539</v>
      </c>
      <c r="B2123">
        <v>3465.7359027997263</v>
      </c>
    </row>
    <row r="2124" spans="1:2">
      <c r="A2124" t="s">
        <v>3540</v>
      </c>
      <c r="B2124">
        <v>256.7211779851649</v>
      </c>
    </row>
    <row r="2125" spans="1:2">
      <c r="A2125" t="s">
        <v>3541</v>
      </c>
      <c r="B2125">
        <v>169.0602879414501</v>
      </c>
    </row>
    <row r="2126" spans="1:2">
      <c r="A2126" t="s">
        <v>3542</v>
      </c>
      <c r="B2126">
        <v>19.254088348887368</v>
      </c>
    </row>
    <row r="2127" spans="1:2">
      <c r="A2127" t="s">
        <v>3543</v>
      </c>
      <c r="B2127">
        <v>12.602676010180824</v>
      </c>
    </row>
    <row r="2128" spans="1:2">
      <c r="A2128" t="s">
        <v>3544</v>
      </c>
      <c r="B2128">
        <v>1.2956022066541033</v>
      </c>
    </row>
    <row r="2129" spans="1:2">
      <c r="A2129" t="s">
        <v>3545</v>
      </c>
      <c r="B2129">
        <v>1.6702341700239645</v>
      </c>
    </row>
    <row r="2130" spans="1:2">
      <c r="A2130" t="s">
        <v>3546</v>
      </c>
      <c r="B2130">
        <v>1.4145860827753987</v>
      </c>
    </row>
    <row r="2131" spans="1:2">
      <c r="A2131" t="s">
        <v>3547</v>
      </c>
      <c r="B2131">
        <v>0.11002336199364211</v>
      </c>
    </row>
    <row r="2132" spans="1:2">
      <c r="A2132" t="s">
        <v>3547</v>
      </c>
      <c r="B2132">
        <v>0.16119701873487099</v>
      </c>
    </row>
    <row r="2133" spans="1:2">
      <c r="A2133" t="s">
        <v>3548</v>
      </c>
      <c r="B2133">
        <v>0.14380646899583927</v>
      </c>
    </row>
    <row r="2134" spans="1:2">
      <c r="A2134" t="s">
        <v>3549</v>
      </c>
      <c r="B2134">
        <v>4.5601788194733248E-2</v>
      </c>
    </row>
    <row r="2135" spans="1:2">
      <c r="A2135" t="s">
        <v>3549</v>
      </c>
      <c r="B2135">
        <v>3.8508176697774739E-2</v>
      </c>
    </row>
    <row r="2136" spans="1:2">
      <c r="A2136" t="s">
        <v>3550</v>
      </c>
      <c r="B2136">
        <v>2.7182242374899815E-2</v>
      </c>
    </row>
    <row r="2137" spans="1:2">
      <c r="A2137" t="s">
        <v>3551</v>
      </c>
      <c r="B2137">
        <v>1.7773004629742187E-2</v>
      </c>
    </row>
    <row r="2138" spans="1:2">
      <c r="A2138" t="s">
        <v>3551</v>
      </c>
      <c r="B2138">
        <v>1.3591121187449907E-2</v>
      </c>
    </row>
    <row r="2139" spans="1:2">
      <c r="A2139" t="s">
        <v>3552</v>
      </c>
      <c r="B2139">
        <v>9.7626363459147221E-3</v>
      </c>
    </row>
    <row r="2140" spans="1:2">
      <c r="A2140" t="s">
        <v>3553</v>
      </c>
      <c r="B2140">
        <v>8.6860548942349017E-3</v>
      </c>
    </row>
    <row r="2141" spans="1:2">
      <c r="A2141" t="s">
        <v>3553</v>
      </c>
      <c r="B2141">
        <v>5.2992903712534038E-3</v>
      </c>
    </row>
    <row r="2142" spans="1:2">
      <c r="A2142" t="s">
        <v>3554</v>
      </c>
      <c r="B2142">
        <v>3.3007008598092634E-3</v>
      </c>
    </row>
    <row r="2143" spans="1:2">
      <c r="A2143" t="s">
        <v>3555</v>
      </c>
      <c r="B2143">
        <v>1.9918022429883486E-3</v>
      </c>
    </row>
    <row r="2144" spans="1:2">
      <c r="A2144" t="s">
        <v>3556</v>
      </c>
      <c r="B2144">
        <v>1.079668505545086E-3</v>
      </c>
    </row>
    <row r="2145" spans="1:2">
      <c r="A2145" t="s">
        <v>3557</v>
      </c>
      <c r="B2145">
        <v>7.0873944842530189E-4</v>
      </c>
    </row>
    <row r="2146" spans="1:2">
      <c r="A2146" t="s">
        <v>3558</v>
      </c>
      <c r="B2146">
        <v>3.1222845971168707E-4</v>
      </c>
    </row>
    <row r="2147" spans="1:2">
      <c r="A2147" t="s">
        <v>3559</v>
      </c>
      <c r="B2147">
        <v>1.4262287665842495E-3</v>
      </c>
    </row>
    <row r="2148" spans="1:2">
      <c r="A2148" t="s">
        <v>3560</v>
      </c>
      <c r="B2148">
        <v>2.6680030044647627E-4</v>
      </c>
    </row>
    <row r="2149" spans="1:2">
      <c r="A2149" t="s">
        <v>539</v>
      </c>
      <c r="B2149">
        <v>8.0225368120364038E-5</v>
      </c>
    </row>
    <row r="2150" spans="1:2">
      <c r="A2150" t="s">
        <v>540</v>
      </c>
      <c r="B2150">
        <v>1.2836058899258246E-4</v>
      </c>
    </row>
    <row r="2151" spans="1:2">
      <c r="A2151" t="s">
        <v>3561</v>
      </c>
      <c r="B2151">
        <v>9.4692237781413295E-4</v>
      </c>
    </row>
    <row r="2152" spans="1:2">
      <c r="A2152" t="s">
        <v>541</v>
      </c>
      <c r="B2152">
        <v>8.9553899297150559E-6</v>
      </c>
    </row>
    <row r="2153" spans="1:2">
      <c r="A2153" t="s">
        <v>542</v>
      </c>
      <c r="B2153">
        <v>2.0636750641894285E-5</v>
      </c>
    </row>
    <row r="2154" spans="1:2">
      <c r="A2154" t="s">
        <v>3562</v>
      </c>
      <c r="B2154">
        <v>1.1400447048683312E-2</v>
      </c>
    </row>
    <row r="2155" spans="1:2">
      <c r="A2155" t="s">
        <v>543</v>
      </c>
      <c r="B2155">
        <v>4.183715947739072E-13</v>
      </c>
    </row>
    <row r="2156" spans="1:2">
      <c r="A2156" t="s">
        <v>544</v>
      </c>
      <c r="B2156">
        <v>5.4390080081602739E-5</v>
      </c>
    </row>
    <row r="2157" spans="1:2">
      <c r="A2157" t="s">
        <v>545</v>
      </c>
      <c r="B2157">
        <v>3.7077004330613073E-6</v>
      </c>
    </row>
    <row r="2158" spans="1:2">
      <c r="A2158" t="s">
        <v>3563</v>
      </c>
      <c r="B2158">
        <v>0.11161790347181083</v>
      </c>
    </row>
    <row r="2159" spans="1:2">
      <c r="A2159" t="s">
        <v>3563</v>
      </c>
      <c r="B2159">
        <v>1.4440566261665528</v>
      </c>
    </row>
    <row r="2160" spans="1:2">
      <c r="A2160" t="s">
        <v>3564</v>
      </c>
      <c r="B2160">
        <v>1.7268240671647862E-4</v>
      </c>
    </row>
    <row r="2161" spans="1:2">
      <c r="A2161" t="s">
        <v>546</v>
      </c>
      <c r="B2161">
        <v>1.2920299250370662E-15</v>
      </c>
    </row>
    <row r="2162" spans="1:2">
      <c r="A2162" t="s">
        <v>3565</v>
      </c>
      <c r="B2162">
        <v>0.85998409498752515</v>
      </c>
    </row>
    <row r="2163" spans="1:2">
      <c r="A2163" t="s">
        <v>40</v>
      </c>
      <c r="B2163">
        <v>5.9518047446328809E-5</v>
      </c>
    </row>
    <row r="2164" spans="1:2">
      <c r="A2164" t="s">
        <v>44</v>
      </c>
      <c r="B2164">
        <v>9.8939228493829396E-10</v>
      </c>
    </row>
    <row r="2165" spans="1:2">
      <c r="A2165" t="s">
        <v>48</v>
      </c>
      <c r="B2165">
        <v>3.1943738446930513E-4</v>
      </c>
    </row>
    <row r="2166" spans="1:2">
      <c r="A2166" t="s">
        <v>51</v>
      </c>
      <c r="B2166">
        <v>1.8116379703507122E-5</v>
      </c>
    </row>
    <row r="2167" spans="1:2">
      <c r="A2167" t="s">
        <v>3566</v>
      </c>
      <c r="B2167">
        <v>1.1325934322874924E-3</v>
      </c>
    </row>
    <row r="2168" spans="1:2">
      <c r="A2168" t="s">
        <v>56</v>
      </c>
      <c r="B2168">
        <v>4.2691991904406584E-4</v>
      </c>
    </row>
    <row r="2169" spans="1:2">
      <c r="A2169" t="s">
        <v>3567</v>
      </c>
      <c r="B2169">
        <v>4.881318172957361E-3</v>
      </c>
    </row>
    <row r="2170" spans="1:2">
      <c r="A2170" t="s">
        <v>3568</v>
      </c>
      <c r="B2170">
        <v>6.9733116756533729E-3</v>
      </c>
    </row>
    <row r="2171" spans="1:2">
      <c r="A2171" t="s">
        <v>3569</v>
      </c>
      <c r="B2171">
        <v>3.4831516611052528E-2</v>
      </c>
    </row>
    <row r="2172" spans="1:2">
      <c r="A2172" t="s">
        <v>3570</v>
      </c>
      <c r="B2172">
        <v>4.6209812037329684E-2</v>
      </c>
    </row>
    <row r="2173" spans="1:2">
      <c r="A2173" t="s">
        <v>547</v>
      </c>
      <c r="B2173">
        <v>2.2100652374755931E-6</v>
      </c>
    </row>
    <row r="2174" spans="1:2">
      <c r="A2174" t="s">
        <v>548</v>
      </c>
      <c r="B2174">
        <v>2.2732099585463243E-5</v>
      </c>
    </row>
    <row r="2175" spans="1:2">
      <c r="A2175" t="s">
        <v>549</v>
      </c>
      <c r="B2175">
        <v>4.7191393011978847E-7</v>
      </c>
    </row>
    <row r="2176" spans="1:2">
      <c r="A2176" t="s">
        <v>114</v>
      </c>
      <c r="B2176">
        <v>3.3791551885584809E-15</v>
      </c>
    </row>
    <row r="2177" spans="1:2">
      <c r="A2177" t="s">
        <v>3571</v>
      </c>
      <c r="B2177">
        <v>3.2390055166352585E-2</v>
      </c>
    </row>
    <row r="2178" spans="1:2">
      <c r="A2178" t="s">
        <v>550</v>
      </c>
      <c r="B2178">
        <v>1.4329157065481409E-5</v>
      </c>
    </row>
    <row r="2179" spans="1:2">
      <c r="A2179" t="s">
        <v>3572</v>
      </c>
      <c r="B2179">
        <v>2.4611105686690288E-3</v>
      </c>
    </row>
    <row r="2180" spans="1:2">
      <c r="A2180" t="s">
        <v>3573</v>
      </c>
      <c r="B2180">
        <v>4.8951072073442469E-4</v>
      </c>
    </row>
    <row r="2181" spans="1:2">
      <c r="A2181" t="s">
        <v>3574</v>
      </c>
      <c r="B2181">
        <v>3.4598541507434626E-5</v>
      </c>
    </row>
    <row r="2182" spans="1:2">
      <c r="A2182" t="s">
        <v>3575</v>
      </c>
      <c r="B2182">
        <v>9.1568404189315499E-6</v>
      </c>
    </row>
    <row r="2183" spans="1:2">
      <c r="A2183" t="s">
        <v>3576</v>
      </c>
      <c r="B2183">
        <v>7.7881705680892732E-3</v>
      </c>
    </row>
    <row r="2184" spans="1:2">
      <c r="A2184" t="s">
        <v>3577</v>
      </c>
      <c r="B2184">
        <v>2.3104906018664844</v>
      </c>
    </row>
    <row r="2185" spans="1:2">
      <c r="A2185" t="s">
        <v>3578</v>
      </c>
      <c r="B2185">
        <v>4.7737409129472823E-3</v>
      </c>
    </row>
    <row r="2186" spans="1:2">
      <c r="A2186" t="s">
        <v>3579</v>
      </c>
      <c r="B2186">
        <v>2.7725887222397813E-2</v>
      </c>
    </row>
    <row r="2187" spans="1:2">
      <c r="A2187" t="s">
        <v>3580</v>
      </c>
      <c r="B2187">
        <v>1.3862943611198907E-2</v>
      </c>
    </row>
    <row r="2188" spans="1:2">
      <c r="A2188" t="s">
        <v>3581</v>
      </c>
      <c r="B2188">
        <v>5.9243348765807294E-2</v>
      </c>
    </row>
    <row r="2189" spans="1:2">
      <c r="A2189" t="s">
        <v>3582</v>
      </c>
      <c r="B2189">
        <v>0.16119701873487099</v>
      </c>
    </row>
    <row r="2190" spans="1:2">
      <c r="A2190" t="s">
        <v>3583</v>
      </c>
      <c r="B2190">
        <v>0.36481430555786598</v>
      </c>
    </row>
    <row r="2191" spans="1:2">
      <c r="A2191" t="s">
        <v>3584</v>
      </c>
      <c r="B2191">
        <v>0.7876672506363015</v>
      </c>
    </row>
    <row r="2192" spans="1:2">
      <c r="A2192" t="s">
        <v>3585</v>
      </c>
      <c r="B2192">
        <v>0.81546727124699447</v>
      </c>
    </row>
    <row r="2193" spans="1:2">
      <c r="A2193" t="s">
        <v>3586</v>
      </c>
      <c r="B2193">
        <v>1.4088357328454173</v>
      </c>
    </row>
    <row r="2194" spans="1:2">
      <c r="A2194" t="s">
        <v>3587</v>
      </c>
      <c r="B2194">
        <v>2.3901626915860184</v>
      </c>
    </row>
    <row r="2195" spans="1:2">
      <c r="A2195" t="s">
        <v>3588</v>
      </c>
      <c r="B2195">
        <v>3.5546009259484372</v>
      </c>
    </row>
    <row r="2196" spans="1:2">
      <c r="A2196" t="s">
        <v>3589</v>
      </c>
      <c r="B2196">
        <v>6.3591484455040854</v>
      </c>
    </row>
    <row r="2197" spans="1:2">
      <c r="A2197" t="s">
        <v>3590</v>
      </c>
      <c r="B2197">
        <v>7.3739061761696307</v>
      </c>
    </row>
    <row r="2198" spans="1:2">
      <c r="A2198" t="s">
        <v>3591</v>
      </c>
      <c r="B2198">
        <v>10.79668505545086</v>
      </c>
    </row>
    <row r="2199" spans="1:2">
      <c r="A2199" t="s">
        <v>3592</v>
      </c>
      <c r="B2199">
        <v>14.262287665842495</v>
      </c>
    </row>
    <row r="2200" spans="1:2">
      <c r="A2200" t="s">
        <v>3593</v>
      </c>
      <c r="B2200">
        <v>30.136833937388925</v>
      </c>
    </row>
    <row r="2201" spans="1:2">
      <c r="A2201" t="s">
        <v>3594</v>
      </c>
      <c r="B2201">
        <v>18.240715277893297</v>
      </c>
    </row>
    <row r="2202" spans="1:2">
      <c r="A2202" t="s">
        <v>3595</v>
      </c>
      <c r="B2202">
        <v>19.254088348887368</v>
      </c>
    </row>
    <row r="2203" spans="1:2">
      <c r="A2203" t="s">
        <v>3596</v>
      </c>
      <c r="B2203">
        <v>22.359586469675655</v>
      </c>
    </row>
    <row r="2204" spans="1:2">
      <c r="A2204" t="s">
        <v>3597</v>
      </c>
      <c r="B2204">
        <v>21.660849392498289</v>
      </c>
    </row>
    <row r="2205" spans="1:2">
      <c r="A2205" t="s">
        <v>3598</v>
      </c>
      <c r="B2205">
        <v>0.65391243449051439</v>
      </c>
    </row>
    <row r="2206" spans="1:2">
      <c r="A2206" t="s">
        <v>3599</v>
      </c>
      <c r="B2206">
        <v>0.59243348765807291</v>
      </c>
    </row>
    <row r="2207" spans="1:2">
      <c r="A2207" t="s">
        <v>3600</v>
      </c>
      <c r="B2207">
        <v>7.3739061761696298E-2</v>
      </c>
    </row>
    <row r="2208" spans="1:2">
      <c r="A2208" t="s">
        <v>3601</v>
      </c>
      <c r="B2208">
        <v>9.3668537913506114E-2</v>
      </c>
    </row>
    <row r="2209" spans="1:2">
      <c r="A2209" t="s">
        <v>3602</v>
      </c>
      <c r="B2209">
        <v>5.2116329365409414E-2</v>
      </c>
    </row>
    <row r="2210" spans="1:2">
      <c r="A2210" t="s">
        <v>3603</v>
      </c>
      <c r="B2210">
        <v>5.6815342668847975E-3</v>
      </c>
    </row>
    <row r="2211" spans="1:2">
      <c r="A2211" t="s">
        <v>3604</v>
      </c>
      <c r="B2211">
        <v>3.7265977449459425E-3</v>
      </c>
    </row>
    <row r="2212" spans="1:2">
      <c r="A2212" t="s">
        <v>3605</v>
      </c>
      <c r="B2212">
        <v>6.5268096097923281E-4</v>
      </c>
    </row>
    <row r="2213" spans="1:2">
      <c r="A2213" t="s">
        <v>3606</v>
      </c>
      <c r="B2213">
        <v>5.3983425277254302E-4</v>
      </c>
    </row>
    <row r="2214" spans="1:2">
      <c r="A2214" t="s">
        <v>3607</v>
      </c>
      <c r="B2214">
        <v>0.69314718055994529</v>
      </c>
    </row>
    <row r="2215" spans="1:2">
      <c r="A2215" t="s">
        <v>3608</v>
      </c>
      <c r="B2215">
        <v>0.28881132523331055</v>
      </c>
    </row>
    <row r="2216" spans="1:2">
      <c r="A2216" t="s">
        <v>3609</v>
      </c>
      <c r="B2216">
        <v>0.26659506944613282</v>
      </c>
    </row>
    <row r="2217" spans="1:2">
      <c r="A2217" t="s">
        <v>3610</v>
      </c>
      <c r="B2217">
        <v>0.11002336199364211</v>
      </c>
    </row>
    <row r="2218" spans="1:2">
      <c r="A2218" t="s">
        <v>3611</v>
      </c>
      <c r="B2218">
        <v>0.10045611312462975</v>
      </c>
    </row>
    <row r="2219" spans="1:2">
      <c r="A2219" t="s">
        <v>3612</v>
      </c>
      <c r="B2219">
        <v>4.9510512897138946E-2</v>
      </c>
    </row>
    <row r="2220" spans="1:2">
      <c r="A2220" t="s">
        <v>3613</v>
      </c>
      <c r="B2220">
        <v>2.8881132523331052E-2</v>
      </c>
    </row>
    <row r="2221" spans="1:2">
      <c r="A2221" t="s">
        <v>3614</v>
      </c>
      <c r="B2221">
        <v>1.4145860827753985E-2</v>
      </c>
    </row>
    <row r="2222" spans="1:2">
      <c r="A2222" t="s">
        <v>3614</v>
      </c>
      <c r="B2222">
        <v>1.5403270679109895E-2</v>
      </c>
    </row>
    <row r="2223" spans="1:2">
      <c r="A2223" t="s">
        <v>3615</v>
      </c>
      <c r="B2223">
        <v>6.4780110332705171E-3</v>
      </c>
    </row>
    <row r="2224" spans="1:2">
      <c r="A2224" t="s">
        <v>3615</v>
      </c>
      <c r="B2224">
        <v>2.3104906018664843E-3</v>
      </c>
    </row>
    <row r="2225" spans="1:2">
      <c r="A2225" t="s">
        <v>3616</v>
      </c>
      <c r="B2225">
        <v>4.8135220872218424E-3</v>
      </c>
    </row>
    <row r="2226" spans="1:2">
      <c r="A2226" t="s">
        <v>3617</v>
      </c>
      <c r="B2226">
        <v>3.5546009259484375E-3</v>
      </c>
    </row>
    <row r="2227" spans="1:2">
      <c r="A2227" t="s">
        <v>3618</v>
      </c>
      <c r="B2227">
        <v>2.7904475867952709E-3</v>
      </c>
    </row>
    <row r="2228" spans="1:2">
      <c r="A2228" t="s">
        <v>3619</v>
      </c>
      <c r="B2228">
        <v>3.8508176697774741</v>
      </c>
    </row>
    <row r="2229" spans="1:2">
      <c r="A2229" t="s">
        <v>3620</v>
      </c>
      <c r="B2229">
        <v>7.5342084843472323E-2</v>
      </c>
    </row>
    <row r="2230" spans="1:2">
      <c r="A2230" t="s">
        <v>3620</v>
      </c>
      <c r="B2230">
        <v>1.9781597618719901E-3</v>
      </c>
    </row>
    <row r="2231" spans="1:2">
      <c r="A2231" t="s">
        <v>551</v>
      </c>
      <c r="B2231">
        <v>5.5274894781494842E-4</v>
      </c>
    </row>
    <row r="2232" spans="1:2">
      <c r="A2232" t="s">
        <v>3621</v>
      </c>
      <c r="B2232">
        <v>1.7114745199010996E-2</v>
      </c>
    </row>
    <row r="2233" spans="1:2">
      <c r="A2233" t="s">
        <v>552</v>
      </c>
      <c r="B2233">
        <v>3.02737238190053E-8</v>
      </c>
    </row>
    <row r="2234" spans="1:2">
      <c r="A2234" t="s">
        <v>553</v>
      </c>
      <c r="B2234">
        <v>2.2100652374755932E-8</v>
      </c>
    </row>
    <row r="2235" spans="1:2">
      <c r="A2235" t="s">
        <v>554</v>
      </c>
      <c r="B2235">
        <v>1.2409326963632839E-9</v>
      </c>
    </row>
    <row r="2236" spans="1:2">
      <c r="A2236" t="s">
        <v>126</v>
      </c>
      <c r="B2236">
        <v>3.9718822288662075E-9</v>
      </c>
    </row>
    <row r="2237" spans="1:2">
      <c r="A2237" t="s">
        <v>127</v>
      </c>
      <c r="B2237">
        <v>8.3724074976481746E-9</v>
      </c>
    </row>
    <row r="2238" spans="1:2">
      <c r="A2238" t="s">
        <v>555</v>
      </c>
      <c r="B2238">
        <v>1.4945113286207905E-6</v>
      </c>
    </row>
    <row r="2239" spans="1:2">
      <c r="A2239" t="s">
        <v>556</v>
      </c>
      <c r="B2239">
        <v>1.9429733136440794E-7</v>
      </c>
    </row>
    <row r="2240" spans="1:2">
      <c r="A2240" t="s">
        <v>557</v>
      </c>
      <c r="B2240">
        <v>3.6273715804233928E-6</v>
      </c>
    </row>
    <row r="2241" spans="1:2">
      <c r="A2241" t="s">
        <v>558</v>
      </c>
      <c r="B2241">
        <v>7.1364300774230435E-5</v>
      </c>
    </row>
    <row r="2242" spans="1:2">
      <c r="A2242" t="s">
        <v>559</v>
      </c>
      <c r="B2242">
        <v>6.7796085735518902E-6</v>
      </c>
    </row>
    <row r="2243" spans="1:2">
      <c r="A2243" t="s">
        <v>3622</v>
      </c>
      <c r="B2243">
        <v>2.8176714656908347E-3</v>
      </c>
    </row>
    <row r="2244" spans="1:2">
      <c r="A2244" t="s">
        <v>3622</v>
      </c>
      <c r="B2244">
        <v>1.5362304533686731E-3</v>
      </c>
    </row>
    <row r="2245" spans="1:2">
      <c r="A2245" t="s">
        <v>3623</v>
      </c>
      <c r="B2245">
        <v>7.7016353395549476E-4</v>
      </c>
    </row>
    <row r="2246" spans="1:2">
      <c r="A2246" t="s">
        <v>3624</v>
      </c>
      <c r="B2246">
        <v>2.2004672398728423E-3</v>
      </c>
    </row>
    <row r="2247" spans="1:2">
      <c r="A2247" t="s">
        <v>3625</v>
      </c>
      <c r="B2247">
        <v>4.3106167945270229E-3</v>
      </c>
    </row>
    <row r="2248" spans="1:2">
      <c r="A2248" t="s">
        <v>3625</v>
      </c>
      <c r="B2248">
        <v>6.7955605937249537E-3</v>
      </c>
    </row>
    <row r="2249" spans="1:2">
      <c r="A2249" t="s">
        <v>3626</v>
      </c>
      <c r="B2249">
        <v>1.6702341700239647E-2</v>
      </c>
    </row>
    <row r="2250" spans="1:2">
      <c r="A2250" t="s">
        <v>3627</v>
      </c>
      <c r="B2250">
        <v>2.4933351818703067E-2</v>
      </c>
    </row>
    <row r="2251" spans="1:2">
      <c r="A2251" t="s">
        <v>3628</v>
      </c>
      <c r="B2251">
        <v>6.563893755302512E-2</v>
      </c>
    </row>
    <row r="2252" spans="1:2">
      <c r="A2252" t="s">
        <v>3629</v>
      </c>
      <c r="B2252">
        <v>0.14440566261665527</v>
      </c>
    </row>
    <row r="2253" spans="1:2">
      <c r="A2253" t="s">
        <v>3630</v>
      </c>
      <c r="B2253">
        <v>0.42420268088123947</v>
      </c>
    </row>
    <row r="2254" spans="1:2">
      <c r="A2254" t="s">
        <v>3631</v>
      </c>
      <c r="B2254">
        <v>0.95606507663440732</v>
      </c>
    </row>
    <row r="2255" spans="1:2">
      <c r="A2255" t="s">
        <v>3632</v>
      </c>
      <c r="B2255">
        <v>0.94951668569855519</v>
      </c>
    </row>
    <row r="2256" spans="1:2">
      <c r="A2256" t="s">
        <v>3633</v>
      </c>
      <c r="B2256">
        <v>1.4623358239661293</v>
      </c>
    </row>
    <row r="2257" spans="1:2">
      <c r="A2257" t="s">
        <v>3634</v>
      </c>
      <c r="B2257">
        <v>1.9094963651789127</v>
      </c>
    </row>
    <row r="2258" spans="1:2">
      <c r="A2258" t="s">
        <v>3635</v>
      </c>
      <c r="B2258">
        <v>2.4755256448569471</v>
      </c>
    </row>
    <row r="2259" spans="1:2">
      <c r="A2259" t="s">
        <v>3636</v>
      </c>
      <c r="B2259">
        <v>2.3338288907742268</v>
      </c>
    </row>
    <row r="2260" spans="1:2">
      <c r="A2260" t="s">
        <v>3637</v>
      </c>
      <c r="B2260">
        <v>24755.256448569475</v>
      </c>
    </row>
    <row r="2261" spans="1:2">
      <c r="A2261" t="s">
        <v>3638</v>
      </c>
      <c r="B2261">
        <v>495.10512897138949</v>
      </c>
    </row>
    <row r="2262" spans="1:2">
      <c r="A2262" t="s">
        <v>3639</v>
      </c>
      <c r="B2262">
        <v>2567.2117798516492</v>
      </c>
    </row>
    <row r="2263" spans="1:2">
      <c r="A2263" t="s">
        <v>3640</v>
      </c>
      <c r="B2263">
        <v>198.04205158855578</v>
      </c>
    </row>
    <row r="2264" spans="1:2">
      <c r="A2264" t="s">
        <v>3641</v>
      </c>
      <c r="B2264">
        <v>282.91721655507968</v>
      </c>
    </row>
    <row r="2265" spans="1:2">
      <c r="A2265" t="s">
        <v>3642</v>
      </c>
      <c r="B2265">
        <v>31.506690025452059</v>
      </c>
    </row>
    <row r="2266" spans="1:2">
      <c r="A2266" t="s">
        <v>3643</v>
      </c>
      <c r="B2266">
        <v>21.526309955277799</v>
      </c>
    </row>
    <row r="2267" spans="1:2">
      <c r="A2267" t="s">
        <v>3644</v>
      </c>
      <c r="B2267">
        <v>1.7030643257001112</v>
      </c>
    </row>
    <row r="2268" spans="1:2">
      <c r="A2268" t="s">
        <v>3644</v>
      </c>
      <c r="B2268">
        <v>2.8176714656908346</v>
      </c>
    </row>
    <row r="2269" spans="1:2">
      <c r="A2269" t="s">
        <v>3645</v>
      </c>
      <c r="B2269">
        <v>1.7682326034692482</v>
      </c>
    </row>
    <row r="2270" spans="1:2">
      <c r="A2270" t="s">
        <v>3646</v>
      </c>
      <c r="B2270">
        <v>0.14938516822412615</v>
      </c>
    </row>
    <row r="2271" spans="1:2">
      <c r="A2271" t="s">
        <v>3646</v>
      </c>
      <c r="B2271">
        <v>0.36101415654163821</v>
      </c>
    </row>
    <row r="2272" spans="1:2">
      <c r="A2272" t="s">
        <v>3647</v>
      </c>
      <c r="B2272">
        <v>0.12311672834102048</v>
      </c>
    </row>
    <row r="2273" spans="1:2">
      <c r="A2273" t="s">
        <v>3648</v>
      </c>
      <c r="B2273">
        <v>1.2836058899258247E-2</v>
      </c>
    </row>
    <row r="2274" spans="1:2">
      <c r="A2274" t="s">
        <v>3649</v>
      </c>
      <c r="B2274">
        <v>2.6866169789145165E-2</v>
      </c>
    </row>
    <row r="2275" spans="1:2">
      <c r="A2275" t="s">
        <v>3650</v>
      </c>
      <c r="B2275">
        <v>6.5638937553025127E-3</v>
      </c>
    </row>
    <row r="2276" spans="1:2">
      <c r="A2276" t="s">
        <v>3651</v>
      </c>
      <c r="B2276">
        <v>2.1004460016968039E-3</v>
      </c>
    </row>
    <row r="2277" spans="1:2">
      <c r="A2277" t="s">
        <v>3652</v>
      </c>
      <c r="B2277">
        <v>2.7703724243003411E-3</v>
      </c>
    </row>
    <row r="2278" spans="1:2">
      <c r="A2278" t="s">
        <v>3653</v>
      </c>
      <c r="B2278">
        <v>1.0045611312462974E-3</v>
      </c>
    </row>
    <row r="2279" spans="1:2">
      <c r="A2279" t="s">
        <v>3654</v>
      </c>
      <c r="B2279">
        <v>7.4531954898918846E-4</v>
      </c>
    </row>
    <row r="2280" spans="1:2">
      <c r="A2280" t="s">
        <v>3655</v>
      </c>
      <c r="B2280">
        <v>1.2836058899258246E-3</v>
      </c>
    </row>
    <row r="2281" spans="1:2">
      <c r="A2281" t="s">
        <v>3656</v>
      </c>
      <c r="B2281">
        <v>2.5902361007471795E-4</v>
      </c>
    </row>
    <row r="2282" spans="1:2">
      <c r="A2282" t="s">
        <v>560</v>
      </c>
      <c r="B2282">
        <v>3.1478073594911233E-4</v>
      </c>
    </row>
    <row r="2283" spans="1:2">
      <c r="A2283" t="s">
        <v>3657</v>
      </c>
      <c r="B2283">
        <v>1.5403270679109895E-2</v>
      </c>
    </row>
    <row r="2284" spans="1:2">
      <c r="A2284" t="s">
        <v>3658</v>
      </c>
      <c r="B2284">
        <v>5.4730211338508725E-5</v>
      </c>
    </row>
    <row r="2285" spans="1:2">
      <c r="A2285" t="s">
        <v>561</v>
      </c>
      <c r="B2285">
        <v>1.0756473937925905E-4</v>
      </c>
    </row>
    <row r="2286" spans="1:2">
      <c r="A2286" t="s">
        <v>3659</v>
      </c>
      <c r="B2286">
        <v>9.1165191045868214E-7</v>
      </c>
    </row>
    <row r="2287" spans="1:2">
      <c r="A2287" t="s">
        <v>562</v>
      </c>
      <c r="B2287">
        <v>3.3196704049805806E-5</v>
      </c>
    </row>
    <row r="2288" spans="1:2">
      <c r="A2288" t="s">
        <v>3660</v>
      </c>
      <c r="B2288">
        <v>0.24843984966306282</v>
      </c>
    </row>
    <row r="2289" spans="1:2">
      <c r="A2289" t="s">
        <v>3661</v>
      </c>
      <c r="B2289">
        <v>7.5791955574983193E-9</v>
      </c>
    </row>
    <row r="2290" spans="1:2">
      <c r="A2290" t="s">
        <v>3662</v>
      </c>
      <c r="B2290">
        <v>1.7713313488411393E-10</v>
      </c>
    </row>
    <row r="2291" spans="1:2">
      <c r="A2291" t="s">
        <v>42</v>
      </c>
      <c r="B2291">
        <v>5.7975522207550365E-8</v>
      </c>
    </row>
    <row r="2292" spans="1:2">
      <c r="A2292" t="s">
        <v>46</v>
      </c>
      <c r="B2292">
        <v>1.3433084894572582</v>
      </c>
    </row>
    <row r="2293" spans="1:2">
      <c r="A2293" t="s">
        <v>3663</v>
      </c>
      <c r="B2293">
        <v>2.7397121761262657E-2</v>
      </c>
    </row>
    <row r="2294" spans="1:2">
      <c r="A2294" t="s">
        <v>49</v>
      </c>
      <c r="B2294">
        <v>2349651.4595252378</v>
      </c>
    </row>
    <row r="2295" spans="1:2">
      <c r="A2295" t="s">
        <v>3664</v>
      </c>
      <c r="B2295">
        <v>1.5369117085586369E-2</v>
      </c>
    </row>
    <row r="2296" spans="1:2">
      <c r="A2296" t="s">
        <v>52</v>
      </c>
      <c r="B2296">
        <v>187033.77780894371</v>
      </c>
    </row>
    <row r="2297" spans="1:2">
      <c r="A2297" t="s">
        <v>54</v>
      </c>
      <c r="B2297">
        <v>4239.950945436417</v>
      </c>
    </row>
    <row r="2298" spans="1:2">
      <c r="A2298" t="s">
        <v>58</v>
      </c>
      <c r="B2298">
        <v>389.18988240311359</v>
      </c>
    </row>
    <row r="2299" spans="1:2">
      <c r="A2299" t="s">
        <v>60</v>
      </c>
      <c r="B2299">
        <v>4.813522087221842</v>
      </c>
    </row>
    <row r="2300" spans="1:2">
      <c r="A2300" t="s">
        <v>3665</v>
      </c>
      <c r="B2300">
        <v>0.45303737291499691</v>
      </c>
    </row>
    <row r="2301" spans="1:2">
      <c r="A2301" t="s">
        <v>65</v>
      </c>
      <c r="B2301">
        <v>3.730207623291063E-3</v>
      </c>
    </row>
    <row r="2302" spans="1:2">
      <c r="A2302" t="s">
        <v>3666</v>
      </c>
      <c r="B2302">
        <v>1.118340078347766E-3</v>
      </c>
    </row>
    <row r="2303" spans="1:2">
      <c r="A2303" t="s">
        <v>3667</v>
      </c>
      <c r="B2303">
        <v>6.177782357931776E-3</v>
      </c>
    </row>
    <row r="2304" spans="1:2">
      <c r="A2304" t="s">
        <v>3668</v>
      </c>
      <c r="B2304">
        <v>4.7737409129472823E-3</v>
      </c>
    </row>
    <row r="2305" spans="1:2">
      <c r="A2305" t="s">
        <v>3669</v>
      </c>
      <c r="B2305">
        <v>69.314718055994533</v>
      </c>
    </row>
    <row r="2306" spans="1:2">
      <c r="A2306" t="s">
        <v>3670</v>
      </c>
      <c r="B2306">
        <v>0.57762265046662109</v>
      </c>
    </row>
    <row r="2307" spans="1:2">
      <c r="A2307" t="s">
        <v>3671</v>
      </c>
      <c r="B2307">
        <v>0.21004460016968041</v>
      </c>
    </row>
    <row r="2308" spans="1:2">
      <c r="A2308" t="s">
        <v>3672</v>
      </c>
      <c r="B2308">
        <v>0.22216255787177733</v>
      </c>
    </row>
    <row r="2309" spans="1:2">
      <c r="A2309" t="s">
        <v>3673</v>
      </c>
      <c r="B2309">
        <v>0.16503504299046315</v>
      </c>
    </row>
    <row r="2310" spans="1:2">
      <c r="A2310" t="s">
        <v>3674</v>
      </c>
      <c r="B2310">
        <v>0.24755256448569476</v>
      </c>
    </row>
    <row r="2311" spans="1:2">
      <c r="A2311" t="s">
        <v>3675</v>
      </c>
      <c r="B2311">
        <v>2.2359586469675653E-2</v>
      </c>
    </row>
    <row r="2312" spans="1:2">
      <c r="A2312" t="s">
        <v>3676</v>
      </c>
      <c r="B2312">
        <v>1.7328679513998631E-2</v>
      </c>
    </row>
    <row r="2313" spans="1:2">
      <c r="A2313" t="s">
        <v>3677</v>
      </c>
      <c r="B2313">
        <v>7.7533241673371951E-3</v>
      </c>
    </row>
    <row r="2314" spans="1:2">
      <c r="A2314" t="s">
        <v>3678</v>
      </c>
      <c r="B2314">
        <v>0.12160476851928864</v>
      </c>
    </row>
    <row r="2315" spans="1:2">
      <c r="A2315" t="s">
        <v>3679</v>
      </c>
      <c r="B2315">
        <v>7.2202831308327631E-3</v>
      </c>
    </row>
    <row r="2316" spans="1:2">
      <c r="A2316" t="s">
        <v>3680</v>
      </c>
      <c r="B2316">
        <v>1.7773004629742187E-3</v>
      </c>
    </row>
    <row r="2317" spans="1:2">
      <c r="A2317" t="s">
        <v>3681</v>
      </c>
      <c r="B2317">
        <v>0.63013380050904111</v>
      </c>
    </row>
    <row r="2318" spans="1:2">
      <c r="A2318" t="s">
        <v>3682</v>
      </c>
      <c r="B2318">
        <v>6.7955605937249542E-4</v>
      </c>
    </row>
    <row r="2319" spans="1:2">
      <c r="A2319" t="s">
        <v>3683</v>
      </c>
      <c r="B2319">
        <v>4.5482098461938666E-4</v>
      </c>
    </row>
    <row r="2320" spans="1:2">
      <c r="A2320" t="s">
        <v>563</v>
      </c>
      <c r="B2320">
        <v>8.8186664193377266E-4</v>
      </c>
    </row>
    <row r="2321" spans="1:2">
      <c r="A2321" t="s">
        <v>564</v>
      </c>
      <c r="B2321">
        <v>1.5042256522568257E-4</v>
      </c>
    </row>
    <row r="2322" spans="1:2">
      <c r="A2322" t="s">
        <v>3684</v>
      </c>
      <c r="B2322">
        <v>7.9672089719533944E-3</v>
      </c>
    </row>
    <row r="2323" spans="1:2">
      <c r="A2323" t="s">
        <v>3684</v>
      </c>
      <c r="B2323">
        <v>9.4847725856588033E-5</v>
      </c>
    </row>
    <row r="2324" spans="1:2">
      <c r="A2324" t="s">
        <v>566</v>
      </c>
      <c r="B2324">
        <v>4.3660064283191311E-5</v>
      </c>
    </row>
    <row r="2325" spans="1:2">
      <c r="A2325" t="s">
        <v>3685</v>
      </c>
      <c r="B2325">
        <v>3.4078032475906845E-3</v>
      </c>
    </row>
    <row r="2326" spans="1:2">
      <c r="A2326" t="s">
        <v>567</v>
      </c>
      <c r="B2326">
        <v>1.0070129889585444E-5</v>
      </c>
    </row>
    <row r="2327" spans="1:2">
      <c r="A2327" t="s">
        <v>568</v>
      </c>
      <c r="B2327">
        <v>7.9126390474879601E-4</v>
      </c>
    </row>
    <row r="2328" spans="1:2">
      <c r="A2328" t="s">
        <v>569</v>
      </c>
      <c r="B2328">
        <v>5.9119652262611673E-7</v>
      </c>
    </row>
    <row r="2329" spans="1:2">
      <c r="A2329" t="s">
        <v>125</v>
      </c>
      <c r="B2329">
        <v>6.6854473433636686E-4</v>
      </c>
    </row>
    <row r="2330" spans="1:2">
      <c r="A2330" t="s">
        <v>3686</v>
      </c>
      <c r="B2330">
        <v>1.6045073624072809E-3</v>
      </c>
    </row>
    <row r="2331" spans="1:2">
      <c r="A2331" t="s">
        <v>570</v>
      </c>
      <c r="B2331">
        <v>3.2186707370256384E-5</v>
      </c>
    </row>
    <row r="2332" spans="1:2">
      <c r="A2332" t="s">
        <v>3687</v>
      </c>
      <c r="B2332">
        <v>4.7955388166593695E-4</v>
      </c>
    </row>
    <row r="2333" spans="1:2">
      <c r="A2333" t="s">
        <v>571</v>
      </c>
      <c r="B2333">
        <v>8.653522853432525E-4</v>
      </c>
    </row>
    <row r="2334" spans="1:2">
      <c r="A2334" t="s">
        <v>3688</v>
      </c>
      <c r="B2334">
        <v>5.0447393053853363E-3</v>
      </c>
    </row>
    <row r="2335" spans="1:2">
      <c r="A2335" t="s">
        <v>3689</v>
      </c>
      <c r="B2335">
        <v>5.7474890593693642E-3</v>
      </c>
    </row>
    <row r="2336" spans="1:2">
      <c r="A2336" t="s">
        <v>3690</v>
      </c>
      <c r="B2336">
        <v>5.1117048713860275E-3</v>
      </c>
    </row>
    <row r="2337" spans="1:2">
      <c r="A2337" t="s">
        <v>3691</v>
      </c>
      <c r="B2337">
        <v>0.11197854290144511</v>
      </c>
    </row>
    <row r="2338" spans="1:2">
      <c r="A2338" t="s">
        <v>3692</v>
      </c>
      <c r="B2338">
        <v>3.6674453997880704E-2</v>
      </c>
    </row>
    <row r="2339" spans="1:2">
      <c r="A2339" t="s">
        <v>3693</v>
      </c>
      <c r="B2339">
        <v>0.19415887410642726</v>
      </c>
    </row>
    <row r="2340" spans="1:2">
      <c r="A2340" t="s">
        <v>3694</v>
      </c>
      <c r="B2340">
        <v>0.16157276936129261</v>
      </c>
    </row>
    <row r="2341" spans="1:2">
      <c r="A2341" t="s">
        <v>3695</v>
      </c>
      <c r="B2341">
        <v>0.30136833937388929</v>
      </c>
    </row>
    <row r="2342" spans="1:2">
      <c r="A2342" t="s">
        <v>3696</v>
      </c>
      <c r="B2342">
        <v>0.47152869425846616</v>
      </c>
    </row>
    <row r="2343" spans="1:2">
      <c r="A2343" t="s">
        <v>3697</v>
      </c>
      <c r="B2343">
        <v>1.5611422985584353</v>
      </c>
    </row>
    <row r="2344" spans="1:2">
      <c r="A2344" t="s">
        <v>3698</v>
      </c>
      <c r="B2344">
        <v>2.3496514595252385</v>
      </c>
    </row>
    <row r="2345" spans="1:2">
      <c r="A2345" t="s">
        <v>3699</v>
      </c>
      <c r="B2345">
        <v>3.829542434032847</v>
      </c>
    </row>
    <row r="2346" spans="1:2">
      <c r="A2346" t="s">
        <v>3700</v>
      </c>
      <c r="B2346">
        <v>5.1727401534324269</v>
      </c>
    </row>
    <row r="2347" spans="1:2">
      <c r="A2347" t="s">
        <v>3701</v>
      </c>
      <c r="B2347">
        <v>4.077336356234972</v>
      </c>
    </row>
    <row r="2348" spans="1:2">
      <c r="A2348" t="s">
        <v>3702</v>
      </c>
      <c r="B2348">
        <v>2665.9506944613281</v>
      </c>
    </row>
    <row r="2349" spans="1:2">
      <c r="A2349" t="s">
        <v>3703</v>
      </c>
      <c r="B2349">
        <v>2475.5256448569476</v>
      </c>
    </row>
    <row r="2350" spans="1:2">
      <c r="A2350" t="s">
        <v>3704</v>
      </c>
      <c r="B2350">
        <v>770.1635339554947</v>
      </c>
    </row>
    <row r="2351" spans="1:2">
      <c r="A2351" t="s">
        <v>3705</v>
      </c>
      <c r="B2351">
        <v>343.14216859403228</v>
      </c>
    </row>
    <row r="2352" spans="1:2">
      <c r="A2352" t="s">
        <v>3706</v>
      </c>
      <c r="B2352">
        <v>99.162686775385581</v>
      </c>
    </row>
    <row r="2353" spans="1:2">
      <c r="A2353" t="s">
        <v>3707</v>
      </c>
      <c r="B2353">
        <v>49.866703637406133</v>
      </c>
    </row>
    <row r="2354" spans="1:2">
      <c r="A2354" t="s">
        <v>3708</v>
      </c>
      <c r="B2354">
        <v>15.068416968694462</v>
      </c>
    </row>
    <row r="2355" spans="1:2">
      <c r="A2355" t="s">
        <v>3709</v>
      </c>
      <c r="B2355">
        <v>7.1165008271041597</v>
      </c>
    </row>
    <row r="2356" spans="1:2">
      <c r="A2356" t="s">
        <v>3710</v>
      </c>
      <c r="B2356">
        <v>1.8533347073795328</v>
      </c>
    </row>
    <row r="2357" spans="1:2">
      <c r="A2357" t="s">
        <v>3711</v>
      </c>
      <c r="B2357">
        <v>0.79855665963127342</v>
      </c>
    </row>
    <row r="2358" spans="1:2">
      <c r="A2358" t="s">
        <v>3712</v>
      </c>
      <c r="B2358">
        <v>0.28524575331684987</v>
      </c>
    </row>
    <row r="2359" spans="1:2">
      <c r="A2359" t="s">
        <v>3713</v>
      </c>
      <c r="B2359">
        <v>0.10967518679745969</v>
      </c>
    </row>
    <row r="2360" spans="1:2">
      <c r="A2360" t="s">
        <v>3714</v>
      </c>
      <c r="B2360">
        <v>6.9314718055994526E-2</v>
      </c>
    </row>
    <row r="2361" spans="1:2">
      <c r="A2361" t="s">
        <v>3715</v>
      </c>
      <c r="B2361">
        <v>3.3007008598092635E-2</v>
      </c>
    </row>
    <row r="2362" spans="1:2">
      <c r="A2362" t="s">
        <v>3716</v>
      </c>
      <c r="B2362">
        <v>3.2695621724525725E-2</v>
      </c>
    </row>
    <row r="2363" spans="1:2">
      <c r="A2363" t="s">
        <v>3717</v>
      </c>
      <c r="B2363">
        <v>1.2377628224284737E-2</v>
      </c>
    </row>
    <row r="2364" spans="1:2">
      <c r="A2364" t="s">
        <v>3718</v>
      </c>
      <c r="B2364">
        <v>1.332975347230664E-2</v>
      </c>
    </row>
    <row r="2365" spans="1:2">
      <c r="A2365" t="s">
        <v>3719</v>
      </c>
      <c r="B2365">
        <v>4.278686299752749E-3</v>
      </c>
    </row>
    <row r="2366" spans="1:2">
      <c r="A2366" t="s">
        <v>3720</v>
      </c>
      <c r="B2366">
        <v>1.7773004629742187E-3</v>
      </c>
    </row>
    <row r="2367" spans="1:2">
      <c r="A2367" t="s">
        <v>3721</v>
      </c>
      <c r="B2367">
        <v>1.6119701873487099E-2</v>
      </c>
    </row>
    <row r="2368" spans="1:2">
      <c r="A2368" t="s">
        <v>3722</v>
      </c>
      <c r="B2368">
        <v>6.6777185025042904E-4</v>
      </c>
    </row>
    <row r="2369" spans="1:2">
      <c r="A2369" t="s">
        <v>3723</v>
      </c>
      <c r="B2369">
        <v>1.6294009886223443E-4</v>
      </c>
    </row>
    <row r="2370" spans="1:2">
      <c r="A2370" t="s">
        <v>3724</v>
      </c>
      <c r="B2370">
        <v>3.5007433361613398E-4</v>
      </c>
    </row>
    <row r="2371" spans="1:2">
      <c r="A2371" t="s">
        <v>572</v>
      </c>
      <c r="B2371">
        <v>9.2567732446573888E-5</v>
      </c>
    </row>
    <row r="2372" spans="1:2">
      <c r="A2372" t="s">
        <v>3725</v>
      </c>
      <c r="B2372">
        <v>8.1932290846329226E-5</v>
      </c>
    </row>
    <row r="2373" spans="1:2">
      <c r="A2373" t="s">
        <v>573</v>
      </c>
      <c r="B2373">
        <v>7.8652321686631422E-7</v>
      </c>
    </row>
    <row r="2374" spans="1:2">
      <c r="A2374" t="s">
        <v>574</v>
      </c>
      <c r="B2374">
        <v>1.7680521899804745E-5</v>
      </c>
    </row>
    <row r="2375" spans="1:2">
      <c r="A2375" t="s">
        <v>3726</v>
      </c>
      <c r="B2375">
        <v>4.4825528011490053E-20</v>
      </c>
    </row>
    <row r="2376" spans="1:2">
      <c r="A2376" t="s">
        <v>575</v>
      </c>
      <c r="B2376">
        <v>2.80508280141133E-6</v>
      </c>
    </row>
    <row r="2377" spans="1:2">
      <c r="A2377" t="s">
        <v>576</v>
      </c>
      <c r="B2377">
        <v>4.3929017451260253E-10</v>
      </c>
    </row>
    <row r="2378" spans="1:2">
      <c r="A2378" t="s">
        <v>577</v>
      </c>
      <c r="B2378">
        <v>1.8527798642116406E-6</v>
      </c>
    </row>
    <row r="2379" spans="1:2">
      <c r="A2379" t="s">
        <v>578</v>
      </c>
      <c r="B2379">
        <v>2.0006326214554623E-6</v>
      </c>
    </row>
    <row r="2380" spans="1:2">
      <c r="A2380" t="s">
        <v>579</v>
      </c>
      <c r="B2380">
        <v>9.6795557644659101E-6</v>
      </c>
    </row>
    <row r="2381" spans="1:2">
      <c r="A2381" t="s">
        <v>580</v>
      </c>
      <c r="B2381">
        <v>1.2108220322117622E-4</v>
      </c>
    </row>
    <row r="2382" spans="1:2">
      <c r="A2382" t="s">
        <v>581</v>
      </c>
      <c r="B2382">
        <v>3.7864480528785384E-4</v>
      </c>
    </row>
    <row r="2383" spans="1:2">
      <c r="A2383" t="s">
        <v>3727</v>
      </c>
      <c r="B2383">
        <v>5.1344235597032988E-2</v>
      </c>
    </row>
    <row r="2384" spans="1:2">
      <c r="A2384" t="s">
        <v>582</v>
      </c>
      <c r="B2384">
        <v>1.5281022499116961E-5</v>
      </c>
    </row>
    <row r="2385" spans="1:2">
      <c r="A2385" t="s">
        <v>3728</v>
      </c>
      <c r="B2385">
        <v>4.6209812037329686E-3</v>
      </c>
    </row>
    <row r="2386" spans="1:2">
      <c r="A2386" t="s">
        <v>3729</v>
      </c>
      <c r="B2386">
        <v>4.3759291702016748E-6</v>
      </c>
    </row>
    <row r="2387" spans="1:2">
      <c r="A2387" t="s">
        <v>3730</v>
      </c>
      <c r="B2387">
        <v>3.1506690025452061E-2</v>
      </c>
    </row>
    <row r="2388" spans="1:2">
      <c r="A2388" t="s">
        <v>3731</v>
      </c>
      <c r="B2388">
        <v>5.7762265046662105E-2</v>
      </c>
    </row>
    <row r="2389" spans="1:2">
      <c r="A2389" t="s">
        <v>3732</v>
      </c>
      <c r="B2389">
        <v>6.4780110332705171E-2</v>
      </c>
    </row>
    <row r="2390" spans="1:2">
      <c r="A2390" t="s">
        <v>3733</v>
      </c>
      <c r="B2390">
        <v>0.63013380050904111</v>
      </c>
    </row>
    <row r="2391" spans="1:2">
      <c r="A2391" t="s">
        <v>3734</v>
      </c>
      <c r="B2391">
        <v>8.3511708501198233E-3</v>
      </c>
    </row>
    <row r="2392" spans="1:2">
      <c r="A2392" t="s">
        <v>3735</v>
      </c>
      <c r="B2392">
        <v>6.4780110332705171E-3</v>
      </c>
    </row>
    <row r="2393" spans="1:2">
      <c r="A2393" t="s">
        <v>3736</v>
      </c>
      <c r="B2393">
        <v>1.3433084894572582E-3</v>
      </c>
    </row>
    <row r="2394" spans="1:2">
      <c r="A2394" t="s">
        <v>3737</v>
      </c>
      <c r="B2394">
        <v>3.4901670723058676E-4</v>
      </c>
    </row>
    <row r="2395" spans="1:2">
      <c r="A2395" t="s">
        <v>3738</v>
      </c>
      <c r="B2395">
        <v>5.5274894781494842E-4</v>
      </c>
    </row>
    <row r="2396" spans="1:2">
      <c r="A2396" t="s">
        <v>583</v>
      </c>
      <c r="B2396">
        <v>2.187964585100837E-5</v>
      </c>
    </row>
    <row r="2397" spans="1:2">
      <c r="A2397" t="s">
        <v>584</v>
      </c>
      <c r="B2397">
        <v>4.5661869602104435E-4</v>
      </c>
    </row>
    <row r="2398" spans="1:2">
      <c r="A2398" t="s">
        <v>132</v>
      </c>
      <c r="B2398">
        <v>7.6852724722288765E-9</v>
      </c>
    </row>
    <row r="2399" spans="1:2">
      <c r="A2399" t="s">
        <v>585</v>
      </c>
      <c r="B2399">
        <v>1.7577863304198956E-7</v>
      </c>
    </row>
    <row r="2400" spans="1:2">
      <c r="A2400" t="s">
        <v>3739</v>
      </c>
      <c r="B2400">
        <v>3.8508176697774741</v>
      </c>
    </row>
    <row r="2401" spans="1:2">
      <c r="A2401" t="s">
        <v>97</v>
      </c>
      <c r="B2401">
        <v>2.5045049858187148E-10</v>
      </c>
    </row>
    <row r="2402" spans="1:2">
      <c r="A2402" t="s">
        <v>99</v>
      </c>
      <c r="B2402">
        <v>9.1139040355311721E-13</v>
      </c>
    </row>
    <row r="2403" spans="1:2">
      <c r="A2403" t="s">
        <v>101</v>
      </c>
      <c r="B2403">
        <v>3.347125769655013E-12</v>
      </c>
    </row>
    <row r="2404" spans="1:2">
      <c r="A2404" t="s">
        <v>103</v>
      </c>
      <c r="B2404">
        <v>1.5328710116288734E-9</v>
      </c>
    </row>
    <row r="2405" spans="1:2">
      <c r="A2405" t="s">
        <v>133</v>
      </c>
      <c r="B2405">
        <v>5.8572023268347008E-14</v>
      </c>
    </row>
    <row r="2406" spans="1:2">
      <c r="A2406" t="s">
        <v>586</v>
      </c>
      <c r="B2406">
        <v>3.8857897777774713E-5</v>
      </c>
    </row>
    <row r="2407" spans="1:2">
      <c r="A2407" t="s">
        <v>587</v>
      </c>
      <c r="B2407">
        <v>2.7016615898684041E-16</v>
      </c>
    </row>
    <row r="2408" spans="1:2">
      <c r="A2408" t="s">
        <v>3740</v>
      </c>
      <c r="B2408">
        <v>0.39608410317711157</v>
      </c>
    </row>
    <row r="2409" spans="1:2">
      <c r="A2409" t="s">
        <v>588</v>
      </c>
      <c r="B2409">
        <v>1.8267636004636973E-5</v>
      </c>
    </row>
    <row r="2410" spans="1:2">
      <c r="A2410" t="s">
        <v>589</v>
      </c>
      <c r="B2410">
        <v>7.4008642177457594E-7</v>
      </c>
    </row>
    <row r="2411" spans="1:2">
      <c r="A2411" t="s">
        <v>3741</v>
      </c>
      <c r="B2411">
        <v>3.5341571859191205E-6</v>
      </c>
    </row>
    <row r="2412" spans="1:2">
      <c r="A2412" t="s">
        <v>3742</v>
      </c>
      <c r="B2412">
        <v>86.643397569993155</v>
      </c>
    </row>
    <row r="2413" spans="1:2">
      <c r="A2413" t="s">
        <v>3742</v>
      </c>
      <c r="B2413">
        <v>433.21698784996579</v>
      </c>
    </row>
    <row r="2414" spans="1:2">
      <c r="A2414" t="s">
        <v>3743</v>
      </c>
      <c r="B2414">
        <v>182.40715277893298</v>
      </c>
    </row>
    <row r="2415" spans="1:2">
      <c r="A2415" t="s">
        <v>3744</v>
      </c>
      <c r="B2415">
        <v>22.359586469675655</v>
      </c>
    </row>
    <row r="2416" spans="1:2">
      <c r="A2416" t="s">
        <v>3745</v>
      </c>
      <c r="B2416">
        <v>11.95081345793009</v>
      </c>
    </row>
    <row r="2417" spans="1:2">
      <c r="A2417" t="s">
        <v>3746</v>
      </c>
      <c r="B2417">
        <v>3.22394037469742</v>
      </c>
    </row>
    <row r="2418" spans="1:2">
      <c r="A2418" t="s">
        <v>3746</v>
      </c>
      <c r="B2418">
        <v>4.077336356234972</v>
      </c>
    </row>
    <row r="2419" spans="1:2">
      <c r="A2419" t="s">
        <v>3747</v>
      </c>
      <c r="B2419">
        <v>2.8881132523331057</v>
      </c>
    </row>
    <row r="2420" spans="1:2">
      <c r="A2420" t="s">
        <v>3748</v>
      </c>
      <c r="B2420">
        <v>0.49510512897138953</v>
      </c>
    </row>
    <row r="2421" spans="1:2">
      <c r="A2421" t="s">
        <v>3749</v>
      </c>
      <c r="B2421">
        <v>0.62445691942337411</v>
      </c>
    </row>
    <row r="2422" spans="1:2">
      <c r="A2422" t="s">
        <v>3750</v>
      </c>
      <c r="B2422">
        <v>0.14440566261665527</v>
      </c>
    </row>
    <row r="2423" spans="1:2">
      <c r="A2423" t="s">
        <v>3751</v>
      </c>
      <c r="B2423">
        <v>0.17773004629742187</v>
      </c>
    </row>
    <row r="2424" spans="1:2">
      <c r="A2424" t="s">
        <v>3752</v>
      </c>
      <c r="B2424">
        <v>5.3319013889226559E-2</v>
      </c>
    </row>
    <row r="2425" spans="1:2">
      <c r="A2425" t="s">
        <v>3753</v>
      </c>
      <c r="B2425">
        <v>5.3319013889226559E-2</v>
      </c>
    </row>
    <row r="2426" spans="1:2">
      <c r="A2426" t="s">
        <v>3754</v>
      </c>
      <c r="B2426">
        <v>4.2316677689862347E-3</v>
      </c>
    </row>
    <row r="2427" spans="1:2">
      <c r="A2427" t="s">
        <v>3755</v>
      </c>
      <c r="B2427">
        <v>0.2843097541263106</v>
      </c>
    </row>
    <row r="2428" spans="1:2">
      <c r="A2428" t="s">
        <v>3756</v>
      </c>
      <c r="B2428">
        <v>412.58760747615787</v>
      </c>
    </row>
    <row r="2429" spans="1:2">
      <c r="A2429" t="s">
        <v>3757</v>
      </c>
      <c r="B2429">
        <v>4029925.468371775</v>
      </c>
    </row>
    <row r="2430" spans="1:2">
      <c r="A2430" t="s">
        <v>3758</v>
      </c>
      <c r="B2430">
        <v>435941.62299367628</v>
      </c>
    </row>
    <row r="2431" spans="1:2">
      <c r="A2431" t="s">
        <v>3759</v>
      </c>
      <c r="B2431">
        <v>26752.110403703024</v>
      </c>
    </row>
    <row r="2432" spans="1:2">
      <c r="A2432" t="s">
        <v>3760</v>
      </c>
      <c r="B2432">
        <v>77.016353395549473</v>
      </c>
    </row>
    <row r="2433" spans="1:2">
      <c r="A2433" t="s">
        <v>3761</v>
      </c>
      <c r="B2433">
        <v>38.508176697774736</v>
      </c>
    </row>
    <row r="2434" spans="1:2">
      <c r="A2434" t="s">
        <v>3762</v>
      </c>
      <c r="B2434">
        <v>4.332169878499658E-2</v>
      </c>
    </row>
    <row r="2435" spans="1:2">
      <c r="A2435" t="s">
        <v>3763</v>
      </c>
      <c r="B2435">
        <v>2.0629380373807894E-2</v>
      </c>
    </row>
    <row r="2436" spans="1:2">
      <c r="A2436" t="s">
        <v>71</v>
      </c>
      <c r="B2436">
        <v>7.0156506331646177E-7</v>
      </c>
    </row>
    <row r="2437" spans="1:2">
      <c r="A2437" t="s">
        <v>73</v>
      </c>
      <c r="B2437">
        <v>2.2092740374071005E-6</v>
      </c>
    </row>
    <row r="2438" spans="1:2">
      <c r="A2438" t="s">
        <v>75</v>
      </c>
      <c r="B2438">
        <v>5.4206329811056779E-7</v>
      </c>
    </row>
    <row r="2439" spans="1:2">
      <c r="A2439" t="s">
        <v>76</v>
      </c>
      <c r="B2439">
        <v>1.3727817953518829E-11</v>
      </c>
    </row>
    <row r="2440" spans="1:2">
      <c r="A2440" t="s">
        <v>590</v>
      </c>
      <c r="B2440">
        <v>2.7375481064768772E-4</v>
      </c>
    </row>
    <row r="2441" spans="1:2">
      <c r="A2441" t="s">
        <v>81</v>
      </c>
      <c r="B2441">
        <v>3.8199145609791522E-9</v>
      </c>
    </row>
    <row r="2442" spans="1:2">
      <c r="A2442" t="s">
        <v>3764</v>
      </c>
      <c r="B2442">
        <v>2.8881132523331052E-3</v>
      </c>
    </row>
    <row r="2443" spans="1:2">
      <c r="A2443" t="s">
        <v>3765</v>
      </c>
      <c r="B2443">
        <v>1.2421992483153141E-4</v>
      </c>
    </row>
    <row r="2444" spans="1:2">
      <c r="A2444" t="s">
        <v>3766</v>
      </c>
      <c r="B2444">
        <v>6.6712914394604934E-3</v>
      </c>
    </row>
    <row r="2445" spans="1:2">
      <c r="A2445" t="s">
        <v>3767</v>
      </c>
      <c r="B2445">
        <v>2.7505840498410527E-3</v>
      </c>
    </row>
    <row r="2446" spans="1:2">
      <c r="A2446" t="s">
        <v>3768</v>
      </c>
      <c r="B2446">
        <v>2.3104906018664842E-2</v>
      </c>
    </row>
    <row r="2447" spans="1:2">
      <c r="A2447" t="s">
        <v>3769</v>
      </c>
      <c r="B2447">
        <v>2.3104906018664842E-2</v>
      </c>
    </row>
    <row r="2448" spans="1:2">
      <c r="A2448" t="s">
        <v>3770</v>
      </c>
      <c r="B2448">
        <v>13.329753472306638</v>
      </c>
    </row>
    <row r="2449" spans="1:2">
      <c r="A2449" t="s">
        <v>3771</v>
      </c>
      <c r="B2449">
        <v>21.660849392498289</v>
      </c>
    </row>
    <row r="2450" spans="1:2">
      <c r="A2450" t="s">
        <v>3772</v>
      </c>
      <c r="B2450">
        <v>18.733707582701225</v>
      </c>
    </row>
    <row r="2451" spans="1:2">
      <c r="A2451" t="s">
        <v>3773</v>
      </c>
      <c r="B2451">
        <v>30.136833937388925</v>
      </c>
    </row>
    <row r="2452" spans="1:2">
      <c r="A2452" t="s">
        <v>3774</v>
      </c>
      <c r="B2452">
        <v>6729584.2772810217</v>
      </c>
    </row>
    <row r="2453" spans="1:2">
      <c r="A2453" t="s">
        <v>3775</v>
      </c>
      <c r="B2453">
        <v>10.700513771245122</v>
      </c>
    </row>
    <row r="2454" spans="1:2">
      <c r="A2454" t="s">
        <v>3776</v>
      </c>
      <c r="B2454">
        <v>3.6481430555786593E-2</v>
      </c>
    </row>
    <row r="2455" spans="1:2">
      <c r="A2455" t="s">
        <v>3777</v>
      </c>
      <c r="B2455">
        <v>1.8990333713971103E-2</v>
      </c>
    </row>
    <row r="2456" spans="1:2">
      <c r="A2456" t="s">
        <v>3778</v>
      </c>
      <c r="B2456">
        <v>3.0562044998233922E-3</v>
      </c>
    </row>
    <row r="2457" spans="1:2">
      <c r="A2457" t="s">
        <v>3779</v>
      </c>
      <c r="B2457">
        <v>6.5415928705166604E-4</v>
      </c>
    </row>
    <row r="2458" spans="1:2">
      <c r="A2458" t="s">
        <v>3780</v>
      </c>
      <c r="B2458">
        <v>2.0091222624925948E-3</v>
      </c>
    </row>
    <row r="2459" spans="1:2">
      <c r="A2459" t="s">
        <v>591</v>
      </c>
      <c r="B2459">
        <v>5.0668653549703604E-4</v>
      </c>
    </row>
    <row r="2460" spans="1:2">
      <c r="A2460" t="s">
        <v>3781</v>
      </c>
      <c r="B2460">
        <v>2.0752909597603154E-2</v>
      </c>
    </row>
    <row r="2461" spans="1:2">
      <c r="A2461" t="s">
        <v>592</v>
      </c>
      <c r="B2461">
        <v>4.2122267225743535E-5</v>
      </c>
    </row>
    <row r="2462" spans="1:2">
      <c r="A2462" t="s">
        <v>593</v>
      </c>
      <c r="B2462">
        <v>3.7988993782743909E-4</v>
      </c>
    </row>
    <row r="2463" spans="1:2">
      <c r="A2463" t="s">
        <v>3782</v>
      </c>
      <c r="B2463">
        <v>9.1853804638088749E-3</v>
      </c>
    </row>
    <row r="2464" spans="1:2">
      <c r="A2464" t="s">
        <v>594</v>
      </c>
      <c r="B2464">
        <v>2.9749827485919913E-5</v>
      </c>
    </row>
    <row r="2465" spans="1:2">
      <c r="A2465" t="s">
        <v>595</v>
      </c>
      <c r="B2465">
        <v>9.3068872529424639E-8</v>
      </c>
    </row>
    <row r="2466" spans="1:2">
      <c r="A2466" t="s">
        <v>596</v>
      </c>
      <c r="B2466">
        <v>2.4444048787435723E-7</v>
      </c>
    </row>
    <row r="2467" spans="1:2">
      <c r="A2467" t="s">
        <v>3783</v>
      </c>
      <c r="B2467">
        <v>5.7020992148728634E-4</v>
      </c>
    </row>
    <row r="2468" spans="1:2">
      <c r="A2468" t="s">
        <v>19</v>
      </c>
      <c r="B2468">
        <v>4.2967901087442581E-7</v>
      </c>
    </row>
    <row r="2469" spans="1:2">
      <c r="A2469" t="s">
        <v>3784</v>
      </c>
      <c r="B2469">
        <v>1.1359344158635617E-2</v>
      </c>
    </row>
    <row r="2470" spans="1:2">
      <c r="A2470" t="s">
        <v>597</v>
      </c>
      <c r="B2470">
        <v>4.419418254653949E-19</v>
      </c>
    </row>
    <row r="2471" spans="1:2">
      <c r="A2471" t="s">
        <v>598</v>
      </c>
      <c r="B2471">
        <v>6.4992703287383529E-4</v>
      </c>
    </row>
    <row r="2472" spans="1:2">
      <c r="A2472" t="s">
        <v>599</v>
      </c>
      <c r="B2472">
        <v>7.5064671925486812E-4</v>
      </c>
    </row>
    <row r="2473" spans="1:2">
      <c r="A2473" t="s">
        <v>3785</v>
      </c>
      <c r="B2473">
        <v>4.3870074718983876E-3</v>
      </c>
    </row>
    <row r="2474" spans="1:2">
      <c r="A2474" t="s">
        <v>3786</v>
      </c>
      <c r="B2474">
        <v>2.6866169789145165E-3</v>
      </c>
    </row>
    <row r="2475" spans="1:2">
      <c r="A2475" t="s">
        <v>3787</v>
      </c>
      <c r="B2475">
        <v>1.1950813457930091E-2</v>
      </c>
    </row>
    <row r="2476" spans="1:2">
      <c r="A2476" t="s">
        <v>3788</v>
      </c>
      <c r="B2476">
        <v>0.1547203528035592</v>
      </c>
    </row>
    <row r="2477" spans="1:2">
      <c r="A2477" t="s">
        <v>3789</v>
      </c>
      <c r="B2477">
        <v>0.11848669753161459</v>
      </c>
    </row>
    <row r="2478" spans="1:2">
      <c r="A2478" t="s">
        <v>3790</v>
      </c>
      <c r="B2478">
        <v>0.25634141292897383</v>
      </c>
    </row>
    <row r="2479" spans="1:2">
      <c r="A2479" t="s">
        <v>3791</v>
      </c>
      <c r="B2479">
        <v>1.8245516729664264</v>
      </c>
    </row>
    <row r="2480" spans="1:2">
      <c r="A2480" t="s">
        <v>3792</v>
      </c>
      <c r="B2480">
        <v>3.438230062301316</v>
      </c>
    </row>
    <row r="2481" spans="1:2">
      <c r="A2481" t="s">
        <v>3793</v>
      </c>
      <c r="B2481">
        <v>4.0990371410996174</v>
      </c>
    </row>
    <row r="2482" spans="1:2">
      <c r="A2482" t="s">
        <v>3794</v>
      </c>
      <c r="B2482">
        <v>6.027366787477785</v>
      </c>
    </row>
    <row r="2483" spans="1:2">
      <c r="A2483" t="s">
        <v>3795</v>
      </c>
      <c r="B2483">
        <v>7.2202831308327635</v>
      </c>
    </row>
    <row r="2484" spans="1:2">
      <c r="A2484" t="s">
        <v>3796</v>
      </c>
      <c r="B2484">
        <v>12.883776590333555</v>
      </c>
    </row>
    <row r="2485" spans="1:2">
      <c r="A2485" t="s">
        <v>3797</v>
      </c>
      <c r="B2485">
        <v>34657.35902799727</v>
      </c>
    </row>
    <row r="2486" spans="1:2">
      <c r="A2486" t="s">
        <v>3798</v>
      </c>
      <c r="B2486">
        <v>1132.5934322874923</v>
      </c>
    </row>
    <row r="2487" spans="1:2">
      <c r="A2487" t="s">
        <v>3799</v>
      </c>
      <c r="B2487">
        <v>1575.3345012726029</v>
      </c>
    </row>
    <row r="2488" spans="1:2">
      <c r="A2488" t="s">
        <v>3799</v>
      </c>
      <c r="B2488">
        <v>47.152869425846617</v>
      </c>
    </row>
    <row r="2489" spans="1:2">
      <c r="A2489" t="s">
        <v>3800</v>
      </c>
      <c r="B2489">
        <v>6.4780110332705165</v>
      </c>
    </row>
    <row r="2490" spans="1:2">
      <c r="A2490" t="s">
        <v>3800</v>
      </c>
      <c r="B2490">
        <v>9.1203576389466487</v>
      </c>
    </row>
    <row r="2491" spans="1:2">
      <c r="A2491" t="s">
        <v>3801</v>
      </c>
      <c r="B2491">
        <v>1.7773004629742186</v>
      </c>
    </row>
    <row r="2492" spans="1:2">
      <c r="A2492" t="s">
        <v>3801</v>
      </c>
      <c r="B2492">
        <v>3.2390055166352583</v>
      </c>
    </row>
    <row r="2493" spans="1:2">
      <c r="A2493" t="s">
        <v>3802</v>
      </c>
      <c r="B2493">
        <v>0.96270441744436852</v>
      </c>
    </row>
    <row r="2494" spans="1:2">
      <c r="A2494" t="s">
        <v>3802</v>
      </c>
      <c r="B2494">
        <v>0.805985093674355</v>
      </c>
    </row>
    <row r="2495" spans="1:2">
      <c r="A2495" t="s">
        <v>3803</v>
      </c>
      <c r="B2495">
        <v>0.43321698784996576</v>
      </c>
    </row>
    <row r="2496" spans="1:2">
      <c r="A2496" t="s">
        <v>3803</v>
      </c>
      <c r="B2496">
        <v>0.39836044859766973</v>
      </c>
    </row>
    <row r="2497" spans="1:2">
      <c r="A2497" t="s">
        <v>3804</v>
      </c>
      <c r="B2497">
        <v>0.30806541358219791</v>
      </c>
    </row>
    <row r="2498" spans="1:2">
      <c r="A2498" t="s">
        <v>3805</v>
      </c>
      <c r="B2498">
        <v>0.11748257297626191</v>
      </c>
    </row>
    <row r="2499" spans="1:2">
      <c r="A2499" t="s">
        <v>3805</v>
      </c>
      <c r="B2499">
        <v>0.20386681781174862</v>
      </c>
    </row>
    <row r="2500" spans="1:2">
      <c r="A2500" t="s">
        <v>3806</v>
      </c>
      <c r="B2500">
        <v>0.15753345012726028</v>
      </c>
    </row>
    <row r="2501" spans="1:2">
      <c r="A2501" t="s">
        <v>3807</v>
      </c>
      <c r="B2501">
        <v>8.5573725995054972E-2</v>
      </c>
    </row>
    <row r="2502" spans="1:2">
      <c r="A2502" t="s">
        <v>3808</v>
      </c>
      <c r="B2502">
        <v>4.5903786792049359E-2</v>
      </c>
    </row>
    <row r="2503" spans="1:2">
      <c r="A2503" t="s">
        <v>3809</v>
      </c>
      <c r="B2503">
        <v>7.5342084843472323E-2</v>
      </c>
    </row>
    <row r="2504" spans="1:2">
      <c r="A2504" t="s">
        <v>3810</v>
      </c>
      <c r="B2504">
        <v>4.5601788194733248E-2</v>
      </c>
    </row>
    <row r="2505" spans="1:2">
      <c r="A2505" t="s">
        <v>3811</v>
      </c>
      <c r="B2505">
        <v>4.6209812037329684E-2</v>
      </c>
    </row>
    <row r="2506" spans="1:2">
      <c r="A2506" t="s">
        <v>3811</v>
      </c>
      <c r="B2506">
        <v>1.2602676010180823E-2</v>
      </c>
    </row>
    <row r="2507" spans="1:2">
      <c r="A2507" t="s">
        <v>3812</v>
      </c>
      <c r="B2507">
        <v>5.8345722269355664E-3</v>
      </c>
    </row>
    <row r="2508" spans="1:2">
      <c r="A2508" t="s">
        <v>3813</v>
      </c>
      <c r="B2508">
        <v>4.853971852660682E-3</v>
      </c>
    </row>
    <row r="2509" spans="1:2">
      <c r="A2509" t="s">
        <v>3814</v>
      </c>
      <c r="B2509">
        <v>1.9613672341820751E-3</v>
      </c>
    </row>
    <row r="2510" spans="1:2">
      <c r="A2510" t="s">
        <v>3815</v>
      </c>
      <c r="B2510">
        <v>2.1797081149683814E-3</v>
      </c>
    </row>
    <row r="2511" spans="1:2">
      <c r="A2511" t="s">
        <v>600</v>
      </c>
      <c r="B2511">
        <v>8.2517521495231586E-4</v>
      </c>
    </row>
    <row r="2512" spans="1:2">
      <c r="A2512" t="s">
        <v>601</v>
      </c>
      <c r="B2512">
        <v>8.7518583404033496E-4</v>
      </c>
    </row>
    <row r="2513" spans="1:2">
      <c r="A2513" t="s">
        <v>3816</v>
      </c>
      <c r="B2513">
        <v>5.9243348765807284E-4</v>
      </c>
    </row>
    <row r="2514" spans="1:2">
      <c r="A2514" t="s">
        <v>3817</v>
      </c>
      <c r="B2514">
        <v>4.6961191094847246E-3</v>
      </c>
    </row>
    <row r="2515" spans="1:2">
      <c r="A2515" t="s">
        <v>602</v>
      </c>
      <c r="B2515">
        <v>9.6511721047054476E-6</v>
      </c>
    </row>
    <row r="2516" spans="1:2">
      <c r="A2516" t="s">
        <v>603</v>
      </c>
      <c r="B2516">
        <v>2.9990791820696836E-6</v>
      </c>
    </row>
    <row r="2517" spans="1:2">
      <c r="A2517" t="s">
        <v>603</v>
      </c>
      <c r="B2517">
        <v>1.3616752721985409E-5</v>
      </c>
    </row>
    <row r="2518" spans="1:2">
      <c r="A2518" t="s">
        <v>3818</v>
      </c>
      <c r="B2518">
        <v>1.146076687433772E-7</v>
      </c>
    </row>
    <row r="2519" spans="1:2">
      <c r="A2519" t="s">
        <v>605</v>
      </c>
      <c r="B2519">
        <v>2.2643344092679662E-7</v>
      </c>
    </row>
    <row r="2520" spans="1:2">
      <c r="A2520" t="s">
        <v>606</v>
      </c>
      <c r="B2520">
        <v>4.7753195309740497E-8</v>
      </c>
    </row>
    <row r="2521" spans="1:2">
      <c r="A2521" t="s">
        <v>607</v>
      </c>
      <c r="B2521">
        <v>2.1574658631266378E-6</v>
      </c>
    </row>
    <row r="2522" spans="1:2">
      <c r="A2522" t="s">
        <v>609</v>
      </c>
      <c r="B2522">
        <v>5.3311914382597395E-19</v>
      </c>
    </row>
    <row r="2523" spans="1:2">
      <c r="A2523" t="s">
        <v>610</v>
      </c>
      <c r="B2523">
        <v>1.1323270024045736E-5</v>
      </c>
    </row>
    <row r="2524" spans="1:2">
      <c r="A2524" t="s">
        <v>611</v>
      </c>
      <c r="B2524">
        <v>6.2143372831266377E-4</v>
      </c>
    </row>
    <row r="2525" spans="1:2">
      <c r="A2525" t="s">
        <v>612</v>
      </c>
      <c r="B2525">
        <v>7.9562348549121356E-6</v>
      </c>
    </row>
    <row r="2526" spans="1:2">
      <c r="A2526" t="s">
        <v>3819</v>
      </c>
      <c r="B2526">
        <v>3.8508176697774738E-3</v>
      </c>
    </row>
    <row r="2527" spans="1:2">
      <c r="A2527" t="s">
        <v>3820</v>
      </c>
      <c r="B2527">
        <v>5.8345722269355664E-5</v>
      </c>
    </row>
    <row r="2528" spans="1:2">
      <c r="A2528" t="s">
        <v>3821</v>
      </c>
      <c r="B2528">
        <v>1.1788217356461655E-3</v>
      </c>
    </row>
    <row r="2529" spans="1:2">
      <c r="A2529" t="s">
        <v>3822</v>
      </c>
      <c r="B2529">
        <v>4.5601788194733248E-2</v>
      </c>
    </row>
    <row r="2530" spans="1:2">
      <c r="A2530" t="s">
        <v>3823</v>
      </c>
      <c r="B2530">
        <v>0.13862943611198905</v>
      </c>
    </row>
    <row r="2531" spans="1:2">
      <c r="A2531" t="s">
        <v>3823</v>
      </c>
      <c r="B2531">
        <v>2.7725887222397813E-2</v>
      </c>
    </row>
    <row r="2532" spans="1:2">
      <c r="A2532" t="s">
        <v>3823</v>
      </c>
      <c r="B2532">
        <v>6.9314718055994533E-3</v>
      </c>
    </row>
    <row r="2533" spans="1:2">
      <c r="A2533" t="s">
        <v>3824</v>
      </c>
      <c r="B2533">
        <v>2.7725887222397813E-2</v>
      </c>
    </row>
    <row r="2534" spans="1:2">
      <c r="A2534" t="s">
        <v>3824</v>
      </c>
      <c r="B2534">
        <v>6.9314718055994533E-3</v>
      </c>
    </row>
    <row r="2535" spans="1:2">
      <c r="A2535" t="s">
        <v>3825</v>
      </c>
      <c r="B2535">
        <v>0.11552453009332421</v>
      </c>
    </row>
    <row r="2536" spans="1:2">
      <c r="A2536" t="s">
        <v>3826</v>
      </c>
      <c r="B2536">
        <v>0.23104906018664842</v>
      </c>
    </row>
    <row r="2537" spans="1:2">
      <c r="A2537" t="s">
        <v>3827</v>
      </c>
      <c r="B2537">
        <v>67.295842772810218</v>
      </c>
    </row>
    <row r="2538" spans="1:2">
      <c r="A2538" t="s">
        <v>3828</v>
      </c>
      <c r="B2538">
        <v>30401.192129822164</v>
      </c>
    </row>
    <row r="2539" spans="1:2">
      <c r="A2539" t="s">
        <v>3829</v>
      </c>
      <c r="B2539">
        <v>0.41505819195206306</v>
      </c>
    </row>
    <row r="2540" spans="1:2">
      <c r="A2540" t="s">
        <v>3830</v>
      </c>
      <c r="B2540">
        <v>102.53656517158954</v>
      </c>
    </row>
    <row r="2541" spans="1:2">
      <c r="A2541" t="s">
        <v>3831</v>
      </c>
      <c r="B2541">
        <v>0.15403270679109896</v>
      </c>
    </row>
    <row r="2542" spans="1:2">
      <c r="A2542" t="s">
        <v>3832</v>
      </c>
      <c r="B2542">
        <v>0.1582527809497592</v>
      </c>
    </row>
    <row r="2543" spans="1:2">
      <c r="A2543" t="s">
        <v>3833</v>
      </c>
      <c r="B2543">
        <v>70.657204950045383</v>
      </c>
    </row>
    <row r="2544" spans="1:2">
      <c r="A2544" t="s">
        <v>3834</v>
      </c>
      <c r="B2544">
        <v>0.2772588722239781</v>
      </c>
    </row>
    <row r="2545" spans="1:2">
      <c r="A2545" t="s">
        <v>3835</v>
      </c>
      <c r="B2545">
        <v>31.942266385250935</v>
      </c>
    </row>
    <row r="2546" spans="1:2">
      <c r="A2546" t="s">
        <v>3836</v>
      </c>
      <c r="B2546">
        <v>9.9021025794277899E-3</v>
      </c>
    </row>
    <row r="2547" spans="1:2">
      <c r="A2547" t="s">
        <v>3836</v>
      </c>
      <c r="B2547">
        <v>0.31506690025452055</v>
      </c>
    </row>
    <row r="2548" spans="1:2">
      <c r="A2548" t="s">
        <v>3837</v>
      </c>
      <c r="B2548">
        <v>14.747812352339261</v>
      </c>
    </row>
    <row r="2549" spans="1:2">
      <c r="A2549" t="s">
        <v>3838</v>
      </c>
      <c r="B2549">
        <v>8.4757542254823332E-4</v>
      </c>
    </row>
    <row r="2550" spans="1:2">
      <c r="A2550" t="s">
        <v>3839</v>
      </c>
      <c r="B2550">
        <v>1.1552453009332421E-2</v>
      </c>
    </row>
    <row r="2551" spans="1:2">
      <c r="A2551" t="s">
        <v>3840</v>
      </c>
      <c r="B2551">
        <v>1.4810837191451821E-4</v>
      </c>
    </row>
    <row r="2552" spans="1:2">
      <c r="A2552" t="s">
        <v>3841</v>
      </c>
      <c r="B2552">
        <v>182.40715277893298</v>
      </c>
    </row>
    <row r="2553" spans="1:2">
      <c r="A2553" t="s">
        <v>3842</v>
      </c>
      <c r="B2553">
        <v>57.762265046662108</v>
      </c>
    </row>
    <row r="2554" spans="1:2">
      <c r="A2554" t="s">
        <v>3843</v>
      </c>
      <c r="B2554">
        <v>165.03504299046313</v>
      </c>
    </row>
    <row r="2555" spans="1:2">
      <c r="A2555" t="s">
        <v>3844</v>
      </c>
      <c r="B2555">
        <v>7.7016353395549482</v>
      </c>
    </row>
    <row r="2556" spans="1:2">
      <c r="A2556" t="s">
        <v>3845</v>
      </c>
      <c r="B2556">
        <v>0.17910779859430109</v>
      </c>
    </row>
    <row r="2557" spans="1:2">
      <c r="A2557" t="s">
        <v>3846</v>
      </c>
      <c r="B2557">
        <v>6.3013380050904122E-2</v>
      </c>
    </row>
    <row r="2558" spans="1:2">
      <c r="A2558" t="s">
        <v>3847</v>
      </c>
      <c r="B2558">
        <v>6.9314718055994533E-3</v>
      </c>
    </row>
    <row r="2559" spans="1:2">
      <c r="A2559" t="s">
        <v>613</v>
      </c>
      <c r="B2559">
        <v>9.3922382189694487E-6</v>
      </c>
    </row>
    <row r="2560" spans="1:2">
      <c r="A2560" t="s">
        <v>3848</v>
      </c>
      <c r="B2560">
        <v>2.5114028281157438E-3</v>
      </c>
    </row>
    <row r="2561" spans="1:2">
      <c r="A2561" t="s">
        <v>614</v>
      </c>
      <c r="B2561">
        <v>5.3966851905725117E-9</v>
      </c>
    </row>
    <row r="2562" spans="1:2">
      <c r="A2562" t="s">
        <v>615</v>
      </c>
      <c r="B2562">
        <v>1.8485107861835032E-6</v>
      </c>
    </row>
    <row r="2563" spans="1:2">
      <c r="A2563" t="s">
        <v>616</v>
      </c>
      <c r="B2563">
        <v>3.8700129339297656E-8</v>
      </c>
    </row>
    <row r="2564" spans="1:2">
      <c r="A2564" t="s">
        <v>617</v>
      </c>
      <c r="B2564">
        <v>6.3298296039279901E-9</v>
      </c>
    </row>
    <row r="2565" spans="1:2">
      <c r="A2565" t="s">
        <v>618</v>
      </c>
      <c r="B2565">
        <v>2.0586002725208349E-4</v>
      </c>
    </row>
    <row r="2566" spans="1:2">
      <c r="A2566" t="s">
        <v>3849</v>
      </c>
      <c r="B2566">
        <v>1.6386458169265847E-2</v>
      </c>
    </row>
    <row r="2567" spans="1:2">
      <c r="A2567" t="s">
        <v>3850</v>
      </c>
      <c r="B2567">
        <v>2.6496451856267019E-3</v>
      </c>
    </row>
    <row r="2568" spans="1:2">
      <c r="A2568" t="s">
        <v>619</v>
      </c>
      <c r="B2568">
        <v>5.4480881550854155E-6</v>
      </c>
    </row>
    <row r="2569" spans="1:2">
      <c r="A2569" t="s">
        <v>3851</v>
      </c>
      <c r="B2569">
        <v>1.6195027583176293E-2</v>
      </c>
    </row>
    <row r="2570" spans="1:2">
      <c r="A2570" t="s">
        <v>113</v>
      </c>
      <c r="B2570">
        <v>2.3051120071830571E-2</v>
      </c>
    </row>
    <row r="2571" spans="1:2">
      <c r="A2571" t="s">
        <v>113</v>
      </c>
      <c r="B2571">
        <v>8.8186664193377258E-5</v>
      </c>
    </row>
    <row r="2572" spans="1:2">
      <c r="A2572" t="s">
        <v>621</v>
      </c>
      <c r="B2572">
        <v>5.3237110642084893E-4</v>
      </c>
    </row>
    <row r="2573" spans="1:2">
      <c r="A2573" t="s">
        <v>3852</v>
      </c>
      <c r="B2573">
        <v>4.0773363562349722E-2</v>
      </c>
    </row>
    <row r="2574" spans="1:2">
      <c r="A2574" t="s">
        <v>3853</v>
      </c>
      <c r="B2574">
        <v>1.9580428829376988E-3</v>
      </c>
    </row>
    <row r="2575" spans="1:2">
      <c r="A2575" t="s">
        <v>3854</v>
      </c>
      <c r="B2575">
        <v>8.5785542148508077E-3</v>
      </c>
    </row>
    <row r="2576" spans="1:2">
      <c r="A2576" t="s">
        <v>3855</v>
      </c>
      <c r="B2576">
        <v>0.21004460016968041</v>
      </c>
    </row>
    <row r="2577" spans="1:2">
      <c r="A2577" t="s">
        <v>3855</v>
      </c>
      <c r="B2577">
        <v>2.4320953703857728E-2</v>
      </c>
    </row>
    <row r="2578" spans="1:2">
      <c r="A2578" t="s">
        <v>3856</v>
      </c>
      <c r="B2578">
        <v>6.3013380050904122E-2</v>
      </c>
    </row>
    <row r="2579" spans="1:2">
      <c r="A2579" t="s">
        <v>3857</v>
      </c>
      <c r="B2579">
        <v>0.19804205158855578</v>
      </c>
    </row>
    <row r="2580" spans="1:2">
      <c r="A2580" t="s">
        <v>3857</v>
      </c>
      <c r="B2580">
        <v>0.10045611312462975</v>
      </c>
    </row>
    <row r="2581" spans="1:2">
      <c r="A2581" t="s">
        <v>3858</v>
      </c>
      <c r="B2581">
        <v>0.24755256448569476</v>
      </c>
    </row>
    <row r="2582" spans="1:2">
      <c r="A2582" t="s">
        <v>3859</v>
      </c>
      <c r="B2582">
        <v>0.38085009920876112</v>
      </c>
    </row>
    <row r="2583" spans="1:2">
      <c r="A2583" t="s">
        <v>3859</v>
      </c>
      <c r="B2583">
        <v>0.37467415165402446</v>
      </c>
    </row>
    <row r="2584" spans="1:2">
      <c r="A2584" t="s">
        <v>3860</v>
      </c>
      <c r="B2584">
        <v>0.70014866723226798</v>
      </c>
    </row>
    <row r="2585" spans="1:2">
      <c r="A2585" t="s">
        <v>3861</v>
      </c>
      <c r="B2585">
        <v>1.0118936942480952</v>
      </c>
    </row>
    <row r="2586" spans="1:2">
      <c r="A2586" t="s">
        <v>3861</v>
      </c>
      <c r="B2586">
        <v>1.2160476851928865</v>
      </c>
    </row>
    <row r="2587" spans="1:2">
      <c r="A2587" t="s">
        <v>3862</v>
      </c>
      <c r="B2587">
        <v>1.6464303576245731</v>
      </c>
    </row>
    <row r="2588" spans="1:2">
      <c r="A2588" t="s">
        <v>3863</v>
      </c>
      <c r="B2588">
        <v>2.4235915404193888</v>
      </c>
    </row>
    <row r="2589" spans="1:2">
      <c r="A2589" t="s">
        <v>3863</v>
      </c>
      <c r="B2589">
        <v>2.2359586469675654</v>
      </c>
    </row>
    <row r="2590" spans="1:2">
      <c r="A2590" t="s">
        <v>3864</v>
      </c>
      <c r="B2590">
        <v>3.6674453997880705</v>
      </c>
    </row>
    <row r="2591" spans="1:2">
      <c r="A2591" t="s">
        <v>3865</v>
      </c>
      <c r="B2591">
        <v>5.2116329365409415</v>
      </c>
    </row>
    <row r="2592" spans="1:2">
      <c r="A2592" t="s">
        <v>3866</v>
      </c>
      <c r="B2592">
        <v>9.4951668569855521</v>
      </c>
    </row>
    <row r="2593" spans="1:2">
      <c r="A2593" t="s">
        <v>3867</v>
      </c>
      <c r="B2593">
        <v>13.253292171318266</v>
      </c>
    </row>
    <row r="2594" spans="1:2">
      <c r="A2594" t="s">
        <v>3868</v>
      </c>
      <c r="B2594">
        <v>16.425288638861261</v>
      </c>
    </row>
    <row r="2595" spans="1:2">
      <c r="A2595" t="s">
        <v>3869</v>
      </c>
      <c r="B2595">
        <v>21.660849392498289</v>
      </c>
    </row>
    <row r="2596" spans="1:2">
      <c r="A2596" t="s">
        <v>3870</v>
      </c>
      <c r="B2596">
        <v>26.156497379620578</v>
      </c>
    </row>
    <row r="2597" spans="1:2">
      <c r="A2597" t="s">
        <v>3871</v>
      </c>
      <c r="B2597">
        <v>36.481430555786595</v>
      </c>
    </row>
    <row r="2598" spans="1:2">
      <c r="A2598" t="s">
        <v>3872</v>
      </c>
      <c r="B2598">
        <v>34.657359027997266</v>
      </c>
    </row>
    <row r="2599" spans="1:2">
      <c r="A2599" t="s">
        <v>3873</v>
      </c>
      <c r="B2599">
        <v>23.901626915860181</v>
      </c>
    </row>
    <row r="2600" spans="1:2">
      <c r="A2600" t="s">
        <v>3873</v>
      </c>
      <c r="B2600">
        <v>1.2377628224284736</v>
      </c>
    </row>
    <row r="2601" spans="1:2">
      <c r="A2601" t="s">
        <v>3874</v>
      </c>
      <c r="B2601">
        <v>0.47152869425846616</v>
      </c>
    </row>
    <row r="2602" spans="1:2">
      <c r="A2602" t="s">
        <v>3875</v>
      </c>
      <c r="B2602">
        <v>0.12289843626949386</v>
      </c>
    </row>
    <row r="2603" spans="1:2">
      <c r="A2603" t="s">
        <v>3875</v>
      </c>
      <c r="B2603">
        <v>0.21797081149683814</v>
      </c>
    </row>
    <row r="2604" spans="1:2">
      <c r="A2604" t="s">
        <v>3876</v>
      </c>
      <c r="B2604">
        <v>5.6815342668847975E-2</v>
      </c>
    </row>
    <row r="2605" spans="1:2">
      <c r="A2605" t="s">
        <v>3877</v>
      </c>
      <c r="B2605">
        <v>9.817948733143702E-3</v>
      </c>
    </row>
    <row r="2606" spans="1:2">
      <c r="A2606" t="s">
        <v>3877</v>
      </c>
      <c r="B2606">
        <v>2.6866169789145165E-2</v>
      </c>
    </row>
    <row r="2607" spans="1:2">
      <c r="A2607" t="s">
        <v>3878</v>
      </c>
      <c r="B2607">
        <v>2.3012854600263787E-3</v>
      </c>
    </row>
    <row r="2608" spans="1:2">
      <c r="A2608" t="s">
        <v>3879</v>
      </c>
      <c r="B2608">
        <v>5.8941086782308277E-3</v>
      </c>
    </row>
    <row r="2609" spans="1:2">
      <c r="A2609" t="s">
        <v>3880</v>
      </c>
      <c r="B2609">
        <v>1.2071528745383931E-3</v>
      </c>
    </row>
    <row r="2610" spans="1:2">
      <c r="A2610" t="s">
        <v>3881</v>
      </c>
      <c r="B2610">
        <v>7.650631132008227E-3</v>
      </c>
    </row>
    <row r="2611" spans="1:2">
      <c r="A2611" t="s">
        <v>3882</v>
      </c>
      <c r="B2611">
        <v>3.7507964316014353E-4</v>
      </c>
    </row>
    <row r="2612" spans="1:2">
      <c r="A2612" t="s">
        <v>3883</v>
      </c>
      <c r="B2612">
        <v>2.5223696526926684E-4</v>
      </c>
    </row>
    <row r="2613" spans="1:2">
      <c r="A2613" t="s">
        <v>3884</v>
      </c>
      <c r="B2613">
        <v>1.3217909621661809E-3</v>
      </c>
    </row>
    <row r="2614" spans="1:2">
      <c r="A2614" t="s">
        <v>3885</v>
      </c>
      <c r="B2614">
        <v>3.2090147248145617E-3</v>
      </c>
    </row>
    <row r="2615" spans="1:2">
      <c r="A2615" t="s">
        <v>24</v>
      </c>
      <c r="B2615">
        <v>4.9829421192772684E-7</v>
      </c>
    </row>
    <row r="2616" spans="1:2">
      <c r="A2616" t="s">
        <v>622</v>
      </c>
      <c r="B2616">
        <v>4.0966145423164613E-5</v>
      </c>
    </row>
    <row r="2617" spans="1:2">
      <c r="A2617" t="s">
        <v>3886</v>
      </c>
      <c r="B2617">
        <v>602.73667874777857</v>
      </c>
    </row>
    <row r="2618" spans="1:2">
      <c r="A2618" t="s">
        <v>3887</v>
      </c>
      <c r="B2618">
        <v>888.65023148710918</v>
      </c>
    </row>
    <row r="2619" spans="1:2">
      <c r="A2619" t="s">
        <v>3888</v>
      </c>
      <c r="B2619">
        <v>115.52453009332422</v>
      </c>
    </row>
    <row r="2620" spans="1:2">
      <c r="A2620" t="s">
        <v>3888</v>
      </c>
      <c r="B2620">
        <v>138.62943611198907</v>
      </c>
    </row>
    <row r="2621" spans="1:2">
      <c r="A2621" t="s">
        <v>3889</v>
      </c>
      <c r="B2621">
        <v>157.53345012726029</v>
      </c>
    </row>
    <row r="2622" spans="1:2">
      <c r="A2622" t="s">
        <v>3890</v>
      </c>
      <c r="B2622">
        <v>12.602676010180824</v>
      </c>
    </row>
    <row r="2623" spans="1:2">
      <c r="A2623" t="s">
        <v>3891</v>
      </c>
      <c r="B2623">
        <v>10.663802777845312</v>
      </c>
    </row>
    <row r="2624" spans="1:2">
      <c r="A2624" t="s">
        <v>3892</v>
      </c>
      <c r="B2624">
        <v>1.1552453009332422</v>
      </c>
    </row>
    <row r="2625" spans="1:2">
      <c r="A2625" t="s">
        <v>3892</v>
      </c>
      <c r="B2625">
        <v>2.2216255787177732</v>
      </c>
    </row>
    <row r="2626" spans="1:2">
      <c r="A2626" t="s">
        <v>3893</v>
      </c>
      <c r="B2626">
        <v>0.67295842772810222</v>
      </c>
    </row>
    <row r="2627" spans="1:2">
      <c r="A2627" t="s">
        <v>3894</v>
      </c>
      <c r="B2627">
        <v>9.9021025794277892E-2</v>
      </c>
    </row>
    <row r="2628" spans="1:2">
      <c r="A2628" t="s">
        <v>3894</v>
      </c>
      <c r="B2628">
        <v>0.18240715277893299</v>
      </c>
    </row>
    <row r="2629" spans="1:2">
      <c r="A2629" t="s">
        <v>3895</v>
      </c>
      <c r="B2629">
        <v>7.109201851896875E-2</v>
      </c>
    </row>
    <row r="2630" spans="1:2">
      <c r="A2630" t="s">
        <v>3896</v>
      </c>
      <c r="B2630">
        <v>1.575334501272603E-2</v>
      </c>
    </row>
    <row r="2631" spans="1:2">
      <c r="A2631" t="s">
        <v>3896</v>
      </c>
      <c r="B2631">
        <v>2.5767553180667112E-2</v>
      </c>
    </row>
    <row r="2632" spans="1:2">
      <c r="A2632" t="s">
        <v>3897</v>
      </c>
      <c r="B2632">
        <v>9.3668537913506114E-3</v>
      </c>
    </row>
    <row r="2633" spans="1:2">
      <c r="A2633" t="s">
        <v>3898</v>
      </c>
      <c r="B2633">
        <v>4.0773363562349721E-3</v>
      </c>
    </row>
    <row r="2634" spans="1:2">
      <c r="A2634" t="s">
        <v>3899</v>
      </c>
      <c r="B2634">
        <v>1.8366379983040418E-3</v>
      </c>
    </row>
    <row r="2635" spans="1:2">
      <c r="A2635" t="s">
        <v>3900</v>
      </c>
      <c r="B2635">
        <v>1.2489138388467483E-3</v>
      </c>
    </row>
    <row r="2636" spans="1:2">
      <c r="A2636" t="s">
        <v>3901</v>
      </c>
      <c r="B2636">
        <v>4.7580119478304861E-4</v>
      </c>
    </row>
    <row r="2637" spans="1:2">
      <c r="A2637" t="s">
        <v>3902</v>
      </c>
      <c r="B2637">
        <v>4.0252449509869064E-4</v>
      </c>
    </row>
    <row r="2638" spans="1:2">
      <c r="A2638" t="s">
        <v>3903</v>
      </c>
      <c r="B2638">
        <v>7.9562348549121363E-5</v>
      </c>
    </row>
    <row r="2639" spans="1:2">
      <c r="A2639" t="s">
        <v>3904</v>
      </c>
      <c r="B2639">
        <v>1.3098019284957394E-5</v>
      </c>
    </row>
    <row r="2640" spans="1:2">
      <c r="A2640" t="s">
        <v>3905</v>
      </c>
      <c r="B2640">
        <v>4.8336623470010131E-4</v>
      </c>
    </row>
    <row r="2641" spans="1:2">
      <c r="A2641" t="s">
        <v>3906</v>
      </c>
      <c r="B2641">
        <v>35.766108388026076</v>
      </c>
    </row>
    <row r="2642" spans="1:2">
      <c r="A2642" t="s">
        <v>3907</v>
      </c>
      <c r="B2642">
        <v>2676243.9403858888</v>
      </c>
    </row>
    <row r="2643" spans="1:2">
      <c r="A2643" t="s">
        <v>3908</v>
      </c>
      <c r="B2643">
        <v>301368.33937388932</v>
      </c>
    </row>
    <row r="2644" spans="1:2">
      <c r="A2644" t="s">
        <v>3909</v>
      </c>
      <c r="B2644">
        <v>23901.626915860183</v>
      </c>
    </row>
    <row r="2645" spans="1:2">
      <c r="A2645" t="s">
        <v>61</v>
      </c>
      <c r="B2645">
        <v>1174.8257297626192</v>
      </c>
    </row>
    <row r="2646" spans="1:2">
      <c r="A2646" t="s">
        <v>63</v>
      </c>
      <c r="B2646">
        <v>20.537694238813192</v>
      </c>
    </row>
    <row r="2647" spans="1:2">
      <c r="A2647" t="s">
        <v>66</v>
      </c>
      <c r="B2647">
        <v>0.175037166808067</v>
      </c>
    </row>
    <row r="2648" spans="1:2">
      <c r="A2648" t="s">
        <v>68</v>
      </c>
      <c r="B2648">
        <v>1.2466675909351533E-2</v>
      </c>
    </row>
    <row r="2649" spans="1:2">
      <c r="A2649" t="s">
        <v>3910</v>
      </c>
      <c r="B2649">
        <v>4.4951179024639771E-4</v>
      </c>
    </row>
    <row r="2650" spans="1:2">
      <c r="A2650" t="s">
        <v>70</v>
      </c>
      <c r="B2650">
        <v>2.0993381618638959E-6</v>
      </c>
    </row>
    <row r="2651" spans="1:2">
      <c r="A2651" t="s">
        <v>3911</v>
      </c>
      <c r="B2651">
        <v>4.7540958886141654E-4</v>
      </c>
    </row>
    <row r="2652" spans="1:2">
      <c r="A2652" t="s">
        <v>3912</v>
      </c>
      <c r="B2652">
        <v>1.0133730709940721E-4</v>
      </c>
    </row>
    <row r="2653" spans="1:2">
      <c r="A2653" t="s">
        <v>3913</v>
      </c>
      <c r="B2653">
        <v>2.4790671693846397E-3</v>
      </c>
    </row>
    <row r="2654" spans="1:2">
      <c r="A2654" t="s">
        <v>3914</v>
      </c>
      <c r="B2654">
        <v>1.5611422985584353E-3</v>
      </c>
    </row>
    <row r="2655" spans="1:2">
      <c r="A2655" t="s">
        <v>3915</v>
      </c>
      <c r="B2655">
        <v>3.3324383680766602E-2</v>
      </c>
    </row>
    <row r="2656" spans="1:2">
      <c r="A2656" t="s">
        <v>3916</v>
      </c>
      <c r="B2656">
        <v>1.0663802777845312E-2</v>
      </c>
    </row>
    <row r="2657" spans="1:2">
      <c r="A2657" t="s">
        <v>3917</v>
      </c>
      <c r="B2657">
        <v>5.7762265046662105E-2</v>
      </c>
    </row>
    <row r="2658" spans="1:2">
      <c r="A2658" t="s">
        <v>623</v>
      </c>
      <c r="B2658">
        <v>2.0441146615120656E-7</v>
      </c>
    </row>
    <row r="2659" spans="1:2">
      <c r="A2659" t="s">
        <v>624</v>
      </c>
      <c r="B2659">
        <v>4.3365063848845423E-5</v>
      </c>
    </row>
    <row r="2660" spans="1:2">
      <c r="A2660" t="s">
        <v>112</v>
      </c>
      <c r="B2660">
        <v>2.1577560010856383E-8</v>
      </c>
    </row>
    <row r="2661" spans="1:2">
      <c r="A2661" t="s">
        <v>3918</v>
      </c>
      <c r="B2661">
        <v>3.0971723885609708E-3</v>
      </c>
    </row>
    <row r="2662" spans="1:2">
      <c r="A2662" t="s">
        <v>3919</v>
      </c>
      <c r="B2662">
        <v>2.5390006613917409E-3</v>
      </c>
    </row>
    <row r="2663" spans="1:2">
      <c r="A2663" t="s">
        <v>3920</v>
      </c>
      <c r="B2663">
        <v>2.0149627341858874E-2</v>
      </c>
    </row>
    <row r="2664" spans="1:2">
      <c r="A2664" t="s">
        <v>3921</v>
      </c>
      <c r="B2664">
        <v>5.7570363833882504E-2</v>
      </c>
    </row>
    <row r="2665" spans="1:2">
      <c r="A2665" t="s">
        <v>3922</v>
      </c>
      <c r="B2665">
        <v>0.3269562172452572</v>
      </c>
    </row>
    <row r="2666" spans="1:2">
      <c r="A2666" t="s">
        <v>3923</v>
      </c>
      <c r="B2666">
        <v>0.39608410317711157</v>
      </c>
    </row>
    <row r="2667" spans="1:2">
      <c r="A2667" t="s">
        <v>3924</v>
      </c>
      <c r="B2667">
        <v>0.86643397569993152</v>
      </c>
    </row>
    <row r="2668" spans="1:2">
      <c r="A2668" t="s">
        <v>3925</v>
      </c>
      <c r="B2668">
        <v>1.3591121187449908</v>
      </c>
    </row>
    <row r="2669" spans="1:2">
      <c r="A2669" t="s">
        <v>3926</v>
      </c>
      <c r="B2669">
        <v>1.2765141446776156</v>
      </c>
    </row>
    <row r="2670" spans="1:2">
      <c r="A2670" t="s">
        <v>3927</v>
      </c>
      <c r="B2670">
        <v>2.1797081149683812</v>
      </c>
    </row>
    <row r="2671" spans="1:2">
      <c r="A2671" t="s">
        <v>3928</v>
      </c>
      <c r="B2671">
        <v>3.4145181308371688</v>
      </c>
    </row>
    <row r="2672" spans="1:2">
      <c r="A2672" t="s">
        <v>3929</v>
      </c>
      <c r="B2672">
        <v>4.5601788194733244</v>
      </c>
    </row>
    <row r="2673" spans="1:2">
      <c r="A2673" t="s">
        <v>3930</v>
      </c>
      <c r="B2673">
        <v>7.0014866723226792</v>
      </c>
    </row>
    <row r="2674" spans="1:2">
      <c r="A2674" t="s">
        <v>3931</v>
      </c>
      <c r="B2674">
        <v>10.016577753756435</v>
      </c>
    </row>
    <row r="2675" spans="1:2">
      <c r="A2675" t="s">
        <v>3932</v>
      </c>
      <c r="B2675">
        <v>15.403270679109896</v>
      </c>
    </row>
    <row r="2676" spans="1:2">
      <c r="A2676" t="s">
        <v>3933</v>
      </c>
      <c r="B2676">
        <v>23.104906018664845</v>
      </c>
    </row>
    <row r="2677" spans="1:2">
      <c r="A2677" t="s">
        <v>3934</v>
      </c>
      <c r="B2677">
        <v>27.725887222397809</v>
      </c>
    </row>
    <row r="2678" spans="1:2">
      <c r="A2678" t="s">
        <v>3935</v>
      </c>
      <c r="B2678">
        <v>36.481430555786595</v>
      </c>
    </row>
    <row r="2679" spans="1:2">
      <c r="A2679" t="s">
        <v>3936</v>
      </c>
      <c r="B2679">
        <v>46.209812037329691</v>
      </c>
    </row>
    <row r="2680" spans="1:2">
      <c r="A2680" t="s">
        <v>3937</v>
      </c>
      <c r="B2680">
        <v>0.49510512897138953</v>
      </c>
    </row>
    <row r="2681" spans="1:2">
      <c r="A2681" t="s">
        <v>3938</v>
      </c>
      <c r="B2681">
        <v>0.5211632936540942</v>
      </c>
    </row>
    <row r="2682" spans="1:2">
      <c r="A2682" t="s">
        <v>3939</v>
      </c>
      <c r="B2682">
        <v>5.9243348765807294E-2</v>
      </c>
    </row>
    <row r="2683" spans="1:2">
      <c r="A2683" t="s">
        <v>3940</v>
      </c>
      <c r="B2683">
        <v>8.6643397569993161E-2</v>
      </c>
    </row>
    <row r="2684" spans="1:2">
      <c r="A2684" t="s">
        <v>3941</v>
      </c>
      <c r="B2684">
        <v>9.1203576389466495E-2</v>
      </c>
    </row>
    <row r="2685" spans="1:2">
      <c r="A2685" t="s">
        <v>3942</v>
      </c>
      <c r="B2685">
        <v>3.1650556189951841E-3</v>
      </c>
    </row>
    <row r="2686" spans="1:2">
      <c r="A2686" t="s">
        <v>3943</v>
      </c>
      <c r="B2686">
        <v>1.1610505537017509E-2</v>
      </c>
    </row>
    <row r="2687" spans="1:2">
      <c r="A2687" t="s">
        <v>3944</v>
      </c>
      <c r="B2687">
        <v>6.4180294496291229E-2</v>
      </c>
    </row>
    <row r="2688" spans="1:2">
      <c r="A2688" t="s">
        <v>625</v>
      </c>
      <c r="B2688">
        <v>2.2173614221367412E-4</v>
      </c>
    </row>
    <row r="2689" spans="1:2">
      <c r="A2689" t="s">
        <v>3945</v>
      </c>
      <c r="B2689">
        <v>1.1979150344607336E-4</v>
      </c>
    </row>
    <row r="2690" spans="1:2">
      <c r="A2690" t="s">
        <v>626</v>
      </c>
      <c r="B2690">
        <v>2.8272261108106862E-6</v>
      </c>
    </row>
    <row r="2691" spans="1:2">
      <c r="A2691" t="s">
        <v>3946</v>
      </c>
      <c r="B2691">
        <v>42.524366905518107</v>
      </c>
    </row>
    <row r="2692" spans="1:2">
      <c r="A2692" t="s">
        <v>3947</v>
      </c>
      <c r="B2692">
        <v>5.5451774444795623</v>
      </c>
    </row>
    <row r="2693" spans="1:2">
      <c r="A2693" t="s">
        <v>3948</v>
      </c>
      <c r="B2693">
        <v>3.6869530880848154</v>
      </c>
    </row>
    <row r="2694" spans="1:2">
      <c r="A2694" t="s">
        <v>3949</v>
      </c>
      <c r="B2694">
        <v>0.58753236298903622</v>
      </c>
    </row>
    <row r="2695" spans="1:2">
      <c r="A2695" t="s">
        <v>3950</v>
      </c>
      <c r="B2695">
        <v>0.27146047644706872</v>
      </c>
    </row>
    <row r="2696" spans="1:2">
      <c r="A2696" t="s">
        <v>6</v>
      </c>
      <c r="B2696">
        <v>9.1843581133788259E-8</v>
      </c>
    </row>
    <row r="2697" spans="1:2">
      <c r="A2697" t="s">
        <v>3951</v>
      </c>
      <c r="B2697">
        <v>2.2876144572935488E-3</v>
      </c>
    </row>
    <row r="2698" spans="1:2">
      <c r="A2698" t="s">
        <v>3952</v>
      </c>
      <c r="B2698">
        <v>6.7835895533367125E-5</v>
      </c>
    </row>
    <row r="2699" spans="1:2">
      <c r="A2699" t="s">
        <v>3953</v>
      </c>
      <c r="B2699">
        <v>6.027366787477785E-2</v>
      </c>
    </row>
    <row r="2700" spans="1:2">
      <c r="A2700" t="s">
        <v>3954</v>
      </c>
      <c r="B2700">
        <v>7.8766725063630139E-2</v>
      </c>
    </row>
    <row r="2701" spans="1:2">
      <c r="A2701" t="s">
        <v>3955</v>
      </c>
      <c r="B2701">
        <v>0.26659506944613282</v>
      </c>
    </row>
    <row r="2702" spans="1:2">
      <c r="A2702" t="s">
        <v>3956</v>
      </c>
      <c r="B2702">
        <v>0.68223147692908004</v>
      </c>
    </row>
    <row r="2703" spans="1:2">
      <c r="A2703" t="s">
        <v>3957</v>
      </c>
      <c r="B2703">
        <v>2.6156497379620576</v>
      </c>
    </row>
    <row r="2704" spans="1:2">
      <c r="A2704" t="s">
        <v>3958</v>
      </c>
      <c r="B2704">
        <v>5.5674472334132155</v>
      </c>
    </row>
    <row r="2705" spans="1:2">
      <c r="A2705" t="s">
        <v>3959</v>
      </c>
      <c r="B2705">
        <v>10.193340890587431</v>
      </c>
    </row>
    <row r="2706" spans="1:2">
      <c r="A2706" t="s">
        <v>3960</v>
      </c>
      <c r="B2706">
        <v>13.862943611198904</v>
      </c>
    </row>
    <row r="2707" spans="1:2">
      <c r="A2707" t="s">
        <v>3961</v>
      </c>
      <c r="B2707">
        <v>1.4145860827753987</v>
      </c>
    </row>
    <row r="2708" spans="1:2">
      <c r="A2708" t="s">
        <v>3962</v>
      </c>
      <c r="B2708">
        <v>0.61888141121423679</v>
      </c>
    </row>
    <row r="2709" spans="1:2">
      <c r="A2709" t="s">
        <v>3963</v>
      </c>
      <c r="B2709">
        <v>1.1552453009332422</v>
      </c>
    </row>
    <row r="2710" spans="1:2">
      <c r="A2710" t="s">
        <v>3964</v>
      </c>
      <c r="B2710">
        <v>0.17328679513998632</v>
      </c>
    </row>
    <row r="2711" spans="1:2">
      <c r="A2711" t="s">
        <v>3965</v>
      </c>
      <c r="B2711">
        <v>9.3668537913506114E-2</v>
      </c>
    </row>
    <row r="2712" spans="1:2">
      <c r="A2712" t="s">
        <v>3966</v>
      </c>
      <c r="B2712">
        <v>4.0205752932711447E-2</v>
      </c>
    </row>
    <row r="2713" spans="1:2">
      <c r="A2713" t="s">
        <v>3967</v>
      </c>
      <c r="B2713">
        <v>2.9370643244065478E-2</v>
      </c>
    </row>
    <row r="2714" spans="1:2">
      <c r="A2714" t="s">
        <v>3968</v>
      </c>
      <c r="B2714">
        <v>9.2543014761007382E-3</v>
      </c>
    </row>
    <row r="2715" spans="1:2">
      <c r="A2715" t="s">
        <v>3969</v>
      </c>
      <c r="B2715">
        <v>1.2931850383581068E-2</v>
      </c>
    </row>
    <row r="2716" spans="1:2">
      <c r="A2716" t="s">
        <v>3970</v>
      </c>
      <c r="B2716">
        <v>1.732001950424651E-3</v>
      </c>
    </row>
    <row r="2717" spans="1:2">
      <c r="A2717" t="s">
        <v>3971</v>
      </c>
      <c r="B2717">
        <v>3.3101584553961094E-3</v>
      </c>
    </row>
    <row r="2718" spans="1:2">
      <c r="A2718" t="s">
        <v>627</v>
      </c>
      <c r="B2718">
        <v>3.6101415654163816E-4</v>
      </c>
    </row>
    <row r="2719" spans="1:2">
      <c r="A2719" t="s">
        <v>628</v>
      </c>
      <c r="B2719">
        <v>7.311679119830646E-4</v>
      </c>
    </row>
    <row r="2720" spans="1:2">
      <c r="A2720" t="s">
        <v>628</v>
      </c>
      <c r="B2720">
        <v>1.9142424207675926E-4</v>
      </c>
    </row>
    <row r="2721" spans="1:2">
      <c r="A2721" t="s">
        <v>630</v>
      </c>
      <c r="B2721">
        <v>6.8764601246026322E-5</v>
      </c>
    </row>
    <row r="2722" spans="1:2">
      <c r="A2722" t="s">
        <v>3972</v>
      </c>
      <c r="B2722">
        <v>3.2090147248145617E-3</v>
      </c>
    </row>
    <row r="2723" spans="1:2">
      <c r="A2723" t="s">
        <v>3972</v>
      </c>
      <c r="B2723">
        <v>3.843131406963547E-5</v>
      </c>
    </row>
    <row r="2724" spans="1:2">
      <c r="A2724" t="s">
        <v>632</v>
      </c>
      <c r="B2724">
        <v>5.0403372641066409E-6</v>
      </c>
    </row>
    <row r="2725" spans="1:2">
      <c r="A2725" t="s">
        <v>3973</v>
      </c>
      <c r="B2725">
        <v>0.82517521495231583</v>
      </c>
    </row>
    <row r="2726" spans="1:2">
      <c r="A2726" t="s">
        <v>633</v>
      </c>
      <c r="B2726">
        <v>7.2702662110336186E-4</v>
      </c>
    </row>
    <row r="2727" spans="1:2">
      <c r="A2727" t="s">
        <v>633</v>
      </c>
      <c r="B2727">
        <v>1.3928015298674312E-6</v>
      </c>
    </row>
    <row r="2728" spans="1:2">
      <c r="A2728" t="s">
        <v>635</v>
      </c>
      <c r="B2728">
        <v>2.977783853056981E-6</v>
      </c>
    </row>
    <row r="2729" spans="1:2">
      <c r="A2729" t="s">
        <v>3974</v>
      </c>
      <c r="B2729">
        <v>2.756490815875071E-3</v>
      </c>
    </row>
    <row r="2730" spans="1:2">
      <c r="A2730" t="s">
        <v>636</v>
      </c>
      <c r="B2730">
        <v>1.3324481077640226E-7</v>
      </c>
    </row>
    <row r="2731" spans="1:2">
      <c r="A2731" t="s">
        <v>3975</v>
      </c>
      <c r="B2731">
        <v>7.453195489891885E-3</v>
      </c>
    </row>
    <row r="2732" spans="1:2">
      <c r="A2732" t="s">
        <v>3975</v>
      </c>
      <c r="B2732">
        <v>5.7190361432338721E-4</v>
      </c>
    </row>
    <row r="2733" spans="1:2">
      <c r="A2733" t="s">
        <v>117</v>
      </c>
      <c r="B2733">
        <v>7.964792662592061E-9</v>
      </c>
    </row>
    <row r="2734" spans="1:2">
      <c r="A2734" t="s">
        <v>121</v>
      </c>
      <c r="B2734">
        <v>6.5223876520621164E-7</v>
      </c>
    </row>
    <row r="2735" spans="1:2">
      <c r="A2735" t="s">
        <v>120</v>
      </c>
      <c r="B2735">
        <v>6.0484047169279695E-4</v>
      </c>
    </row>
    <row r="2736" spans="1:2">
      <c r="A2736" t="s">
        <v>638</v>
      </c>
      <c r="B2736">
        <v>2.089202294801147E-6</v>
      </c>
    </row>
    <row r="2737" spans="1:2">
      <c r="A2737" t="s">
        <v>639</v>
      </c>
      <c r="B2737">
        <v>2.1275235744626926E-5</v>
      </c>
    </row>
    <row r="2738" spans="1:2">
      <c r="A2738" t="s">
        <v>640</v>
      </c>
      <c r="B2738">
        <v>1.1108127893588867E-3</v>
      </c>
    </row>
    <row r="2739" spans="1:2">
      <c r="A2739" t="s">
        <v>641</v>
      </c>
      <c r="B2739">
        <v>4.3759291702016741E-5</v>
      </c>
    </row>
    <row r="2740" spans="1:2">
      <c r="A2740" t="s">
        <v>3976</v>
      </c>
      <c r="B2740">
        <v>6.5268096097923281E-4</v>
      </c>
    </row>
    <row r="2741" spans="1:2">
      <c r="A2741" t="s">
        <v>642</v>
      </c>
      <c r="B2741">
        <v>2.8524575331684992E-4</v>
      </c>
    </row>
    <row r="2742" spans="1:2">
      <c r="A2742" t="s">
        <v>642</v>
      </c>
      <c r="B2742">
        <v>1.7938591629398169E-3</v>
      </c>
    </row>
    <row r="2743" spans="1:2">
      <c r="A2743" t="s">
        <v>643</v>
      </c>
      <c r="B2743">
        <v>5.016262704877299E-4</v>
      </c>
    </row>
    <row r="2744" spans="1:2">
      <c r="A2744" t="s">
        <v>3977</v>
      </c>
      <c r="B2744">
        <v>4.1406641610510471E-3</v>
      </c>
    </row>
    <row r="2745" spans="1:2">
      <c r="A2745" t="s">
        <v>3977</v>
      </c>
      <c r="B2745">
        <v>2.8176714656908347E-3</v>
      </c>
    </row>
    <row r="2746" spans="1:2">
      <c r="A2746" t="s">
        <v>3978</v>
      </c>
      <c r="B2746">
        <v>4.7935489665279747E-3</v>
      </c>
    </row>
    <row r="2747" spans="1:2">
      <c r="A2747" t="s">
        <v>3979</v>
      </c>
      <c r="B2747">
        <v>1.0268847119406597</v>
      </c>
    </row>
    <row r="2748" spans="1:2">
      <c r="A2748" t="s">
        <v>3979</v>
      </c>
      <c r="B2748">
        <v>6.9245472583411113E-2</v>
      </c>
    </row>
    <row r="2749" spans="1:2">
      <c r="A2749" t="s">
        <v>3980</v>
      </c>
      <c r="B2749">
        <v>0.41555586364505115</v>
      </c>
    </row>
    <row r="2750" spans="1:2">
      <c r="A2750" t="s">
        <v>3981</v>
      </c>
      <c r="B2750">
        <v>0.75015928632028706</v>
      </c>
    </row>
    <row r="2751" spans="1:2">
      <c r="A2751" t="s">
        <v>3982</v>
      </c>
      <c r="B2751">
        <v>1.369856088063133</v>
      </c>
    </row>
    <row r="2752" spans="1:2">
      <c r="A2752" t="s">
        <v>3983</v>
      </c>
      <c r="B2752">
        <v>2.2074750973246666</v>
      </c>
    </row>
    <row r="2753" spans="1:2">
      <c r="A2753" t="s">
        <v>3984</v>
      </c>
      <c r="B2753">
        <v>3.8085009920876116</v>
      </c>
    </row>
    <row r="2754" spans="1:2">
      <c r="A2754" t="s">
        <v>3985</v>
      </c>
      <c r="B2754">
        <v>4.0534922839762881</v>
      </c>
    </row>
    <row r="2755" spans="1:2">
      <c r="A2755" t="s">
        <v>3986</v>
      </c>
      <c r="B2755">
        <v>6.7295842772810213</v>
      </c>
    </row>
    <row r="2756" spans="1:2">
      <c r="A2756" t="s">
        <v>3987</v>
      </c>
      <c r="B2756">
        <v>13.078248689810289</v>
      </c>
    </row>
    <row r="2757" spans="1:2">
      <c r="A2757" t="s">
        <v>3988</v>
      </c>
      <c r="B2757">
        <v>3.80014901622777</v>
      </c>
    </row>
    <row r="2758" spans="1:2">
      <c r="A2758" t="s">
        <v>3989</v>
      </c>
      <c r="B2758">
        <v>1.1624135176252648</v>
      </c>
    </row>
    <row r="2759" spans="1:2">
      <c r="A2759" t="s">
        <v>3990</v>
      </c>
      <c r="B2759">
        <v>1.0181512368864778</v>
      </c>
    </row>
    <row r="2760" spans="1:2">
      <c r="A2760" t="s">
        <v>3990</v>
      </c>
      <c r="B2760">
        <v>1.1234152035007217E-2</v>
      </c>
    </row>
    <row r="2761" spans="1:2">
      <c r="A2761" t="s">
        <v>644</v>
      </c>
      <c r="B2761">
        <v>4.9483650344095011E-5</v>
      </c>
    </row>
    <row r="2762" spans="1:2">
      <c r="A2762" t="s">
        <v>645</v>
      </c>
      <c r="B2762">
        <v>4.7635052817633277E-5</v>
      </c>
    </row>
    <row r="2763" spans="1:2">
      <c r="A2763" t="s">
        <v>646</v>
      </c>
      <c r="B2763">
        <v>3.284559595511322E-6</v>
      </c>
    </row>
    <row r="2764" spans="1:2">
      <c r="A2764" t="s">
        <v>3991</v>
      </c>
      <c r="B2764">
        <v>2.1275235744626926</v>
      </c>
    </row>
    <row r="2765" spans="1:2">
      <c r="A2765" t="s">
        <v>647</v>
      </c>
      <c r="B2765">
        <v>9.5725191056180833E-8</v>
      </c>
    </row>
    <row r="2766" spans="1:2">
      <c r="A2766" t="s">
        <v>3992</v>
      </c>
      <c r="B2766">
        <v>3.6975737787258364E-2</v>
      </c>
    </row>
    <row r="2767" spans="1:2">
      <c r="A2767" t="s">
        <v>648</v>
      </c>
      <c r="B2767">
        <v>2.3954306566051786E-6</v>
      </c>
    </row>
    <row r="2768" spans="1:2">
      <c r="A2768" t="s">
        <v>649</v>
      </c>
      <c r="B2768">
        <v>4.404961873458561E-6</v>
      </c>
    </row>
    <row r="2769" spans="1:2">
      <c r="A2769" t="s">
        <v>650</v>
      </c>
      <c r="B2769">
        <v>2.0196596170161577E-4</v>
      </c>
    </row>
    <row r="2770" spans="1:2">
      <c r="A2770" t="s">
        <v>3993</v>
      </c>
      <c r="B2770">
        <v>6.7624115176580027E-3</v>
      </c>
    </row>
    <row r="2771" spans="1:2">
      <c r="A2771" t="s">
        <v>3994</v>
      </c>
      <c r="B2771">
        <v>1.9804205158855581</v>
      </c>
    </row>
    <row r="2772" spans="1:2">
      <c r="A2772" t="s">
        <v>3995</v>
      </c>
      <c r="B2772">
        <v>5.5451774444795626E-2</v>
      </c>
    </row>
    <row r="2773" spans="1:2">
      <c r="A2773" t="s">
        <v>3996</v>
      </c>
      <c r="B2773">
        <v>8.4530143970725044E-2</v>
      </c>
    </row>
    <row r="2774" spans="1:2">
      <c r="A2774" t="s">
        <v>3997</v>
      </c>
      <c r="B2774">
        <v>0.28881132523331055</v>
      </c>
    </row>
    <row r="2775" spans="1:2">
      <c r="A2775" t="s">
        <v>3998</v>
      </c>
      <c r="B2775">
        <v>1.3177703052470442</v>
      </c>
    </row>
    <row r="2776" spans="1:2">
      <c r="A2776" t="s">
        <v>3999</v>
      </c>
      <c r="B2776">
        <v>7.5342084843472312</v>
      </c>
    </row>
    <row r="2777" spans="1:2">
      <c r="A2777" t="s">
        <v>4000</v>
      </c>
      <c r="B2777">
        <v>26.659506944613277</v>
      </c>
    </row>
    <row r="2778" spans="1:2">
      <c r="A2778" t="s">
        <v>4001</v>
      </c>
      <c r="B2778">
        <v>34.657359027997266</v>
      </c>
    </row>
    <row r="2779" spans="1:2">
      <c r="A2779" t="s">
        <v>4002</v>
      </c>
      <c r="B2779">
        <v>57.762265046662108</v>
      </c>
    </row>
    <row r="2780" spans="1:2">
      <c r="A2780" t="s">
        <v>4003</v>
      </c>
      <c r="B2780">
        <v>52.511150042420098</v>
      </c>
    </row>
    <row r="2781" spans="1:2">
      <c r="A2781" t="s">
        <v>4004</v>
      </c>
      <c r="B2781">
        <v>30.67022922831616</v>
      </c>
    </row>
    <row r="2782" spans="1:2">
      <c r="A2782" t="s">
        <v>4005</v>
      </c>
      <c r="B2782">
        <v>20.267461419881439</v>
      </c>
    </row>
    <row r="2783" spans="1:2">
      <c r="A2783" t="s">
        <v>4006</v>
      </c>
      <c r="B2783">
        <v>13.591121187449907</v>
      </c>
    </row>
    <row r="2784" spans="1:2">
      <c r="A2784" t="s">
        <v>4007</v>
      </c>
      <c r="B2784">
        <v>5.2116329365409415</v>
      </c>
    </row>
    <row r="2785" spans="1:2">
      <c r="A2785" t="s">
        <v>4008</v>
      </c>
      <c r="B2785">
        <v>1.9525272691829444E-2</v>
      </c>
    </row>
    <row r="2786" spans="1:2">
      <c r="A2786" t="s">
        <v>4009</v>
      </c>
      <c r="B2786">
        <v>2.5297342356202384E-2</v>
      </c>
    </row>
    <row r="2787" spans="1:2">
      <c r="A2787" t="s">
        <v>651</v>
      </c>
      <c r="B2787">
        <v>2.8108158173558204E-4</v>
      </c>
    </row>
    <row r="2788" spans="1:2">
      <c r="A2788" t="s">
        <v>4010</v>
      </c>
      <c r="B2788">
        <v>2.4168311735005064E-3</v>
      </c>
    </row>
    <row r="2789" spans="1:2">
      <c r="A2789" t="s">
        <v>4011</v>
      </c>
      <c r="B2789">
        <v>9.5506390619481007E-7</v>
      </c>
    </row>
    <row r="2790" spans="1:2">
      <c r="A2790" t="s">
        <v>652</v>
      </c>
      <c r="B2790">
        <v>2.6816279037447589E-5</v>
      </c>
    </row>
    <row r="2791" spans="1:2">
      <c r="A2791" t="s">
        <v>653</v>
      </c>
      <c r="B2791">
        <v>2.9026263842543774E-4</v>
      </c>
    </row>
    <row r="2792" spans="1:2">
      <c r="A2792" t="s">
        <v>654</v>
      </c>
      <c r="B2792">
        <v>6.6977824259982168E-8</v>
      </c>
    </row>
    <row r="2793" spans="1:2">
      <c r="A2793" t="s">
        <v>4012</v>
      </c>
      <c r="B2793">
        <v>3.9881886108167168E-2</v>
      </c>
    </row>
    <row r="2794" spans="1:2">
      <c r="A2794" t="s">
        <v>109</v>
      </c>
      <c r="B2794">
        <v>6.7169751454526387E-14</v>
      </c>
    </row>
    <row r="2795" spans="1:2">
      <c r="A2795" t="s">
        <v>4013</v>
      </c>
      <c r="B2795">
        <v>2.9470543391154139E-3</v>
      </c>
    </row>
    <row r="2796" spans="1:2">
      <c r="A2796" t="s">
        <v>655</v>
      </c>
      <c r="B2796">
        <v>6.2445691942337414E-4</v>
      </c>
    </row>
    <row r="2797" spans="1:2">
      <c r="A2797" t="s">
        <v>656</v>
      </c>
      <c r="B2797">
        <v>2.0168388633611071E-4</v>
      </c>
    </row>
    <row r="2798" spans="1:2">
      <c r="A2798" t="s">
        <v>4014</v>
      </c>
      <c r="B2798">
        <v>2.5045049858187143E-28</v>
      </c>
    </row>
    <row r="2799" spans="1:2">
      <c r="A2799" t="s">
        <v>657</v>
      </c>
      <c r="B2799">
        <v>5.192113712059515E-4</v>
      </c>
    </row>
    <row r="2800" spans="1:2">
      <c r="A2800" t="s">
        <v>657</v>
      </c>
      <c r="B2800">
        <v>9.8738914609678811E-3</v>
      </c>
    </row>
    <row r="2801" spans="1:2">
      <c r="A2801" t="s">
        <v>4015</v>
      </c>
      <c r="B2801">
        <v>3.5007433361613398E-3</v>
      </c>
    </row>
    <row r="2802" spans="1:2">
      <c r="A2802" t="s">
        <v>4016</v>
      </c>
      <c r="B2802">
        <v>2.106830336048466E-2</v>
      </c>
    </row>
    <row r="2803" spans="1:2">
      <c r="A2803" t="s">
        <v>4017</v>
      </c>
      <c r="B2803">
        <v>4.8471830808387781E-2</v>
      </c>
    </row>
    <row r="2804" spans="1:2">
      <c r="A2804" t="s">
        <v>4018</v>
      </c>
      <c r="B2804">
        <v>0.12579803639926412</v>
      </c>
    </row>
    <row r="2805" spans="1:2">
      <c r="A2805" t="s">
        <v>4019</v>
      </c>
      <c r="B2805">
        <v>0.45903786792049356</v>
      </c>
    </row>
    <row r="2806" spans="1:2">
      <c r="A2806" t="s">
        <v>4020</v>
      </c>
      <c r="B2806">
        <v>1.6906028794145007</v>
      </c>
    </row>
    <row r="2807" spans="1:2">
      <c r="A2807" t="s">
        <v>4021</v>
      </c>
      <c r="B2807">
        <v>3.5546009259484372</v>
      </c>
    </row>
    <row r="2808" spans="1:2">
      <c r="A2808" t="s">
        <v>4022</v>
      </c>
      <c r="B2808">
        <v>2.5672117798516489</v>
      </c>
    </row>
    <row r="2809" spans="1:2">
      <c r="A2809" t="s">
        <v>4023</v>
      </c>
      <c r="B2809">
        <v>256.7211779851649</v>
      </c>
    </row>
    <row r="2810" spans="1:2">
      <c r="A2810" t="s">
        <v>4024</v>
      </c>
      <c r="B2810">
        <v>1.732867951399863</v>
      </c>
    </row>
    <row r="2811" spans="1:2">
      <c r="A2811" t="s">
        <v>4024</v>
      </c>
      <c r="B2811">
        <v>3.0136833937388925</v>
      </c>
    </row>
    <row r="2812" spans="1:2">
      <c r="A2812" t="s">
        <v>4025</v>
      </c>
      <c r="B2812">
        <v>143.50873303518534</v>
      </c>
    </row>
    <row r="2813" spans="1:2">
      <c r="A2813" t="s">
        <v>4026</v>
      </c>
      <c r="B2813">
        <v>3.7876895112565316</v>
      </c>
    </row>
    <row r="2814" spans="1:2">
      <c r="A2814" t="s">
        <v>4027</v>
      </c>
      <c r="B2814">
        <v>60.80238425964432</v>
      </c>
    </row>
    <row r="2815" spans="1:2">
      <c r="A2815" t="s">
        <v>4028</v>
      </c>
      <c r="B2815">
        <v>0.77016353395549475</v>
      </c>
    </row>
    <row r="2816" spans="1:2">
      <c r="A2816" t="s">
        <v>4029</v>
      </c>
      <c r="B2816">
        <v>1.6232955048242279</v>
      </c>
    </row>
    <row r="2817" spans="1:2">
      <c r="A2817" t="s">
        <v>4030</v>
      </c>
      <c r="B2817">
        <v>11.552453009332423</v>
      </c>
    </row>
    <row r="2818" spans="1:2">
      <c r="A2818" t="s">
        <v>4031</v>
      </c>
      <c r="B2818">
        <v>4.332169878499658E-2</v>
      </c>
    </row>
    <row r="2819" spans="1:2">
      <c r="A2819" t="s">
        <v>4031</v>
      </c>
      <c r="B2819">
        <v>7.8766725063630139E-2</v>
      </c>
    </row>
    <row r="2820" spans="1:2">
      <c r="A2820" t="s">
        <v>4032</v>
      </c>
      <c r="B2820">
        <v>2.038668178117486</v>
      </c>
    </row>
    <row r="2821" spans="1:2">
      <c r="A2821" t="s">
        <v>4033</v>
      </c>
      <c r="B2821">
        <v>8.2517521495231588E-3</v>
      </c>
    </row>
    <row r="2822" spans="1:2">
      <c r="A2822" t="s">
        <v>4034</v>
      </c>
      <c r="B2822">
        <v>5.4236868588415123E-3</v>
      </c>
    </row>
    <row r="2823" spans="1:2">
      <c r="A2823" t="s">
        <v>4035</v>
      </c>
      <c r="B2823">
        <v>7.2202831308327631E-3</v>
      </c>
    </row>
    <row r="2824" spans="1:2">
      <c r="A2824" t="s">
        <v>4036</v>
      </c>
      <c r="B2824">
        <v>24.406590864786807</v>
      </c>
    </row>
    <row r="2825" spans="1:2">
      <c r="A2825" t="s">
        <v>4037</v>
      </c>
      <c r="B2825">
        <v>14.747812352339261</v>
      </c>
    </row>
    <row r="2826" spans="1:2">
      <c r="A2826" t="s">
        <v>4038</v>
      </c>
      <c r="B2826">
        <v>4.9020309799147475</v>
      </c>
    </row>
    <row r="2827" spans="1:2">
      <c r="A2827" t="s">
        <v>4039</v>
      </c>
      <c r="B2827">
        <v>3.1621677945252977</v>
      </c>
    </row>
    <row r="2828" spans="1:2">
      <c r="A2828" t="s">
        <v>4040</v>
      </c>
      <c r="B2828">
        <v>0.30872402483517963</v>
      </c>
    </row>
    <row r="2829" spans="1:2">
      <c r="A2829" t="s">
        <v>4041</v>
      </c>
      <c r="B2829">
        <v>0.1686079252152628</v>
      </c>
    </row>
    <row r="2830" spans="1:2">
      <c r="A2830" t="s">
        <v>658</v>
      </c>
      <c r="B2830">
        <v>7.3470192122439702E-5</v>
      </c>
    </row>
    <row r="2831" spans="1:2">
      <c r="A2831" t="s">
        <v>659</v>
      </c>
      <c r="B2831">
        <v>1.3450403383729411E-10</v>
      </c>
    </row>
    <row r="2832" spans="1:2">
      <c r="A2832" t="s">
        <v>4042</v>
      </c>
      <c r="B2832">
        <v>0.11234152035007217</v>
      </c>
    </row>
    <row r="2833" spans="1:2">
      <c r="A2833" t="s">
        <v>4043</v>
      </c>
      <c r="B2833">
        <v>0.25023363919131597</v>
      </c>
    </row>
    <row r="2834" spans="1:2">
      <c r="A2834" t="s">
        <v>4044</v>
      </c>
      <c r="B2834">
        <v>0.88865023148710931</v>
      </c>
    </row>
    <row r="2835" spans="1:2">
      <c r="A2835" t="s">
        <v>4045</v>
      </c>
      <c r="B2835">
        <v>1.3780262038965114</v>
      </c>
    </row>
    <row r="2836" spans="1:2">
      <c r="A2836" t="s">
        <v>4046</v>
      </c>
      <c r="B2836">
        <v>4.9159374507797535</v>
      </c>
    </row>
    <row r="2837" spans="1:2">
      <c r="A2837" t="s">
        <v>4047</v>
      </c>
      <c r="B2837">
        <v>11.00233619936421</v>
      </c>
    </row>
    <row r="2838" spans="1:2">
      <c r="A2838" t="s">
        <v>4048</v>
      </c>
      <c r="B2838">
        <v>17.910779859430107</v>
      </c>
    </row>
    <row r="2839" spans="1:2">
      <c r="A2839" t="s">
        <v>4049</v>
      </c>
      <c r="B2839">
        <v>22.876144572935488</v>
      </c>
    </row>
    <row r="2840" spans="1:2">
      <c r="A2840" t="s">
        <v>4050</v>
      </c>
      <c r="B2840">
        <v>34.657359027997266</v>
      </c>
    </row>
    <row r="2841" spans="1:2">
      <c r="A2841" t="s">
        <v>4051</v>
      </c>
      <c r="B2841">
        <v>46.209812037329691</v>
      </c>
    </row>
    <row r="2842" spans="1:2">
      <c r="A2842" t="s">
        <v>4052</v>
      </c>
      <c r="B2842">
        <v>53.319013889226554</v>
      </c>
    </row>
    <row r="2843" spans="1:2">
      <c r="A2843" t="s">
        <v>4053</v>
      </c>
      <c r="B2843">
        <v>1.2602676010180822</v>
      </c>
    </row>
    <row r="2844" spans="1:2">
      <c r="A2844" t="s">
        <v>4054</v>
      </c>
      <c r="B2844">
        <v>0.57762265046662109</v>
      </c>
    </row>
    <row r="2845" spans="1:2">
      <c r="A2845" t="s">
        <v>4055</v>
      </c>
      <c r="B2845">
        <v>0.17328679513998632</v>
      </c>
    </row>
    <row r="2846" spans="1:2">
      <c r="A2846" t="s">
        <v>4056</v>
      </c>
      <c r="B2846">
        <v>0.23901626915860183</v>
      </c>
    </row>
    <row r="2847" spans="1:2">
      <c r="A2847" t="s">
        <v>4057</v>
      </c>
      <c r="B2847">
        <v>0.20386681781174862</v>
      </c>
    </row>
    <row r="2848" spans="1:2">
      <c r="A2848" t="s">
        <v>4058</v>
      </c>
      <c r="B2848">
        <v>7.2962861111573185E-2</v>
      </c>
    </row>
    <row r="2849" spans="1:2">
      <c r="A2849" t="s">
        <v>4059</v>
      </c>
      <c r="B2849">
        <v>6.7295842772810213E-2</v>
      </c>
    </row>
    <row r="2850" spans="1:2">
      <c r="A2850" t="s">
        <v>4060</v>
      </c>
      <c r="B2850">
        <v>1.5403270679109895E-2</v>
      </c>
    </row>
    <row r="2851" spans="1:2">
      <c r="A2851" t="s">
        <v>4061</v>
      </c>
      <c r="B2851">
        <v>1.5403270679109895E-2</v>
      </c>
    </row>
    <row r="2852" spans="1:2">
      <c r="A2852" t="s">
        <v>4062</v>
      </c>
      <c r="B2852">
        <v>3.7265977449459425E-3</v>
      </c>
    </row>
    <row r="2853" spans="1:2">
      <c r="A2853" t="s">
        <v>4063</v>
      </c>
      <c r="B2853">
        <v>4.4951179024639775E-3</v>
      </c>
    </row>
    <row r="2854" spans="1:2">
      <c r="A2854" t="s">
        <v>4064</v>
      </c>
      <c r="B2854">
        <v>6.4780110332705171E-2</v>
      </c>
    </row>
    <row r="2855" spans="1:2">
      <c r="A2855" t="s">
        <v>4065</v>
      </c>
      <c r="B2855">
        <v>7.816274025258743E-4</v>
      </c>
    </row>
    <row r="2856" spans="1:2">
      <c r="A2856" t="s">
        <v>660</v>
      </c>
      <c r="B2856">
        <v>1.1108127893588867E-3</v>
      </c>
    </row>
    <row r="2857" spans="1:2">
      <c r="A2857" t="s">
        <v>661</v>
      </c>
      <c r="B2857">
        <v>5.111704871386027E-4</v>
      </c>
    </row>
    <row r="2858" spans="1:2">
      <c r="A2858" t="s">
        <v>662</v>
      </c>
      <c r="B2858">
        <v>1.5938814858350471E-4</v>
      </c>
    </row>
    <row r="2859" spans="1:2">
      <c r="A2859" t="s">
        <v>4066</v>
      </c>
      <c r="B2859">
        <v>1.3083185741033321E-3</v>
      </c>
    </row>
    <row r="2860" spans="1:2">
      <c r="A2860" t="s">
        <v>4067</v>
      </c>
      <c r="B2860">
        <v>1.050223000848402E-2</v>
      </c>
    </row>
    <row r="2861" spans="1:2">
      <c r="A2861" t="s">
        <v>663</v>
      </c>
      <c r="B2861">
        <v>2.3595696505989422E-8</v>
      </c>
    </row>
    <row r="2862" spans="1:2">
      <c r="A2862" t="s">
        <v>147</v>
      </c>
      <c r="B2862">
        <v>3.2300748125926656E-16</v>
      </c>
    </row>
    <row r="2863" spans="1:2">
      <c r="A2863" t="s">
        <v>148</v>
      </c>
      <c r="B2863">
        <v>2.0527578248252456E-19</v>
      </c>
    </row>
    <row r="2864" spans="1:2">
      <c r="A2864" t="s">
        <v>34</v>
      </c>
      <c r="B2864">
        <v>3.211185486203235E-24</v>
      </c>
    </row>
    <row r="2865" spans="1:2">
      <c r="A2865" t="s">
        <v>128</v>
      </c>
      <c r="B2865">
        <v>2.3218296750137555E-10</v>
      </c>
    </row>
    <row r="2866" spans="1:2">
      <c r="A2866" t="s">
        <v>664</v>
      </c>
      <c r="B2866">
        <v>4.160077857720409E-6</v>
      </c>
    </row>
    <row r="2867" spans="1:2">
      <c r="A2867" t="s">
        <v>665</v>
      </c>
      <c r="B2867">
        <v>5.2080303892040501E-4</v>
      </c>
    </row>
    <row r="2868" spans="1:2">
      <c r="A2868" t="s">
        <v>666</v>
      </c>
      <c r="B2868">
        <v>2.0483072711582307E-5</v>
      </c>
    </row>
    <row r="2869" spans="1:2">
      <c r="A2869" t="s">
        <v>4068</v>
      </c>
      <c r="B2869">
        <v>1.436872264842341E-3</v>
      </c>
    </row>
    <row r="2870" spans="1:2">
      <c r="A2870" t="s">
        <v>4069</v>
      </c>
      <c r="B2870">
        <v>2.1715137235587254E-3</v>
      </c>
    </row>
    <row r="2871" spans="1:2">
      <c r="A2871" t="s">
        <v>4070</v>
      </c>
      <c r="B2871">
        <v>6.0962812714155261E-2</v>
      </c>
    </row>
    <row r="2872" spans="1:2">
      <c r="A2872" t="s">
        <v>4071</v>
      </c>
      <c r="B2872">
        <v>7.2202831308327636E-2</v>
      </c>
    </row>
    <row r="2873" spans="1:2">
      <c r="A2873" t="s">
        <v>4072</v>
      </c>
      <c r="B2873">
        <v>0.14970781437579811</v>
      </c>
    </row>
    <row r="2874" spans="1:2">
      <c r="A2874" t="s">
        <v>4073</v>
      </c>
      <c r="B2874">
        <v>0.22431947590936741</v>
      </c>
    </row>
    <row r="2875" spans="1:2">
      <c r="A2875" t="s">
        <v>4074</v>
      </c>
      <c r="B2875">
        <v>0.41505819195206306</v>
      </c>
    </row>
    <row r="2876" spans="1:2">
      <c r="A2876" t="s">
        <v>4075</v>
      </c>
      <c r="B2876">
        <v>0.48813181729573613</v>
      </c>
    </row>
    <row r="2877" spans="1:2">
      <c r="A2877" t="s">
        <v>4076</v>
      </c>
      <c r="B2877">
        <v>1.1289042028663605</v>
      </c>
    </row>
    <row r="2878" spans="1:2">
      <c r="A2878" t="s">
        <v>4077</v>
      </c>
      <c r="B2878">
        <v>1.7372109788469805</v>
      </c>
    </row>
    <row r="2879" spans="1:2">
      <c r="A2879" t="s">
        <v>4078</v>
      </c>
      <c r="B2879">
        <v>2.0752909597603151</v>
      </c>
    </row>
    <row r="2880" spans="1:2">
      <c r="A2880" t="s">
        <v>4079</v>
      </c>
      <c r="B2880">
        <v>1.9635897466287402</v>
      </c>
    </row>
    <row r="2881" spans="1:2">
      <c r="A2881" t="s">
        <v>4080</v>
      </c>
      <c r="B2881">
        <v>0.58741286488130962</v>
      </c>
    </row>
    <row r="2882" spans="1:2">
      <c r="A2882" t="s">
        <v>4081</v>
      </c>
      <c r="B2882">
        <v>0.31506690025452055</v>
      </c>
    </row>
    <row r="2883" spans="1:2">
      <c r="A2883" t="s">
        <v>4082</v>
      </c>
      <c r="B2883">
        <v>0.18240715277893299</v>
      </c>
    </row>
    <row r="2884" spans="1:2">
      <c r="A2884" t="s">
        <v>4083</v>
      </c>
      <c r="B2884">
        <v>9.9021025794277892E-2</v>
      </c>
    </row>
    <row r="2885" spans="1:2">
      <c r="A2885" t="s">
        <v>4084</v>
      </c>
      <c r="B2885">
        <v>3.3164936868896905E-2</v>
      </c>
    </row>
    <row r="2886" spans="1:2">
      <c r="A2886" t="s">
        <v>4085</v>
      </c>
      <c r="B2886">
        <v>2.1197161485013615E-2</v>
      </c>
    </row>
    <row r="2887" spans="1:2">
      <c r="A2887" t="s">
        <v>4086</v>
      </c>
      <c r="B2887">
        <v>6.0169026090273036E-3</v>
      </c>
    </row>
    <row r="2888" spans="1:2">
      <c r="A2888" t="s">
        <v>4087</v>
      </c>
      <c r="B2888">
        <v>3.9836044859766972E-3</v>
      </c>
    </row>
    <row r="2889" spans="1:2">
      <c r="A2889" t="s">
        <v>4088</v>
      </c>
      <c r="B2889">
        <v>1.1002336199364211E-3</v>
      </c>
    </row>
    <row r="2890" spans="1:2">
      <c r="A2890" t="s">
        <v>4089</v>
      </c>
      <c r="B2890">
        <v>6.3825707233880783E-4</v>
      </c>
    </row>
    <row r="2891" spans="1:2">
      <c r="A2891" t="s">
        <v>667</v>
      </c>
      <c r="B2891">
        <v>4.6350718220720678E-5</v>
      </c>
    </row>
    <row r="2892" spans="1:2">
      <c r="A2892" t="s">
        <v>668</v>
      </c>
      <c r="B2892">
        <v>3.2726495777145672E-4</v>
      </c>
    </row>
    <row r="2893" spans="1:2">
      <c r="A2893" t="s">
        <v>669</v>
      </c>
      <c r="B2893">
        <v>6.9712693882832843E-8</v>
      </c>
    </row>
    <row r="2894" spans="1:2">
      <c r="A2894" t="s">
        <v>4090</v>
      </c>
      <c r="B2894">
        <v>5.3983425277254302E-4</v>
      </c>
    </row>
    <row r="2895" spans="1:2">
      <c r="A2895" t="s">
        <v>670</v>
      </c>
      <c r="B2895">
        <v>5.7550479282901037E-7</v>
      </c>
    </row>
    <row r="2896" spans="1:2">
      <c r="A2896" t="s">
        <v>671</v>
      </c>
      <c r="B2896">
        <v>2.7380671713434824E-8</v>
      </c>
    </row>
    <row r="2897" spans="1:2">
      <c r="A2897" t="s">
        <v>146</v>
      </c>
      <c r="B2897">
        <v>7.1179624210304511E-6</v>
      </c>
    </row>
    <row r="2898" spans="1:2">
      <c r="A2898" t="s">
        <v>116</v>
      </c>
      <c r="B2898">
        <v>5.0033049488906898E-10</v>
      </c>
    </row>
    <row r="2899" spans="1:2">
      <c r="A2899" t="s">
        <v>672</v>
      </c>
      <c r="B2899">
        <v>6.2093938173656392E-8</v>
      </c>
    </row>
    <row r="2900" spans="1:2">
      <c r="A2900" t="s">
        <v>672</v>
      </c>
      <c r="B2900">
        <v>2.8837875709766402E-4</v>
      </c>
    </row>
    <row r="2901" spans="1:2">
      <c r="A2901" t="s">
        <v>674</v>
      </c>
      <c r="B2901">
        <v>8.3273165995810708E-7</v>
      </c>
    </row>
    <row r="2902" spans="1:2">
      <c r="A2902" t="s">
        <v>674</v>
      </c>
      <c r="B2902">
        <v>1.1540912097235186E-3</v>
      </c>
    </row>
    <row r="2903" spans="1:2">
      <c r="A2903" t="s">
        <v>119</v>
      </c>
      <c r="B2903">
        <v>1.109318622506572E-13</v>
      </c>
    </row>
    <row r="2904" spans="1:2">
      <c r="A2904" t="s">
        <v>675</v>
      </c>
      <c r="B2904">
        <v>9.1686134994701753E-5</v>
      </c>
    </row>
    <row r="2905" spans="1:2">
      <c r="A2905" t="s">
        <v>675</v>
      </c>
      <c r="B2905">
        <v>2.7972041184824267E-3</v>
      </c>
    </row>
    <row r="2906" spans="1:2">
      <c r="A2906" t="s">
        <v>676</v>
      </c>
      <c r="B2906">
        <v>1.9383310418342989E-4</v>
      </c>
    </row>
    <row r="2907" spans="1:2">
      <c r="A2907" t="s">
        <v>4091</v>
      </c>
      <c r="B2907">
        <v>0.10663802777845312</v>
      </c>
    </row>
    <row r="2908" spans="1:2">
      <c r="A2908" t="s">
        <v>4092</v>
      </c>
      <c r="B2908">
        <v>5.1804722014943587E-3</v>
      </c>
    </row>
    <row r="2909" spans="1:2">
      <c r="A2909" t="s">
        <v>4092</v>
      </c>
      <c r="B2909">
        <v>1.6045073624072809E-3</v>
      </c>
    </row>
    <row r="2910" spans="1:2">
      <c r="A2910" t="s">
        <v>4093</v>
      </c>
      <c r="B2910">
        <v>3.0971723885609708E-3</v>
      </c>
    </row>
    <row r="2911" spans="1:2">
      <c r="A2911" t="s">
        <v>4093</v>
      </c>
      <c r="B2911">
        <v>6.7955605937249537E-3</v>
      </c>
    </row>
    <row r="2912" spans="1:2">
      <c r="A2912" t="s">
        <v>4094</v>
      </c>
      <c r="B2912">
        <v>1.2377628224284737E-2</v>
      </c>
    </row>
    <row r="2913" spans="1:2">
      <c r="A2913" t="s">
        <v>4095</v>
      </c>
      <c r="B2913">
        <v>1.1868958571231941E-2</v>
      </c>
    </row>
    <row r="2914" spans="1:2">
      <c r="A2914" t="s">
        <v>4096</v>
      </c>
      <c r="B2914">
        <v>1.7459626714356302E-2</v>
      </c>
    </row>
    <row r="2915" spans="1:2">
      <c r="A2915" t="s">
        <v>4097</v>
      </c>
      <c r="B2915">
        <v>0.50228056562314882</v>
      </c>
    </row>
    <row r="2916" spans="1:2">
      <c r="A2916" t="s">
        <v>4098</v>
      </c>
      <c r="B2916">
        <v>0.67690154351557152</v>
      </c>
    </row>
    <row r="2917" spans="1:2">
      <c r="A2917" t="s">
        <v>4099</v>
      </c>
      <c r="B2917">
        <v>1.3459168554562044</v>
      </c>
    </row>
    <row r="2918" spans="1:2">
      <c r="A2918" t="s">
        <v>4100</v>
      </c>
      <c r="B2918">
        <v>1.9525272691829445</v>
      </c>
    </row>
    <row r="2919" spans="1:2">
      <c r="A2919" t="s">
        <v>4101</v>
      </c>
      <c r="B2919">
        <v>3.0401192129822161</v>
      </c>
    </row>
    <row r="2920" spans="1:2">
      <c r="A2920" t="s">
        <v>4102</v>
      </c>
      <c r="B2920">
        <v>4.6834268956753062</v>
      </c>
    </row>
    <row r="2921" spans="1:2">
      <c r="A2921" t="s">
        <v>4103</v>
      </c>
      <c r="B2921">
        <v>5.7762265046662113</v>
      </c>
    </row>
    <row r="2922" spans="1:2">
      <c r="A2922" t="s">
        <v>4104</v>
      </c>
      <c r="B2922">
        <v>28.881132523331054</v>
      </c>
    </row>
    <row r="2923" spans="1:2">
      <c r="A2923" t="s">
        <v>4105</v>
      </c>
      <c r="B2923">
        <v>3.4484934356216179</v>
      </c>
    </row>
    <row r="2924" spans="1:2">
      <c r="A2924" t="s">
        <v>4106</v>
      </c>
      <c r="B2924">
        <v>6.0802384259644322</v>
      </c>
    </row>
    <row r="2925" spans="1:2">
      <c r="A2925" t="s">
        <v>4107</v>
      </c>
      <c r="B2925">
        <v>9.6270441744436841</v>
      </c>
    </row>
    <row r="2926" spans="1:2">
      <c r="A2926" t="s">
        <v>4108</v>
      </c>
      <c r="B2926">
        <v>12.377628224284736</v>
      </c>
    </row>
    <row r="2927" spans="1:2">
      <c r="A2927" t="s">
        <v>4109</v>
      </c>
      <c r="B2927">
        <v>13.591121187449907</v>
      </c>
    </row>
    <row r="2928" spans="1:2">
      <c r="A2928" t="s">
        <v>4110</v>
      </c>
      <c r="B2928">
        <v>17.773004629742186</v>
      </c>
    </row>
    <row r="2929" spans="1:2">
      <c r="A2929" t="s">
        <v>4111</v>
      </c>
      <c r="B2929">
        <v>34.657359027997266</v>
      </c>
    </row>
    <row r="2930" spans="1:2">
      <c r="A2930" t="s">
        <v>4112</v>
      </c>
      <c r="B2930">
        <v>29.748806032615676</v>
      </c>
    </row>
    <row r="2931" spans="1:2">
      <c r="A2931" t="s">
        <v>4113</v>
      </c>
      <c r="B2931">
        <v>25.114028281157434</v>
      </c>
    </row>
    <row r="2932" spans="1:2">
      <c r="A2932" t="s">
        <v>4114</v>
      </c>
      <c r="B2932">
        <v>8.1355302882622684</v>
      </c>
    </row>
    <row r="2933" spans="1:2">
      <c r="A2933" t="s">
        <v>4115</v>
      </c>
      <c r="B2933">
        <v>8.7851353683136291E-2</v>
      </c>
    </row>
    <row r="2934" spans="1:2">
      <c r="A2934" t="s">
        <v>4116</v>
      </c>
      <c r="B2934">
        <v>7.7016353395549478E-2</v>
      </c>
    </row>
    <row r="2935" spans="1:2">
      <c r="A2935" t="s">
        <v>4117</v>
      </c>
      <c r="B2935">
        <v>4.4432511574355469E-3</v>
      </c>
    </row>
    <row r="2936" spans="1:2">
      <c r="A2936" t="s">
        <v>4118</v>
      </c>
      <c r="B2936">
        <v>5.1804722014943587E-3</v>
      </c>
    </row>
    <row r="2937" spans="1:2">
      <c r="A2937" t="s">
        <v>677</v>
      </c>
      <c r="B2937">
        <v>1.0867782699277912E-4</v>
      </c>
    </row>
    <row r="2938" spans="1:2">
      <c r="A2938" t="s">
        <v>678</v>
      </c>
      <c r="B2938">
        <v>5.1827963254070988E-4</v>
      </c>
    </row>
    <row r="2939" spans="1:2">
      <c r="A2939" t="s">
        <v>679</v>
      </c>
      <c r="B2939">
        <v>3.1647088015922699E-7</v>
      </c>
    </row>
    <row r="2940" spans="1:2">
      <c r="A2940" t="s">
        <v>680</v>
      </c>
      <c r="B2940">
        <v>5.9407862847538946E-6</v>
      </c>
    </row>
    <row r="2941" spans="1:2">
      <c r="A2941" t="s">
        <v>4119</v>
      </c>
      <c r="B2941">
        <v>0.14002973344645359</v>
      </c>
    </row>
    <row r="2942" spans="1:2">
      <c r="A2942" t="s">
        <v>681</v>
      </c>
      <c r="B2942">
        <v>1.2371103350917366E-7</v>
      </c>
    </row>
    <row r="2943" spans="1:2">
      <c r="A2943" t="s">
        <v>682</v>
      </c>
      <c r="B2943">
        <v>1.7081846827343518E-4</v>
      </c>
    </row>
    <row r="2944" spans="1:2">
      <c r="A2944" t="s">
        <v>683</v>
      </c>
      <c r="B2944">
        <v>6.8398182411678039E-5</v>
      </c>
    </row>
    <row r="2945" spans="1:2">
      <c r="A2945" t="s">
        <v>684</v>
      </c>
      <c r="B2945">
        <v>1.5867359201021369E-7</v>
      </c>
    </row>
    <row r="2946" spans="1:2">
      <c r="A2946" t="s">
        <v>21</v>
      </c>
      <c r="B2946">
        <v>7.5975471205915351E-10</v>
      </c>
    </row>
    <row r="2947" spans="1:2">
      <c r="A2947" t="s">
        <v>685</v>
      </c>
      <c r="B2947">
        <v>1.9890587137280341E-5</v>
      </c>
    </row>
    <row r="2948" spans="1:2">
      <c r="A2948" t="s">
        <v>686</v>
      </c>
      <c r="B2948">
        <v>7.3770453444012908E-5</v>
      </c>
    </row>
    <row r="2949" spans="1:2">
      <c r="A2949" t="s">
        <v>4120</v>
      </c>
      <c r="B2949">
        <v>1.5548388976221296E-3</v>
      </c>
    </row>
    <row r="2950" spans="1:2">
      <c r="A2950" t="s">
        <v>4121</v>
      </c>
      <c r="B2950">
        <v>9.2051418401055147E-3</v>
      </c>
    </row>
    <row r="2951" spans="1:2">
      <c r="A2951" t="s">
        <v>4122</v>
      </c>
      <c r="B2951">
        <v>2.9001974082006082E-2</v>
      </c>
    </row>
    <row r="2952" spans="1:2">
      <c r="A2952" t="s">
        <v>4123</v>
      </c>
      <c r="B2952">
        <v>0.6508424230609815</v>
      </c>
    </row>
    <row r="2953" spans="1:2">
      <c r="A2953" t="s">
        <v>4124</v>
      </c>
      <c r="B2953">
        <v>1.6082301173084577</v>
      </c>
    </row>
    <row r="2954" spans="1:2">
      <c r="A2954" t="s">
        <v>4125</v>
      </c>
      <c r="B2954">
        <v>1.0614811340887369</v>
      </c>
    </row>
    <row r="2955" spans="1:2">
      <c r="A2955" t="s">
        <v>4126</v>
      </c>
      <c r="B2955">
        <v>2.5767553180667111</v>
      </c>
    </row>
    <row r="2956" spans="1:2">
      <c r="A2956" t="s">
        <v>4127</v>
      </c>
      <c r="B2956">
        <v>239.01626915860183</v>
      </c>
    </row>
    <row r="2957" spans="1:2">
      <c r="A2957" t="s">
        <v>4128</v>
      </c>
      <c r="B2957">
        <v>6.5391243449051446</v>
      </c>
    </row>
    <row r="2958" spans="1:2">
      <c r="A2958" t="s">
        <v>4128</v>
      </c>
      <c r="B2958">
        <v>1.9094963651789127</v>
      </c>
    </row>
    <row r="2959" spans="1:2">
      <c r="A2959" t="s">
        <v>4129</v>
      </c>
      <c r="B2959">
        <v>67.955605937249544</v>
      </c>
    </row>
    <row r="2960" spans="1:2">
      <c r="A2960" t="s">
        <v>4130</v>
      </c>
      <c r="B2960">
        <v>14.145860827753985</v>
      </c>
    </row>
    <row r="2961" spans="1:2">
      <c r="A2961" t="s">
        <v>4131</v>
      </c>
      <c r="B2961">
        <v>0.66648767361533201</v>
      </c>
    </row>
    <row r="2962" spans="1:2">
      <c r="A2962" t="s">
        <v>4131</v>
      </c>
      <c r="B2962">
        <v>1.2534307062566821</v>
      </c>
    </row>
    <row r="2963" spans="1:2">
      <c r="A2963" t="s">
        <v>4132</v>
      </c>
      <c r="B2963">
        <v>0.44719172939351309</v>
      </c>
    </row>
    <row r="2964" spans="1:2">
      <c r="A2964" t="s">
        <v>4132</v>
      </c>
      <c r="B2964">
        <v>0.40773363562349724</v>
      </c>
    </row>
    <row r="2965" spans="1:2">
      <c r="A2965" t="s">
        <v>4133</v>
      </c>
      <c r="B2965">
        <v>0.22431947590936741</v>
      </c>
    </row>
    <row r="2966" spans="1:2">
      <c r="A2966" t="s">
        <v>4134</v>
      </c>
      <c r="B2966">
        <v>0.19470426420223183</v>
      </c>
    </row>
    <row r="2967" spans="1:2">
      <c r="A2967" t="s">
        <v>4135</v>
      </c>
      <c r="B2967">
        <v>6.4780110332705171E-2</v>
      </c>
    </row>
    <row r="2968" spans="1:2">
      <c r="A2968" t="s">
        <v>4136</v>
      </c>
      <c r="B2968">
        <v>4.8813181729573614E-2</v>
      </c>
    </row>
    <row r="2969" spans="1:2">
      <c r="A2969" t="s">
        <v>4137</v>
      </c>
      <c r="B2969">
        <v>2.2359586469675653E-2</v>
      </c>
    </row>
    <row r="2970" spans="1:2">
      <c r="A2970" t="s">
        <v>4138</v>
      </c>
      <c r="B2970">
        <v>2.0149627341858874E-2</v>
      </c>
    </row>
    <row r="2971" spans="1:2">
      <c r="A2971" t="s">
        <v>4139</v>
      </c>
      <c r="B2971">
        <v>8.6643397569993157E-3</v>
      </c>
    </row>
    <row r="2972" spans="1:2">
      <c r="A2972" t="s">
        <v>4140</v>
      </c>
      <c r="B2972">
        <v>5.7762265046662105E-3</v>
      </c>
    </row>
    <row r="2973" spans="1:2">
      <c r="A2973" t="s">
        <v>4141</v>
      </c>
      <c r="B2973">
        <v>2.3576434712923311E-3</v>
      </c>
    </row>
    <row r="2974" spans="1:2">
      <c r="A2974" t="s">
        <v>4142</v>
      </c>
      <c r="B2974">
        <v>1.7089427528598259E-3</v>
      </c>
    </row>
    <row r="2975" spans="1:2">
      <c r="A2975" t="s">
        <v>4143</v>
      </c>
      <c r="B2975">
        <v>4.9581343387692799E-4</v>
      </c>
    </row>
    <row r="2976" spans="1:2">
      <c r="A2976" t="s">
        <v>687</v>
      </c>
      <c r="B2976">
        <v>3.1392535351446797E-4</v>
      </c>
    </row>
    <row r="2977" spans="1:2">
      <c r="A2977" t="s">
        <v>688</v>
      </c>
      <c r="B2977">
        <v>6.1318752703462965E-5</v>
      </c>
    </row>
    <row r="2978" spans="1:2">
      <c r="A2978" t="s">
        <v>689</v>
      </c>
      <c r="B2978">
        <v>1.7827859582303116E-4</v>
      </c>
    </row>
    <row r="2979" spans="1:2">
      <c r="A2979" t="s">
        <v>690</v>
      </c>
      <c r="B2979">
        <v>1.833722699894035E-5</v>
      </c>
    </row>
    <row r="2980" spans="1:2">
      <c r="A2980" t="s">
        <v>691</v>
      </c>
      <c r="B2980">
        <v>2.3829317263474466E-5</v>
      </c>
    </row>
    <row r="2981" spans="1:2">
      <c r="A2981" t="s">
        <v>692</v>
      </c>
      <c r="B2981">
        <v>3.4041881804963523E-6</v>
      </c>
    </row>
    <row r="2982" spans="1:2">
      <c r="A2982" t="s">
        <v>4144</v>
      </c>
      <c r="B2982">
        <v>7.9892482775466265E-5</v>
      </c>
    </row>
    <row r="2983" spans="1:2">
      <c r="A2983" t="s">
        <v>4144</v>
      </c>
      <c r="B2983">
        <v>1.2395335846923199E-3</v>
      </c>
    </row>
    <row r="2984" spans="1:2">
      <c r="A2984" t="s">
        <v>693</v>
      </c>
      <c r="B2984">
        <v>2.3901626915860184</v>
      </c>
    </row>
    <row r="2985" spans="1:2">
      <c r="A2985" t="s">
        <v>694</v>
      </c>
      <c r="B2985">
        <v>1.2101657700071695E-8</v>
      </c>
    </row>
    <row r="2986" spans="1:2">
      <c r="A2986" t="s">
        <v>695</v>
      </c>
      <c r="B2986">
        <v>2.3613059049408103E-5</v>
      </c>
    </row>
    <row r="2987" spans="1:2">
      <c r="A2987" t="s">
        <v>696</v>
      </c>
      <c r="B2987">
        <v>6.9880289990212926E-8</v>
      </c>
    </row>
    <row r="2988" spans="1:2">
      <c r="A2988" t="s">
        <v>786</v>
      </c>
      <c r="B2988">
        <v>2.4492833235333755</v>
      </c>
    </row>
    <row r="2989" spans="1:2">
      <c r="A2989" t="s">
        <v>786</v>
      </c>
      <c r="B2989">
        <v>7.2886138860141464E-4</v>
      </c>
    </row>
    <row r="2990" spans="1:2">
      <c r="A2990" t="s">
        <v>697</v>
      </c>
      <c r="B2990">
        <v>1.5730464337326284E-6</v>
      </c>
    </row>
    <row r="2991" spans="1:2">
      <c r="A2991" t="s">
        <v>698</v>
      </c>
      <c r="B2991">
        <v>2.2131136033203875E-5</v>
      </c>
    </row>
    <row r="2992" spans="1:2">
      <c r="A2992" t="s">
        <v>699</v>
      </c>
      <c r="B2992">
        <v>2.3338288907742265E-4</v>
      </c>
    </row>
    <row r="2993" spans="1:2">
      <c r="A2993" t="s">
        <v>700</v>
      </c>
      <c r="B2993">
        <v>1.1002336199364211E-3</v>
      </c>
    </row>
    <row r="2994" spans="1:2">
      <c r="A2994" t="s">
        <v>4145</v>
      </c>
      <c r="B2994">
        <v>7.5015928632028708E-3</v>
      </c>
    </row>
    <row r="2995" spans="1:2">
      <c r="A2995" t="s">
        <v>4145</v>
      </c>
      <c r="B2995">
        <v>4.0773363562349722E-2</v>
      </c>
    </row>
    <row r="2996" spans="1:2">
      <c r="A2996" t="s">
        <v>4146</v>
      </c>
      <c r="B2996">
        <v>2.4492833235333755E-3</v>
      </c>
    </row>
    <row r="2997" spans="1:2">
      <c r="A2997" t="s">
        <v>4147</v>
      </c>
      <c r="B2997">
        <v>9.4951668569855527E-2</v>
      </c>
    </row>
    <row r="2998" spans="1:2">
      <c r="A2998" t="s">
        <v>4148</v>
      </c>
      <c r="B2998">
        <v>3.5364652069384959E-2</v>
      </c>
    </row>
    <row r="2999" spans="1:2">
      <c r="A2999" t="s">
        <v>4149</v>
      </c>
      <c r="B2999">
        <v>0.1307824868981029</v>
      </c>
    </row>
    <row r="3000" spans="1:2">
      <c r="A3000" t="s">
        <v>4150</v>
      </c>
      <c r="B3000">
        <v>0.31506690025452055</v>
      </c>
    </row>
    <row r="3001" spans="1:2">
      <c r="A3001" t="s">
        <v>4151</v>
      </c>
      <c r="B3001">
        <v>737.39061761696314</v>
      </c>
    </row>
    <row r="3002" spans="1:2">
      <c r="A3002" t="s">
        <v>4152</v>
      </c>
      <c r="B3002">
        <v>0.43321698784996576</v>
      </c>
    </row>
    <row r="3003" spans="1:2">
      <c r="A3003" t="s">
        <v>4153</v>
      </c>
      <c r="B3003">
        <v>0.30136833937388929</v>
      </c>
    </row>
    <row r="3004" spans="1:2">
      <c r="A3004" t="s">
        <v>4154</v>
      </c>
      <c r="B3004">
        <v>0.19804205158855578</v>
      </c>
    </row>
    <row r="3005" spans="1:2">
      <c r="A3005" t="s">
        <v>4155</v>
      </c>
      <c r="B3005">
        <v>1.161050553701751</v>
      </c>
    </row>
    <row r="3006" spans="1:2">
      <c r="A3006" t="s">
        <v>4156</v>
      </c>
      <c r="B3006">
        <v>2.2876144572935488</v>
      </c>
    </row>
    <row r="3007" spans="1:2">
      <c r="A3007" t="s">
        <v>4157</v>
      </c>
      <c r="B3007">
        <v>5.7762265046662105E-2</v>
      </c>
    </row>
    <row r="3008" spans="1:2">
      <c r="A3008" t="s">
        <v>4158</v>
      </c>
      <c r="B3008">
        <v>4.0773363562349722E-2</v>
      </c>
    </row>
    <row r="3009" spans="1:2">
      <c r="A3009" t="s">
        <v>4159</v>
      </c>
      <c r="B3009">
        <v>0.16157276936129261</v>
      </c>
    </row>
    <row r="3010" spans="1:2">
      <c r="A3010" t="s">
        <v>4160</v>
      </c>
      <c r="B3010">
        <v>2.2431947590936741E-2</v>
      </c>
    </row>
    <row r="3011" spans="1:2">
      <c r="A3011" t="s">
        <v>4161</v>
      </c>
      <c r="B3011">
        <v>8.6643397569993161E-2</v>
      </c>
    </row>
    <row r="3012" spans="1:2">
      <c r="A3012" t="s">
        <v>4161</v>
      </c>
      <c r="B3012">
        <v>2.8761293799167854E-2</v>
      </c>
    </row>
    <row r="3013" spans="1:2">
      <c r="A3013" t="s">
        <v>701</v>
      </c>
      <c r="B3013">
        <v>1.174029777371181E-4</v>
      </c>
    </row>
    <row r="3014" spans="1:2">
      <c r="A3014" t="s">
        <v>701</v>
      </c>
      <c r="B3014">
        <v>6.3128158520942184E-3</v>
      </c>
    </row>
    <row r="3015" spans="1:2">
      <c r="A3015" t="s">
        <v>4162</v>
      </c>
      <c r="B3015">
        <v>1.9254088348887369E-4</v>
      </c>
    </row>
    <row r="3016" spans="1:2">
      <c r="A3016" t="s">
        <v>4162</v>
      </c>
      <c r="B3016">
        <v>5.2273543028653491E-3</v>
      </c>
    </row>
    <row r="3017" spans="1:2">
      <c r="A3017" t="s">
        <v>702</v>
      </c>
      <c r="B3017">
        <v>4.6733224147784875E-5</v>
      </c>
    </row>
    <row r="3018" spans="1:2">
      <c r="A3018" t="s">
        <v>702</v>
      </c>
      <c r="B3018">
        <v>2.7703724243003411E-3</v>
      </c>
    </row>
    <row r="3019" spans="1:2">
      <c r="A3019" t="s">
        <v>703</v>
      </c>
      <c r="B3019">
        <v>5.5327840083009681E-5</v>
      </c>
    </row>
    <row r="3020" spans="1:2">
      <c r="A3020" t="s">
        <v>4163</v>
      </c>
      <c r="B3020">
        <v>1.9918022429883486E-3</v>
      </c>
    </row>
    <row r="3021" spans="1:2">
      <c r="A3021" t="s">
        <v>704</v>
      </c>
      <c r="B3021">
        <v>1.0934231557094307E-5</v>
      </c>
    </row>
    <row r="3022" spans="1:2">
      <c r="A3022" t="s">
        <v>4164</v>
      </c>
      <c r="B3022">
        <v>2.7725887222397813E-2</v>
      </c>
    </row>
    <row r="3023" spans="1:2">
      <c r="A3023" t="s">
        <v>4165</v>
      </c>
      <c r="B3023">
        <v>1.1014924684718174E-5</v>
      </c>
    </row>
    <row r="3024" spans="1:2">
      <c r="A3024" t="s">
        <v>4166</v>
      </c>
      <c r="B3024">
        <v>2.8176714656908347E-3</v>
      </c>
    </row>
    <row r="3025" spans="1:2">
      <c r="A3025" t="s">
        <v>705</v>
      </c>
      <c r="B3025">
        <v>3.4284345350582921E-6</v>
      </c>
    </row>
    <row r="3026" spans="1:2">
      <c r="A3026" t="s">
        <v>706</v>
      </c>
      <c r="B3026">
        <v>8.9553899297150559E-6</v>
      </c>
    </row>
    <row r="3027" spans="1:2">
      <c r="A3027" t="s">
        <v>706</v>
      </c>
      <c r="B3027">
        <v>1.9265647737529886E-5</v>
      </c>
    </row>
    <row r="3028" spans="1:2">
      <c r="A3028" t="s">
        <v>706</v>
      </c>
      <c r="B3028">
        <v>8.4819772462058893E-6</v>
      </c>
    </row>
    <row r="3029" spans="1:2">
      <c r="A3029" t="s">
        <v>4167</v>
      </c>
      <c r="B3029">
        <v>1.9265647737529886E-5</v>
      </c>
    </row>
    <row r="3030" spans="1:2">
      <c r="A3030" t="s">
        <v>4167</v>
      </c>
      <c r="B3030">
        <v>8.4819772462058893E-6</v>
      </c>
    </row>
    <row r="3031" spans="1:2">
      <c r="A3031" t="s">
        <v>707</v>
      </c>
      <c r="B3031">
        <v>1.5079956413602264E-6</v>
      </c>
    </row>
    <row r="3032" spans="1:2">
      <c r="A3032" t="s">
        <v>708</v>
      </c>
      <c r="B3032">
        <v>1.499539591034842E-6</v>
      </c>
    </row>
    <row r="3033" spans="1:2">
      <c r="A3033" t="s">
        <v>708</v>
      </c>
      <c r="B3033">
        <v>3.7027092978629553E-5</v>
      </c>
    </row>
    <row r="3034" spans="1:2">
      <c r="A3034" t="s">
        <v>709</v>
      </c>
      <c r="B3034">
        <v>7.8910198151177739E-6</v>
      </c>
    </row>
    <row r="3035" spans="1:2">
      <c r="A3035" t="s">
        <v>709</v>
      </c>
      <c r="B3035">
        <v>3.7027092978629553E-5</v>
      </c>
    </row>
    <row r="3036" spans="1:2">
      <c r="A3036" t="s">
        <v>711</v>
      </c>
      <c r="B3036">
        <v>3.0935927782577644E-10</v>
      </c>
    </row>
    <row r="3037" spans="1:2">
      <c r="A3037" t="s">
        <v>712</v>
      </c>
      <c r="B3037">
        <v>1.2202504847572292E-10</v>
      </c>
    </row>
    <row r="3038" spans="1:2">
      <c r="A3038" t="s">
        <v>4168</v>
      </c>
      <c r="B3038">
        <v>6.4780110332705171E-2</v>
      </c>
    </row>
    <row r="3039" spans="1:2">
      <c r="A3039" t="s">
        <v>713</v>
      </c>
      <c r="B3039">
        <v>1.1096178163259204E-7</v>
      </c>
    </row>
    <row r="3040" spans="1:2">
      <c r="A3040" t="s">
        <v>714</v>
      </c>
      <c r="B3040">
        <v>1.1529283760686944E-6</v>
      </c>
    </row>
    <row r="3041" spans="1:2">
      <c r="A3041" t="s">
        <v>4169</v>
      </c>
      <c r="B3041">
        <v>1.520059606491108E-3</v>
      </c>
    </row>
    <row r="3042" spans="1:2">
      <c r="A3042" t="s">
        <v>4170</v>
      </c>
      <c r="B3042">
        <v>5.9243348765807284E-4</v>
      </c>
    </row>
    <row r="3043" spans="1:2">
      <c r="A3043" t="s">
        <v>4171</v>
      </c>
      <c r="B3043">
        <v>3.8508176697774738E-3</v>
      </c>
    </row>
    <row r="3044" spans="1:2">
      <c r="A3044" t="s">
        <v>4172</v>
      </c>
      <c r="B3044">
        <v>5.4750962129537541E-3</v>
      </c>
    </row>
    <row r="3045" spans="1:2">
      <c r="A3045" t="s">
        <v>4173</v>
      </c>
      <c r="B3045">
        <v>2.5577386736529345E-2</v>
      </c>
    </row>
    <row r="3046" spans="1:2">
      <c r="A3046" t="s">
        <v>4174</v>
      </c>
      <c r="B3046">
        <v>3.6674453997880704E-2</v>
      </c>
    </row>
    <row r="3047" spans="1:2">
      <c r="A3047" t="s">
        <v>4175</v>
      </c>
      <c r="B3047">
        <v>7.3739061761696298E-2</v>
      </c>
    </row>
    <row r="3048" spans="1:2">
      <c r="A3048" t="s">
        <v>4176</v>
      </c>
      <c r="B3048">
        <v>0.13511640946587627</v>
      </c>
    </row>
    <row r="3049" spans="1:2">
      <c r="A3049" t="s">
        <v>4177</v>
      </c>
      <c r="B3049">
        <v>0.72202831308327642</v>
      </c>
    </row>
    <row r="3050" spans="1:2">
      <c r="A3050" t="s">
        <v>4178</v>
      </c>
      <c r="B3050">
        <v>0.55898966174189135</v>
      </c>
    </row>
    <row r="3051" spans="1:2">
      <c r="A3051" t="s">
        <v>4179</v>
      </c>
      <c r="B3051">
        <v>0.91203576389466479</v>
      </c>
    </row>
    <row r="3052" spans="1:2">
      <c r="A3052" t="s">
        <v>4180</v>
      </c>
      <c r="B3052">
        <v>4.4290554668367108E-2</v>
      </c>
    </row>
    <row r="3053" spans="1:2">
      <c r="A3053" t="s">
        <v>715</v>
      </c>
      <c r="B3053">
        <v>8.1798860081657029E-4</v>
      </c>
    </row>
    <row r="3054" spans="1:2">
      <c r="A3054" t="s">
        <v>4181</v>
      </c>
      <c r="B3054">
        <v>0.13127787510605024</v>
      </c>
    </row>
    <row r="3055" spans="1:2">
      <c r="A3055" t="s">
        <v>4182</v>
      </c>
      <c r="B3055">
        <v>2.6557363239844648E-3</v>
      </c>
    </row>
    <row r="3056" spans="1:2">
      <c r="A3056" t="s">
        <v>4183</v>
      </c>
      <c r="B3056">
        <v>1.2788693368264673E-2</v>
      </c>
    </row>
    <row r="3057" spans="1:2">
      <c r="A3057" t="s">
        <v>716</v>
      </c>
      <c r="B3057">
        <v>6.3475016534793522E-4</v>
      </c>
    </row>
    <row r="3058" spans="1:2">
      <c r="A3058" t="s">
        <v>4184</v>
      </c>
      <c r="B3058">
        <v>1.5121011792319924E-3</v>
      </c>
    </row>
    <row r="3059" spans="1:2">
      <c r="A3059" t="s">
        <v>4185</v>
      </c>
      <c r="B3059">
        <v>1.9415887410642724E-2</v>
      </c>
    </row>
    <row r="3060" spans="1:2">
      <c r="A3060" t="s">
        <v>4186</v>
      </c>
      <c r="B3060">
        <v>3.2695621724525725E-2</v>
      </c>
    </row>
    <row r="3061" spans="1:2">
      <c r="A3061" t="s">
        <v>4187</v>
      </c>
      <c r="B3061">
        <v>0.13459168554562043</v>
      </c>
    </row>
    <row r="3062" spans="1:2">
      <c r="A3062" t="s">
        <v>4188</v>
      </c>
      <c r="B3062">
        <v>0.7876672506363015</v>
      </c>
    </row>
    <row r="3063" spans="1:2">
      <c r="A3063" t="s">
        <v>4189</v>
      </c>
      <c r="B3063">
        <v>0.76086408403945693</v>
      </c>
    </row>
    <row r="3064" spans="1:2">
      <c r="A3064" t="s">
        <v>4190</v>
      </c>
      <c r="B3064">
        <v>1.9804205158855577</v>
      </c>
    </row>
    <row r="3065" spans="1:2">
      <c r="A3065" t="s">
        <v>4191</v>
      </c>
      <c r="B3065">
        <v>2.1459665032815645</v>
      </c>
    </row>
    <row r="3066" spans="1:2">
      <c r="A3066" t="s">
        <v>4192</v>
      </c>
      <c r="B3066">
        <v>4.5601788194733244</v>
      </c>
    </row>
    <row r="3067" spans="1:2">
      <c r="A3067" t="s">
        <v>4193</v>
      </c>
      <c r="B3067">
        <v>5.8741286488130955</v>
      </c>
    </row>
    <row r="3068" spans="1:2">
      <c r="A3068" t="s">
        <v>4193</v>
      </c>
      <c r="B3068">
        <v>7.7016353395549482</v>
      </c>
    </row>
    <row r="3069" spans="1:2">
      <c r="A3069" t="s">
        <v>4194</v>
      </c>
      <c r="B3069">
        <v>8.8865023148710929</v>
      </c>
    </row>
    <row r="3070" spans="1:2">
      <c r="A3070" t="s">
        <v>4195</v>
      </c>
      <c r="B3070">
        <v>12.160476851928864</v>
      </c>
    </row>
    <row r="3071" spans="1:2">
      <c r="A3071" t="s">
        <v>4196</v>
      </c>
      <c r="B3071">
        <v>15.576341136178547</v>
      </c>
    </row>
    <row r="3072" spans="1:2">
      <c r="A3072" t="s">
        <v>4197</v>
      </c>
      <c r="B3072">
        <v>23.104906018664845</v>
      </c>
    </row>
    <row r="3073" spans="1:2">
      <c r="A3073" t="s">
        <v>4198</v>
      </c>
      <c r="B3073">
        <v>31.506690025452059</v>
      </c>
    </row>
    <row r="3074" spans="1:2">
      <c r="A3074" t="s">
        <v>4199</v>
      </c>
      <c r="B3074">
        <v>33.007008598092632</v>
      </c>
    </row>
    <row r="3075" spans="1:2">
      <c r="A3075" t="s">
        <v>4200</v>
      </c>
      <c r="B3075">
        <v>31.506690025452059</v>
      </c>
    </row>
    <row r="3076" spans="1:2">
      <c r="A3076" t="s">
        <v>4201</v>
      </c>
      <c r="B3076">
        <v>12.602676010180824</v>
      </c>
    </row>
    <row r="3077" spans="1:2">
      <c r="A3077" t="s">
        <v>4202</v>
      </c>
      <c r="B3077">
        <v>0.3300700859809263</v>
      </c>
    </row>
    <row r="3078" spans="1:2">
      <c r="A3078" t="s">
        <v>4203</v>
      </c>
      <c r="B3078">
        <v>0.10830424696249144</v>
      </c>
    </row>
    <row r="3079" spans="1:2">
      <c r="A3079" t="s">
        <v>4203</v>
      </c>
      <c r="B3079">
        <v>0.11950813457930091</v>
      </c>
    </row>
    <row r="3080" spans="1:2">
      <c r="A3080" t="s">
        <v>4204</v>
      </c>
      <c r="B3080">
        <v>5.415212348124572E-2</v>
      </c>
    </row>
    <row r="3081" spans="1:2">
      <c r="A3081" t="s">
        <v>4204</v>
      </c>
      <c r="B3081">
        <v>5.3732339578290329E-2</v>
      </c>
    </row>
    <row r="3082" spans="1:2">
      <c r="A3082" t="s">
        <v>4205</v>
      </c>
      <c r="B3082">
        <v>1.4088357328454171E-2</v>
      </c>
    </row>
    <row r="3083" spans="1:2">
      <c r="A3083" t="s">
        <v>4205</v>
      </c>
      <c r="B3083">
        <v>7.9672089719533948E-2</v>
      </c>
    </row>
    <row r="3084" spans="1:2">
      <c r="A3084" t="s">
        <v>4206</v>
      </c>
      <c r="B3084">
        <v>3.6791251622077773E-3</v>
      </c>
    </row>
    <row r="3085" spans="1:2">
      <c r="A3085" t="s">
        <v>4206</v>
      </c>
      <c r="B3085">
        <v>3.5007433361613398E-3</v>
      </c>
    </row>
    <row r="3086" spans="1:2">
      <c r="A3086" t="s">
        <v>4207</v>
      </c>
      <c r="B3086">
        <v>2.7310763615443073E-3</v>
      </c>
    </row>
    <row r="3087" spans="1:2">
      <c r="A3087" t="s">
        <v>717</v>
      </c>
      <c r="B3087">
        <v>6.9259310607508527E-5</v>
      </c>
    </row>
    <row r="3088" spans="1:2">
      <c r="A3088" t="s">
        <v>718</v>
      </c>
      <c r="B3088">
        <v>2.6618555321042446E-4</v>
      </c>
    </row>
    <row r="3089" spans="1:2">
      <c r="A3089" t="s">
        <v>719</v>
      </c>
      <c r="B3089">
        <v>3.9428167267346149E-5</v>
      </c>
    </row>
    <row r="3090" spans="1:2">
      <c r="A3090" t="s">
        <v>720</v>
      </c>
      <c r="B3090">
        <v>2.2651868645749847E-4</v>
      </c>
    </row>
    <row r="3091" spans="1:2">
      <c r="A3091" t="s">
        <v>721</v>
      </c>
      <c r="B3091">
        <v>9.9979688175757441E-6</v>
      </c>
    </row>
    <row r="3092" spans="1:2">
      <c r="A3092" t="s">
        <v>722</v>
      </c>
      <c r="B3092">
        <v>1.2952109803093968E-7</v>
      </c>
    </row>
    <row r="3093" spans="1:2">
      <c r="A3093" t="s">
        <v>723</v>
      </c>
      <c r="B3093">
        <v>1.8788142416947085E-6</v>
      </c>
    </row>
    <row r="3094" spans="1:2">
      <c r="A3094" t="s">
        <v>724</v>
      </c>
      <c r="B3094">
        <v>2.2388474824287639E-4</v>
      </c>
    </row>
    <row r="3095" spans="1:2">
      <c r="A3095" t="s">
        <v>725</v>
      </c>
      <c r="B3095">
        <v>5.2172229752090563E-15</v>
      </c>
    </row>
    <row r="3096" spans="1:2">
      <c r="A3096" t="s">
        <v>726</v>
      </c>
      <c r="B3096">
        <v>8.8159745187213225E-8</v>
      </c>
    </row>
    <row r="3097" spans="1:2">
      <c r="A3097" t="s">
        <v>727</v>
      </c>
      <c r="B3097">
        <v>5.2296449346738394E-15</v>
      </c>
    </row>
    <row r="3098" spans="1:2">
      <c r="A3098" t="s">
        <v>22</v>
      </c>
      <c r="B3098">
        <v>1.0409719775180154E-13</v>
      </c>
    </row>
    <row r="3099" spans="1:2">
      <c r="A3099" t="s">
        <v>23</v>
      </c>
      <c r="B3099">
        <v>3.2051151680267957E-5</v>
      </c>
    </row>
    <row r="3100" spans="1:2">
      <c r="A3100" t="s">
        <v>4208</v>
      </c>
      <c r="B3100">
        <v>1100233.619936421</v>
      </c>
    </row>
    <row r="3101" spans="1:2">
      <c r="A3101" t="s">
        <v>4209</v>
      </c>
      <c r="B3101">
        <v>10045.611312462976</v>
      </c>
    </row>
    <row r="3102" spans="1:2">
      <c r="A3102" t="s">
        <v>4210</v>
      </c>
      <c r="B3102">
        <v>192.54088348887367</v>
      </c>
    </row>
    <row r="3103" spans="1:2">
      <c r="A3103" t="s">
        <v>4211</v>
      </c>
      <c r="B3103">
        <v>0.3300700859809263</v>
      </c>
    </row>
    <row r="3104" spans="1:2">
      <c r="A3104" t="s">
        <v>4212</v>
      </c>
      <c r="B3104">
        <v>0.15753345012726028</v>
      </c>
    </row>
    <row r="3105" spans="1:2">
      <c r="A3105" t="s">
        <v>4213</v>
      </c>
      <c r="B3105">
        <v>3.726597744945942E-2</v>
      </c>
    </row>
    <row r="3106" spans="1:2">
      <c r="A3106" t="s">
        <v>4214</v>
      </c>
      <c r="B3106">
        <v>2.6455999258013181E-2</v>
      </c>
    </row>
    <row r="3107" spans="1:2">
      <c r="A3107" t="s">
        <v>4215</v>
      </c>
      <c r="B3107">
        <v>5.7762265046662105E-3</v>
      </c>
    </row>
    <row r="3108" spans="1:2">
      <c r="A3108" t="s">
        <v>4216</v>
      </c>
      <c r="B3108">
        <v>6.4180294496291234E-3</v>
      </c>
    </row>
    <row r="3109" spans="1:2">
      <c r="A3109" t="s">
        <v>4217</v>
      </c>
      <c r="B3109">
        <v>7.0441786642270869E-4</v>
      </c>
    </row>
    <row r="3110" spans="1:2">
      <c r="A3110" t="s">
        <v>4218</v>
      </c>
      <c r="B3110">
        <v>1.9580428829376988E-3</v>
      </c>
    </row>
    <row r="3111" spans="1:2">
      <c r="A3111" t="s">
        <v>4219</v>
      </c>
      <c r="B3111">
        <v>1.6045073624072809E-3</v>
      </c>
    </row>
    <row r="3112" spans="1:2">
      <c r="A3112" t="s">
        <v>728</v>
      </c>
      <c r="B3112">
        <v>7.7325656019627993E-5</v>
      </c>
    </row>
    <row r="3113" spans="1:2">
      <c r="A3113" t="s">
        <v>4220</v>
      </c>
      <c r="B3113">
        <v>1.8632988724729711E-4</v>
      </c>
    </row>
    <row r="3114" spans="1:2">
      <c r="A3114" t="s">
        <v>4221</v>
      </c>
      <c r="B3114">
        <v>6.7295842772810213</v>
      </c>
    </row>
    <row r="3115" spans="1:2">
      <c r="A3115" t="s">
        <v>4222</v>
      </c>
      <c r="B3115">
        <v>1.3370894686727339E-6</v>
      </c>
    </row>
    <row r="3116" spans="1:2">
      <c r="A3116" t="s">
        <v>4223</v>
      </c>
      <c r="B3116">
        <v>1.1996316728278734E-5</v>
      </c>
    </row>
    <row r="3117" spans="1:2">
      <c r="A3117" t="s">
        <v>4223</v>
      </c>
      <c r="B3117">
        <v>1.7105622200504056E-6</v>
      </c>
    </row>
    <row r="3118" spans="1:2">
      <c r="A3118" t="s">
        <v>729</v>
      </c>
      <c r="B3118">
        <v>4.1632261608907131E-7</v>
      </c>
    </row>
    <row r="3119" spans="1:2">
      <c r="A3119" t="s">
        <v>730</v>
      </c>
      <c r="B3119">
        <v>4.8709998858751698E-8</v>
      </c>
    </row>
    <row r="3120" spans="1:2">
      <c r="A3120" t="s">
        <v>732</v>
      </c>
      <c r="B3120">
        <v>6.7246746119332806E-8</v>
      </c>
    </row>
    <row r="3121" spans="1:2">
      <c r="A3121" t="s">
        <v>118</v>
      </c>
      <c r="B3121">
        <v>1.3976544968704536E-7</v>
      </c>
    </row>
    <row r="3122" spans="1:2">
      <c r="A3122" t="s">
        <v>733</v>
      </c>
      <c r="B3122">
        <v>2.0592607859772586E-5</v>
      </c>
    </row>
    <row r="3123" spans="1:2">
      <c r="A3123" t="s">
        <v>734</v>
      </c>
      <c r="B3123">
        <v>7.5612976550767235E-8</v>
      </c>
    </row>
    <row r="3124" spans="1:2">
      <c r="A3124" t="s">
        <v>4224</v>
      </c>
      <c r="B3124">
        <v>9.3865421904402245E-33</v>
      </c>
    </row>
    <row r="3125" spans="1:2">
      <c r="A3125" t="s">
        <v>735</v>
      </c>
      <c r="B3125">
        <v>1.6622234545802045E-4</v>
      </c>
    </row>
    <row r="3126" spans="1:2">
      <c r="A3126" t="s">
        <v>736</v>
      </c>
      <c r="B3126">
        <v>2.3962176857934304E-7</v>
      </c>
    </row>
    <row r="3127" spans="1:2">
      <c r="A3127" t="s">
        <v>4225</v>
      </c>
      <c r="B3127">
        <v>2.780317560206345E-29</v>
      </c>
    </row>
    <row r="3128" spans="1:2">
      <c r="A3128" t="s">
        <v>737</v>
      </c>
      <c r="B3128">
        <v>4.6209812037329687E-4</v>
      </c>
    </row>
    <row r="3129" spans="1:2">
      <c r="A3129" t="s">
        <v>738</v>
      </c>
      <c r="B3129">
        <v>5.8594304165816706E-6</v>
      </c>
    </row>
    <row r="3130" spans="1:2">
      <c r="A3130" t="s">
        <v>738</v>
      </c>
      <c r="B3130">
        <v>7.4531954898918853</v>
      </c>
    </row>
    <row r="3131" spans="1:2">
      <c r="A3131" t="s">
        <v>739</v>
      </c>
      <c r="B3131">
        <v>2.5039128626830221E-6</v>
      </c>
    </row>
    <row r="3132" spans="1:2">
      <c r="A3132" t="s">
        <v>740</v>
      </c>
      <c r="B3132">
        <v>9.2419624074659373E-4</v>
      </c>
    </row>
    <row r="3133" spans="1:2">
      <c r="A3133" t="s">
        <v>741</v>
      </c>
      <c r="B3133">
        <v>2.0852803265942999E-4</v>
      </c>
    </row>
    <row r="3134" spans="1:2">
      <c r="A3134" t="s">
        <v>742</v>
      </c>
      <c r="B3134">
        <v>2.7637447390747421E-4</v>
      </c>
    </row>
    <row r="3135" spans="1:2">
      <c r="A3135" t="s">
        <v>4226</v>
      </c>
      <c r="B3135">
        <v>3.6481430555786593E-2</v>
      </c>
    </row>
    <row r="3136" spans="1:2">
      <c r="A3136" t="s">
        <v>4227</v>
      </c>
      <c r="B3136">
        <v>3.924955722309996E-2</v>
      </c>
    </row>
    <row r="3137" spans="1:2">
      <c r="A3137" t="s">
        <v>4228</v>
      </c>
      <c r="B3137">
        <v>0.27949483087094568</v>
      </c>
    </row>
    <row r="3138" spans="1:2">
      <c r="A3138" t="s">
        <v>4229</v>
      </c>
      <c r="B3138">
        <v>0.47475834284927759</v>
      </c>
    </row>
    <row r="3139" spans="1:2">
      <c r="A3139" t="s">
        <v>4230</v>
      </c>
      <c r="B3139">
        <v>0.95738560850821175</v>
      </c>
    </row>
    <row r="3140" spans="1:2">
      <c r="A3140" t="s">
        <v>4231</v>
      </c>
      <c r="B3140">
        <v>1.9747782921935761</v>
      </c>
    </row>
    <row r="3141" spans="1:2">
      <c r="A3141" t="s">
        <v>4232</v>
      </c>
      <c r="B3141">
        <v>3.5914361687043797</v>
      </c>
    </row>
    <row r="3142" spans="1:2">
      <c r="A3142" t="s">
        <v>4233</v>
      </c>
      <c r="B3142">
        <v>4.7152869425846617</v>
      </c>
    </row>
    <row r="3143" spans="1:2">
      <c r="A3143" t="s">
        <v>4234</v>
      </c>
      <c r="B3143">
        <v>5.7762265046662113</v>
      </c>
    </row>
    <row r="3144" spans="1:2">
      <c r="A3144" t="s">
        <v>4235</v>
      </c>
      <c r="B3144">
        <v>7.4531954898918853</v>
      </c>
    </row>
    <row r="3145" spans="1:2">
      <c r="A3145" t="s">
        <v>4236</v>
      </c>
      <c r="B3145">
        <v>223.59586469675651</v>
      </c>
    </row>
    <row r="3146" spans="1:2">
      <c r="A3146" t="s">
        <v>4237</v>
      </c>
      <c r="B3146">
        <v>277.25887222397813</v>
      </c>
    </row>
    <row r="3147" spans="1:2">
      <c r="A3147" t="s">
        <v>4238</v>
      </c>
      <c r="B3147">
        <v>44.149501946493331</v>
      </c>
    </row>
    <row r="3148" spans="1:2">
      <c r="A3148" t="s">
        <v>4239</v>
      </c>
      <c r="B3148">
        <v>18.733707582701225</v>
      </c>
    </row>
    <row r="3149" spans="1:2">
      <c r="A3149" t="s">
        <v>4240</v>
      </c>
      <c r="B3149">
        <v>21.865841658042438</v>
      </c>
    </row>
    <row r="3150" spans="1:2">
      <c r="A3150" t="s">
        <v>4241</v>
      </c>
      <c r="B3150">
        <v>4.747583428492776</v>
      </c>
    </row>
    <row r="3151" spans="1:2">
      <c r="A3151" t="s">
        <v>4242</v>
      </c>
      <c r="B3151">
        <v>6.9314718055994522</v>
      </c>
    </row>
    <row r="3152" spans="1:2">
      <c r="A3152" t="s">
        <v>4243</v>
      </c>
      <c r="B3152">
        <v>0.49510512897138953</v>
      </c>
    </row>
    <row r="3153" spans="1:2">
      <c r="A3153" t="s">
        <v>4244</v>
      </c>
      <c r="B3153">
        <v>26.659506944613277</v>
      </c>
    </row>
    <row r="3154" spans="1:2">
      <c r="A3154" t="s">
        <v>4245</v>
      </c>
      <c r="B3154">
        <v>2728.9259077163201</v>
      </c>
    </row>
    <row r="3155" spans="1:2">
      <c r="A3155" t="s">
        <v>4246</v>
      </c>
      <c r="B3155">
        <v>5728489.0955367377</v>
      </c>
    </row>
    <row r="3156" spans="1:2">
      <c r="A3156" t="s">
        <v>4247</v>
      </c>
      <c r="B3156">
        <v>679556.05937249539</v>
      </c>
    </row>
    <row r="3157" spans="1:2">
      <c r="A3157" t="s">
        <v>4248</v>
      </c>
      <c r="B3157">
        <v>67955.605937249551</v>
      </c>
    </row>
    <row r="3158" spans="1:2">
      <c r="A3158" t="s">
        <v>4249</v>
      </c>
      <c r="B3158">
        <v>400.66311015025741</v>
      </c>
    </row>
    <row r="3159" spans="1:2">
      <c r="A3159" t="s">
        <v>4250</v>
      </c>
      <c r="B3159">
        <v>351.85136069032757</v>
      </c>
    </row>
    <row r="3160" spans="1:2">
      <c r="A3160" t="s">
        <v>4251</v>
      </c>
      <c r="B3160">
        <v>1.1552453009332422</v>
      </c>
    </row>
    <row r="3161" spans="1:2">
      <c r="A3161" t="s">
        <v>4252</v>
      </c>
      <c r="B3161">
        <v>0.66648767361533201</v>
      </c>
    </row>
    <row r="3162" spans="1:2">
      <c r="A3162" t="s">
        <v>4253</v>
      </c>
      <c r="B3162">
        <v>1.3248225928133509E-3</v>
      </c>
    </row>
    <row r="3163" spans="1:2">
      <c r="A3163" t="s">
        <v>743</v>
      </c>
      <c r="B3163">
        <v>3.7642401464100427E-4</v>
      </c>
    </row>
    <row r="3164" spans="1:2">
      <c r="A3164" t="s">
        <v>77</v>
      </c>
      <c r="B3164">
        <v>4.2915954187724162E-7</v>
      </c>
    </row>
    <row r="3165" spans="1:2">
      <c r="A3165" t="s">
        <v>79</v>
      </c>
      <c r="B3165">
        <v>1.1490117558919298E-8</v>
      </c>
    </row>
    <row r="3166" spans="1:2">
      <c r="A3166" t="s">
        <v>82</v>
      </c>
      <c r="B3166">
        <v>2.7776805217363422E-12</v>
      </c>
    </row>
    <row r="3167" spans="1:2">
      <c r="A3167" t="s">
        <v>83</v>
      </c>
      <c r="B3167">
        <v>2.9130648177228285E-13</v>
      </c>
    </row>
    <row r="3168" spans="1:2">
      <c r="A3168" t="s">
        <v>85</v>
      </c>
      <c r="B3168">
        <v>7.5447054658649568E-6</v>
      </c>
    </row>
    <row r="3169" spans="1:2">
      <c r="A3169" t="s">
        <v>86</v>
      </c>
      <c r="B3169">
        <v>1.5577665762858246E-18</v>
      </c>
    </row>
    <row r="3170" spans="1:2">
      <c r="A3170" t="s">
        <v>4254</v>
      </c>
      <c r="B3170">
        <v>5.2920077917235095E-4</v>
      </c>
    </row>
    <row r="3171" spans="1:2">
      <c r="A3171" t="s">
        <v>92</v>
      </c>
      <c r="B3171">
        <v>3.3278868428408362E-7</v>
      </c>
    </row>
    <row r="3172" spans="1:2">
      <c r="A3172" t="s">
        <v>4255</v>
      </c>
      <c r="B3172">
        <v>1.6045073624072809E-3</v>
      </c>
    </row>
    <row r="3173" spans="1:2">
      <c r="A3173" t="s">
        <v>4256</v>
      </c>
      <c r="B3173">
        <v>3.0806541358219789E-4</v>
      </c>
    </row>
    <row r="3174" spans="1:2">
      <c r="A3174" t="s">
        <v>4257</v>
      </c>
      <c r="B3174">
        <v>2.4117855969378751E-3</v>
      </c>
    </row>
    <row r="3175" spans="1:2">
      <c r="A3175" t="s">
        <v>4258</v>
      </c>
      <c r="B3175">
        <v>1.2289843626949386E-3</v>
      </c>
    </row>
    <row r="3176" spans="1:2">
      <c r="A3176" t="s">
        <v>4259</v>
      </c>
      <c r="B3176">
        <v>24.320953703857729</v>
      </c>
    </row>
    <row r="3177" spans="1:2">
      <c r="A3177" t="s">
        <v>4260</v>
      </c>
      <c r="B3177">
        <v>13.22799962900659</v>
      </c>
    </row>
    <row r="3178" spans="1:2">
      <c r="A3178" t="s">
        <v>4261</v>
      </c>
      <c r="B3178">
        <v>8.4633355379724691</v>
      </c>
    </row>
    <row r="3179" spans="1:2">
      <c r="A3179" t="s">
        <v>4262</v>
      </c>
      <c r="B3179">
        <v>3.3270000026876514</v>
      </c>
    </row>
    <row r="3180" spans="1:2">
      <c r="A3180" t="s">
        <v>4263</v>
      </c>
      <c r="B3180">
        <v>1.361782280078478</v>
      </c>
    </row>
    <row r="3181" spans="1:2">
      <c r="A3181" t="s">
        <v>744</v>
      </c>
      <c r="B3181">
        <v>3.716498938346891E-10</v>
      </c>
    </row>
    <row r="3182" spans="1:2">
      <c r="A3182" t="s">
        <v>745</v>
      </c>
      <c r="B3182">
        <v>6.2513273860023921E-5</v>
      </c>
    </row>
    <row r="3183" spans="1:2">
      <c r="A3183" t="s">
        <v>4264</v>
      </c>
      <c r="B3183">
        <v>2.0070279724344027E-3</v>
      </c>
    </row>
    <row r="3184" spans="1:2">
      <c r="A3184" t="s">
        <v>4265</v>
      </c>
      <c r="B3184">
        <v>6.7955605937249537E-3</v>
      </c>
    </row>
    <row r="3185" spans="1:2">
      <c r="A3185" t="s">
        <v>4266</v>
      </c>
      <c r="B3185">
        <v>2.1197161485013615E-2</v>
      </c>
    </row>
    <row r="3186" spans="1:2">
      <c r="A3186" t="s">
        <v>4267</v>
      </c>
      <c r="B3186">
        <v>0.43321698784996576</v>
      </c>
    </row>
    <row r="3187" spans="1:2">
      <c r="A3187" t="s">
        <v>4268</v>
      </c>
      <c r="B3187">
        <v>0.53319013889226563</v>
      </c>
    </row>
    <row r="3188" spans="1:2">
      <c r="A3188" t="s">
        <v>4269</v>
      </c>
      <c r="B3188">
        <v>3.4831516611052526</v>
      </c>
    </row>
    <row r="3189" spans="1:2">
      <c r="A3189" t="s">
        <v>4270</v>
      </c>
      <c r="B3189">
        <v>7.3739061761696307</v>
      </c>
    </row>
    <row r="3190" spans="1:2">
      <c r="A3190" t="s">
        <v>4271</v>
      </c>
      <c r="B3190">
        <v>12.602676010180824</v>
      </c>
    </row>
    <row r="3191" spans="1:2">
      <c r="A3191" t="s">
        <v>4272</v>
      </c>
      <c r="B3191">
        <v>24.320953703857729</v>
      </c>
    </row>
    <row r="3192" spans="1:2">
      <c r="A3192" t="s">
        <v>4273</v>
      </c>
      <c r="B3192">
        <v>31.222845971168706</v>
      </c>
    </row>
    <row r="3193" spans="1:2">
      <c r="A3193" t="s">
        <v>4274</v>
      </c>
      <c r="B3193">
        <v>46.209812037329691</v>
      </c>
    </row>
    <row r="3194" spans="1:2">
      <c r="A3194" t="s">
        <v>4275</v>
      </c>
      <c r="B3194">
        <v>133.29753472306638</v>
      </c>
    </row>
    <row r="3195" spans="1:2">
      <c r="A3195" t="s">
        <v>4276</v>
      </c>
      <c r="B3195">
        <v>38.508176697774736</v>
      </c>
    </row>
    <row r="3196" spans="1:2">
      <c r="A3196" t="s">
        <v>4277</v>
      </c>
      <c r="B3196">
        <v>2.7289259077163202</v>
      </c>
    </row>
    <row r="3197" spans="1:2">
      <c r="A3197" t="s">
        <v>4278</v>
      </c>
      <c r="B3197">
        <v>1.6271060576524539</v>
      </c>
    </row>
    <row r="3198" spans="1:2">
      <c r="A3198" t="s">
        <v>4279</v>
      </c>
      <c r="B3198">
        <v>0.63591484455040848</v>
      </c>
    </row>
    <row r="3199" spans="1:2">
      <c r="A3199" t="s">
        <v>4280</v>
      </c>
      <c r="B3199">
        <v>0.23901626915860183</v>
      </c>
    </row>
    <row r="3200" spans="1:2">
      <c r="A3200" t="s">
        <v>4281</v>
      </c>
      <c r="B3200">
        <v>0.36481430555786598</v>
      </c>
    </row>
    <row r="3201" spans="1:2">
      <c r="A3201" t="s">
        <v>4281</v>
      </c>
      <c r="B3201">
        <v>0.22359586469675655</v>
      </c>
    </row>
    <row r="3202" spans="1:2">
      <c r="A3202" t="s">
        <v>4282</v>
      </c>
      <c r="B3202">
        <v>0.10045611312462975</v>
      </c>
    </row>
    <row r="3203" spans="1:2">
      <c r="A3203" t="s">
        <v>4283</v>
      </c>
      <c r="B3203">
        <v>7.2962861111573185E-2</v>
      </c>
    </row>
    <row r="3204" spans="1:2">
      <c r="A3204" t="s">
        <v>4283</v>
      </c>
      <c r="B3204">
        <v>6.8628433718806461E-2</v>
      </c>
    </row>
    <row r="3205" spans="1:2">
      <c r="A3205" t="s">
        <v>4284</v>
      </c>
      <c r="B3205">
        <v>14.71650064883111</v>
      </c>
    </row>
    <row r="3206" spans="1:2">
      <c r="A3206" t="s">
        <v>4285</v>
      </c>
      <c r="B3206">
        <v>3.5546009259484375E-2</v>
      </c>
    </row>
    <row r="3207" spans="1:2">
      <c r="A3207" t="s">
        <v>4286</v>
      </c>
      <c r="B3207">
        <v>0.38508176697774738</v>
      </c>
    </row>
    <row r="3208" spans="1:2">
      <c r="A3208" t="s">
        <v>4287</v>
      </c>
      <c r="B3208">
        <v>0.20386681781174862</v>
      </c>
    </row>
    <row r="3209" spans="1:2">
      <c r="A3209" t="s">
        <v>4287</v>
      </c>
      <c r="B3209">
        <v>2.5114028281157438E-2</v>
      </c>
    </row>
    <row r="3210" spans="1:2">
      <c r="A3210" t="s">
        <v>4288</v>
      </c>
      <c r="B3210">
        <v>0.20386681781174862</v>
      </c>
    </row>
    <row r="3211" spans="1:2">
      <c r="A3211" t="s">
        <v>4289</v>
      </c>
      <c r="B3211">
        <v>4.4432511574355467E-2</v>
      </c>
    </row>
    <row r="3212" spans="1:2">
      <c r="A3212" t="s">
        <v>4290</v>
      </c>
      <c r="B3212">
        <v>9.7626363459147221E-3</v>
      </c>
    </row>
    <row r="3213" spans="1:2">
      <c r="A3213" t="s">
        <v>4290</v>
      </c>
      <c r="B3213">
        <v>9.6943661616775562E-3</v>
      </c>
    </row>
    <row r="3214" spans="1:2">
      <c r="A3214" t="s">
        <v>4291</v>
      </c>
      <c r="B3214">
        <v>5.0228056562314875E-3</v>
      </c>
    </row>
    <row r="3215" spans="1:2">
      <c r="A3215" t="s">
        <v>4292</v>
      </c>
      <c r="B3215">
        <v>8.2517521495231588E-3</v>
      </c>
    </row>
    <row r="3216" spans="1:2">
      <c r="A3216" t="s">
        <v>4293</v>
      </c>
      <c r="B3216">
        <v>4.1258760747615794E-3</v>
      </c>
    </row>
    <row r="3217" spans="1:2">
      <c r="A3217" t="s">
        <v>4293</v>
      </c>
      <c r="B3217">
        <v>3.3007008598092634E-3</v>
      </c>
    </row>
    <row r="3218" spans="1:2">
      <c r="A3218" t="s">
        <v>4294</v>
      </c>
      <c r="B3218">
        <v>2.1797081149683814E-3</v>
      </c>
    </row>
    <row r="3219" spans="1:2">
      <c r="A3219" t="s">
        <v>4295</v>
      </c>
      <c r="B3219">
        <v>1.2033805218054606E-3</v>
      </c>
    </row>
    <row r="3220" spans="1:2">
      <c r="A3220" t="s">
        <v>4295</v>
      </c>
      <c r="B3220">
        <v>1.0696715749381872E-3</v>
      </c>
    </row>
    <row r="3221" spans="1:2">
      <c r="A3221" t="s">
        <v>4296</v>
      </c>
      <c r="B3221">
        <v>5.3483578746909362E-4</v>
      </c>
    </row>
    <row r="3222" spans="1:2">
      <c r="A3222" t="s">
        <v>4297</v>
      </c>
      <c r="B3222">
        <v>5.4750962129537541E-3</v>
      </c>
    </row>
    <row r="3223" spans="1:2">
      <c r="A3223" t="s">
        <v>746</v>
      </c>
      <c r="B3223">
        <v>3.4692051079076344E-4</v>
      </c>
    </row>
    <row r="3224" spans="1:2">
      <c r="A3224" t="s">
        <v>746</v>
      </c>
      <c r="B3224">
        <v>3.5220893321135434E-4</v>
      </c>
    </row>
    <row r="3225" spans="1:2">
      <c r="A3225" t="s">
        <v>748</v>
      </c>
      <c r="B3225">
        <v>1.6742685520771625E-4</v>
      </c>
    </row>
    <row r="3226" spans="1:2">
      <c r="A3226" t="s">
        <v>4298</v>
      </c>
      <c r="B3226">
        <v>0.19254088348887369</v>
      </c>
    </row>
    <row r="3227" spans="1:2">
      <c r="A3227" t="s">
        <v>4299</v>
      </c>
      <c r="B3227">
        <v>1.0464178450482265E-4</v>
      </c>
    </row>
    <row r="3228" spans="1:2">
      <c r="A3228" t="s">
        <v>4300</v>
      </c>
      <c r="B3228">
        <v>1.3655381807721538E-4</v>
      </c>
    </row>
    <row r="3229" spans="1:2">
      <c r="A3229" t="s">
        <v>749</v>
      </c>
      <c r="B3229">
        <v>6.8035647875927096E-5</v>
      </c>
    </row>
    <row r="3230" spans="1:2">
      <c r="A3230" t="s">
        <v>4301</v>
      </c>
      <c r="B3230">
        <v>1.2836058899258245</v>
      </c>
    </row>
    <row r="3231" spans="1:2">
      <c r="A3231" t="s">
        <v>750</v>
      </c>
      <c r="B3231">
        <v>3.6328468582806354E-5</v>
      </c>
    </row>
    <row r="3232" spans="1:2">
      <c r="A3232" t="s">
        <v>751</v>
      </c>
      <c r="B3232">
        <v>1.0296303929886293E-4</v>
      </c>
    </row>
    <row r="3233" spans="1:2">
      <c r="A3233" t="s">
        <v>752</v>
      </c>
      <c r="B3233">
        <v>2.5948906130575968E-5</v>
      </c>
    </row>
    <row r="3234" spans="1:2">
      <c r="A3234" t="s">
        <v>753</v>
      </c>
      <c r="B3234">
        <v>7.3770453444012912E-6</v>
      </c>
    </row>
    <row r="3235" spans="1:2">
      <c r="A3235" t="s">
        <v>754</v>
      </c>
      <c r="B3235">
        <v>2.6371706426601372E-6</v>
      </c>
    </row>
    <row r="3236" spans="1:2">
      <c r="A3236" t="s">
        <v>755</v>
      </c>
      <c r="B3236">
        <v>6.4331602425195296E-7</v>
      </c>
    </row>
    <row r="3237" spans="1:2">
      <c r="A3237" t="s">
        <v>756</v>
      </c>
      <c r="B3237">
        <v>5.8056481710755499E-9</v>
      </c>
    </row>
    <row r="3238" spans="1:2">
      <c r="A3238" t="s">
        <v>37</v>
      </c>
      <c r="B3238">
        <v>2.7492748713308949E-3</v>
      </c>
    </row>
    <row r="3239" spans="1:2">
      <c r="A3239" t="s">
        <v>4302</v>
      </c>
      <c r="B3239">
        <v>3.088891178965888E-3</v>
      </c>
    </row>
    <row r="3240" spans="1:2">
      <c r="A3240" t="s">
        <v>38</v>
      </c>
      <c r="B3240">
        <v>2.4218979055204239E-3</v>
      </c>
    </row>
    <row r="3241" spans="1:2">
      <c r="A3241" t="s">
        <v>4303</v>
      </c>
      <c r="B3241">
        <v>0.5211632936540942</v>
      </c>
    </row>
    <row r="3242" spans="1:2">
      <c r="A3242" t="s">
        <v>39</v>
      </c>
      <c r="B3242">
        <v>3.7839675759359388E-3</v>
      </c>
    </row>
    <row r="3243" spans="1:2">
      <c r="A3243" t="s">
        <v>41</v>
      </c>
      <c r="B3243">
        <v>5.3434102725866892E-3</v>
      </c>
    </row>
    <row r="3244" spans="1:2">
      <c r="A3244" t="s">
        <v>45</v>
      </c>
      <c r="B3244">
        <v>8.8865023148710937E-3</v>
      </c>
    </row>
    <row r="3245" spans="1:2">
      <c r="A3245" t="s">
        <v>4304</v>
      </c>
      <c r="B3245">
        <v>8.707879152763132E-3</v>
      </c>
    </row>
    <row r="3246" spans="1:2">
      <c r="A3246" t="s">
        <v>4305</v>
      </c>
      <c r="B3246">
        <v>2.2431947590936741E-2</v>
      </c>
    </row>
    <row r="3247" spans="1:2">
      <c r="A3247" t="s">
        <v>4306</v>
      </c>
      <c r="B3247">
        <v>2.9123831115964088E-2</v>
      </c>
    </row>
    <row r="3248" spans="1:2">
      <c r="A3248" t="s">
        <v>4307</v>
      </c>
      <c r="B3248">
        <v>6.3013380050904122E-2</v>
      </c>
    </row>
    <row r="3249" spans="1:2">
      <c r="A3249" t="s">
        <v>4308</v>
      </c>
      <c r="B3249">
        <v>7.1458472222674776E-2</v>
      </c>
    </row>
    <row r="3250" spans="1:2">
      <c r="A3250" t="s">
        <v>4309</v>
      </c>
      <c r="B3250">
        <v>0.11748257297626191</v>
      </c>
    </row>
    <row r="3251" spans="1:2">
      <c r="A3251" t="s">
        <v>4310</v>
      </c>
      <c r="B3251">
        <v>364814.305557866</v>
      </c>
    </row>
    <row r="3252" spans="1:2">
      <c r="A3252" t="s">
        <v>4311</v>
      </c>
      <c r="B3252">
        <v>219350.37359491939</v>
      </c>
    </row>
    <row r="3253" spans="1:2">
      <c r="A3253" t="s">
        <v>4312</v>
      </c>
      <c r="B3253">
        <v>4.4719172939351308</v>
      </c>
    </row>
    <row r="3254" spans="1:2">
      <c r="A3254" t="s">
        <v>4312</v>
      </c>
      <c r="B3254">
        <v>9.2419624074659374</v>
      </c>
    </row>
    <row r="3255" spans="1:2">
      <c r="A3255" t="s">
        <v>4312</v>
      </c>
      <c r="B3255">
        <v>3.5007433361613396</v>
      </c>
    </row>
    <row r="3256" spans="1:2">
      <c r="A3256" t="s">
        <v>4313</v>
      </c>
      <c r="B3256">
        <v>1.1950813457930092</v>
      </c>
    </row>
    <row r="3257" spans="1:2">
      <c r="A3257" t="s">
        <v>4314</v>
      </c>
      <c r="B3257">
        <v>0.99021025794277906</v>
      </c>
    </row>
    <row r="3258" spans="1:2">
      <c r="A3258" t="s">
        <v>4315</v>
      </c>
      <c r="B3258">
        <v>0.77016353395549475</v>
      </c>
    </row>
    <row r="3259" spans="1:2">
      <c r="A3259" t="s">
        <v>4316</v>
      </c>
      <c r="B3259">
        <v>0.31506690025452055</v>
      </c>
    </row>
    <row r="3260" spans="1:2">
      <c r="A3260" t="s">
        <v>4317</v>
      </c>
      <c r="B3260">
        <v>0.16622234545802045</v>
      </c>
    </row>
    <row r="3261" spans="1:2">
      <c r="A3261" t="s">
        <v>4317</v>
      </c>
      <c r="B3261">
        <v>0.1050223000848402</v>
      </c>
    </row>
    <row r="3262" spans="1:2">
      <c r="A3262" t="s">
        <v>4318</v>
      </c>
      <c r="B3262">
        <v>0.13329753472306641</v>
      </c>
    </row>
    <row r="3263" spans="1:2">
      <c r="A3263" t="s">
        <v>4318</v>
      </c>
      <c r="B3263">
        <v>8.6643397569993161E-2</v>
      </c>
    </row>
    <row r="3264" spans="1:2">
      <c r="A3264" t="s">
        <v>4319</v>
      </c>
      <c r="B3264">
        <v>0.46834268956753061</v>
      </c>
    </row>
    <row r="3265" spans="1:2">
      <c r="A3265" t="s">
        <v>4319</v>
      </c>
      <c r="B3265">
        <v>0.2772588722239781</v>
      </c>
    </row>
    <row r="3266" spans="1:2">
      <c r="A3266" t="s">
        <v>4320</v>
      </c>
      <c r="B3266">
        <v>8.5573725995054972E-2</v>
      </c>
    </row>
    <row r="3267" spans="1:2">
      <c r="A3267" t="s">
        <v>4321</v>
      </c>
      <c r="B3267">
        <v>0.21004460016968041</v>
      </c>
    </row>
    <row r="3268" spans="1:2">
      <c r="A3268" t="s">
        <v>4322</v>
      </c>
      <c r="B3268">
        <v>3.2090147248145615E-2</v>
      </c>
    </row>
    <row r="3269" spans="1:2">
      <c r="A3269" t="s">
        <v>4322</v>
      </c>
      <c r="B3269">
        <v>1.5403270679109895E-2</v>
      </c>
    </row>
    <row r="3270" spans="1:2">
      <c r="A3270" t="s">
        <v>4323</v>
      </c>
      <c r="B3270">
        <v>8.3511708501198233E-3</v>
      </c>
    </row>
    <row r="3271" spans="1:2">
      <c r="A3271" t="s">
        <v>4324</v>
      </c>
      <c r="B3271">
        <v>3.1824939419648549E-3</v>
      </c>
    </row>
    <row r="3272" spans="1:2">
      <c r="A3272" t="s">
        <v>4325</v>
      </c>
      <c r="B3272">
        <v>2.9026263842543772E-3</v>
      </c>
    </row>
    <row r="3273" spans="1:2">
      <c r="A3273" t="s">
        <v>4326</v>
      </c>
      <c r="B3273">
        <v>1.2653289166848214E-3</v>
      </c>
    </row>
    <row r="3274" spans="1:2">
      <c r="A3274" t="s">
        <v>4327</v>
      </c>
      <c r="B3274">
        <v>1.2289843626949386E-3</v>
      </c>
    </row>
    <row r="3275" spans="1:2">
      <c r="A3275" t="s">
        <v>4328</v>
      </c>
      <c r="B3275">
        <v>9.3039890008046345E-3</v>
      </c>
    </row>
    <row r="3276" spans="1:2">
      <c r="A3276" t="s">
        <v>4329</v>
      </c>
      <c r="B3276">
        <v>3.825315566004113E-4</v>
      </c>
    </row>
    <row r="3277" spans="1:2">
      <c r="A3277" t="s">
        <v>4330</v>
      </c>
      <c r="B3277">
        <v>1.6503504299046317E-3</v>
      </c>
    </row>
    <row r="3278" spans="1:2">
      <c r="A3278" t="s">
        <v>757</v>
      </c>
      <c r="B3278">
        <v>5.299290371253404E-4</v>
      </c>
    </row>
    <row r="3279" spans="1:2">
      <c r="A3279" t="s">
        <v>4331</v>
      </c>
      <c r="B3279">
        <v>2.8524575331684992E-2</v>
      </c>
    </row>
    <row r="3280" spans="1:2">
      <c r="A3280" t="s">
        <v>4332</v>
      </c>
      <c r="B3280">
        <v>1.0637617872313464E-4</v>
      </c>
    </row>
    <row r="3281" spans="1:2">
      <c r="A3281" t="s">
        <v>4333</v>
      </c>
      <c r="B3281">
        <v>5.9243348765807289E-3</v>
      </c>
    </row>
    <row r="3282" spans="1:2">
      <c r="A3282" t="s">
        <v>4334</v>
      </c>
      <c r="B3282">
        <v>2.2651868645749847E-3</v>
      </c>
    </row>
    <row r="3283" spans="1:2">
      <c r="A3283" t="s">
        <v>4335</v>
      </c>
      <c r="B3283">
        <v>6.4052190116059112E-6</v>
      </c>
    </row>
    <row r="3284" spans="1:2">
      <c r="A3284" t="s">
        <v>758</v>
      </c>
      <c r="B3284">
        <v>2.5005309544009571E-5</v>
      </c>
    </row>
    <row r="3285" spans="1:2">
      <c r="A3285" t="s">
        <v>4336</v>
      </c>
      <c r="B3285">
        <v>1.9918022429883484</v>
      </c>
    </row>
    <row r="3286" spans="1:2">
      <c r="A3286" t="s">
        <v>759</v>
      </c>
      <c r="B3286">
        <v>8.6449750129702627E-7</v>
      </c>
    </row>
    <row r="3287" spans="1:2">
      <c r="A3287" t="s">
        <v>4337</v>
      </c>
      <c r="B3287">
        <v>8.6171179506298657E-8</v>
      </c>
    </row>
    <row r="3288" spans="1:2">
      <c r="A3288" t="s">
        <v>760</v>
      </c>
      <c r="B3288">
        <v>6.2480816293118408E-8</v>
      </c>
    </row>
    <row r="3289" spans="1:2">
      <c r="A3289" t="s">
        <v>761</v>
      </c>
      <c r="B3289">
        <v>1.1436260601619963E-8</v>
      </c>
    </row>
    <row r="3290" spans="1:2">
      <c r="A3290" t="s">
        <v>762</v>
      </c>
      <c r="B3290">
        <v>3.0273723819005295E-6</v>
      </c>
    </row>
    <row r="3291" spans="1:2">
      <c r="A3291" t="s">
        <v>763</v>
      </c>
      <c r="B3291">
        <v>2.3366612073892437E-5</v>
      </c>
    </row>
    <row r="3292" spans="1:2">
      <c r="A3292" t="s">
        <v>4338</v>
      </c>
      <c r="B3292">
        <v>2.1393431498763745E-3</v>
      </c>
    </row>
    <row r="3293" spans="1:2">
      <c r="A3293" t="s">
        <v>4339</v>
      </c>
      <c r="B3293">
        <v>0.30268435832312018</v>
      </c>
    </row>
    <row r="3294" spans="1:2">
      <c r="A3294" t="s">
        <v>764</v>
      </c>
      <c r="B3294">
        <v>7.6002980324555401E-4</v>
      </c>
    </row>
    <row r="3295" spans="1:2">
      <c r="A3295" t="s">
        <v>4340</v>
      </c>
      <c r="B3295">
        <v>6.2344592602981228E-3</v>
      </c>
    </row>
    <row r="3296" spans="1:2">
      <c r="A3296" t="s">
        <v>4341</v>
      </c>
      <c r="B3296">
        <v>7.2962861111573185E-3</v>
      </c>
    </row>
    <row r="3297" spans="1:2">
      <c r="A3297" t="s">
        <v>4342</v>
      </c>
      <c r="B3297">
        <v>9.001911435843446E-3</v>
      </c>
    </row>
    <row r="3298" spans="1:2">
      <c r="A3298" t="s">
        <v>4343</v>
      </c>
      <c r="B3298">
        <v>33.007008598092632</v>
      </c>
    </row>
    <row r="3299" spans="1:2">
      <c r="A3299" t="s">
        <v>4344</v>
      </c>
      <c r="B3299">
        <v>13.591121187449907</v>
      </c>
    </row>
    <row r="3300" spans="1:2">
      <c r="A3300" t="s">
        <v>4345</v>
      </c>
      <c r="B3300">
        <v>990.21025794277898</v>
      </c>
    </row>
    <row r="3301" spans="1:2">
      <c r="A3301" t="s">
        <v>4346</v>
      </c>
      <c r="B3301">
        <v>154.03270679109895</v>
      </c>
    </row>
    <row r="3302" spans="1:2">
      <c r="A3302" t="s">
        <v>4347</v>
      </c>
      <c r="B3302">
        <v>43.321698784996578</v>
      </c>
    </row>
    <row r="3303" spans="1:2">
      <c r="A3303" t="s">
        <v>4348</v>
      </c>
      <c r="B3303">
        <v>1100.2336199364211</v>
      </c>
    </row>
    <row r="3304" spans="1:2">
      <c r="A3304" t="s">
        <v>4349</v>
      </c>
      <c r="B3304">
        <v>11552.453009332423</v>
      </c>
    </row>
    <row r="3305" spans="1:2">
      <c r="A3305" t="s">
        <v>4350</v>
      </c>
      <c r="B3305">
        <v>1050223.0008484018</v>
      </c>
    </row>
    <row r="3306" spans="1:2">
      <c r="A3306" t="s">
        <v>4351</v>
      </c>
      <c r="B3306">
        <v>147478.12352339263</v>
      </c>
    </row>
    <row r="3307" spans="1:2">
      <c r="A3307" t="s">
        <v>4352</v>
      </c>
      <c r="B3307">
        <v>11179.793234837827</v>
      </c>
    </row>
    <row r="3308" spans="1:2">
      <c r="A3308" t="s">
        <v>4353</v>
      </c>
      <c r="B3308">
        <v>1750.3716680806701</v>
      </c>
    </row>
    <row r="3309" spans="1:2">
      <c r="A3309" t="s">
        <v>4354</v>
      </c>
      <c r="B3309">
        <v>11.363068533769596</v>
      </c>
    </row>
    <row r="3310" spans="1:2">
      <c r="A3310" t="s">
        <v>4355</v>
      </c>
      <c r="B3310">
        <v>2.5960568560297577</v>
      </c>
    </row>
    <row r="3311" spans="1:2">
      <c r="A3311" t="s">
        <v>4356</v>
      </c>
      <c r="B3311">
        <v>1.050223000848402E-2</v>
      </c>
    </row>
    <row r="3312" spans="1:2">
      <c r="A3312" t="s">
        <v>4357</v>
      </c>
      <c r="B3312">
        <v>1.2695003306958704E-3</v>
      </c>
    </row>
    <row r="3313" spans="1:2">
      <c r="A3313" t="s">
        <v>4358</v>
      </c>
      <c r="B3313">
        <v>1.9986942922720451E-4</v>
      </c>
    </row>
    <row r="3314" spans="1:2">
      <c r="A3314" t="s">
        <v>176</v>
      </c>
      <c r="B3314">
        <v>3.9656632783175499E-7</v>
      </c>
    </row>
    <row r="3315" spans="1:2">
      <c r="A3315" t="s">
        <v>175</v>
      </c>
      <c r="B3315">
        <v>1.9101278123896201E-6</v>
      </c>
    </row>
    <row r="3316" spans="1:2">
      <c r="A3316" t="s">
        <v>107</v>
      </c>
      <c r="B3316">
        <v>3.1878822533570577E-10</v>
      </c>
    </row>
    <row r="3317" spans="1:2">
      <c r="A3317" t="s">
        <v>87</v>
      </c>
      <c r="B3317">
        <v>1.3814156431213916E-13</v>
      </c>
    </row>
    <row r="3318" spans="1:2">
      <c r="A3318" t="s">
        <v>89</v>
      </c>
      <c r="B3318">
        <v>8.9286620835894818E-14</v>
      </c>
    </row>
    <row r="3319" spans="1:2">
      <c r="A3319" t="s">
        <v>93</v>
      </c>
      <c r="B3319">
        <v>3.1199586257997337E-17</v>
      </c>
    </row>
    <row r="3320" spans="1:2">
      <c r="A3320" t="s">
        <v>4359</v>
      </c>
      <c r="B3320">
        <v>4.231667768986235E-4</v>
      </c>
    </row>
    <row r="3321" spans="1:2">
      <c r="A3321" t="s">
        <v>94</v>
      </c>
      <c r="B3321">
        <v>9.3865421904402247E-16</v>
      </c>
    </row>
    <row r="3322" spans="1:2">
      <c r="A3322" t="s">
        <v>96</v>
      </c>
      <c r="B3322">
        <v>1.1881719212139224E-6</v>
      </c>
    </row>
    <row r="3323" spans="1:2">
      <c r="A3323" t="s">
        <v>98</v>
      </c>
      <c r="B3323">
        <v>4.9247777411726741E-18</v>
      </c>
    </row>
    <row r="3324" spans="1:2">
      <c r="A3324" t="s">
        <v>174</v>
      </c>
      <c r="B3324">
        <v>4.9264191937451688E-4</v>
      </c>
    </row>
    <row r="3325" spans="1:2">
      <c r="A3325" t="s">
        <v>173</v>
      </c>
      <c r="B3325">
        <v>1.3655381807721538E-5</v>
      </c>
    </row>
    <row r="3326" spans="1:2">
      <c r="A3326" t="s">
        <v>4360</v>
      </c>
      <c r="B3326">
        <v>6.8764601246026316E-4</v>
      </c>
    </row>
    <row r="3327" spans="1:2">
      <c r="A3327" t="s">
        <v>4361</v>
      </c>
      <c r="B3327">
        <v>8.7408219490535348</v>
      </c>
    </row>
    <row r="3328" spans="1:2">
      <c r="A3328" t="s">
        <v>4362</v>
      </c>
      <c r="B3328">
        <v>6.2445691942337413</v>
      </c>
    </row>
    <row r="3329" spans="1:2">
      <c r="A3329" t="s">
        <v>4362</v>
      </c>
      <c r="B3329">
        <v>4.6209812037329687</v>
      </c>
    </row>
    <row r="3330" spans="1:2">
      <c r="A3330" t="s">
        <v>4363</v>
      </c>
      <c r="B3330">
        <v>1.2695003306958703</v>
      </c>
    </row>
    <row r="3331" spans="1:2">
      <c r="A3331" t="s">
        <v>4364</v>
      </c>
      <c r="B3331">
        <v>1.640119210070383</v>
      </c>
    </row>
    <row r="3332" spans="1:2">
      <c r="A3332" t="s">
        <v>172</v>
      </c>
      <c r="B3332">
        <v>3.5436972421265094E-4</v>
      </c>
    </row>
    <row r="3333" spans="1:2">
      <c r="A3333" t="s">
        <v>171</v>
      </c>
      <c r="B3333">
        <v>5.0222466583425592E-7</v>
      </c>
    </row>
    <row r="3334" spans="1:2">
      <c r="A3334" t="s">
        <v>170</v>
      </c>
      <c r="B3334">
        <v>2.4310717612231527E-8</v>
      </c>
    </row>
    <row r="3335" spans="1:2">
      <c r="A3335" t="s">
        <v>4365</v>
      </c>
      <c r="B3335">
        <v>8.1957122110560177E-26</v>
      </c>
    </row>
    <row r="3336" spans="1:2">
      <c r="A3336" t="s">
        <v>4366</v>
      </c>
      <c r="B3336">
        <v>3.0864154446519961E-3</v>
      </c>
    </row>
    <row r="3337" spans="1:2">
      <c r="A3337" t="s">
        <v>4367</v>
      </c>
      <c r="B3337">
        <v>7.5162348792013152E-3</v>
      </c>
    </row>
    <row r="3338" spans="1:2">
      <c r="A3338" t="s">
        <v>4368</v>
      </c>
      <c r="B3338">
        <v>1.3918618083533039E-2</v>
      </c>
    </row>
    <row r="3339" spans="1:2">
      <c r="A3339" t="s">
        <v>4369</v>
      </c>
      <c r="B3339">
        <v>0.10598580742506808</v>
      </c>
    </row>
    <row r="3340" spans="1:2">
      <c r="A3340" t="s">
        <v>4370</v>
      </c>
      <c r="B3340">
        <v>3.1795742227520427</v>
      </c>
    </row>
    <row r="3341" spans="1:2">
      <c r="A3341" t="s">
        <v>4371</v>
      </c>
      <c r="B3341">
        <v>1.9975423070891793</v>
      </c>
    </row>
    <row r="3342" spans="1:2">
      <c r="A3342" t="s">
        <v>4372</v>
      </c>
      <c r="B3342">
        <v>3.6101415654163818</v>
      </c>
    </row>
    <row r="3343" spans="1:2">
      <c r="A3343" t="s">
        <v>4373</v>
      </c>
      <c r="B3343">
        <v>7.2202831308327635</v>
      </c>
    </row>
    <row r="3344" spans="1:2">
      <c r="A3344" t="s">
        <v>4374</v>
      </c>
      <c r="B3344">
        <v>5.6815342668847979</v>
      </c>
    </row>
    <row r="3345" spans="1:2">
      <c r="A3345" t="s">
        <v>4375</v>
      </c>
      <c r="B3345">
        <v>17.328679513998633</v>
      </c>
    </row>
    <row r="3346" spans="1:2">
      <c r="A3346" t="s">
        <v>4376</v>
      </c>
      <c r="B3346">
        <v>14.380646899583924</v>
      </c>
    </row>
    <row r="3347" spans="1:2">
      <c r="A3347" t="s">
        <v>4377</v>
      </c>
      <c r="B3347">
        <v>20.629380373807891</v>
      </c>
    </row>
    <row r="3348" spans="1:2">
      <c r="A3348" t="s">
        <v>4378</v>
      </c>
      <c r="B3348">
        <v>35.36465206938496</v>
      </c>
    </row>
    <row r="3349" spans="1:2">
      <c r="A3349" t="s">
        <v>4379</v>
      </c>
      <c r="B3349">
        <v>46.209812037329691</v>
      </c>
    </row>
    <row r="3350" spans="1:2">
      <c r="A3350" t="s">
        <v>4380</v>
      </c>
      <c r="B3350">
        <v>2.5205352020361644</v>
      </c>
    </row>
    <row r="3351" spans="1:2">
      <c r="A3351" t="s">
        <v>4381</v>
      </c>
      <c r="B3351">
        <v>495.10512897138949</v>
      </c>
    </row>
    <row r="3352" spans="1:2">
      <c r="A3352" t="s">
        <v>4382</v>
      </c>
      <c r="B3352">
        <v>81.546727124699444</v>
      </c>
    </row>
    <row r="3353" spans="1:2">
      <c r="A3353" t="s">
        <v>4383</v>
      </c>
      <c r="B3353">
        <v>7.6170019841752232</v>
      </c>
    </row>
    <row r="3354" spans="1:2">
      <c r="A3354" t="s">
        <v>4384</v>
      </c>
      <c r="B3354">
        <v>1.6947363827871522</v>
      </c>
    </row>
    <row r="3355" spans="1:2">
      <c r="A3355" t="s">
        <v>4385</v>
      </c>
      <c r="B3355">
        <v>0.70014866723226798</v>
      </c>
    </row>
    <row r="3356" spans="1:2">
      <c r="A3356" t="s">
        <v>4386</v>
      </c>
      <c r="B3356">
        <v>0.25672117798516492</v>
      </c>
    </row>
    <row r="3357" spans="1:2">
      <c r="A3357" t="s">
        <v>4387</v>
      </c>
      <c r="B3357">
        <v>0.1093292082902122</v>
      </c>
    </row>
    <row r="3358" spans="1:2">
      <c r="A3358" t="s">
        <v>4388</v>
      </c>
      <c r="B3358">
        <v>0.13591121187449909</v>
      </c>
    </row>
    <row r="3359" spans="1:2">
      <c r="A3359" t="s">
        <v>4389</v>
      </c>
      <c r="B3359">
        <v>3.6101415654163818E-2</v>
      </c>
    </row>
    <row r="3360" spans="1:2">
      <c r="A3360" t="s">
        <v>4390</v>
      </c>
      <c r="B3360">
        <v>3.4831516611052528E-2</v>
      </c>
    </row>
    <row r="3361" spans="1:2">
      <c r="A3361" t="s">
        <v>4391</v>
      </c>
      <c r="B3361">
        <v>1.361782280078478E-2</v>
      </c>
    </row>
    <row r="3362" spans="1:2">
      <c r="A3362" t="s">
        <v>4392</v>
      </c>
      <c r="B3362">
        <v>9.9021025794277899E-3</v>
      </c>
    </row>
    <row r="3363" spans="1:2">
      <c r="A3363" t="s">
        <v>4393</v>
      </c>
      <c r="B3363">
        <v>4.7737409129472823E-3</v>
      </c>
    </row>
    <row r="3364" spans="1:2">
      <c r="A3364" t="s">
        <v>4394</v>
      </c>
      <c r="B3364">
        <v>4.8336623470010128E-3</v>
      </c>
    </row>
    <row r="3365" spans="1:2">
      <c r="A3365" t="s">
        <v>4395</v>
      </c>
      <c r="B3365">
        <v>1.7503716680806699E-3</v>
      </c>
    </row>
    <row r="3366" spans="1:2">
      <c r="A3366" t="s">
        <v>4396</v>
      </c>
      <c r="B3366">
        <v>1.5846986295380552E-3</v>
      </c>
    </row>
    <row r="3367" spans="1:2">
      <c r="A3367" t="s">
        <v>4397</v>
      </c>
      <c r="B3367">
        <v>3.3680621018461872E-4</v>
      </c>
    </row>
    <row r="3368" spans="1:2">
      <c r="A3368" t="s">
        <v>4398</v>
      </c>
      <c r="B3368">
        <v>3.2819468776512564E-4</v>
      </c>
    </row>
    <row r="3369" spans="1:2">
      <c r="A3369" t="s">
        <v>169</v>
      </c>
      <c r="B3369">
        <v>7.7016353395549473E-5</v>
      </c>
    </row>
    <row r="3370" spans="1:2">
      <c r="A3370" t="s">
        <v>168</v>
      </c>
      <c r="B3370">
        <v>8.7518583404033496E-5</v>
      </c>
    </row>
    <row r="3371" spans="1:2">
      <c r="A3371" t="s">
        <v>167</v>
      </c>
      <c r="B3371">
        <v>3.7141374129798162E-7</v>
      </c>
    </row>
    <row r="3372" spans="1:2">
      <c r="A3372" t="s">
        <v>166</v>
      </c>
      <c r="B3372">
        <v>3.1180709876740679E-4</v>
      </c>
    </row>
    <row r="3373" spans="1:2">
      <c r="A3373" t="s">
        <v>4399</v>
      </c>
      <c r="B3373">
        <v>1.7994475092418102E-3</v>
      </c>
    </row>
    <row r="3374" spans="1:2">
      <c r="A3374" t="s">
        <v>4400</v>
      </c>
      <c r="B3374">
        <v>1.3814156431213918E-26</v>
      </c>
    </row>
    <row r="3375" spans="1:2">
      <c r="A3375" t="s">
        <v>165</v>
      </c>
      <c r="B3375">
        <v>6.6323882374639577E-8</v>
      </c>
    </row>
    <row r="3376" spans="1:2">
      <c r="A3376" t="s">
        <v>4401</v>
      </c>
      <c r="B3376">
        <v>0.12931850383581067</v>
      </c>
    </row>
    <row r="3377" spans="1:2">
      <c r="A3377" t="s">
        <v>164</v>
      </c>
      <c r="B3377">
        <v>1.0710997078820297E-7</v>
      </c>
    </row>
    <row r="3378" spans="1:2">
      <c r="A3378" t="s">
        <v>4402</v>
      </c>
      <c r="B3378">
        <v>6.9176365325343851E-3</v>
      </c>
    </row>
    <row r="3379" spans="1:2">
      <c r="A3379" t="s">
        <v>163</v>
      </c>
      <c r="B3379">
        <v>8.0899530877678026E-6</v>
      </c>
    </row>
    <row r="3380" spans="1:2">
      <c r="A3380" t="s">
        <v>162</v>
      </c>
      <c r="B3380">
        <v>1.149854781716555E-7</v>
      </c>
    </row>
    <row r="3381" spans="1:2">
      <c r="A3381" t="s">
        <v>4403</v>
      </c>
      <c r="B3381">
        <v>9.959011214941743E-4</v>
      </c>
    </row>
    <row r="3382" spans="1:2">
      <c r="A3382" t="s">
        <v>4404</v>
      </c>
      <c r="B3382">
        <v>3.8508176697774738E-4</v>
      </c>
    </row>
    <row r="3383" spans="1:2">
      <c r="A3383" t="s">
        <v>4405</v>
      </c>
      <c r="B3383">
        <v>11950.813457930091</v>
      </c>
    </row>
    <row r="3384" spans="1:2">
      <c r="A3384" t="s">
        <v>4406</v>
      </c>
      <c r="B3384">
        <v>53.319013889226554</v>
      </c>
    </row>
    <row r="3385" spans="1:2">
      <c r="A3385" t="s">
        <v>4407</v>
      </c>
      <c r="B3385">
        <v>7.4531954898918853</v>
      </c>
    </row>
    <row r="3386" spans="1:2">
      <c r="A3386" t="s">
        <v>4408</v>
      </c>
      <c r="B3386">
        <v>0.93668537913506122</v>
      </c>
    </row>
    <row r="3387" spans="1:2">
      <c r="A3387" t="s">
        <v>4409</v>
      </c>
      <c r="B3387">
        <v>0.25672117798516492</v>
      </c>
    </row>
    <row r="3388" spans="1:2">
      <c r="A3388" t="s">
        <v>4410</v>
      </c>
      <c r="B3388">
        <v>0.25297342356202379</v>
      </c>
    </row>
    <row r="3389" spans="1:2">
      <c r="A3389" t="s">
        <v>4411</v>
      </c>
      <c r="B3389">
        <v>6.9314718055994526E-2</v>
      </c>
    </row>
    <row r="3390" spans="1:2">
      <c r="A3390" t="s">
        <v>4412</v>
      </c>
      <c r="B3390">
        <v>3.8508176697774739E-2</v>
      </c>
    </row>
    <row r="3391" spans="1:2">
      <c r="A3391" t="s">
        <v>4413</v>
      </c>
      <c r="B3391">
        <v>1.1950813457930091E-2</v>
      </c>
    </row>
    <row r="3392" spans="1:2">
      <c r="A3392" t="s">
        <v>4414</v>
      </c>
      <c r="B3392">
        <v>1.1363068533769595E-2</v>
      </c>
    </row>
    <row r="3393" spans="1:2">
      <c r="A3393" t="s">
        <v>4415</v>
      </c>
      <c r="B3393">
        <v>3.040119212982216E-3</v>
      </c>
    </row>
    <row r="3394" spans="1:2">
      <c r="A3394" t="s">
        <v>4416</v>
      </c>
      <c r="B3394">
        <v>1.9918022429883486E-3</v>
      </c>
    </row>
    <row r="3395" spans="1:2">
      <c r="A3395" t="s">
        <v>4417</v>
      </c>
      <c r="B3395">
        <v>2.5114028281157435E-4</v>
      </c>
    </row>
    <row r="3396" spans="1:2">
      <c r="A3396" t="s">
        <v>4418</v>
      </c>
      <c r="B3396">
        <v>2.9545915624891103E-4</v>
      </c>
    </row>
    <row r="3397" spans="1:2">
      <c r="A3397" t="s">
        <v>4419</v>
      </c>
      <c r="B3397">
        <v>9.5791484322822727E-6</v>
      </c>
    </row>
    <row r="3398" spans="1:2">
      <c r="A3398" t="s">
        <v>4420</v>
      </c>
      <c r="B3398">
        <v>9.3922382189694497E-5</v>
      </c>
    </row>
    <row r="3399" spans="1:2">
      <c r="A3399" t="s">
        <v>4421</v>
      </c>
      <c r="B3399">
        <v>1.1351307834504993E-5</v>
      </c>
    </row>
    <row r="3400" spans="1:2">
      <c r="A3400" t="s">
        <v>4422</v>
      </c>
      <c r="B3400">
        <v>1.2377628224284737E-2</v>
      </c>
    </row>
    <row r="3401" spans="1:2">
      <c r="A3401" t="s">
        <v>4423</v>
      </c>
      <c r="B3401">
        <v>2.2073896137014098E-7</v>
      </c>
    </row>
    <row r="3402" spans="1:2">
      <c r="A3402" t="s">
        <v>4424</v>
      </c>
      <c r="B3402">
        <v>9.973340727481227E-3</v>
      </c>
    </row>
    <row r="3403" spans="1:2">
      <c r="A3403" t="s">
        <v>4425</v>
      </c>
      <c r="B3403">
        <v>9.0343883018427957E-7</v>
      </c>
    </row>
    <row r="3404" spans="1:2">
      <c r="A3404" t="s">
        <v>29</v>
      </c>
      <c r="B3404">
        <v>6.7241109815073378E-7</v>
      </c>
    </row>
    <row r="3405" spans="1:2">
      <c r="A3405" t="s">
        <v>4426</v>
      </c>
      <c r="B3405">
        <v>1.5288593993285064E-6</v>
      </c>
    </row>
    <row r="3406" spans="1:2">
      <c r="A3406" t="s">
        <v>4427</v>
      </c>
      <c r="B3406">
        <v>3.6615868608107732E-6</v>
      </c>
    </row>
    <row r="3407" spans="1:2">
      <c r="A3407" t="s">
        <v>4428</v>
      </c>
      <c r="B3407">
        <v>2.3901626915860184</v>
      </c>
    </row>
    <row r="3408" spans="1:2">
      <c r="A3408" t="s">
        <v>4429</v>
      </c>
      <c r="B3408">
        <v>2.1001405267111009E-5</v>
      </c>
    </row>
    <row r="3409" spans="1:2">
      <c r="A3409" t="s">
        <v>4430</v>
      </c>
      <c r="B3409">
        <v>7.5570438996090932E-4</v>
      </c>
    </row>
    <row r="3410" spans="1:2">
      <c r="A3410" t="s">
        <v>4431</v>
      </c>
      <c r="B3410">
        <v>1.0029456039100515E-29</v>
      </c>
    </row>
    <row r="3411" spans="1:2">
      <c r="A3411" t="s">
        <v>4432</v>
      </c>
      <c r="B3411">
        <v>3.0234108896447058E-3</v>
      </c>
    </row>
    <row r="3412" spans="1:2">
      <c r="A3412" t="s">
        <v>4433</v>
      </c>
      <c r="B3412">
        <v>8.1700516331912449E-4</v>
      </c>
    </row>
    <row r="3413" spans="1:2">
      <c r="A3413" t="s">
        <v>4434</v>
      </c>
      <c r="B3413">
        <v>1.7450835361529339E-2</v>
      </c>
    </row>
    <row r="3414" spans="1:2">
      <c r="A3414" t="s">
        <v>4435</v>
      </c>
      <c r="B3414">
        <v>5.0966704452937155E-2</v>
      </c>
    </row>
    <row r="3415" spans="1:2">
      <c r="A3415" t="s">
        <v>4436</v>
      </c>
      <c r="B3415">
        <v>0.4029925468371775</v>
      </c>
    </row>
    <row r="3416" spans="1:2">
      <c r="A3416" t="s">
        <v>4437</v>
      </c>
      <c r="B3416">
        <v>0.56491212759571741</v>
      </c>
    </row>
    <row r="3417" spans="1:2">
      <c r="A3417" t="s">
        <v>4438</v>
      </c>
      <c r="B3417">
        <v>1.3564524081407932</v>
      </c>
    </row>
    <row r="3418" spans="1:2">
      <c r="A3418" t="s">
        <v>4439</v>
      </c>
      <c r="B3418">
        <v>1.7864618055668693</v>
      </c>
    </row>
    <row r="3419" spans="1:2">
      <c r="A3419" t="s">
        <v>4440</v>
      </c>
      <c r="B3419">
        <v>3.6869530880848154</v>
      </c>
    </row>
    <row r="3420" spans="1:2">
      <c r="A3420" t="s">
        <v>4441</v>
      </c>
      <c r="B3420">
        <v>4.747583428492776</v>
      </c>
    </row>
    <row r="3421" spans="1:2">
      <c r="A3421" t="s">
        <v>4442</v>
      </c>
      <c r="B3421">
        <v>7.8766725063630147</v>
      </c>
    </row>
    <row r="3422" spans="1:2">
      <c r="A3422" t="s">
        <v>4443</v>
      </c>
      <c r="B3422">
        <v>8.1546727124699441</v>
      </c>
    </row>
    <row r="3423" spans="1:2">
      <c r="A3423" t="s">
        <v>4444</v>
      </c>
      <c r="B3423">
        <v>0.95081917772283309</v>
      </c>
    </row>
    <row r="3424" spans="1:2">
      <c r="A3424" t="s">
        <v>4444</v>
      </c>
      <c r="B3424">
        <v>0.73739061761696312</v>
      </c>
    </row>
    <row r="3425" spans="1:2">
      <c r="A3425" t="s">
        <v>4445</v>
      </c>
      <c r="B3425">
        <v>1.6157276936129261</v>
      </c>
    </row>
    <row r="3426" spans="1:2">
      <c r="A3426" t="s">
        <v>4446</v>
      </c>
      <c r="B3426">
        <v>1.7503716680806698</v>
      </c>
    </row>
    <row r="3427" spans="1:2">
      <c r="A3427" t="s">
        <v>4446</v>
      </c>
      <c r="B3427">
        <v>2.3104906018664844</v>
      </c>
    </row>
    <row r="3428" spans="1:2">
      <c r="A3428" t="s">
        <v>4447</v>
      </c>
      <c r="B3428">
        <v>2.9370643244065477</v>
      </c>
    </row>
    <row r="3429" spans="1:2">
      <c r="A3429" t="s">
        <v>4448</v>
      </c>
      <c r="B3429">
        <v>3.5185136069032752</v>
      </c>
    </row>
    <row r="3430" spans="1:2">
      <c r="A3430" t="s">
        <v>4449</v>
      </c>
      <c r="B3430">
        <v>6.4780110332705165</v>
      </c>
    </row>
    <row r="3431" spans="1:2">
      <c r="A3431" t="s">
        <v>4450</v>
      </c>
      <c r="B3431">
        <v>8.5573725995054968</v>
      </c>
    </row>
    <row r="3432" spans="1:2">
      <c r="A3432" t="s">
        <v>4451</v>
      </c>
      <c r="B3432">
        <v>20.690960613729708</v>
      </c>
    </row>
    <row r="3433" spans="1:2">
      <c r="A3433" t="s">
        <v>4452</v>
      </c>
      <c r="B3433">
        <v>23.104906018664845</v>
      </c>
    </row>
    <row r="3434" spans="1:2">
      <c r="A3434" t="s">
        <v>4453</v>
      </c>
      <c r="B3434">
        <v>27.725887222397809</v>
      </c>
    </row>
    <row r="3435" spans="1:2">
      <c r="A3435" t="s">
        <v>4454</v>
      </c>
      <c r="B3435">
        <v>28.881132523331054</v>
      </c>
    </row>
    <row r="3436" spans="1:2">
      <c r="A3436" t="s">
        <v>4455</v>
      </c>
      <c r="B3436">
        <v>12.160476851928864</v>
      </c>
    </row>
    <row r="3437" spans="1:2">
      <c r="A3437" t="s">
        <v>4456</v>
      </c>
      <c r="B3437">
        <v>13.862943611198904</v>
      </c>
    </row>
    <row r="3438" spans="1:2">
      <c r="A3438" t="s">
        <v>4456</v>
      </c>
      <c r="B3438">
        <v>0.11950813457930091</v>
      </c>
    </row>
    <row r="3439" spans="1:2">
      <c r="A3439" t="s">
        <v>4457</v>
      </c>
      <c r="B3439">
        <v>4.6834268956753057E-2</v>
      </c>
    </row>
    <row r="3440" spans="1:2">
      <c r="A3440" t="s">
        <v>4458</v>
      </c>
      <c r="B3440">
        <v>2.3028145533552997E-2</v>
      </c>
    </row>
    <row r="3441" spans="1:2">
      <c r="A3441" t="s">
        <v>4459</v>
      </c>
      <c r="B3441">
        <v>0.14440566261665527</v>
      </c>
    </row>
    <row r="3442" spans="1:2">
      <c r="A3442" t="s">
        <v>4460</v>
      </c>
      <c r="B3442">
        <v>9.8458406329537673E-3</v>
      </c>
    </row>
    <row r="3443" spans="1:2">
      <c r="A3443" t="s">
        <v>4461</v>
      </c>
      <c r="B3443">
        <v>8.3511708501198226E-2</v>
      </c>
    </row>
    <row r="3444" spans="1:2">
      <c r="A3444" t="s">
        <v>4462</v>
      </c>
      <c r="B3444">
        <v>1.6317024024480821E-3</v>
      </c>
    </row>
    <row r="3445" spans="1:2">
      <c r="A3445" t="s">
        <v>4463</v>
      </c>
      <c r="B3445">
        <v>4.0534922839762884E-3</v>
      </c>
    </row>
    <row r="3446" spans="1:2">
      <c r="A3446" t="s">
        <v>4464</v>
      </c>
      <c r="B3446">
        <v>2.8809109748958658E-4</v>
      </c>
    </row>
    <row r="3447" spans="1:2">
      <c r="A3447" t="s">
        <v>4464</v>
      </c>
      <c r="B3447">
        <v>0.15068416968694465</v>
      </c>
    </row>
    <row r="3448" spans="1:2">
      <c r="A3448" t="s">
        <v>4465</v>
      </c>
      <c r="B3448">
        <v>7.2112690445271042E-5</v>
      </c>
    </row>
    <row r="3449" spans="1:2">
      <c r="A3449" t="s">
        <v>4465</v>
      </c>
      <c r="B3449">
        <v>3.9294057854872179E-5</v>
      </c>
    </row>
    <row r="3450" spans="1:2">
      <c r="A3450" t="s">
        <v>161</v>
      </c>
      <c r="B3450">
        <v>1.3062475134930372E-5</v>
      </c>
    </row>
    <row r="3451" spans="1:2">
      <c r="A3451" t="s">
        <v>765</v>
      </c>
      <c r="B3451">
        <v>2.4372263732768822E-4</v>
      </c>
    </row>
    <row r="3452" spans="1:2">
      <c r="A3452" t="s">
        <v>160</v>
      </c>
      <c r="B3452">
        <v>2.4100748965937375E-6</v>
      </c>
    </row>
    <row r="3453" spans="1:2">
      <c r="A3453" t="s">
        <v>4466</v>
      </c>
      <c r="B3453">
        <v>1.4390200559706554E-5</v>
      </c>
    </row>
    <row r="3454" spans="1:2">
      <c r="A3454" t="s">
        <v>159</v>
      </c>
      <c r="B3454">
        <v>7.5239967850584322E-8</v>
      </c>
    </row>
    <row r="3455" spans="1:2">
      <c r="A3455" t="s">
        <v>4467</v>
      </c>
      <c r="B3455">
        <v>4.4253794328030727E-2</v>
      </c>
    </row>
    <row r="3456" spans="1:2">
      <c r="A3456" t="s">
        <v>20</v>
      </c>
      <c r="B3456">
        <v>3.0062905331929187E-6</v>
      </c>
    </row>
    <row r="3457" spans="1:2">
      <c r="A3457" t="s">
        <v>766</v>
      </c>
      <c r="B3457">
        <v>5.9573293158686163E-5</v>
      </c>
    </row>
    <row r="3458" spans="1:2">
      <c r="A3458" t="s">
        <v>158</v>
      </c>
      <c r="B3458">
        <v>1.3699687179023912E-7</v>
      </c>
    </row>
    <row r="3459" spans="1:2">
      <c r="A3459" t="s">
        <v>767</v>
      </c>
      <c r="B3459">
        <v>2.3235022142663761E-4</v>
      </c>
    </row>
    <row r="3460" spans="1:2">
      <c r="A3460" t="s">
        <v>157</v>
      </c>
      <c r="B3460">
        <v>5.4390080081602739E-5</v>
      </c>
    </row>
    <row r="3461" spans="1:2">
      <c r="A3461" t="s">
        <v>156</v>
      </c>
      <c r="B3461">
        <v>1.8932240264392692E-5</v>
      </c>
    </row>
    <row r="3462" spans="1:2">
      <c r="A3462" t="s">
        <v>4468</v>
      </c>
      <c r="B3462">
        <v>0.84530143970725036</v>
      </c>
    </row>
    <row r="3463" spans="1:2">
      <c r="A3463" t="s">
        <v>155</v>
      </c>
      <c r="B3463">
        <v>6.1777823579317766E-4</v>
      </c>
    </row>
    <row r="3464" spans="1:2">
      <c r="A3464" t="s">
        <v>154</v>
      </c>
      <c r="B3464">
        <v>1.1108127893588867E-3</v>
      </c>
    </row>
    <row r="3465" spans="1:2">
      <c r="A3465" t="s">
        <v>4469</v>
      </c>
      <c r="B3465">
        <v>0.12956022066541034</v>
      </c>
    </row>
    <row r="3466" spans="1:2">
      <c r="A3466" t="s">
        <v>4469</v>
      </c>
      <c r="B3466">
        <v>7.1458472222674776E-2</v>
      </c>
    </row>
    <row r="3467" spans="1:2">
      <c r="A3467" t="s">
        <v>4470</v>
      </c>
      <c r="B3467">
        <v>0.18483924814931874</v>
      </c>
    </row>
    <row r="3468" spans="1:2">
      <c r="A3468" t="s">
        <v>4470</v>
      </c>
      <c r="B3468">
        <v>0.59243348765807291</v>
      </c>
    </row>
    <row r="3469" spans="1:2">
      <c r="A3469" t="s">
        <v>4470</v>
      </c>
      <c r="B3469">
        <v>4.8813181729573607</v>
      </c>
    </row>
    <row r="3470" spans="1:2">
      <c r="A3470" t="s">
        <v>4471</v>
      </c>
      <c r="B3470">
        <v>0.59243348765807291</v>
      </c>
    </row>
    <row r="3471" spans="1:2">
      <c r="A3471" t="s">
        <v>4471</v>
      </c>
      <c r="B3471">
        <v>4.8813181729573607</v>
      </c>
    </row>
    <row r="3472" spans="1:2">
      <c r="A3472" t="s">
        <v>4472</v>
      </c>
      <c r="B3472">
        <v>1.264867117810119</v>
      </c>
    </row>
    <row r="3473" spans="1:2">
      <c r="A3473" t="s">
        <v>4473</v>
      </c>
      <c r="B3473">
        <v>0.29877033644825229</v>
      </c>
    </row>
    <row r="3474" spans="1:2">
      <c r="A3474" t="s">
        <v>4474</v>
      </c>
      <c r="B3474">
        <v>0.46739526672956522</v>
      </c>
    </row>
    <row r="3475" spans="1:2">
      <c r="A3475" t="s">
        <v>4475</v>
      </c>
      <c r="B3475">
        <v>0.99021025794277906</v>
      </c>
    </row>
    <row r="3476" spans="1:2">
      <c r="A3476" t="s">
        <v>4476</v>
      </c>
      <c r="B3476">
        <v>0.43321698784996576</v>
      </c>
    </row>
    <row r="3477" spans="1:2">
      <c r="A3477" t="s">
        <v>4477</v>
      </c>
      <c r="B3477">
        <v>0.22359586469675655</v>
      </c>
    </row>
    <row r="3478" spans="1:2">
      <c r="A3478" t="s">
        <v>4478</v>
      </c>
      <c r="B3478">
        <v>0.16503504299046315</v>
      </c>
    </row>
    <row r="3479" spans="1:2">
      <c r="A3479" t="s">
        <v>4479</v>
      </c>
      <c r="B3479">
        <v>1.6947363827871522</v>
      </c>
    </row>
    <row r="3480" spans="1:2">
      <c r="A3480" t="s">
        <v>4480</v>
      </c>
      <c r="B3480">
        <v>0.38723306176533256</v>
      </c>
    </row>
    <row r="3481" spans="1:2">
      <c r="A3481" t="s">
        <v>4481</v>
      </c>
      <c r="B3481">
        <v>2.7725887222397813E-2</v>
      </c>
    </row>
    <row r="3482" spans="1:2">
      <c r="A3482" t="s">
        <v>4482</v>
      </c>
      <c r="B3482">
        <v>1.7957180843521898E-2</v>
      </c>
    </row>
    <row r="3483" spans="1:2">
      <c r="A3483" t="s">
        <v>4483</v>
      </c>
      <c r="B3483">
        <v>7.7533241673371951E-3</v>
      </c>
    </row>
    <row r="3484" spans="1:2">
      <c r="A3484" t="s">
        <v>4484</v>
      </c>
      <c r="B3484">
        <v>6.6777185025042899E-3</v>
      </c>
    </row>
    <row r="3485" spans="1:2">
      <c r="A3485" t="s">
        <v>4485</v>
      </c>
      <c r="B3485">
        <v>2.4067610436109212E-3</v>
      </c>
    </row>
    <row r="3486" spans="1:2">
      <c r="A3486" t="s">
        <v>4486</v>
      </c>
      <c r="B3486">
        <v>2.7505840498410527E-3</v>
      </c>
    </row>
    <row r="3487" spans="1:2">
      <c r="A3487" t="s">
        <v>768</v>
      </c>
      <c r="B3487">
        <v>6.1156447905412492E-4</v>
      </c>
    </row>
    <row r="3488" spans="1:2">
      <c r="A3488" t="s">
        <v>4487</v>
      </c>
      <c r="B3488">
        <v>1.0454708605730698E-3</v>
      </c>
    </row>
    <row r="3489" spans="1:2">
      <c r="A3489" t="s">
        <v>4488</v>
      </c>
      <c r="B3489">
        <v>1.5240703178538814E-4</v>
      </c>
    </row>
    <row r="3490" spans="1:2">
      <c r="A3490" t="s">
        <v>4489</v>
      </c>
      <c r="B3490">
        <v>1.1788217356461655E-3</v>
      </c>
    </row>
    <row r="3491" spans="1:2">
      <c r="A3491" t="s">
        <v>769</v>
      </c>
      <c r="B3491">
        <v>3.3957827775815464E-6</v>
      </c>
    </row>
    <row r="3492" spans="1:2">
      <c r="A3492" t="s">
        <v>770</v>
      </c>
      <c r="B3492">
        <v>6.6014017196185267E-4</v>
      </c>
    </row>
    <row r="3493" spans="1:2">
      <c r="A3493" t="s">
        <v>771</v>
      </c>
      <c r="B3493">
        <v>2.5058681280763406E-7</v>
      </c>
    </row>
    <row r="3494" spans="1:2">
      <c r="A3494" t="s">
        <v>4490</v>
      </c>
      <c r="B3494">
        <v>1.5068416968694463E-2</v>
      </c>
    </row>
    <row r="3495" spans="1:2">
      <c r="A3495" t="s">
        <v>772</v>
      </c>
      <c r="B3495">
        <v>1.9277993060282115E-6</v>
      </c>
    </row>
    <row r="3496" spans="1:2">
      <c r="A3496" t="s">
        <v>4491</v>
      </c>
      <c r="B3496">
        <v>6.0802384259644321E-2</v>
      </c>
    </row>
    <row r="3497" spans="1:2">
      <c r="A3497" t="s">
        <v>773</v>
      </c>
      <c r="B3497">
        <v>1.0075399449967226E-4</v>
      </c>
    </row>
    <row r="3498" spans="1:2">
      <c r="A3498" t="s">
        <v>4492</v>
      </c>
      <c r="B3498">
        <v>0.10663802777845312</v>
      </c>
    </row>
    <row r="3499" spans="1:2">
      <c r="A3499" t="s">
        <v>774</v>
      </c>
      <c r="B3499">
        <v>1.5611422985584354E-4</v>
      </c>
    </row>
    <row r="3500" spans="1:2">
      <c r="A3500" t="s">
        <v>4493</v>
      </c>
      <c r="B3500">
        <v>1.4440566261665526E-3</v>
      </c>
    </row>
    <row r="3501" spans="1:2">
      <c r="A3501" t="s">
        <v>4494</v>
      </c>
      <c r="B3501">
        <v>4.8135220872218424E-3</v>
      </c>
    </row>
    <row r="3502" spans="1:2">
      <c r="A3502" t="s">
        <v>4495</v>
      </c>
      <c r="B3502">
        <v>435.94162299367628</v>
      </c>
    </row>
    <row r="3503" spans="1:2">
      <c r="A3503" t="s">
        <v>4496</v>
      </c>
      <c r="B3503">
        <v>35.007433361613394</v>
      </c>
    </row>
    <row r="3504" spans="1:2">
      <c r="A3504" t="s">
        <v>4497</v>
      </c>
      <c r="B3504">
        <v>21.660849392498289</v>
      </c>
    </row>
    <row r="3505" spans="1:2">
      <c r="A3505" t="s">
        <v>4498</v>
      </c>
      <c r="B3505">
        <v>15.20059606491108</v>
      </c>
    </row>
    <row r="3506" spans="1:2">
      <c r="A3506" t="s">
        <v>4499</v>
      </c>
      <c r="B3506">
        <v>8.0598509367435494</v>
      </c>
    </row>
    <row r="3507" spans="1:2">
      <c r="A3507" t="s">
        <v>143</v>
      </c>
      <c r="B3507">
        <v>3.8064095582643889</v>
      </c>
    </row>
    <row r="3508" spans="1:2">
      <c r="A3508" t="s">
        <v>4500</v>
      </c>
      <c r="B3508">
        <v>4.7935489665279747E-3</v>
      </c>
    </row>
    <row r="3509" spans="1:2">
      <c r="A3509" t="s">
        <v>4501</v>
      </c>
      <c r="B3509">
        <v>7.8057114927921768E-3</v>
      </c>
    </row>
    <row r="3510" spans="1:2">
      <c r="A3510" t="s">
        <v>775</v>
      </c>
      <c r="B3510">
        <v>2.0944292775902722E-5</v>
      </c>
    </row>
    <row r="3511" spans="1:2">
      <c r="A3511" t="s">
        <v>776</v>
      </c>
      <c r="B3511">
        <v>3.0100190227546692E-4</v>
      </c>
    </row>
    <row r="3512" spans="1:2">
      <c r="A3512" t="s">
        <v>17</v>
      </c>
      <c r="B3512">
        <v>3.2888684507999854E-8</v>
      </c>
    </row>
    <row r="3513" spans="1:2">
      <c r="A3513" t="s">
        <v>777</v>
      </c>
      <c r="B3513">
        <v>2.0483072711582307E-4</v>
      </c>
    </row>
    <row r="3514" spans="1:2">
      <c r="A3514" t="s">
        <v>778</v>
      </c>
      <c r="B3514">
        <v>1.4005010437072571E-5</v>
      </c>
    </row>
    <row r="3515" spans="1:2">
      <c r="A3515" t="s">
        <v>4502</v>
      </c>
      <c r="B3515">
        <v>4.7737409129472823E-3</v>
      </c>
    </row>
    <row r="3516" spans="1:2">
      <c r="A3516" t="s">
        <v>779</v>
      </c>
      <c r="B3516">
        <v>4.6541185276498361E-5</v>
      </c>
    </row>
    <row r="3517" spans="1:2">
      <c r="A3517" t="s">
        <v>780</v>
      </c>
      <c r="B3517">
        <v>4.1406641610510472E-6</v>
      </c>
    </row>
    <row r="3518" spans="1:2">
      <c r="A3518" t="s">
        <v>4503</v>
      </c>
      <c r="B3518">
        <v>2.829172165550797E-2</v>
      </c>
    </row>
    <row r="3519" spans="1:2">
      <c r="A3519" t="s">
        <v>4504</v>
      </c>
      <c r="B3519">
        <v>7.2202831308327631E-3</v>
      </c>
    </row>
    <row r="3520" spans="1:2">
      <c r="A3520" t="s">
        <v>4505</v>
      </c>
      <c r="B3520">
        <v>6.7955605937249544E-2</v>
      </c>
    </row>
    <row r="3521" spans="1:2">
      <c r="A3521" t="s">
        <v>4506</v>
      </c>
      <c r="B3521">
        <v>0.1307824868981029</v>
      </c>
    </row>
    <row r="3522" spans="1:2">
      <c r="A3522" t="s">
        <v>4507</v>
      </c>
      <c r="B3522">
        <v>0.33164936868896905</v>
      </c>
    </row>
    <row r="3523" spans="1:2">
      <c r="A3523" t="s">
        <v>4508</v>
      </c>
      <c r="B3523">
        <v>0.6601401719618526</v>
      </c>
    </row>
    <row r="3524" spans="1:2">
      <c r="A3524" t="s">
        <v>4509</v>
      </c>
      <c r="B3524">
        <v>0.47152869425846616</v>
      </c>
    </row>
    <row r="3525" spans="1:2">
      <c r="A3525" t="s">
        <v>4510</v>
      </c>
      <c r="B3525">
        <v>0.92915171656829132</v>
      </c>
    </row>
    <row r="3526" spans="1:2">
      <c r="A3526" t="s">
        <v>4511</v>
      </c>
      <c r="B3526">
        <v>1.2335774702971087</v>
      </c>
    </row>
    <row r="3527" spans="1:2">
      <c r="A3527" t="s">
        <v>4512</v>
      </c>
      <c r="B3527">
        <v>2.3151208435535913</v>
      </c>
    </row>
    <row r="3528" spans="1:2">
      <c r="A3528" t="s">
        <v>4513</v>
      </c>
      <c r="B3528">
        <v>3.9006594291499455</v>
      </c>
    </row>
    <row r="3529" spans="1:2">
      <c r="A3529" t="s">
        <v>4514</v>
      </c>
      <c r="B3529">
        <v>5.8247662231928174</v>
      </c>
    </row>
    <row r="3530" spans="1:2">
      <c r="A3530" t="s">
        <v>4515</v>
      </c>
      <c r="B3530">
        <v>12.931850383581068</v>
      </c>
    </row>
    <row r="3531" spans="1:2">
      <c r="A3531" t="s">
        <v>4516</v>
      </c>
      <c r="B3531">
        <v>9.7626363459147228E-2</v>
      </c>
    </row>
    <row r="3532" spans="1:2">
      <c r="A3532" t="s">
        <v>4517</v>
      </c>
      <c r="B3532">
        <v>0.29877033644825229</v>
      </c>
    </row>
    <row r="3533" spans="1:2">
      <c r="A3533" t="s">
        <v>4518</v>
      </c>
      <c r="B3533">
        <v>0.34484934356216185</v>
      </c>
    </row>
    <row r="3534" spans="1:2">
      <c r="A3534" t="s">
        <v>4519</v>
      </c>
      <c r="B3534">
        <v>0.50228056562314882</v>
      </c>
    </row>
    <row r="3535" spans="1:2">
      <c r="A3535" t="s">
        <v>4520</v>
      </c>
      <c r="B3535">
        <v>0.75178652989148076</v>
      </c>
    </row>
    <row r="3536" spans="1:2">
      <c r="A3536" t="s">
        <v>4521</v>
      </c>
      <c r="B3536">
        <v>1.0345480306864854</v>
      </c>
    </row>
    <row r="3537" spans="1:2">
      <c r="A3537" t="s">
        <v>4522</v>
      </c>
      <c r="B3537">
        <v>3.8940852840446367</v>
      </c>
    </row>
    <row r="3538" spans="1:2">
      <c r="A3538" t="s">
        <v>4523</v>
      </c>
      <c r="B3538">
        <v>4.747583428492776</v>
      </c>
    </row>
    <row r="3539" spans="1:2">
      <c r="A3539" t="s">
        <v>4524</v>
      </c>
      <c r="B3539">
        <v>8.9553899297150537</v>
      </c>
    </row>
    <row r="3540" spans="1:2">
      <c r="A3540" t="s">
        <v>4525</v>
      </c>
      <c r="B3540">
        <v>12.377628224284736</v>
      </c>
    </row>
    <row r="3541" spans="1:2">
      <c r="A3541" t="s">
        <v>4526</v>
      </c>
      <c r="B3541">
        <v>18.434765440424076</v>
      </c>
    </row>
    <row r="3542" spans="1:2">
      <c r="A3542" t="s">
        <v>4527</v>
      </c>
      <c r="B3542">
        <v>28.881132523331054</v>
      </c>
    </row>
    <row r="3543" spans="1:2">
      <c r="A3543" t="s">
        <v>4528</v>
      </c>
      <c r="B3543">
        <v>23.104906018664845</v>
      </c>
    </row>
    <row r="3544" spans="1:2">
      <c r="A3544" t="s">
        <v>4529</v>
      </c>
      <c r="B3544">
        <v>12.377628224284736</v>
      </c>
    </row>
    <row r="3545" spans="1:2">
      <c r="A3545" t="s">
        <v>4530</v>
      </c>
      <c r="B3545">
        <v>0.15068416968694465</v>
      </c>
    </row>
    <row r="3546" spans="1:2">
      <c r="A3546" t="s">
        <v>4531</v>
      </c>
      <c r="B3546">
        <v>0.13862943611198905</v>
      </c>
    </row>
    <row r="3547" spans="1:2">
      <c r="A3547" t="s">
        <v>4532</v>
      </c>
      <c r="B3547">
        <v>2.166084939249829E-2</v>
      </c>
    </row>
    <row r="3548" spans="1:2">
      <c r="A3548" t="s">
        <v>4533</v>
      </c>
      <c r="B3548">
        <v>1.6702341700239647E-2</v>
      </c>
    </row>
    <row r="3549" spans="1:2">
      <c r="A3549" t="s">
        <v>4534</v>
      </c>
      <c r="B3549">
        <v>4.4432511574355469E-4</v>
      </c>
    </row>
    <row r="3550" spans="1:2">
      <c r="A3550" t="s">
        <v>4535</v>
      </c>
      <c r="B3550">
        <v>1.4697777365562876E-3</v>
      </c>
    </row>
    <row r="3551" spans="1:2">
      <c r="A3551" t="s">
        <v>4536</v>
      </c>
      <c r="B3551">
        <v>6.3591484455040856E-2</v>
      </c>
    </row>
    <row r="3552" spans="1:2">
      <c r="A3552" t="s">
        <v>781</v>
      </c>
      <c r="B3552">
        <v>1.1669144453871133E-5</v>
      </c>
    </row>
    <row r="3553" spans="1:2">
      <c r="A3553" t="s">
        <v>4537</v>
      </c>
      <c r="B3553">
        <v>1.146076687433772E-4</v>
      </c>
    </row>
    <row r="3554" spans="1:2">
      <c r="A3554" t="s">
        <v>4538</v>
      </c>
      <c r="B3554">
        <v>4.9510512897138946E-2</v>
      </c>
    </row>
    <row r="3555" spans="1:2">
      <c r="A3555" t="s">
        <v>782</v>
      </c>
      <c r="B3555">
        <v>9.619348695487293E-8</v>
      </c>
    </row>
    <row r="3556" spans="1:2">
      <c r="A3556" t="s">
        <v>783</v>
      </c>
      <c r="B3556">
        <v>2.4570068333529896E-6</v>
      </c>
    </row>
    <row r="3557" spans="1:2">
      <c r="A3557" t="s">
        <v>4539</v>
      </c>
      <c r="B3557">
        <v>2.7763645780659514E-3</v>
      </c>
    </row>
    <row r="3558" spans="1:2">
      <c r="A3558" t="s">
        <v>4540</v>
      </c>
      <c r="B3558">
        <v>0.8565832681165908</v>
      </c>
    </row>
    <row r="3559" spans="1:2">
      <c r="A3559" t="s">
        <v>110</v>
      </c>
      <c r="B3559">
        <v>1.3642552003496973E-14</v>
      </c>
    </row>
    <row r="3560" spans="1:2">
      <c r="A3560" t="s">
        <v>784</v>
      </c>
      <c r="B3560">
        <v>1.2528949294159802E-7</v>
      </c>
    </row>
    <row r="3561" spans="1:2">
      <c r="A3561" t="s">
        <v>4541</v>
      </c>
      <c r="B3561">
        <v>9.5914885264760368E-28</v>
      </c>
    </row>
    <row r="3562" spans="1:2">
      <c r="A3562" t="s">
        <v>785</v>
      </c>
      <c r="B3562">
        <v>1.1495664427062732E-5</v>
      </c>
    </row>
    <row r="3563" spans="1:2">
      <c r="A3563" t="s">
        <v>4542</v>
      </c>
      <c r="B3563">
        <v>2.2578084057327207E-2</v>
      </c>
    </row>
    <row r="3564" spans="1:2">
      <c r="A3564" t="s">
        <v>4543</v>
      </c>
      <c r="B3564">
        <v>0.3300700859809263</v>
      </c>
    </row>
    <row r="3565" spans="1:2">
      <c r="B3565">
        <v>1195.0813457930092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G734"/>
  <sheetViews>
    <sheetView workbookViewId="0">
      <pane xSplit="1" ySplit="1" topLeftCell="B344" activePane="bottomRight" state="frozen"/>
      <selection pane="topRight" activeCell="B1" sqref="B1"/>
      <selection pane="bottomLeft" activeCell="A2" sqref="A2"/>
      <selection pane="bottomRight" activeCell="A735" sqref="A735"/>
    </sheetView>
  </sheetViews>
  <sheetFormatPr defaultRowHeight="15"/>
  <cols>
    <col min="1" max="1" width="12" bestFit="1" customWidth="1"/>
    <col min="2" max="7" width="10.28515625" customWidth="1"/>
  </cols>
  <sheetData>
    <row r="1" spans="1:7">
      <c r="A1" t="s">
        <v>153</v>
      </c>
      <c r="B1" t="s">
        <v>197</v>
      </c>
      <c r="C1" t="s">
        <v>196</v>
      </c>
      <c r="D1" t="s">
        <v>195</v>
      </c>
      <c r="E1" t="s">
        <v>194</v>
      </c>
      <c r="F1" t="s">
        <v>193</v>
      </c>
      <c r="G1" t="s">
        <v>192</v>
      </c>
    </row>
    <row r="2" spans="1:7">
      <c r="A2" t="s">
        <v>201</v>
      </c>
      <c r="B2">
        <v>1.0999999999999999E-8</v>
      </c>
      <c r="C2">
        <v>1.3000000000000001E-8</v>
      </c>
      <c r="D2">
        <v>9.9999999999999995E-8</v>
      </c>
      <c r="E2">
        <v>8.9000000000000003E-8</v>
      </c>
      <c r="F2">
        <v>1.1999999999999999E-7</v>
      </c>
      <c r="G2">
        <v>9.9E-8</v>
      </c>
    </row>
    <row r="3" spans="1:7">
      <c r="A3" t="s">
        <v>74</v>
      </c>
      <c r="B3">
        <v>8.7000000000000003E-7</v>
      </c>
      <c r="C3">
        <v>9.9999999999999995E-7</v>
      </c>
      <c r="D3">
        <v>6.9E-6</v>
      </c>
      <c r="E3">
        <v>5.6999999999999996E-6</v>
      </c>
      <c r="F3">
        <v>7.9000000000000006E-6</v>
      </c>
      <c r="G3">
        <v>6.4999999999999996E-6</v>
      </c>
    </row>
    <row r="4" spans="1:7">
      <c r="A4" t="s">
        <v>202</v>
      </c>
      <c r="B4">
        <v>9.5000000000000004E-8</v>
      </c>
      <c r="C4">
        <v>2.2000000000000001E-7</v>
      </c>
      <c r="D4">
        <v>1.1000000000000001E-6</v>
      </c>
      <c r="E4">
        <v>9.1999999999999998E-7</v>
      </c>
      <c r="F4">
        <v>1.1999999999999999E-6</v>
      </c>
      <c r="G4">
        <v>9.9999999999999995E-7</v>
      </c>
    </row>
    <row r="5" spans="1:7">
      <c r="A5" t="s">
        <v>78</v>
      </c>
      <c r="B5">
        <v>5.4000000000000001E-4</v>
      </c>
      <c r="C5">
        <v>6.3000000000000003E-4</v>
      </c>
      <c r="D5">
        <v>2.1000000000000001E-4</v>
      </c>
      <c r="E5">
        <v>1.4999999999999999E-4</v>
      </c>
      <c r="F5">
        <v>6.6000000000000005E-5</v>
      </c>
      <c r="G5">
        <v>4.6999999999999997E-5</v>
      </c>
    </row>
    <row r="6" spans="1:7">
      <c r="A6" t="s">
        <v>80</v>
      </c>
      <c r="B6">
        <v>2.4999999999999999E-8</v>
      </c>
      <c r="C6">
        <v>2.9000000000000002E-8</v>
      </c>
      <c r="D6">
        <v>1.6000000000000001E-8</v>
      </c>
      <c r="E6">
        <v>1.2E-8</v>
      </c>
      <c r="F6">
        <v>1.4E-8</v>
      </c>
      <c r="G6">
        <v>1.2E-8</v>
      </c>
    </row>
    <row r="7" spans="1:7">
      <c r="A7" t="s">
        <v>203</v>
      </c>
      <c r="B7">
        <v>1.4E-11</v>
      </c>
      <c r="C7">
        <v>2.4000000000000001E-11</v>
      </c>
      <c r="D7">
        <v>1.7999999999999999E-11</v>
      </c>
      <c r="E7">
        <v>3.1999999999999999E-11</v>
      </c>
      <c r="F7">
        <v>1.8999999999999999E-11</v>
      </c>
      <c r="G7">
        <v>3.1999999999999999E-11</v>
      </c>
    </row>
    <row r="8" spans="1:7">
      <c r="A8" t="s">
        <v>204</v>
      </c>
      <c r="B8">
        <v>1.6E-11</v>
      </c>
      <c r="C8">
        <v>2.8E-11</v>
      </c>
      <c r="D8">
        <v>2.7E-11</v>
      </c>
      <c r="E8">
        <v>4.3E-11</v>
      </c>
      <c r="F8">
        <v>2.8E-11</v>
      </c>
      <c r="G8">
        <v>4.5E-11</v>
      </c>
    </row>
    <row r="9" spans="1:7">
      <c r="A9" t="s">
        <v>205</v>
      </c>
      <c r="B9">
        <v>3E-11</v>
      </c>
      <c r="C9">
        <v>5.6999999999999997E-11</v>
      </c>
      <c r="D9">
        <v>3.9000000000000001E-11</v>
      </c>
      <c r="E9">
        <v>6.8999999999999994E-11</v>
      </c>
      <c r="F9">
        <v>3.9999999999999998E-11</v>
      </c>
      <c r="G9">
        <v>7.1E-11</v>
      </c>
    </row>
    <row r="10" spans="1:7">
      <c r="A10" t="s">
        <v>206</v>
      </c>
      <c r="B10">
        <v>1.6999999999999999E-11</v>
      </c>
      <c r="C10">
        <v>3.1000000000000003E-11</v>
      </c>
      <c r="D10">
        <v>2.6000000000000001E-11</v>
      </c>
      <c r="E10">
        <v>4.4000000000000003E-11</v>
      </c>
      <c r="F10">
        <v>2.7E-11</v>
      </c>
      <c r="G10">
        <v>4.5E-11</v>
      </c>
    </row>
    <row r="11" spans="1:7">
      <c r="A11" t="s">
        <v>207</v>
      </c>
      <c r="B11">
        <v>5.4E-10</v>
      </c>
      <c r="C11">
        <v>8.0000000000000003E-10</v>
      </c>
      <c r="D11">
        <v>6.9E-10</v>
      </c>
      <c r="E11">
        <v>6.9999999999999996E-10</v>
      </c>
      <c r="F11">
        <v>7.7999999999999999E-10</v>
      </c>
      <c r="G11">
        <v>7.2999999999999996E-10</v>
      </c>
    </row>
    <row r="12" spans="1:7">
      <c r="A12" t="s">
        <v>208</v>
      </c>
      <c r="B12">
        <v>9.7999999999999994E-12</v>
      </c>
      <c r="C12">
        <v>1.6999999999999999E-11</v>
      </c>
      <c r="D12">
        <v>1.6E-11</v>
      </c>
      <c r="E12">
        <v>2.6000000000000001E-11</v>
      </c>
      <c r="F12">
        <v>1.6E-11</v>
      </c>
      <c r="G12">
        <v>2.7E-11</v>
      </c>
    </row>
    <row r="13" spans="1:7">
      <c r="A13" t="s">
        <v>209</v>
      </c>
      <c r="B13">
        <v>1.0999999999999999E-9</v>
      </c>
      <c r="C13">
        <v>1.6000000000000001E-9</v>
      </c>
      <c r="D13">
        <v>1.0999999999999999E-9</v>
      </c>
      <c r="E13">
        <v>1.5E-9</v>
      </c>
      <c r="F13">
        <v>1.0999999999999999E-9</v>
      </c>
      <c r="G13">
        <v>1.3999999999999999E-9</v>
      </c>
    </row>
    <row r="14" spans="1:7">
      <c r="A14" t="s">
        <v>210</v>
      </c>
      <c r="B14">
        <v>6.1E-9</v>
      </c>
      <c r="C14">
        <v>7.3E-9</v>
      </c>
      <c r="D14">
        <v>6.9999999999999998E-9</v>
      </c>
      <c r="E14">
        <v>5.2000000000000002E-9</v>
      </c>
      <c r="F14">
        <v>3.5000000000000002E-8</v>
      </c>
      <c r="G14">
        <v>1.9000000000000001E-8</v>
      </c>
    </row>
    <row r="15" spans="1:7">
      <c r="A15" t="s">
        <v>211</v>
      </c>
      <c r="B15">
        <v>5.4999999999999996E-9</v>
      </c>
      <c r="C15">
        <v>6.6999999999999996E-9</v>
      </c>
      <c r="D15">
        <v>7.2E-9</v>
      </c>
      <c r="E15">
        <v>5.8999999999999999E-9</v>
      </c>
      <c r="F15">
        <v>1.2E-8</v>
      </c>
      <c r="G15">
        <v>7.3E-9</v>
      </c>
    </row>
    <row r="16" spans="1:7">
      <c r="A16" t="s">
        <v>212</v>
      </c>
      <c r="B16">
        <v>4.0999999999999998E-10</v>
      </c>
      <c r="C16">
        <v>5.7E-10</v>
      </c>
      <c r="D16">
        <v>1.5E-9</v>
      </c>
      <c r="E16">
        <v>1.5E-9</v>
      </c>
      <c r="F16">
        <v>1.6999999999999999E-9</v>
      </c>
      <c r="G16">
        <v>1.6000000000000001E-9</v>
      </c>
    </row>
    <row r="17" spans="1:7">
      <c r="A17" t="s">
        <v>213</v>
      </c>
      <c r="B17">
        <v>8.2000000000000001E-11</v>
      </c>
      <c r="C17">
        <v>1.4000000000000001E-10</v>
      </c>
      <c r="D17">
        <v>1.7000000000000001E-10</v>
      </c>
      <c r="E17">
        <v>2.5000000000000002E-10</v>
      </c>
      <c r="F17">
        <v>1.8E-10</v>
      </c>
      <c r="G17">
        <v>2.5999999999999998E-10</v>
      </c>
    </row>
    <row r="18" spans="1:7">
      <c r="A18" t="s">
        <v>214</v>
      </c>
      <c r="B18">
        <v>1.6E-11</v>
      </c>
      <c r="C18">
        <v>2.6000000000000001E-11</v>
      </c>
      <c r="D18">
        <v>2.8E-11</v>
      </c>
      <c r="E18">
        <v>4.3E-11</v>
      </c>
      <c r="F18">
        <v>3E-11</v>
      </c>
      <c r="G18">
        <v>4.4000000000000003E-11</v>
      </c>
    </row>
    <row r="19" spans="1:7">
      <c r="A19" t="s">
        <v>215</v>
      </c>
      <c r="B19">
        <v>1.0999999999999999E-8</v>
      </c>
      <c r="C19">
        <v>1.4E-8</v>
      </c>
      <c r="D19">
        <v>1.7999999999999999E-8</v>
      </c>
      <c r="E19">
        <v>1.2E-8</v>
      </c>
      <c r="F19">
        <v>-1</v>
      </c>
      <c r="G19">
        <v>-1</v>
      </c>
    </row>
    <row r="20" spans="1:7">
      <c r="A20" t="s">
        <v>216</v>
      </c>
      <c r="B20">
        <v>-1</v>
      </c>
      <c r="C20">
        <v>-1</v>
      </c>
      <c r="D20">
        <v>2.5000000000000001E-11</v>
      </c>
      <c r="E20">
        <v>3.5999999999999998E-11</v>
      </c>
      <c r="F20">
        <v>-1</v>
      </c>
      <c r="G20">
        <v>-1</v>
      </c>
    </row>
    <row r="21" spans="1:7">
      <c r="A21" t="s">
        <v>217</v>
      </c>
      <c r="B21">
        <v>-1</v>
      </c>
      <c r="C21">
        <v>-1</v>
      </c>
      <c r="D21">
        <v>8.5000000000000004E-11</v>
      </c>
      <c r="E21">
        <v>6.6000000000000005E-11</v>
      </c>
      <c r="F21">
        <v>-1</v>
      </c>
      <c r="G21">
        <v>-1</v>
      </c>
    </row>
    <row r="22" spans="1:7">
      <c r="A22" t="s">
        <v>218</v>
      </c>
      <c r="B22">
        <v>-1</v>
      </c>
      <c r="C22">
        <v>-1</v>
      </c>
      <c r="D22">
        <v>2.1999999999999999E-10</v>
      </c>
      <c r="E22">
        <v>2.8999999999999998E-10</v>
      </c>
      <c r="F22">
        <v>-1</v>
      </c>
      <c r="G22">
        <v>-1</v>
      </c>
    </row>
    <row r="23" spans="1:7">
      <c r="A23" t="s">
        <v>219</v>
      </c>
      <c r="B23">
        <v>-1</v>
      </c>
      <c r="C23">
        <v>-1</v>
      </c>
      <c r="D23">
        <v>4.3999999999999998E-10</v>
      </c>
      <c r="E23">
        <v>5.9000000000000003E-10</v>
      </c>
      <c r="F23">
        <v>-1</v>
      </c>
      <c r="G23">
        <v>-1</v>
      </c>
    </row>
    <row r="24" spans="1:7">
      <c r="A24" t="s">
        <v>102</v>
      </c>
      <c r="B24">
        <v>-1</v>
      </c>
      <c r="C24">
        <v>-1</v>
      </c>
      <c r="D24">
        <v>3.8999999999999999E-5</v>
      </c>
      <c r="E24">
        <v>2.6999999999999999E-5</v>
      </c>
      <c r="F24">
        <v>-1</v>
      </c>
      <c r="G24">
        <v>-1</v>
      </c>
    </row>
    <row r="25" spans="1:7">
      <c r="A25" t="s">
        <v>134</v>
      </c>
      <c r="B25">
        <v>-1</v>
      </c>
      <c r="C25">
        <v>-1</v>
      </c>
      <c r="D25">
        <v>1.6000000000000001E-8</v>
      </c>
      <c r="E25">
        <v>1.2E-8</v>
      </c>
      <c r="F25">
        <v>-1</v>
      </c>
      <c r="G25">
        <v>-1</v>
      </c>
    </row>
    <row r="26" spans="1:7">
      <c r="A26" t="s">
        <v>135</v>
      </c>
      <c r="B26">
        <v>-1</v>
      </c>
      <c r="C26">
        <v>-1</v>
      </c>
      <c r="D26">
        <v>3.4999999999999997E-5</v>
      </c>
      <c r="E26">
        <v>2.4000000000000001E-5</v>
      </c>
      <c r="F26">
        <v>-1</v>
      </c>
      <c r="G26">
        <v>-1</v>
      </c>
    </row>
    <row r="27" spans="1:7">
      <c r="A27" t="s">
        <v>104</v>
      </c>
      <c r="B27">
        <v>-1</v>
      </c>
      <c r="C27">
        <v>-1</v>
      </c>
      <c r="D27">
        <v>3.8999999999999999E-5</v>
      </c>
      <c r="E27">
        <v>2.6999999999999999E-5</v>
      </c>
      <c r="F27">
        <v>-1</v>
      </c>
      <c r="G27">
        <v>-1</v>
      </c>
    </row>
    <row r="28" spans="1:7">
      <c r="A28" t="s">
        <v>220</v>
      </c>
      <c r="B28">
        <v>-1</v>
      </c>
      <c r="C28">
        <v>-1</v>
      </c>
      <c r="D28">
        <v>1.9000000000000001E-9</v>
      </c>
      <c r="E28">
        <v>1.5E-9</v>
      </c>
      <c r="F28">
        <v>-1</v>
      </c>
      <c r="G28">
        <v>-1</v>
      </c>
    </row>
    <row r="29" spans="1:7">
      <c r="A29" t="s">
        <v>221</v>
      </c>
      <c r="B29">
        <v>-1</v>
      </c>
      <c r="C29">
        <v>-1</v>
      </c>
      <c r="D29">
        <v>7.8999999999999999E-11</v>
      </c>
      <c r="E29">
        <v>6.2000000000000006E-11</v>
      </c>
      <c r="F29">
        <v>-1</v>
      </c>
      <c r="G29">
        <v>-1</v>
      </c>
    </row>
    <row r="30" spans="1:7">
      <c r="A30" t="s">
        <v>222</v>
      </c>
      <c r="B30">
        <v>-1</v>
      </c>
      <c r="C30">
        <v>-1</v>
      </c>
      <c r="D30">
        <v>5.2999999999999998E-11</v>
      </c>
      <c r="E30">
        <v>7.5999999999999996E-11</v>
      </c>
      <c r="F30">
        <v>-1</v>
      </c>
      <c r="G30">
        <v>-1</v>
      </c>
    </row>
    <row r="31" spans="1:7">
      <c r="A31" t="s">
        <v>223</v>
      </c>
      <c r="B31">
        <v>-1</v>
      </c>
      <c r="C31">
        <v>-1</v>
      </c>
      <c r="D31">
        <v>6.7999999999999998E-11</v>
      </c>
      <c r="E31">
        <v>1.0999999999999999E-10</v>
      </c>
      <c r="F31">
        <v>-1</v>
      </c>
      <c r="G31">
        <v>-1</v>
      </c>
    </row>
    <row r="32" spans="1:7">
      <c r="A32" t="s">
        <v>224</v>
      </c>
      <c r="B32">
        <v>-1</v>
      </c>
      <c r="C32">
        <v>-1</v>
      </c>
      <c r="D32">
        <v>2.3000000000000001E-11</v>
      </c>
      <c r="E32">
        <v>3.7999999999999998E-11</v>
      </c>
      <c r="F32">
        <v>-1</v>
      </c>
      <c r="G32">
        <v>-1</v>
      </c>
    </row>
    <row r="33" spans="1:7">
      <c r="A33" t="s">
        <v>225</v>
      </c>
      <c r="B33">
        <v>-1</v>
      </c>
      <c r="C33">
        <v>-1</v>
      </c>
      <c r="D33">
        <v>2.2000000000000002E-11</v>
      </c>
      <c r="E33">
        <v>3.5000000000000002E-11</v>
      </c>
      <c r="F33">
        <v>-1</v>
      </c>
      <c r="G33">
        <v>-1</v>
      </c>
    </row>
    <row r="34" spans="1:7">
      <c r="A34" t="s">
        <v>226</v>
      </c>
      <c r="B34">
        <v>-1</v>
      </c>
      <c r="C34">
        <v>-1</v>
      </c>
      <c r="D34">
        <v>7.1999999999999997E-11</v>
      </c>
      <c r="E34">
        <v>1.2E-10</v>
      </c>
      <c r="F34">
        <v>-1</v>
      </c>
      <c r="G34">
        <v>-1</v>
      </c>
    </row>
    <row r="35" spans="1:7">
      <c r="A35" t="s">
        <v>227</v>
      </c>
      <c r="B35">
        <v>-1</v>
      </c>
      <c r="C35">
        <v>-1</v>
      </c>
      <c r="D35">
        <v>4.0000000000000001E-10</v>
      </c>
      <c r="E35">
        <v>5.0000000000000003E-10</v>
      </c>
      <c r="F35">
        <v>-1</v>
      </c>
      <c r="G35">
        <v>-1</v>
      </c>
    </row>
    <row r="36" spans="1:7">
      <c r="A36" t="s">
        <v>228</v>
      </c>
      <c r="B36">
        <v>-1</v>
      </c>
      <c r="C36">
        <v>-1</v>
      </c>
      <c r="D36">
        <v>9.2000000000000003E-10</v>
      </c>
      <c r="E36">
        <v>1.3000000000000001E-9</v>
      </c>
      <c r="F36">
        <v>-1</v>
      </c>
      <c r="G36">
        <v>-1</v>
      </c>
    </row>
    <row r="37" spans="1:7">
      <c r="A37" t="s">
        <v>229</v>
      </c>
      <c r="B37">
        <v>-1</v>
      </c>
      <c r="C37">
        <v>-1</v>
      </c>
      <c r="D37">
        <v>9.2999999999999999E-10</v>
      </c>
      <c r="E37">
        <v>6.5000000000000003E-10</v>
      </c>
      <c r="F37">
        <v>-1</v>
      </c>
      <c r="G37">
        <v>-1</v>
      </c>
    </row>
    <row r="38" spans="1:7">
      <c r="A38" t="s">
        <v>230</v>
      </c>
      <c r="B38">
        <v>-1</v>
      </c>
      <c r="C38">
        <v>-1</v>
      </c>
      <c r="D38">
        <v>2.1000000000000002E-9</v>
      </c>
      <c r="E38">
        <v>1.8E-9</v>
      </c>
      <c r="F38">
        <v>-1</v>
      </c>
      <c r="G38">
        <v>-1</v>
      </c>
    </row>
    <row r="39" spans="1:7">
      <c r="A39" t="s">
        <v>231</v>
      </c>
      <c r="B39">
        <v>-1</v>
      </c>
      <c r="C39">
        <v>-1</v>
      </c>
      <c r="D39">
        <v>7.4000000000000003E-10</v>
      </c>
      <c r="E39">
        <v>9.2000000000000003E-10</v>
      </c>
      <c r="F39">
        <v>-1</v>
      </c>
      <c r="G39">
        <v>-1</v>
      </c>
    </row>
    <row r="40" spans="1:7">
      <c r="A40" t="s">
        <v>232</v>
      </c>
      <c r="B40">
        <v>-1</v>
      </c>
      <c r="C40">
        <v>-1</v>
      </c>
      <c r="D40">
        <v>3.7999999999999998E-10</v>
      </c>
      <c r="E40">
        <v>4.2E-10</v>
      </c>
      <c r="F40">
        <v>-1</v>
      </c>
      <c r="G40">
        <v>-1</v>
      </c>
    </row>
    <row r="41" spans="1:7">
      <c r="A41" t="s">
        <v>233</v>
      </c>
      <c r="B41">
        <v>-1</v>
      </c>
      <c r="C41">
        <v>-1</v>
      </c>
      <c r="D41">
        <v>9.2000000000000005E-11</v>
      </c>
      <c r="E41">
        <v>1.4000000000000001E-10</v>
      </c>
      <c r="F41">
        <v>-1</v>
      </c>
      <c r="G41">
        <v>-1</v>
      </c>
    </row>
    <row r="42" spans="1:7">
      <c r="A42" t="s">
        <v>234</v>
      </c>
      <c r="B42">
        <v>3.4999999999999998E-10</v>
      </c>
      <c r="C42">
        <v>4.3999999999999998E-10</v>
      </c>
      <c r="D42">
        <v>2.1000000000000002E-9</v>
      </c>
      <c r="E42">
        <v>1.9000000000000001E-9</v>
      </c>
      <c r="F42">
        <v>-1</v>
      </c>
      <c r="G42">
        <v>-1</v>
      </c>
    </row>
    <row r="43" spans="1:7">
      <c r="A43" t="s">
        <v>235</v>
      </c>
      <c r="B43">
        <v>1.6000000000000001E-8</v>
      </c>
      <c r="C43">
        <v>2.7E-8</v>
      </c>
      <c r="D43">
        <v>9.8000000000000004E-8</v>
      </c>
      <c r="E43">
        <v>1.1000000000000001E-7</v>
      </c>
      <c r="F43">
        <v>-1</v>
      </c>
      <c r="G43">
        <v>-1</v>
      </c>
    </row>
    <row r="44" spans="1:7">
      <c r="A44" t="s">
        <v>236</v>
      </c>
      <c r="B44">
        <v>3.9000000000000001E-11</v>
      </c>
      <c r="C44">
        <v>7.1E-11</v>
      </c>
      <c r="D44">
        <v>1.0999999999999999E-10</v>
      </c>
      <c r="E44">
        <v>1.5E-10</v>
      </c>
      <c r="F44">
        <v>1.2E-10</v>
      </c>
      <c r="G44">
        <v>1.5999999999999999E-10</v>
      </c>
    </row>
    <row r="45" spans="1:7">
      <c r="A45" t="s">
        <v>237</v>
      </c>
      <c r="B45">
        <v>1.5E-10</v>
      </c>
      <c r="C45">
        <v>2.8000000000000002E-10</v>
      </c>
      <c r="D45">
        <v>2.4E-10</v>
      </c>
      <c r="E45">
        <v>3.7000000000000001E-10</v>
      </c>
      <c r="F45">
        <v>2.5000000000000002E-10</v>
      </c>
      <c r="G45">
        <v>3.7999999999999998E-10</v>
      </c>
    </row>
    <row r="46" spans="1:7">
      <c r="A46" t="s">
        <v>238</v>
      </c>
      <c r="B46">
        <v>7.1E-11</v>
      </c>
      <c r="C46">
        <v>1.2E-10</v>
      </c>
      <c r="D46">
        <v>1.0000000000000001E-9</v>
      </c>
      <c r="E46">
        <v>8.0000000000000003E-10</v>
      </c>
      <c r="F46">
        <v>1.6000000000000001E-9</v>
      </c>
      <c r="G46">
        <v>1.2E-9</v>
      </c>
    </row>
    <row r="47" spans="1:7">
      <c r="A47" t="s">
        <v>239</v>
      </c>
      <c r="B47">
        <v>2.3000000000000001E-10</v>
      </c>
      <c r="C47">
        <v>3.9E-10</v>
      </c>
      <c r="D47">
        <v>7.5999999999999996E-10</v>
      </c>
      <c r="E47">
        <v>9.7999999999999992E-10</v>
      </c>
      <c r="F47">
        <v>8.3999999999999999E-10</v>
      </c>
      <c r="G47">
        <v>1.0999999999999999E-9</v>
      </c>
    </row>
    <row r="48" spans="1:7">
      <c r="A48" t="s">
        <v>240</v>
      </c>
      <c r="B48">
        <v>3.4000000000000001E-10</v>
      </c>
      <c r="C48">
        <v>5.9000000000000003E-10</v>
      </c>
      <c r="D48">
        <v>1.6999999999999999E-9</v>
      </c>
      <c r="E48">
        <v>2.0000000000000001E-9</v>
      </c>
      <c r="F48">
        <v>1.9000000000000001E-9</v>
      </c>
      <c r="G48">
        <v>1.9000000000000001E-9</v>
      </c>
    </row>
    <row r="49" spans="1:7">
      <c r="A49" t="s">
        <v>241</v>
      </c>
      <c r="B49">
        <v>1.0999999999999999E-10</v>
      </c>
      <c r="C49">
        <v>1.8999999999999999E-10</v>
      </c>
      <c r="D49">
        <v>6.8000000000000003E-10</v>
      </c>
      <c r="E49">
        <v>6.8000000000000003E-10</v>
      </c>
      <c r="F49">
        <v>7.5E-10</v>
      </c>
      <c r="G49">
        <v>7.5999999999999996E-10</v>
      </c>
    </row>
    <row r="50" spans="1:7">
      <c r="A50" t="s">
        <v>242</v>
      </c>
      <c r="B50">
        <v>1.6999999999999999E-11</v>
      </c>
      <c r="C50">
        <v>3E-11</v>
      </c>
      <c r="D50">
        <v>3.5000000000000002E-11</v>
      </c>
      <c r="E50">
        <v>5.2999999999999998E-11</v>
      </c>
      <c r="F50">
        <v>3.5999999999999998E-11</v>
      </c>
      <c r="G50">
        <v>5.6E-11</v>
      </c>
    </row>
    <row r="51" spans="1:7">
      <c r="A51" t="s">
        <v>243</v>
      </c>
      <c r="B51">
        <v>3.1999999999999998E-10</v>
      </c>
      <c r="C51">
        <v>5.7E-10</v>
      </c>
      <c r="D51">
        <v>6.9E-10</v>
      </c>
      <c r="E51">
        <v>9.7999999999999992E-10</v>
      </c>
      <c r="F51">
        <v>7.2999999999999996E-10</v>
      </c>
      <c r="G51">
        <v>1.0000000000000001E-9</v>
      </c>
    </row>
    <row r="52" spans="1:7">
      <c r="A52" t="s">
        <v>244</v>
      </c>
      <c r="B52">
        <v>9.1999999999999996E-12</v>
      </c>
      <c r="C52">
        <v>1.6E-11</v>
      </c>
      <c r="D52">
        <v>1.6999999999999999E-11</v>
      </c>
      <c r="E52">
        <v>2.8E-11</v>
      </c>
      <c r="F52">
        <v>1.7999999999999999E-11</v>
      </c>
      <c r="G52">
        <v>2.9E-11</v>
      </c>
    </row>
    <row r="53" spans="1:7">
      <c r="A53" t="s">
        <v>245</v>
      </c>
      <c r="B53">
        <v>7.8000000000000002E-11</v>
      </c>
      <c r="C53">
        <v>1.2E-10</v>
      </c>
      <c r="D53">
        <v>-1</v>
      </c>
      <c r="E53">
        <v>-1</v>
      </c>
      <c r="F53">
        <v>-1</v>
      </c>
      <c r="G53">
        <v>-1</v>
      </c>
    </row>
    <row r="54" spans="1:7">
      <c r="A54" t="s">
        <v>246</v>
      </c>
      <c r="B54">
        <v>8.0000000000000003E-10</v>
      </c>
      <c r="C54">
        <v>1.3000000000000001E-9</v>
      </c>
      <c r="D54">
        <v>-1</v>
      </c>
      <c r="E54">
        <v>-1</v>
      </c>
      <c r="F54">
        <v>-1</v>
      </c>
      <c r="G54">
        <v>-1</v>
      </c>
    </row>
    <row r="55" spans="1:7">
      <c r="A55" t="s">
        <v>247</v>
      </c>
      <c r="B55">
        <v>2.3000000000000001E-10</v>
      </c>
      <c r="C55">
        <v>3.4999999999999998E-10</v>
      </c>
      <c r="D55">
        <v>-1</v>
      </c>
      <c r="E55">
        <v>-1</v>
      </c>
      <c r="F55">
        <v>-1</v>
      </c>
      <c r="G55">
        <v>-1</v>
      </c>
    </row>
    <row r="56" spans="1:7">
      <c r="A56" t="s">
        <v>248</v>
      </c>
      <c r="B56">
        <v>4.0999999999999999E-12</v>
      </c>
      <c r="C56">
        <v>6.4000000000000002E-12</v>
      </c>
      <c r="D56">
        <v>-1</v>
      </c>
      <c r="E56">
        <v>-1</v>
      </c>
      <c r="F56">
        <v>-1</v>
      </c>
      <c r="G56">
        <v>-1</v>
      </c>
    </row>
    <row r="57" spans="1:7">
      <c r="A57" t="s">
        <v>249</v>
      </c>
      <c r="B57">
        <v>1.5E-9</v>
      </c>
      <c r="C57">
        <v>1.8E-9</v>
      </c>
      <c r="D57">
        <v>-1</v>
      </c>
      <c r="E57">
        <v>-1</v>
      </c>
      <c r="F57">
        <v>-1</v>
      </c>
      <c r="G57">
        <v>-1</v>
      </c>
    </row>
    <row r="58" spans="1:7">
      <c r="A58" t="s">
        <v>250</v>
      </c>
      <c r="B58">
        <v>1.8999999999999999E-10</v>
      </c>
      <c r="C58">
        <v>2.8000000000000002E-10</v>
      </c>
      <c r="D58">
        <v>-1</v>
      </c>
      <c r="E58">
        <v>-1</v>
      </c>
      <c r="F58">
        <v>-1</v>
      </c>
      <c r="G58">
        <v>-1</v>
      </c>
    </row>
    <row r="59" spans="1:7">
      <c r="A59" t="s">
        <v>251</v>
      </c>
      <c r="B59">
        <v>1.5E-10</v>
      </c>
      <c r="C59">
        <v>2.3000000000000001E-10</v>
      </c>
      <c r="D59">
        <v>-1</v>
      </c>
      <c r="E59">
        <v>-1</v>
      </c>
      <c r="F59">
        <v>-1</v>
      </c>
      <c r="G59">
        <v>-1</v>
      </c>
    </row>
    <row r="60" spans="1:7">
      <c r="A60" t="s">
        <v>252</v>
      </c>
      <c r="B60">
        <v>3.5000000000000002E-11</v>
      </c>
      <c r="C60">
        <v>5.4999999999999997E-11</v>
      </c>
      <c r="D60">
        <v>-1</v>
      </c>
      <c r="E60">
        <v>-1</v>
      </c>
      <c r="F60">
        <v>-1</v>
      </c>
      <c r="G60">
        <v>-1</v>
      </c>
    </row>
    <row r="61" spans="1:7">
      <c r="A61" t="s">
        <v>253</v>
      </c>
      <c r="B61">
        <v>1.0000000000000001E-9</v>
      </c>
      <c r="C61">
        <v>1.6000000000000001E-9</v>
      </c>
      <c r="D61">
        <v>-1</v>
      </c>
      <c r="E61">
        <v>-1</v>
      </c>
      <c r="F61">
        <v>-1</v>
      </c>
      <c r="G61">
        <v>-1</v>
      </c>
    </row>
    <row r="62" spans="1:7">
      <c r="A62" t="s">
        <v>254</v>
      </c>
      <c r="B62">
        <v>2.2000000000000002E-11</v>
      </c>
      <c r="C62">
        <v>3.5000000000000002E-11</v>
      </c>
      <c r="D62">
        <v>-1</v>
      </c>
      <c r="E62">
        <v>-1</v>
      </c>
      <c r="F62">
        <v>-1</v>
      </c>
      <c r="G62">
        <v>-1</v>
      </c>
    </row>
    <row r="63" spans="1:7">
      <c r="A63" t="s">
        <v>255</v>
      </c>
      <c r="B63">
        <v>1.6E-11</v>
      </c>
      <c r="C63">
        <v>2.7E-11</v>
      </c>
      <c r="D63">
        <v>-1</v>
      </c>
      <c r="E63">
        <v>-1</v>
      </c>
      <c r="F63">
        <v>-1</v>
      </c>
      <c r="G63">
        <v>-1</v>
      </c>
    </row>
    <row r="64" spans="1:7">
      <c r="A64" t="s">
        <v>256</v>
      </c>
      <c r="B64">
        <v>-1</v>
      </c>
      <c r="C64">
        <v>-1</v>
      </c>
      <c r="D64">
        <v>9.1000000000000004E-9</v>
      </c>
      <c r="E64">
        <v>6.6999999999999996E-9</v>
      </c>
      <c r="F64">
        <v>3.2000000000000002E-8</v>
      </c>
      <c r="G64">
        <v>1.9000000000000001E-8</v>
      </c>
    </row>
    <row r="65" spans="1:7">
      <c r="A65" t="s">
        <v>257</v>
      </c>
      <c r="B65">
        <v>-1</v>
      </c>
      <c r="C65">
        <v>-1</v>
      </c>
      <c r="D65">
        <v>4.8000000000000002E-11</v>
      </c>
      <c r="E65">
        <v>4.3E-11</v>
      </c>
      <c r="F65">
        <v>5.2000000000000001E-11</v>
      </c>
      <c r="G65">
        <v>4.6000000000000003E-11</v>
      </c>
    </row>
    <row r="66" spans="1:7">
      <c r="A66" t="s">
        <v>258</v>
      </c>
      <c r="B66">
        <v>2.4000000000000001E-11</v>
      </c>
      <c r="C66">
        <v>4.1999999999999997E-11</v>
      </c>
      <c r="D66">
        <v>3.3999999999999999E-11</v>
      </c>
      <c r="E66">
        <v>5.6E-11</v>
      </c>
      <c r="F66">
        <v>-1</v>
      </c>
      <c r="G66">
        <v>-1</v>
      </c>
    </row>
    <row r="67" spans="1:7">
      <c r="A67" t="s">
        <v>259</v>
      </c>
      <c r="B67">
        <v>4.6999999999999999E-11</v>
      </c>
      <c r="C67">
        <v>8.2999999999999998E-11</v>
      </c>
      <c r="D67">
        <v>7.0000000000000004E-11</v>
      </c>
      <c r="E67">
        <v>1.0999999999999999E-10</v>
      </c>
      <c r="F67">
        <v>-1</v>
      </c>
      <c r="G67">
        <v>-1</v>
      </c>
    </row>
    <row r="68" spans="1:7">
      <c r="A68" t="s">
        <v>260</v>
      </c>
      <c r="B68">
        <v>4.6000000000000003E-11</v>
      </c>
      <c r="C68">
        <v>8.3999999999999994E-11</v>
      </c>
      <c r="D68">
        <v>5.8E-11</v>
      </c>
      <c r="E68">
        <v>1E-10</v>
      </c>
      <c r="F68">
        <v>-1</v>
      </c>
      <c r="G68">
        <v>-1</v>
      </c>
    </row>
    <row r="69" spans="1:7">
      <c r="A69" t="s">
        <v>261</v>
      </c>
      <c r="B69">
        <v>2.0000000000000001E-10</v>
      </c>
      <c r="C69">
        <v>3.6E-10</v>
      </c>
      <c r="D69">
        <v>2.8000000000000002E-10</v>
      </c>
      <c r="E69">
        <v>4.5E-10</v>
      </c>
      <c r="F69">
        <v>-1</v>
      </c>
      <c r="G69">
        <v>-1</v>
      </c>
    </row>
    <row r="70" spans="1:7">
      <c r="A70" t="s">
        <v>262</v>
      </c>
      <c r="B70">
        <v>4.0000000000000001E-10</v>
      </c>
      <c r="C70">
        <v>6.8000000000000003E-10</v>
      </c>
      <c r="D70">
        <v>9.2000000000000003E-10</v>
      </c>
      <c r="E70">
        <v>1.0000000000000001E-9</v>
      </c>
      <c r="F70">
        <v>-1</v>
      </c>
      <c r="G70">
        <v>-1</v>
      </c>
    </row>
    <row r="71" spans="1:7">
      <c r="A71" t="s">
        <v>263</v>
      </c>
      <c r="B71">
        <v>7.8999999999999996E-10</v>
      </c>
      <c r="C71">
        <v>1.3000000000000001E-9</v>
      </c>
      <c r="D71">
        <v>1.6999999999999999E-9</v>
      </c>
      <c r="E71">
        <v>2.1000000000000002E-9</v>
      </c>
      <c r="F71">
        <v>-1</v>
      </c>
      <c r="G71">
        <v>-1</v>
      </c>
    </row>
    <row r="72" spans="1:7">
      <c r="A72" t="s">
        <v>264</v>
      </c>
      <c r="B72">
        <v>5.1999999999999996E-10</v>
      </c>
      <c r="C72">
        <v>8.3999999999999999E-10</v>
      </c>
      <c r="D72">
        <v>5.2000000000000002E-9</v>
      </c>
      <c r="E72">
        <v>3.2000000000000001E-9</v>
      </c>
      <c r="F72">
        <v>-1</v>
      </c>
      <c r="G72">
        <v>-1</v>
      </c>
    </row>
    <row r="73" spans="1:7">
      <c r="A73" t="s">
        <v>43</v>
      </c>
      <c r="B73">
        <v>1.0999999999999999E-9</v>
      </c>
      <c r="C73">
        <v>1.3999999999999999E-9</v>
      </c>
      <c r="D73">
        <v>8.3999999999999998E-8</v>
      </c>
      <c r="E73">
        <v>5.9999999999999995E-8</v>
      </c>
      <c r="F73">
        <v>-1</v>
      </c>
      <c r="G73">
        <v>-1</v>
      </c>
    </row>
    <row r="74" spans="1:7">
      <c r="A74" t="s">
        <v>265</v>
      </c>
      <c r="B74">
        <v>4.4999999999999999E-8</v>
      </c>
      <c r="C74">
        <v>5.2999999999999998E-8</v>
      </c>
      <c r="D74">
        <v>3.1E-6</v>
      </c>
      <c r="E74">
        <v>2.0999999999999998E-6</v>
      </c>
      <c r="F74">
        <v>-1</v>
      </c>
      <c r="G74">
        <v>-1</v>
      </c>
    </row>
    <row r="75" spans="1:7">
      <c r="A75" t="s">
        <v>50</v>
      </c>
      <c r="B75">
        <v>9.3000000000000006E-9</v>
      </c>
      <c r="C75">
        <v>1.4999999999999999E-8</v>
      </c>
      <c r="D75">
        <v>2.9999999999999997E-8</v>
      </c>
      <c r="E75">
        <v>3.8999999999999998E-8</v>
      </c>
      <c r="F75">
        <v>-1</v>
      </c>
      <c r="G75">
        <v>-1</v>
      </c>
    </row>
    <row r="76" spans="1:7">
      <c r="A76" t="s">
        <v>53</v>
      </c>
      <c r="B76">
        <v>1.0999999999999999E-8</v>
      </c>
      <c r="C76">
        <v>1.7999999999999999E-8</v>
      </c>
      <c r="D76">
        <v>2.9000000000000002E-8</v>
      </c>
      <c r="E76">
        <v>4.1000000000000003E-8</v>
      </c>
      <c r="F76">
        <v>-1</v>
      </c>
      <c r="G76">
        <v>-1</v>
      </c>
    </row>
    <row r="77" spans="1:7">
      <c r="A77" t="s">
        <v>55</v>
      </c>
      <c r="B77">
        <v>7.2E-9</v>
      </c>
      <c r="C77">
        <v>1.2E-8</v>
      </c>
      <c r="D77">
        <v>1.4E-8</v>
      </c>
      <c r="E77">
        <v>2.0999999999999999E-8</v>
      </c>
      <c r="F77">
        <v>-1</v>
      </c>
      <c r="G77">
        <v>-1</v>
      </c>
    </row>
    <row r="78" spans="1:7">
      <c r="A78" t="s">
        <v>266</v>
      </c>
      <c r="B78">
        <v>-1</v>
      </c>
      <c r="C78">
        <v>-1</v>
      </c>
      <c r="D78">
        <v>2.0000000000000001E-9</v>
      </c>
      <c r="E78">
        <v>1.8E-9</v>
      </c>
      <c r="F78">
        <v>-1</v>
      </c>
      <c r="G78">
        <v>-1</v>
      </c>
    </row>
    <row r="79" spans="1:7">
      <c r="A79" t="s">
        <v>267</v>
      </c>
      <c r="B79">
        <v>-1</v>
      </c>
      <c r="C79">
        <v>-1</v>
      </c>
      <c r="D79">
        <v>3.4000000000000001E-10</v>
      </c>
      <c r="E79">
        <v>4.6000000000000001E-10</v>
      </c>
      <c r="F79">
        <v>-1</v>
      </c>
      <c r="G79">
        <v>-1</v>
      </c>
    </row>
    <row r="80" spans="1:7">
      <c r="A80" t="s">
        <v>268</v>
      </c>
      <c r="B80">
        <v>-1</v>
      </c>
      <c r="C80">
        <v>-1</v>
      </c>
      <c r="D80">
        <v>6.4999999999999994E-5</v>
      </c>
      <c r="E80">
        <v>4.5000000000000003E-5</v>
      </c>
      <c r="F80">
        <v>-1</v>
      </c>
      <c r="G80">
        <v>-1</v>
      </c>
    </row>
    <row r="81" spans="1:7">
      <c r="A81" t="s">
        <v>269</v>
      </c>
      <c r="B81">
        <v>-1</v>
      </c>
      <c r="C81">
        <v>-1</v>
      </c>
      <c r="D81">
        <v>1.4999999999999999E-7</v>
      </c>
      <c r="E81">
        <v>9.9999999999999995E-8</v>
      </c>
      <c r="F81">
        <v>-1</v>
      </c>
      <c r="G81">
        <v>-1</v>
      </c>
    </row>
    <row r="82" spans="1:7">
      <c r="A82" t="s">
        <v>270</v>
      </c>
      <c r="B82">
        <v>-1</v>
      </c>
      <c r="C82">
        <v>-1</v>
      </c>
      <c r="D82">
        <v>9.5999999999999999E-10</v>
      </c>
      <c r="E82">
        <v>7.1000000000000003E-10</v>
      </c>
      <c r="F82">
        <v>-1</v>
      </c>
      <c r="G82">
        <v>-1</v>
      </c>
    </row>
    <row r="83" spans="1:7">
      <c r="A83" t="s">
        <v>271</v>
      </c>
      <c r="B83">
        <v>2.8E-11</v>
      </c>
      <c r="C83">
        <v>5.0000000000000002E-11</v>
      </c>
      <c r="D83">
        <v>4.1000000000000001E-11</v>
      </c>
      <c r="E83">
        <v>6.7999999999999998E-11</v>
      </c>
      <c r="F83">
        <v>-1</v>
      </c>
      <c r="G83">
        <v>-1</v>
      </c>
    </row>
    <row r="84" spans="1:7">
      <c r="A84" t="s">
        <v>272</v>
      </c>
      <c r="B84">
        <v>4.1999999999999997E-11</v>
      </c>
      <c r="C84">
        <v>7.5E-11</v>
      </c>
      <c r="D84">
        <v>6.4999999999999995E-11</v>
      </c>
      <c r="E84">
        <v>1.0999999999999999E-10</v>
      </c>
      <c r="F84">
        <v>-1</v>
      </c>
      <c r="G84">
        <v>-1</v>
      </c>
    </row>
    <row r="85" spans="1:7">
      <c r="A85" t="s">
        <v>273</v>
      </c>
      <c r="B85">
        <v>3.1000000000000003E-11</v>
      </c>
      <c r="C85">
        <v>5.6E-11</v>
      </c>
      <c r="D85">
        <v>5.4999999999999997E-11</v>
      </c>
      <c r="E85">
        <v>8.5000000000000004E-11</v>
      </c>
      <c r="F85">
        <v>-1</v>
      </c>
      <c r="G85">
        <v>-1</v>
      </c>
    </row>
    <row r="86" spans="1:7">
      <c r="A86" t="s">
        <v>274</v>
      </c>
      <c r="B86">
        <v>2.5999999999999998E-10</v>
      </c>
      <c r="C86">
        <v>4.5E-10</v>
      </c>
      <c r="D86">
        <v>4.2E-10</v>
      </c>
      <c r="E86">
        <v>5.7999999999999996E-10</v>
      </c>
      <c r="F86">
        <v>-1</v>
      </c>
      <c r="G86">
        <v>-1</v>
      </c>
    </row>
    <row r="87" spans="1:7">
      <c r="A87" t="s">
        <v>275</v>
      </c>
      <c r="B87">
        <v>6.7000000000000001E-11</v>
      </c>
      <c r="C87">
        <v>1.2E-10</v>
      </c>
      <c r="D87">
        <v>8.6999999999999997E-11</v>
      </c>
      <c r="E87">
        <v>1.2999999999999999E-10</v>
      </c>
      <c r="F87">
        <v>-1</v>
      </c>
      <c r="G87">
        <v>-1</v>
      </c>
    </row>
    <row r="88" spans="1:7">
      <c r="A88" t="s">
        <v>276</v>
      </c>
      <c r="B88">
        <v>6.3000000000000002E-12</v>
      </c>
      <c r="C88">
        <v>1.1000000000000001E-11</v>
      </c>
      <c r="D88">
        <v>9.9999999999999994E-12</v>
      </c>
      <c r="E88">
        <v>1.6999999999999999E-11</v>
      </c>
      <c r="F88">
        <v>-1</v>
      </c>
      <c r="G88">
        <v>-1</v>
      </c>
    </row>
    <row r="89" spans="1:7">
      <c r="A89" t="s">
        <v>277</v>
      </c>
      <c r="B89">
        <v>3.5000000000000002E-11</v>
      </c>
      <c r="C89">
        <v>5.8E-11</v>
      </c>
      <c r="D89">
        <v>7.5999999999999996E-11</v>
      </c>
      <c r="E89">
        <v>1E-10</v>
      </c>
      <c r="F89">
        <v>-1</v>
      </c>
      <c r="G89">
        <v>-1</v>
      </c>
    </row>
    <row r="90" spans="1:7">
      <c r="A90" t="s">
        <v>278</v>
      </c>
      <c r="B90">
        <v>3.7000000000000001E-10</v>
      </c>
      <c r="C90">
        <v>6.3999999999999996E-10</v>
      </c>
      <c r="D90">
        <v>6.3999999999999996E-10</v>
      </c>
      <c r="E90">
        <v>8.7999999999999996E-10</v>
      </c>
      <c r="F90">
        <v>-1</v>
      </c>
      <c r="G90">
        <v>-1</v>
      </c>
    </row>
    <row r="91" spans="1:7">
      <c r="A91" t="s">
        <v>279</v>
      </c>
      <c r="B91">
        <v>1.6999999999999999E-11</v>
      </c>
      <c r="C91">
        <v>2.9E-11</v>
      </c>
      <c r="D91">
        <v>4.8000000000000002E-11</v>
      </c>
      <c r="E91">
        <v>6.7000000000000001E-11</v>
      </c>
      <c r="F91">
        <v>-1</v>
      </c>
      <c r="G91">
        <v>-1</v>
      </c>
    </row>
    <row r="92" spans="1:7">
      <c r="A92" t="s">
        <v>280</v>
      </c>
      <c r="B92">
        <v>2.3000000000000001E-11</v>
      </c>
      <c r="C92">
        <v>3.9999999999999998E-11</v>
      </c>
      <c r="D92">
        <v>3.9000000000000001E-11</v>
      </c>
      <c r="E92">
        <v>6.2000000000000006E-11</v>
      </c>
      <c r="F92">
        <v>-1</v>
      </c>
      <c r="G92">
        <v>-1</v>
      </c>
    </row>
    <row r="93" spans="1:7">
      <c r="A93" t="s">
        <v>281</v>
      </c>
      <c r="B93">
        <v>-1</v>
      </c>
      <c r="C93">
        <v>-1</v>
      </c>
      <c r="D93">
        <v>1.7000000000000001E-10</v>
      </c>
      <c r="E93">
        <v>1.8999999999999999E-10</v>
      </c>
      <c r="F93">
        <v>-1</v>
      </c>
      <c r="G93">
        <v>-1</v>
      </c>
    </row>
    <row r="94" spans="1:7">
      <c r="A94" t="s">
        <v>8</v>
      </c>
      <c r="B94">
        <v>-1</v>
      </c>
      <c r="C94">
        <v>-1</v>
      </c>
      <c r="D94">
        <v>2.7000000000000002E-9</v>
      </c>
      <c r="E94">
        <v>2.2999999999999999E-9</v>
      </c>
      <c r="F94">
        <v>-1</v>
      </c>
      <c r="G94">
        <v>-1</v>
      </c>
    </row>
    <row r="95" spans="1:7">
      <c r="A95" t="s">
        <v>282</v>
      </c>
      <c r="B95">
        <v>-1</v>
      </c>
      <c r="C95">
        <v>-1</v>
      </c>
      <c r="D95">
        <v>1.8E-9</v>
      </c>
      <c r="E95">
        <v>2.1000000000000002E-9</v>
      </c>
      <c r="F95">
        <v>-1</v>
      </c>
      <c r="G95">
        <v>-1</v>
      </c>
    </row>
    <row r="96" spans="1:7">
      <c r="A96" t="s">
        <v>283</v>
      </c>
      <c r="B96">
        <v>2.7E-11</v>
      </c>
      <c r="C96">
        <v>5.0000000000000002E-11</v>
      </c>
      <c r="D96">
        <v>3.5999999999999998E-11</v>
      </c>
      <c r="E96">
        <v>6.2000000000000006E-11</v>
      </c>
      <c r="F96">
        <v>3.7000000000000001E-11</v>
      </c>
      <c r="G96">
        <v>6.3000000000000002E-11</v>
      </c>
    </row>
    <row r="97" spans="1:7">
      <c r="A97" t="s">
        <v>284</v>
      </c>
      <c r="B97">
        <v>2.3000000000000001E-11</v>
      </c>
      <c r="C97">
        <v>4.1999999999999997E-11</v>
      </c>
      <c r="D97">
        <v>8.1000000000000005E-11</v>
      </c>
      <c r="E97">
        <v>1E-10</v>
      </c>
      <c r="F97">
        <v>8.6999999999999997E-11</v>
      </c>
      <c r="G97">
        <v>1.0999999999999999E-10</v>
      </c>
    </row>
    <row r="98" spans="1:7">
      <c r="A98" t="s">
        <v>285</v>
      </c>
      <c r="B98">
        <v>8.0999999999999997E-9</v>
      </c>
      <c r="C98">
        <v>9.5999999999999999E-9</v>
      </c>
      <c r="D98">
        <v>6.2000000000000001E-9</v>
      </c>
      <c r="E98">
        <v>5.1000000000000002E-9</v>
      </c>
      <c r="F98">
        <v>5.7999999999999998E-9</v>
      </c>
      <c r="G98">
        <v>4.3999999999999997E-9</v>
      </c>
    </row>
    <row r="99" spans="1:7">
      <c r="A99" t="s">
        <v>145</v>
      </c>
      <c r="B99">
        <v>1.1999999999999999E-7</v>
      </c>
      <c r="C99">
        <v>1.4000000000000001E-7</v>
      </c>
      <c r="D99">
        <v>5.2999999999999998E-8</v>
      </c>
      <c r="E99">
        <v>4.3000000000000001E-8</v>
      </c>
      <c r="F99">
        <v>2.4999999999999999E-8</v>
      </c>
      <c r="G99">
        <v>2.0999999999999999E-8</v>
      </c>
    </row>
    <row r="100" spans="1:7">
      <c r="A100" t="s">
        <v>115</v>
      </c>
      <c r="B100">
        <v>1.1000000000000001E-7</v>
      </c>
      <c r="C100">
        <v>1.3E-7</v>
      </c>
      <c r="D100">
        <v>4.9999999999999998E-8</v>
      </c>
      <c r="E100">
        <v>4.0000000000000001E-8</v>
      </c>
      <c r="F100">
        <v>2.9999999999999997E-8</v>
      </c>
      <c r="G100">
        <v>2.4E-8</v>
      </c>
    </row>
    <row r="101" spans="1:7">
      <c r="A101" t="s">
        <v>286</v>
      </c>
      <c r="B101">
        <v>3.7000000000000001E-10</v>
      </c>
      <c r="C101">
        <v>5.4E-10</v>
      </c>
      <c r="D101">
        <v>9.6999999999999996E-10</v>
      </c>
      <c r="E101">
        <v>1.2E-9</v>
      </c>
      <c r="F101">
        <v>1.0999999999999999E-9</v>
      </c>
      <c r="G101">
        <v>1.3000000000000001E-9</v>
      </c>
    </row>
    <row r="102" spans="1:7">
      <c r="A102" t="s">
        <v>287</v>
      </c>
      <c r="B102">
        <v>5.3000000000000003E-9</v>
      </c>
      <c r="C102">
        <v>6.4000000000000002E-9</v>
      </c>
      <c r="D102">
        <v>5.8999999999999999E-9</v>
      </c>
      <c r="E102">
        <v>5.4999999999999996E-9</v>
      </c>
      <c r="F102">
        <v>7.3E-9</v>
      </c>
      <c r="G102">
        <v>5.4999999999999996E-9</v>
      </c>
    </row>
    <row r="103" spans="1:7">
      <c r="A103" t="s">
        <v>288</v>
      </c>
      <c r="B103">
        <v>7.3000000000000006E-11</v>
      </c>
      <c r="C103">
        <v>1.2999999999999999E-10</v>
      </c>
      <c r="D103">
        <v>1.5999999999999999E-10</v>
      </c>
      <c r="E103">
        <v>2.4E-10</v>
      </c>
      <c r="F103">
        <v>1.7000000000000001E-10</v>
      </c>
      <c r="G103">
        <v>2.5000000000000002E-10</v>
      </c>
    </row>
    <row r="104" spans="1:7">
      <c r="A104" t="s">
        <v>289</v>
      </c>
      <c r="B104">
        <v>1E-10</v>
      </c>
      <c r="C104">
        <v>1.8999999999999999E-10</v>
      </c>
      <c r="D104">
        <v>2.0000000000000001E-10</v>
      </c>
      <c r="E104">
        <v>3.1000000000000002E-10</v>
      </c>
      <c r="F104">
        <v>2.1E-10</v>
      </c>
      <c r="G104">
        <v>3.1999999999999998E-10</v>
      </c>
    </row>
    <row r="105" spans="1:7">
      <c r="A105" t="s">
        <v>290</v>
      </c>
      <c r="B105">
        <v>-1</v>
      </c>
      <c r="C105">
        <v>-1</v>
      </c>
      <c r="D105">
        <v>1.3000000000000001E-9</v>
      </c>
      <c r="E105">
        <v>1.5E-9</v>
      </c>
      <c r="F105">
        <v>1.3000000000000001E-9</v>
      </c>
      <c r="G105">
        <v>1.6000000000000001E-9</v>
      </c>
    </row>
    <row r="106" spans="1:7">
      <c r="A106" t="s">
        <v>291</v>
      </c>
      <c r="B106">
        <v>-1</v>
      </c>
      <c r="C106">
        <v>-1</v>
      </c>
      <c r="D106">
        <v>4.8999999999999996E-10</v>
      </c>
      <c r="E106">
        <v>7.2999999999999996E-10</v>
      </c>
      <c r="F106">
        <v>5.1E-10</v>
      </c>
      <c r="G106">
        <v>7.5999999999999996E-10</v>
      </c>
    </row>
    <row r="107" spans="1:7">
      <c r="A107" t="s">
        <v>292</v>
      </c>
      <c r="B107">
        <v>-1</v>
      </c>
      <c r="C107">
        <v>-1</v>
      </c>
      <c r="D107">
        <v>9.9999999999999994E-12</v>
      </c>
      <c r="E107">
        <v>1.7999999999999999E-11</v>
      </c>
      <c r="F107">
        <v>1.1000000000000001E-11</v>
      </c>
      <c r="G107">
        <v>1.8999999999999999E-11</v>
      </c>
    </row>
    <row r="108" spans="1:7">
      <c r="A108" t="s">
        <v>293</v>
      </c>
      <c r="B108">
        <v>-1</v>
      </c>
      <c r="C108">
        <v>-1</v>
      </c>
      <c r="D108">
        <v>4.0000000000000001E-10</v>
      </c>
      <c r="E108">
        <v>5.4999999999999996E-10</v>
      </c>
      <c r="F108">
        <v>4.3000000000000001E-10</v>
      </c>
      <c r="G108">
        <v>5.9000000000000003E-10</v>
      </c>
    </row>
    <row r="109" spans="1:7">
      <c r="A109" t="s">
        <v>294</v>
      </c>
      <c r="B109">
        <v>-1</v>
      </c>
      <c r="C109">
        <v>-1</v>
      </c>
      <c r="D109">
        <v>1.6000000000000001E-9</v>
      </c>
      <c r="E109">
        <v>1.3000000000000001E-9</v>
      </c>
      <c r="F109">
        <v>1.8E-9</v>
      </c>
      <c r="G109">
        <v>1.3999999999999999E-9</v>
      </c>
    </row>
    <row r="110" spans="1:7">
      <c r="A110" t="s">
        <v>295</v>
      </c>
      <c r="B110">
        <v>-1</v>
      </c>
      <c r="C110">
        <v>-1</v>
      </c>
      <c r="D110">
        <v>3.1E-9</v>
      </c>
      <c r="E110">
        <v>2.7000000000000002E-9</v>
      </c>
      <c r="F110">
        <v>3.6E-9</v>
      </c>
      <c r="G110">
        <v>3.1E-9</v>
      </c>
    </row>
    <row r="111" spans="1:7">
      <c r="A111" t="s">
        <v>296</v>
      </c>
      <c r="B111">
        <v>-1</v>
      </c>
      <c r="C111">
        <v>-1</v>
      </c>
      <c r="D111">
        <v>7.4000000000000003E-10</v>
      </c>
      <c r="E111">
        <v>9.5000000000000003E-10</v>
      </c>
      <c r="F111">
        <v>8.0999999999999999E-10</v>
      </c>
      <c r="G111">
        <v>1.0000000000000001E-9</v>
      </c>
    </row>
    <row r="112" spans="1:7">
      <c r="A112" t="s">
        <v>124</v>
      </c>
      <c r="B112">
        <v>-1</v>
      </c>
      <c r="C112">
        <v>-1</v>
      </c>
      <c r="D112">
        <v>3.4E-8</v>
      </c>
      <c r="E112">
        <v>2.3000000000000001E-8</v>
      </c>
      <c r="F112">
        <v>4.9000000000000002E-8</v>
      </c>
      <c r="G112">
        <v>2.9000000000000002E-8</v>
      </c>
    </row>
    <row r="113" spans="1:7">
      <c r="A113" t="s">
        <v>297</v>
      </c>
      <c r="B113">
        <v>-1</v>
      </c>
      <c r="C113">
        <v>-1</v>
      </c>
      <c r="D113">
        <v>1.3000000000000001E-8</v>
      </c>
      <c r="E113">
        <v>1.7999999999999999E-8</v>
      </c>
      <c r="F113">
        <v>-1</v>
      </c>
      <c r="G113">
        <v>-1</v>
      </c>
    </row>
    <row r="114" spans="1:7">
      <c r="A114" t="s">
        <v>298</v>
      </c>
      <c r="B114">
        <v>-1</v>
      </c>
      <c r="C114">
        <v>-1</v>
      </c>
      <c r="D114">
        <v>4.2E-7</v>
      </c>
      <c r="E114">
        <v>3.4999999999999998E-7</v>
      </c>
      <c r="F114">
        <v>-1</v>
      </c>
      <c r="G114">
        <v>-1</v>
      </c>
    </row>
    <row r="115" spans="1:7">
      <c r="A115" t="s">
        <v>299</v>
      </c>
      <c r="B115">
        <v>-1</v>
      </c>
      <c r="C115">
        <v>-1</v>
      </c>
      <c r="D115">
        <v>8.1999999999999994E-6</v>
      </c>
      <c r="E115">
        <v>6.1E-6</v>
      </c>
      <c r="F115">
        <v>-1</v>
      </c>
      <c r="G115">
        <v>-1</v>
      </c>
    </row>
    <row r="116" spans="1:7">
      <c r="A116" t="s">
        <v>300</v>
      </c>
      <c r="B116">
        <v>-1</v>
      </c>
      <c r="C116">
        <v>-1</v>
      </c>
      <c r="D116">
        <v>6.6000000000000005E-5</v>
      </c>
      <c r="E116">
        <v>4.5000000000000003E-5</v>
      </c>
      <c r="F116">
        <v>-1</v>
      </c>
      <c r="G116">
        <v>-1</v>
      </c>
    </row>
    <row r="117" spans="1:7">
      <c r="A117" t="s">
        <v>301</v>
      </c>
      <c r="B117">
        <v>-1</v>
      </c>
      <c r="C117">
        <v>-1</v>
      </c>
      <c r="D117">
        <v>3.1999999999999999E-5</v>
      </c>
      <c r="E117">
        <v>2.1999999999999999E-5</v>
      </c>
      <c r="F117">
        <v>-1</v>
      </c>
      <c r="G117">
        <v>-1</v>
      </c>
    </row>
    <row r="118" spans="1:7">
      <c r="A118" t="s">
        <v>302</v>
      </c>
      <c r="B118">
        <v>-1</v>
      </c>
      <c r="C118">
        <v>-1</v>
      </c>
      <c r="D118">
        <v>6.7000000000000002E-5</v>
      </c>
      <c r="E118">
        <v>4.6E-5</v>
      </c>
      <c r="F118">
        <v>-1</v>
      </c>
      <c r="G118">
        <v>-1</v>
      </c>
    </row>
    <row r="119" spans="1:7">
      <c r="A119" t="s">
        <v>303</v>
      </c>
      <c r="B119">
        <v>-1</v>
      </c>
      <c r="C119">
        <v>-1</v>
      </c>
      <c r="D119">
        <v>1.8E-5</v>
      </c>
      <c r="E119">
        <v>1.2999999999999999E-5</v>
      </c>
      <c r="F119">
        <v>-1</v>
      </c>
      <c r="G119">
        <v>-1</v>
      </c>
    </row>
    <row r="120" spans="1:7">
      <c r="A120" t="s">
        <v>304</v>
      </c>
      <c r="B120">
        <v>-1</v>
      </c>
      <c r="C120">
        <v>-1</v>
      </c>
      <c r="D120">
        <v>1.1999999999999999E-6</v>
      </c>
      <c r="E120">
        <v>9.9999999999999995E-7</v>
      </c>
      <c r="F120">
        <v>-1</v>
      </c>
      <c r="G120">
        <v>-1</v>
      </c>
    </row>
    <row r="121" spans="1:7">
      <c r="A121" t="s">
        <v>305</v>
      </c>
      <c r="B121">
        <v>-1</v>
      </c>
      <c r="C121">
        <v>-1</v>
      </c>
      <c r="D121">
        <v>3.6999999999999998E-5</v>
      </c>
      <c r="E121">
        <v>2.1999999999999999E-5</v>
      </c>
      <c r="F121">
        <v>-1</v>
      </c>
      <c r="G121">
        <v>-1</v>
      </c>
    </row>
    <row r="122" spans="1:7">
      <c r="A122" t="s">
        <v>7</v>
      </c>
      <c r="B122">
        <v>3.4000000000000001E-10</v>
      </c>
      <c r="C122">
        <v>4.8999999999999996E-10</v>
      </c>
      <c r="D122">
        <v>6.8999999999999997E-9</v>
      </c>
      <c r="E122">
        <v>5.1000000000000002E-9</v>
      </c>
      <c r="F122">
        <v>-1</v>
      </c>
      <c r="G122">
        <v>-1</v>
      </c>
    </row>
    <row r="123" spans="1:7">
      <c r="A123" t="s">
        <v>306</v>
      </c>
      <c r="B123">
        <v>2.7E-11</v>
      </c>
      <c r="C123">
        <v>4.6000000000000003E-11</v>
      </c>
      <c r="D123">
        <v>4.6999999999999999E-11</v>
      </c>
      <c r="E123">
        <v>7.3000000000000006E-11</v>
      </c>
      <c r="F123">
        <v>-1</v>
      </c>
      <c r="G123">
        <v>-1</v>
      </c>
    </row>
    <row r="124" spans="1:7">
      <c r="A124" t="s">
        <v>307</v>
      </c>
      <c r="B124">
        <v>2.7E-11</v>
      </c>
      <c r="C124">
        <v>4.8000000000000002E-11</v>
      </c>
      <c r="D124">
        <v>4.8000000000000002E-11</v>
      </c>
      <c r="E124">
        <v>7.5999999999999996E-11</v>
      </c>
      <c r="F124">
        <v>-1</v>
      </c>
      <c r="G124">
        <v>-1</v>
      </c>
    </row>
    <row r="125" spans="1:7">
      <c r="A125" t="s">
        <v>308</v>
      </c>
      <c r="B125">
        <v>-1</v>
      </c>
      <c r="C125">
        <v>-1</v>
      </c>
      <c r="D125">
        <v>4.1000000000000003E-9</v>
      </c>
      <c r="E125">
        <v>4.8E-9</v>
      </c>
      <c r="F125">
        <v>-1</v>
      </c>
      <c r="G125">
        <v>-1</v>
      </c>
    </row>
    <row r="126" spans="1:7">
      <c r="A126" t="s">
        <v>309</v>
      </c>
      <c r="B126">
        <v>-1</v>
      </c>
      <c r="C126">
        <v>-1</v>
      </c>
      <c r="D126">
        <v>2.9000000000000002E-6</v>
      </c>
      <c r="E126">
        <v>2.3E-6</v>
      </c>
      <c r="F126">
        <v>-1</v>
      </c>
      <c r="G126">
        <v>-1</v>
      </c>
    </row>
    <row r="127" spans="1:7">
      <c r="A127" t="s">
        <v>310</v>
      </c>
      <c r="B127">
        <v>-1</v>
      </c>
      <c r="C127">
        <v>-1</v>
      </c>
      <c r="D127">
        <v>3.4E-8</v>
      </c>
      <c r="E127">
        <v>2.6000000000000001E-8</v>
      </c>
      <c r="F127">
        <v>-1</v>
      </c>
      <c r="G127">
        <v>-1</v>
      </c>
    </row>
    <row r="128" spans="1:7">
      <c r="A128" t="s">
        <v>136</v>
      </c>
      <c r="B128">
        <v>-1</v>
      </c>
      <c r="C128">
        <v>-1</v>
      </c>
      <c r="D128">
        <v>4.7999999999999998E-6</v>
      </c>
      <c r="E128">
        <v>3.7000000000000002E-6</v>
      </c>
      <c r="F128">
        <v>-1</v>
      </c>
      <c r="G128">
        <v>-1</v>
      </c>
    </row>
    <row r="129" spans="1:7">
      <c r="A129" t="s">
        <v>105</v>
      </c>
      <c r="B129">
        <v>-1</v>
      </c>
      <c r="C129">
        <v>-1</v>
      </c>
      <c r="D129">
        <v>2.9E-5</v>
      </c>
      <c r="E129">
        <v>2.0000000000000002E-5</v>
      </c>
      <c r="F129">
        <v>-1</v>
      </c>
      <c r="G129">
        <v>-1</v>
      </c>
    </row>
    <row r="130" spans="1:7">
      <c r="A130" t="s">
        <v>106</v>
      </c>
      <c r="B130">
        <v>-1</v>
      </c>
      <c r="C130">
        <v>-1</v>
      </c>
      <c r="D130">
        <v>2.5000000000000001E-5</v>
      </c>
      <c r="E130">
        <v>1.7E-5</v>
      </c>
      <c r="F130">
        <v>-1</v>
      </c>
      <c r="G130">
        <v>-1</v>
      </c>
    </row>
    <row r="131" spans="1:7">
      <c r="A131" t="s">
        <v>137</v>
      </c>
      <c r="B131">
        <v>-1</v>
      </c>
      <c r="C131">
        <v>-1</v>
      </c>
      <c r="D131">
        <v>4.0000000000000003E-5</v>
      </c>
      <c r="E131">
        <v>2.6999999999999999E-5</v>
      </c>
      <c r="F131">
        <v>-1</v>
      </c>
      <c r="G131">
        <v>-1</v>
      </c>
    </row>
    <row r="132" spans="1:7">
      <c r="A132" t="s">
        <v>138</v>
      </c>
      <c r="B132">
        <v>-1</v>
      </c>
      <c r="C132">
        <v>-1</v>
      </c>
      <c r="D132">
        <v>4.0000000000000003E-5</v>
      </c>
      <c r="E132">
        <v>2.6999999999999999E-5</v>
      </c>
      <c r="F132">
        <v>-1</v>
      </c>
      <c r="G132">
        <v>-1</v>
      </c>
    </row>
    <row r="133" spans="1:7">
      <c r="A133" t="s">
        <v>311</v>
      </c>
      <c r="B133">
        <v>-1</v>
      </c>
      <c r="C133">
        <v>-1</v>
      </c>
      <c r="D133">
        <v>3.6000000000000001E-5</v>
      </c>
      <c r="E133">
        <v>2.5000000000000001E-5</v>
      </c>
      <c r="F133">
        <v>-1</v>
      </c>
      <c r="G133">
        <v>-1</v>
      </c>
    </row>
    <row r="134" spans="1:7">
      <c r="A134" t="s">
        <v>312</v>
      </c>
      <c r="B134">
        <v>-1</v>
      </c>
      <c r="C134">
        <v>-1</v>
      </c>
      <c r="D134">
        <v>1.3999999999999999E-4</v>
      </c>
      <c r="E134">
        <v>9.5000000000000005E-5</v>
      </c>
      <c r="F134">
        <v>-1</v>
      </c>
      <c r="G134">
        <v>-1</v>
      </c>
    </row>
    <row r="135" spans="1:7">
      <c r="A135" t="s">
        <v>313</v>
      </c>
      <c r="B135">
        <v>-1</v>
      </c>
      <c r="C135">
        <v>-1</v>
      </c>
      <c r="D135">
        <v>3.1999999999999999E-11</v>
      </c>
      <c r="E135">
        <v>5.0999999999999998E-11</v>
      </c>
      <c r="F135">
        <v>-1</v>
      </c>
      <c r="G135">
        <v>-1</v>
      </c>
    </row>
    <row r="136" spans="1:7">
      <c r="A136" t="s">
        <v>314</v>
      </c>
      <c r="B136">
        <v>-1</v>
      </c>
      <c r="C136">
        <v>-1</v>
      </c>
      <c r="D136">
        <v>7.9000000000000001E-4</v>
      </c>
      <c r="E136">
        <v>5.4000000000000001E-4</v>
      </c>
      <c r="F136">
        <v>-1</v>
      </c>
      <c r="G136">
        <v>-1</v>
      </c>
    </row>
    <row r="137" spans="1:7">
      <c r="A137" t="s">
        <v>315</v>
      </c>
      <c r="B137">
        <v>-1</v>
      </c>
      <c r="C137">
        <v>-1</v>
      </c>
      <c r="D137">
        <v>5.1E-10</v>
      </c>
      <c r="E137">
        <v>7.7999999999999999E-10</v>
      </c>
      <c r="F137">
        <v>5.4999999999999996E-10</v>
      </c>
      <c r="G137">
        <v>8.3000000000000003E-10</v>
      </c>
    </row>
    <row r="138" spans="1:7">
      <c r="A138" t="s">
        <v>316</v>
      </c>
      <c r="B138">
        <v>-1</v>
      </c>
      <c r="C138">
        <v>-1</v>
      </c>
      <c r="D138">
        <v>4.5999999999999998E-9</v>
      </c>
      <c r="E138">
        <v>4.0000000000000002E-9</v>
      </c>
      <c r="F138">
        <v>6.3000000000000002E-9</v>
      </c>
      <c r="G138">
        <v>4.9E-9</v>
      </c>
    </row>
    <row r="139" spans="1:7">
      <c r="A139" t="s">
        <v>12</v>
      </c>
      <c r="B139">
        <v>-1</v>
      </c>
      <c r="C139">
        <v>-1</v>
      </c>
      <c r="D139">
        <v>5.1999999999999996E-10</v>
      </c>
      <c r="E139">
        <v>3.9E-10</v>
      </c>
      <c r="F139">
        <v>9.4000000000000006E-10</v>
      </c>
      <c r="G139">
        <v>6E-10</v>
      </c>
    </row>
    <row r="140" spans="1:7">
      <c r="A140" t="s">
        <v>317</v>
      </c>
      <c r="B140">
        <v>-1</v>
      </c>
      <c r="C140">
        <v>-1</v>
      </c>
      <c r="D140">
        <v>1.5E-9</v>
      </c>
      <c r="E140">
        <v>1.3999999999999999E-9</v>
      </c>
      <c r="F140">
        <v>2.0000000000000001E-9</v>
      </c>
      <c r="G140">
        <v>1.6999999999999999E-9</v>
      </c>
    </row>
    <row r="141" spans="1:7">
      <c r="A141" t="s">
        <v>318</v>
      </c>
      <c r="B141">
        <v>-1</v>
      </c>
      <c r="C141">
        <v>-1</v>
      </c>
      <c r="D141">
        <v>1.3E-11</v>
      </c>
      <c r="E141">
        <v>1.5E-11</v>
      </c>
      <c r="F141">
        <v>1.6E-11</v>
      </c>
      <c r="G141">
        <v>1.6999999999999999E-11</v>
      </c>
    </row>
    <row r="142" spans="1:7">
      <c r="A142" t="s">
        <v>14</v>
      </c>
      <c r="B142">
        <v>-1</v>
      </c>
      <c r="C142">
        <v>-1</v>
      </c>
      <c r="D142">
        <v>9.5999999999999999E-9</v>
      </c>
      <c r="E142">
        <v>7.0999999999999999E-9</v>
      </c>
      <c r="F142">
        <v>2.9000000000000002E-8</v>
      </c>
      <c r="G142">
        <v>1.7E-8</v>
      </c>
    </row>
    <row r="143" spans="1:7">
      <c r="A143" t="s">
        <v>319</v>
      </c>
      <c r="B143">
        <v>-1</v>
      </c>
      <c r="C143">
        <v>-1</v>
      </c>
      <c r="D143">
        <v>1.1E-12</v>
      </c>
      <c r="E143">
        <v>1.1999999999999999E-12</v>
      </c>
      <c r="F143">
        <v>1.2999999999999999E-12</v>
      </c>
      <c r="G143">
        <v>1.1999999999999999E-12</v>
      </c>
    </row>
    <row r="144" spans="1:7">
      <c r="A144" t="s">
        <v>320</v>
      </c>
      <c r="B144">
        <v>-1</v>
      </c>
      <c r="C144">
        <v>-1</v>
      </c>
      <c r="D144">
        <v>4.8000000000000002E-11</v>
      </c>
      <c r="E144">
        <v>7.1E-11</v>
      </c>
      <c r="F144">
        <v>5.0999999999999998E-11</v>
      </c>
      <c r="G144">
        <v>7.5E-11</v>
      </c>
    </row>
    <row r="145" spans="1:7">
      <c r="A145" t="s">
        <v>321</v>
      </c>
      <c r="B145">
        <v>-1</v>
      </c>
      <c r="C145">
        <v>-1</v>
      </c>
      <c r="D145">
        <v>2.0999999999999999E-11</v>
      </c>
      <c r="E145">
        <v>3.5999999999999998E-11</v>
      </c>
      <c r="F145">
        <v>2.2000000000000002E-11</v>
      </c>
      <c r="G145">
        <v>3.7000000000000001E-11</v>
      </c>
    </row>
    <row r="146" spans="1:7">
      <c r="A146" t="s">
        <v>322</v>
      </c>
      <c r="B146">
        <v>1E-10</v>
      </c>
      <c r="C146">
        <v>1.7000000000000001E-10</v>
      </c>
      <c r="D146">
        <v>2.0000000000000001E-10</v>
      </c>
      <c r="E146">
        <v>2.3000000000000001E-10</v>
      </c>
      <c r="F146">
        <v>2.1999999999999999E-10</v>
      </c>
      <c r="G146">
        <v>2.5000000000000002E-10</v>
      </c>
    </row>
    <row r="147" spans="1:7">
      <c r="A147" t="s">
        <v>323</v>
      </c>
      <c r="B147">
        <v>1.9999999999999999E-11</v>
      </c>
      <c r="C147">
        <v>3.5000000000000002E-11</v>
      </c>
      <c r="D147">
        <v>3.5000000000000002E-11</v>
      </c>
      <c r="E147">
        <v>5.6E-11</v>
      </c>
      <c r="F147">
        <v>3.7000000000000001E-11</v>
      </c>
      <c r="G147">
        <v>5.9000000000000003E-11</v>
      </c>
    </row>
    <row r="148" spans="1:7">
      <c r="A148" t="s">
        <v>9</v>
      </c>
      <c r="B148">
        <v>2.0999999999999999E-11</v>
      </c>
      <c r="C148">
        <v>3E-11</v>
      </c>
      <c r="D148">
        <v>3.1000000000000003E-11</v>
      </c>
      <c r="E148">
        <v>3.3999999999999999E-11</v>
      </c>
      <c r="F148">
        <v>3.5999999999999998E-11</v>
      </c>
      <c r="G148">
        <v>3.5999999999999998E-11</v>
      </c>
    </row>
    <row r="149" spans="1:7">
      <c r="A149" t="s">
        <v>324</v>
      </c>
      <c r="B149">
        <v>1.3E-11</v>
      </c>
      <c r="C149">
        <v>2.3000000000000001E-11</v>
      </c>
      <c r="D149">
        <v>-1</v>
      </c>
      <c r="E149">
        <v>-1</v>
      </c>
      <c r="F149">
        <v>-1</v>
      </c>
      <c r="G149">
        <v>-1</v>
      </c>
    </row>
    <row r="150" spans="1:7">
      <c r="A150" t="s">
        <v>325</v>
      </c>
      <c r="B150">
        <v>2.2000000000000002E-11</v>
      </c>
      <c r="C150">
        <v>3.9999999999999998E-11</v>
      </c>
      <c r="D150">
        <v>-1</v>
      </c>
      <c r="E150">
        <v>-1</v>
      </c>
      <c r="F150">
        <v>-1</v>
      </c>
      <c r="G150">
        <v>-1</v>
      </c>
    </row>
    <row r="151" spans="1:7">
      <c r="A151" t="s">
        <v>326</v>
      </c>
      <c r="B151">
        <v>4.5E-11</v>
      </c>
      <c r="C151">
        <v>8.1000000000000005E-11</v>
      </c>
      <c r="D151">
        <v>-1</v>
      </c>
      <c r="E151">
        <v>-1</v>
      </c>
      <c r="F151">
        <v>-1</v>
      </c>
      <c r="G151">
        <v>-1</v>
      </c>
    </row>
    <row r="152" spans="1:7">
      <c r="A152" t="s">
        <v>327</v>
      </c>
      <c r="B152">
        <v>8.3999999999999998E-12</v>
      </c>
      <c r="C152">
        <v>1.5E-11</v>
      </c>
      <c r="D152">
        <v>-1</v>
      </c>
      <c r="E152">
        <v>-1</v>
      </c>
      <c r="F152">
        <v>-1</v>
      </c>
      <c r="G152">
        <v>-1</v>
      </c>
    </row>
    <row r="153" spans="1:7">
      <c r="A153" t="s">
        <v>328</v>
      </c>
      <c r="B153">
        <v>2.8E-11</v>
      </c>
      <c r="C153">
        <v>4.5E-11</v>
      </c>
      <c r="D153">
        <v>-1</v>
      </c>
      <c r="E153">
        <v>-1</v>
      </c>
      <c r="F153">
        <v>-1</v>
      </c>
      <c r="G153">
        <v>-1</v>
      </c>
    </row>
    <row r="154" spans="1:7">
      <c r="A154" t="s">
        <v>329</v>
      </c>
      <c r="B154">
        <v>2.4E-10</v>
      </c>
      <c r="C154">
        <v>3.7999999999999998E-10</v>
      </c>
      <c r="D154">
        <v>-1</v>
      </c>
      <c r="E154">
        <v>-1</v>
      </c>
      <c r="F154">
        <v>-1</v>
      </c>
      <c r="G154">
        <v>-1</v>
      </c>
    </row>
    <row r="155" spans="1:7">
      <c r="A155" t="s">
        <v>122</v>
      </c>
      <c r="B155">
        <v>6.7999999999999997E-9</v>
      </c>
      <c r="C155">
        <v>9.5999999999999999E-9</v>
      </c>
      <c r="D155">
        <v>-1</v>
      </c>
      <c r="E155">
        <v>-1</v>
      </c>
      <c r="F155">
        <v>-1</v>
      </c>
      <c r="G155">
        <v>-1</v>
      </c>
    </row>
    <row r="156" spans="1:7">
      <c r="A156" t="s">
        <v>330</v>
      </c>
      <c r="B156">
        <v>1.5E-11</v>
      </c>
      <c r="C156">
        <v>2.6000000000000001E-11</v>
      </c>
      <c r="D156">
        <v>-1</v>
      </c>
      <c r="E156">
        <v>-1</v>
      </c>
      <c r="F156">
        <v>-1</v>
      </c>
      <c r="G156">
        <v>-1</v>
      </c>
    </row>
    <row r="157" spans="1:7">
      <c r="A157" t="s">
        <v>123</v>
      </c>
      <c r="B157">
        <v>7.1000000000000003E-10</v>
      </c>
      <c r="C157">
        <v>9.900000000000001E-10</v>
      </c>
      <c r="D157">
        <v>-1</v>
      </c>
      <c r="E157">
        <v>-1</v>
      </c>
      <c r="F157">
        <v>-1</v>
      </c>
      <c r="G157">
        <v>-1</v>
      </c>
    </row>
    <row r="158" spans="1:7">
      <c r="A158" t="s">
        <v>331</v>
      </c>
      <c r="B158">
        <v>1.3E-11</v>
      </c>
      <c r="C158">
        <v>2.4000000000000001E-11</v>
      </c>
      <c r="D158">
        <v>-1</v>
      </c>
      <c r="E158">
        <v>-1</v>
      </c>
      <c r="F158">
        <v>-1</v>
      </c>
      <c r="G158">
        <v>-1</v>
      </c>
    </row>
    <row r="159" spans="1:7">
      <c r="A159" t="s">
        <v>332</v>
      </c>
      <c r="B159">
        <v>1.3000000000000001E-9</v>
      </c>
      <c r="C159">
        <v>1.9000000000000001E-9</v>
      </c>
      <c r="D159">
        <v>-1</v>
      </c>
      <c r="E159">
        <v>-1</v>
      </c>
      <c r="F159">
        <v>-1</v>
      </c>
      <c r="G159">
        <v>-1</v>
      </c>
    </row>
    <row r="160" spans="1:7">
      <c r="A160" t="s">
        <v>31</v>
      </c>
      <c r="B160">
        <v>4.8E-9</v>
      </c>
      <c r="C160">
        <v>6.6999999999999996E-9</v>
      </c>
      <c r="D160">
        <v>-1</v>
      </c>
      <c r="E160">
        <v>-1</v>
      </c>
      <c r="F160">
        <v>-1</v>
      </c>
      <c r="G160">
        <v>-1</v>
      </c>
    </row>
    <row r="161" spans="1:7">
      <c r="A161" t="s">
        <v>333</v>
      </c>
      <c r="B161">
        <v>2.6000000000000001E-11</v>
      </c>
      <c r="C161">
        <v>4.6000000000000003E-11</v>
      </c>
      <c r="D161">
        <v>-1</v>
      </c>
      <c r="E161">
        <v>-1</v>
      </c>
      <c r="F161">
        <v>-1</v>
      </c>
      <c r="G161">
        <v>-1</v>
      </c>
    </row>
    <row r="162" spans="1:7">
      <c r="A162" t="s">
        <v>334</v>
      </c>
      <c r="B162">
        <v>2.4000000000000001E-11</v>
      </c>
      <c r="C162">
        <v>4.4000000000000003E-11</v>
      </c>
      <c r="D162">
        <v>3.5000000000000002E-11</v>
      </c>
      <c r="E162">
        <v>6E-11</v>
      </c>
      <c r="F162">
        <v>3.5999999999999998E-11</v>
      </c>
      <c r="G162">
        <v>6.2000000000000006E-11</v>
      </c>
    </row>
    <row r="163" spans="1:7">
      <c r="A163" t="s">
        <v>335</v>
      </c>
      <c r="B163">
        <v>3.9999999999999998E-11</v>
      </c>
      <c r="C163">
        <v>7.3000000000000006E-11</v>
      </c>
      <c r="D163">
        <v>7.5999999999999996E-11</v>
      </c>
      <c r="E163">
        <v>1.2E-10</v>
      </c>
      <c r="F163">
        <v>7.9999999999999995E-11</v>
      </c>
      <c r="G163">
        <v>1.2E-10</v>
      </c>
    </row>
    <row r="164" spans="1:7">
      <c r="A164" t="s">
        <v>16</v>
      </c>
      <c r="B164">
        <v>3.7999999999999998E-11</v>
      </c>
      <c r="C164">
        <v>6.7999999999999998E-11</v>
      </c>
      <c r="D164">
        <v>1.0999999999999999E-10</v>
      </c>
      <c r="E164">
        <v>1.5E-10</v>
      </c>
      <c r="F164">
        <v>1.2E-10</v>
      </c>
      <c r="G164">
        <v>1.5E-10</v>
      </c>
    </row>
    <row r="165" spans="1:7">
      <c r="A165" t="s">
        <v>336</v>
      </c>
      <c r="B165">
        <v>1.0999999999999999E-10</v>
      </c>
      <c r="C165">
        <v>1.8E-10</v>
      </c>
      <c r="D165">
        <v>5.1999999999999996E-10</v>
      </c>
      <c r="E165">
        <v>5.3000000000000003E-10</v>
      </c>
      <c r="F165">
        <v>5.7999999999999996E-10</v>
      </c>
      <c r="G165">
        <v>5.7999999999999996E-10</v>
      </c>
    </row>
    <row r="166" spans="1:7">
      <c r="A166" t="s">
        <v>337</v>
      </c>
      <c r="B166">
        <v>-1</v>
      </c>
      <c r="C166">
        <v>-1</v>
      </c>
      <c r="D166">
        <v>7.9999999999999995E-11</v>
      </c>
      <c r="E166">
        <v>1.2E-10</v>
      </c>
      <c r="F166">
        <v>-1</v>
      </c>
      <c r="G166">
        <v>-1</v>
      </c>
    </row>
    <row r="167" spans="1:7">
      <c r="A167" t="s">
        <v>338</v>
      </c>
      <c r="B167">
        <v>-1</v>
      </c>
      <c r="C167">
        <v>-1</v>
      </c>
      <c r="D167">
        <v>3.1999999999999999E-11</v>
      </c>
      <c r="E167">
        <v>5.4999999999999997E-11</v>
      </c>
      <c r="F167">
        <v>-1</v>
      </c>
      <c r="G167">
        <v>-1</v>
      </c>
    </row>
    <row r="168" spans="1:7">
      <c r="A168" t="s">
        <v>339</v>
      </c>
      <c r="B168">
        <v>-1</v>
      </c>
      <c r="C168">
        <v>-1</v>
      </c>
      <c r="D168">
        <v>3.4999999999999998E-10</v>
      </c>
      <c r="E168">
        <v>2.5000000000000002E-10</v>
      </c>
      <c r="F168">
        <v>-1</v>
      </c>
      <c r="G168">
        <v>-1</v>
      </c>
    </row>
    <row r="169" spans="1:7">
      <c r="A169" t="s">
        <v>340</v>
      </c>
      <c r="B169">
        <v>-1</v>
      </c>
      <c r="C169">
        <v>-1</v>
      </c>
      <c r="D169">
        <v>6.0999999999999996E-11</v>
      </c>
      <c r="E169">
        <v>8.6999999999999997E-11</v>
      </c>
      <c r="F169">
        <v>-1</v>
      </c>
      <c r="G169">
        <v>-1</v>
      </c>
    </row>
    <row r="170" spans="1:7">
      <c r="A170" t="s">
        <v>341</v>
      </c>
      <c r="B170">
        <v>-1</v>
      </c>
      <c r="C170">
        <v>-1</v>
      </c>
      <c r="D170">
        <v>1.8E-9</v>
      </c>
      <c r="E170">
        <v>1.8E-9</v>
      </c>
      <c r="F170">
        <v>-1</v>
      </c>
      <c r="G170">
        <v>-1</v>
      </c>
    </row>
    <row r="171" spans="1:7">
      <c r="A171" t="s">
        <v>342</v>
      </c>
      <c r="B171">
        <v>-1</v>
      </c>
      <c r="C171">
        <v>-1</v>
      </c>
      <c r="D171">
        <v>5.0999999999999998E-11</v>
      </c>
      <c r="E171">
        <v>8.5000000000000004E-11</v>
      </c>
      <c r="F171">
        <v>-1</v>
      </c>
      <c r="G171">
        <v>-1</v>
      </c>
    </row>
    <row r="172" spans="1:7">
      <c r="A172" t="s">
        <v>343</v>
      </c>
      <c r="B172">
        <v>-1</v>
      </c>
      <c r="C172">
        <v>-1</v>
      </c>
      <c r="D172">
        <v>8.2999999999999998E-12</v>
      </c>
      <c r="E172">
        <v>1.4E-11</v>
      </c>
      <c r="F172">
        <v>-1</v>
      </c>
      <c r="G172">
        <v>-1</v>
      </c>
    </row>
    <row r="173" spans="1:7">
      <c r="A173" t="s">
        <v>344</v>
      </c>
      <c r="B173">
        <v>-1</v>
      </c>
      <c r="C173">
        <v>-1</v>
      </c>
      <c r="D173">
        <v>9.7999999999999992E-10</v>
      </c>
      <c r="E173">
        <v>9.2000000000000003E-10</v>
      </c>
      <c r="F173">
        <v>-1</v>
      </c>
      <c r="G173">
        <v>-1</v>
      </c>
    </row>
    <row r="174" spans="1:7">
      <c r="A174" t="s">
        <v>345</v>
      </c>
      <c r="B174">
        <v>-1</v>
      </c>
      <c r="C174">
        <v>-1</v>
      </c>
      <c r="D174">
        <v>2.1999999999999999E-10</v>
      </c>
      <c r="E174">
        <v>3E-10</v>
      </c>
      <c r="F174">
        <v>-1</v>
      </c>
      <c r="G174">
        <v>-1</v>
      </c>
    </row>
    <row r="175" spans="1:7">
      <c r="A175" t="s">
        <v>346</v>
      </c>
      <c r="B175">
        <v>-1</v>
      </c>
      <c r="C175">
        <v>-1</v>
      </c>
      <c r="D175">
        <v>1.0999999999999999E-9</v>
      </c>
      <c r="E175">
        <v>1.2E-9</v>
      </c>
      <c r="F175">
        <v>-1</v>
      </c>
      <c r="G175">
        <v>-1</v>
      </c>
    </row>
    <row r="176" spans="1:7">
      <c r="A176" t="s">
        <v>347</v>
      </c>
      <c r="B176">
        <v>-1</v>
      </c>
      <c r="C176">
        <v>-1</v>
      </c>
      <c r="D176">
        <v>5.9000000000000003E-10</v>
      </c>
      <c r="E176">
        <v>4.2E-10</v>
      </c>
      <c r="F176">
        <v>-1</v>
      </c>
      <c r="G176">
        <v>-1</v>
      </c>
    </row>
    <row r="177" spans="1:7">
      <c r="A177" t="s">
        <v>348</v>
      </c>
      <c r="B177">
        <v>-1</v>
      </c>
      <c r="C177">
        <v>-1</v>
      </c>
      <c r="D177">
        <v>2.0000000000000001E-9</v>
      </c>
      <c r="E177">
        <v>1.6999999999999999E-9</v>
      </c>
      <c r="F177">
        <v>-1</v>
      </c>
      <c r="G177">
        <v>-1</v>
      </c>
    </row>
    <row r="178" spans="1:7">
      <c r="A178" t="s">
        <v>349</v>
      </c>
      <c r="B178">
        <v>-1</v>
      </c>
      <c r="C178">
        <v>-1</v>
      </c>
      <c r="D178">
        <v>2.5000000000000002E-6</v>
      </c>
      <c r="E178">
        <v>2.0999999999999998E-6</v>
      </c>
      <c r="F178">
        <v>-1</v>
      </c>
      <c r="G178">
        <v>-1</v>
      </c>
    </row>
    <row r="179" spans="1:7">
      <c r="A179" t="s">
        <v>350</v>
      </c>
      <c r="B179">
        <v>-1</v>
      </c>
      <c r="C179">
        <v>-1</v>
      </c>
      <c r="D179">
        <v>7.9999999999999996E-6</v>
      </c>
      <c r="E179">
        <v>6.0000000000000002E-6</v>
      </c>
      <c r="F179">
        <v>-1</v>
      </c>
      <c r="G179">
        <v>-1</v>
      </c>
    </row>
    <row r="180" spans="1:7">
      <c r="A180" t="s">
        <v>351</v>
      </c>
      <c r="B180">
        <v>-1</v>
      </c>
      <c r="C180">
        <v>-1</v>
      </c>
      <c r="D180">
        <v>4.4000000000000002E-7</v>
      </c>
      <c r="E180">
        <v>3.7E-7</v>
      </c>
      <c r="F180">
        <v>-1</v>
      </c>
      <c r="G180">
        <v>-1</v>
      </c>
    </row>
    <row r="181" spans="1:7">
      <c r="A181" t="s">
        <v>352</v>
      </c>
      <c r="B181">
        <v>-1</v>
      </c>
      <c r="C181">
        <v>-1</v>
      </c>
      <c r="D181">
        <v>5.6000000000000003E-10</v>
      </c>
      <c r="E181">
        <v>7.2999999999999996E-10</v>
      </c>
      <c r="F181">
        <v>-1</v>
      </c>
      <c r="G181">
        <v>-1</v>
      </c>
    </row>
    <row r="182" spans="1:7">
      <c r="A182" t="s">
        <v>353</v>
      </c>
      <c r="B182">
        <v>-1</v>
      </c>
      <c r="C182">
        <v>-1</v>
      </c>
      <c r="D182">
        <v>8.1999999999999996E-10</v>
      </c>
      <c r="E182">
        <v>1.2E-9</v>
      </c>
      <c r="F182">
        <v>-1</v>
      </c>
      <c r="G182">
        <v>-1</v>
      </c>
    </row>
    <row r="183" spans="1:7">
      <c r="A183" t="s">
        <v>354</v>
      </c>
      <c r="B183">
        <v>-1</v>
      </c>
      <c r="C183">
        <v>-1</v>
      </c>
      <c r="D183">
        <v>1.0000000000000001E-9</v>
      </c>
      <c r="E183">
        <v>1.0000000000000001E-9</v>
      </c>
      <c r="F183">
        <v>-1</v>
      </c>
      <c r="G183">
        <v>-1</v>
      </c>
    </row>
    <row r="184" spans="1:7">
      <c r="A184" t="s">
        <v>355</v>
      </c>
      <c r="B184">
        <v>-1</v>
      </c>
      <c r="C184">
        <v>-1</v>
      </c>
      <c r="D184">
        <v>2.7000000000000002E-9</v>
      </c>
      <c r="E184">
        <v>2.2999999999999999E-9</v>
      </c>
      <c r="F184">
        <v>-1</v>
      </c>
      <c r="G184">
        <v>-1</v>
      </c>
    </row>
    <row r="185" spans="1:7">
      <c r="A185" t="s">
        <v>356</v>
      </c>
      <c r="B185">
        <v>-1</v>
      </c>
      <c r="C185">
        <v>-1</v>
      </c>
      <c r="D185">
        <v>2.7E-10</v>
      </c>
      <c r="E185">
        <v>2.3000000000000001E-10</v>
      </c>
      <c r="F185">
        <v>-1</v>
      </c>
      <c r="G185">
        <v>-1</v>
      </c>
    </row>
    <row r="186" spans="1:7">
      <c r="A186" t="s">
        <v>357</v>
      </c>
      <c r="B186">
        <v>-1</v>
      </c>
      <c r="C186">
        <v>-1</v>
      </c>
      <c r="D186">
        <v>4.9999999999999998E-8</v>
      </c>
      <c r="E186">
        <v>3.4E-8</v>
      </c>
      <c r="F186">
        <v>-1</v>
      </c>
      <c r="G186">
        <v>-1</v>
      </c>
    </row>
    <row r="187" spans="1:7">
      <c r="A187" t="s">
        <v>358</v>
      </c>
      <c r="B187">
        <v>-1</v>
      </c>
      <c r="C187">
        <v>-1</v>
      </c>
      <c r="D187">
        <v>1.8999999999999999E-10</v>
      </c>
      <c r="E187">
        <v>2.8000000000000002E-10</v>
      </c>
      <c r="F187">
        <v>-1</v>
      </c>
      <c r="G187">
        <v>-1</v>
      </c>
    </row>
    <row r="188" spans="1:7">
      <c r="A188" t="s">
        <v>36</v>
      </c>
      <c r="B188">
        <v>-1</v>
      </c>
      <c r="C188">
        <v>-1</v>
      </c>
      <c r="D188">
        <v>3.8999999999999998E-8</v>
      </c>
      <c r="E188">
        <v>2.7E-8</v>
      </c>
      <c r="F188">
        <v>-1</v>
      </c>
      <c r="G188">
        <v>-1</v>
      </c>
    </row>
    <row r="189" spans="1:7">
      <c r="A189" t="s">
        <v>359</v>
      </c>
      <c r="B189">
        <v>-1</v>
      </c>
      <c r="C189">
        <v>-1</v>
      </c>
      <c r="D189">
        <v>2.1999999999999999E-10</v>
      </c>
      <c r="E189">
        <v>3.1999999999999998E-10</v>
      </c>
      <c r="F189">
        <v>-1</v>
      </c>
      <c r="G189">
        <v>-1</v>
      </c>
    </row>
    <row r="190" spans="1:7">
      <c r="A190" t="s">
        <v>129</v>
      </c>
      <c r="B190">
        <v>-1</v>
      </c>
      <c r="C190">
        <v>-1</v>
      </c>
      <c r="D190">
        <v>4.9999999999999998E-8</v>
      </c>
      <c r="E190">
        <v>3.5000000000000002E-8</v>
      </c>
      <c r="F190">
        <v>-1</v>
      </c>
      <c r="G190">
        <v>-1</v>
      </c>
    </row>
    <row r="191" spans="1:7">
      <c r="A191" t="s">
        <v>130</v>
      </c>
      <c r="B191">
        <v>-1</v>
      </c>
      <c r="C191">
        <v>-1</v>
      </c>
      <c r="D191">
        <v>6.5000000000000003E-9</v>
      </c>
      <c r="E191">
        <v>4.6999999999999999E-9</v>
      </c>
      <c r="F191">
        <v>-1</v>
      </c>
      <c r="G191">
        <v>-1</v>
      </c>
    </row>
    <row r="192" spans="1:7">
      <c r="A192" t="s">
        <v>360</v>
      </c>
      <c r="B192">
        <v>-1</v>
      </c>
      <c r="C192">
        <v>-1</v>
      </c>
      <c r="D192">
        <v>3.3000000000000002E-9</v>
      </c>
      <c r="E192">
        <v>3E-9</v>
      </c>
      <c r="F192">
        <v>-1</v>
      </c>
      <c r="G192">
        <v>-1</v>
      </c>
    </row>
    <row r="193" spans="1:7">
      <c r="A193" t="s">
        <v>361</v>
      </c>
      <c r="B193">
        <v>-1</v>
      </c>
      <c r="C193">
        <v>-1</v>
      </c>
      <c r="D193">
        <v>3.1999999999999998E-10</v>
      </c>
      <c r="E193">
        <v>4.3999999999999998E-10</v>
      </c>
      <c r="F193">
        <v>-1</v>
      </c>
      <c r="G193">
        <v>-1</v>
      </c>
    </row>
    <row r="194" spans="1:7">
      <c r="A194" t="s">
        <v>362</v>
      </c>
      <c r="B194">
        <v>-1</v>
      </c>
      <c r="C194">
        <v>-1</v>
      </c>
      <c r="D194">
        <v>4.8000000000000002E-11</v>
      </c>
      <c r="E194">
        <v>7.5E-11</v>
      </c>
      <c r="F194">
        <v>-1</v>
      </c>
      <c r="G194">
        <v>-1</v>
      </c>
    </row>
    <row r="195" spans="1:7">
      <c r="A195" t="s">
        <v>191</v>
      </c>
      <c r="B195">
        <v>3E-11</v>
      </c>
      <c r="C195">
        <v>5.4000000000000001E-11</v>
      </c>
      <c r="D195">
        <v>5.6999999999999997E-11</v>
      </c>
      <c r="E195">
        <v>8.9000000000000003E-11</v>
      </c>
      <c r="F195">
        <v>6E-11</v>
      </c>
      <c r="G195">
        <v>9.3000000000000002E-11</v>
      </c>
    </row>
    <row r="196" spans="1:7">
      <c r="A196" t="s">
        <v>363</v>
      </c>
      <c r="B196">
        <v>4.0999999999999998E-10</v>
      </c>
      <c r="C196">
        <v>6.9E-10</v>
      </c>
      <c r="D196">
        <v>6.3E-10</v>
      </c>
      <c r="E196">
        <v>9.5000000000000003E-10</v>
      </c>
      <c r="F196">
        <v>-1</v>
      </c>
      <c r="G196">
        <v>-1</v>
      </c>
    </row>
    <row r="197" spans="1:7">
      <c r="A197" t="s">
        <v>11</v>
      </c>
      <c r="B197">
        <v>7.7000000000000003E-10</v>
      </c>
      <c r="C197">
        <v>9.2000000000000003E-10</v>
      </c>
      <c r="D197">
        <v>3.7000000000000001E-10</v>
      </c>
      <c r="E197">
        <v>3.3E-10</v>
      </c>
      <c r="F197">
        <v>-1</v>
      </c>
      <c r="G197">
        <v>-1</v>
      </c>
    </row>
    <row r="198" spans="1:7">
      <c r="A198" t="s">
        <v>13</v>
      </c>
      <c r="B198">
        <v>2.1999999999999998E-9</v>
      </c>
      <c r="C198">
        <v>3E-9</v>
      </c>
      <c r="D198">
        <v>3.4999999999999999E-9</v>
      </c>
      <c r="E198">
        <v>3.2000000000000001E-9</v>
      </c>
      <c r="F198">
        <v>-1</v>
      </c>
      <c r="G198">
        <v>-1</v>
      </c>
    </row>
    <row r="199" spans="1:7">
      <c r="A199" t="s">
        <v>364</v>
      </c>
      <c r="B199">
        <v>2.8000000000000002E-7</v>
      </c>
      <c r="C199">
        <v>3.3000000000000002E-7</v>
      </c>
      <c r="D199">
        <v>1.3E-7</v>
      </c>
      <c r="E199">
        <v>1.1999999999999999E-7</v>
      </c>
      <c r="F199">
        <v>-1</v>
      </c>
      <c r="G199">
        <v>-1</v>
      </c>
    </row>
    <row r="200" spans="1:7">
      <c r="A200" t="s">
        <v>365</v>
      </c>
      <c r="B200">
        <v>-1</v>
      </c>
      <c r="C200">
        <v>-1</v>
      </c>
      <c r="D200">
        <v>2.9999999999999999E-7</v>
      </c>
      <c r="E200">
        <v>2.6E-7</v>
      </c>
      <c r="F200">
        <v>-1</v>
      </c>
      <c r="G200">
        <v>-1</v>
      </c>
    </row>
    <row r="201" spans="1:7">
      <c r="A201" t="s">
        <v>366</v>
      </c>
      <c r="B201">
        <v>-1</v>
      </c>
      <c r="C201">
        <v>-1</v>
      </c>
      <c r="D201">
        <v>3.7E-7</v>
      </c>
      <c r="E201">
        <v>2.9999999999999999E-7</v>
      </c>
      <c r="F201">
        <v>-1</v>
      </c>
      <c r="G201">
        <v>-1</v>
      </c>
    </row>
    <row r="202" spans="1:7">
      <c r="A202" t="s">
        <v>367</v>
      </c>
      <c r="B202">
        <v>-1</v>
      </c>
      <c r="C202">
        <v>-1</v>
      </c>
      <c r="D202">
        <v>5.5999999999999999E-8</v>
      </c>
      <c r="E202">
        <v>7.7000000000000001E-8</v>
      </c>
      <c r="F202">
        <v>-1</v>
      </c>
      <c r="G202">
        <v>-1</v>
      </c>
    </row>
    <row r="203" spans="1:7">
      <c r="A203" t="s">
        <v>368</v>
      </c>
      <c r="B203">
        <v>-1</v>
      </c>
      <c r="C203">
        <v>-1</v>
      </c>
      <c r="D203">
        <v>2.4999999999999999E-7</v>
      </c>
      <c r="E203">
        <v>2.6E-7</v>
      </c>
      <c r="F203">
        <v>-1</v>
      </c>
      <c r="G203">
        <v>-1</v>
      </c>
    </row>
    <row r="204" spans="1:7">
      <c r="A204" t="s">
        <v>369</v>
      </c>
      <c r="B204">
        <v>-1</v>
      </c>
      <c r="C204">
        <v>-1</v>
      </c>
      <c r="D204">
        <v>6.6000000000000003E-6</v>
      </c>
      <c r="E204">
        <v>5.2000000000000002E-6</v>
      </c>
      <c r="F204">
        <v>-1</v>
      </c>
      <c r="G204">
        <v>-1</v>
      </c>
    </row>
    <row r="205" spans="1:7">
      <c r="A205" t="s">
        <v>370</v>
      </c>
      <c r="B205">
        <v>1.4E-8</v>
      </c>
      <c r="C205">
        <v>2.0999999999999999E-8</v>
      </c>
      <c r="D205">
        <v>-1</v>
      </c>
      <c r="E205">
        <v>-1</v>
      </c>
      <c r="F205">
        <v>-1</v>
      </c>
      <c r="G205">
        <v>-1</v>
      </c>
    </row>
    <row r="206" spans="1:7">
      <c r="A206" t="s">
        <v>72</v>
      </c>
      <c r="B206">
        <v>9.0999999999999996E-10</v>
      </c>
      <c r="C206">
        <v>1.3000000000000001E-9</v>
      </c>
      <c r="D206">
        <v>-1</v>
      </c>
      <c r="E206">
        <v>-1</v>
      </c>
      <c r="F206">
        <v>-1</v>
      </c>
      <c r="G206">
        <v>-1</v>
      </c>
    </row>
    <row r="207" spans="1:7">
      <c r="A207" t="s">
        <v>371</v>
      </c>
      <c r="B207">
        <v>1.2000000000000001E-11</v>
      </c>
      <c r="C207">
        <v>1.9999999999999999E-11</v>
      </c>
      <c r="D207">
        <v>1.7999999999999999E-11</v>
      </c>
      <c r="E207">
        <v>2.9E-11</v>
      </c>
      <c r="F207">
        <v>-1</v>
      </c>
      <c r="G207">
        <v>-1</v>
      </c>
    </row>
    <row r="208" spans="1:7">
      <c r="A208" t="s">
        <v>372</v>
      </c>
      <c r="B208">
        <v>2.7E-10</v>
      </c>
      <c r="C208">
        <v>4.7000000000000003E-10</v>
      </c>
      <c r="D208">
        <v>4.6000000000000001E-10</v>
      </c>
      <c r="E208">
        <v>7.1000000000000003E-10</v>
      </c>
      <c r="F208">
        <v>-1</v>
      </c>
      <c r="G208">
        <v>-1</v>
      </c>
    </row>
    <row r="209" spans="1:7">
      <c r="A209" t="s">
        <v>373</v>
      </c>
      <c r="B209">
        <v>6.7999999999999998E-11</v>
      </c>
      <c r="C209">
        <v>1.0999999999999999E-10</v>
      </c>
      <c r="D209">
        <v>2.3000000000000001E-10</v>
      </c>
      <c r="E209">
        <v>2.8000000000000002E-10</v>
      </c>
      <c r="F209">
        <v>-1</v>
      </c>
      <c r="G209">
        <v>-1</v>
      </c>
    </row>
    <row r="210" spans="1:7">
      <c r="A210" t="s">
        <v>374</v>
      </c>
      <c r="B210">
        <v>2.8E-11</v>
      </c>
      <c r="C210">
        <v>4.8999999999999999E-11</v>
      </c>
      <c r="D210">
        <v>5.0999999999999998E-11</v>
      </c>
      <c r="E210">
        <v>8.1000000000000005E-11</v>
      </c>
      <c r="F210">
        <v>-1</v>
      </c>
      <c r="G210">
        <v>-1</v>
      </c>
    </row>
    <row r="211" spans="1:7">
      <c r="A211" t="s">
        <v>375</v>
      </c>
      <c r="B211">
        <v>9.2999999999999996E-12</v>
      </c>
      <c r="C211">
        <v>1.6E-11</v>
      </c>
      <c r="D211">
        <v>1.6E-11</v>
      </c>
      <c r="E211">
        <v>2.6000000000000001E-11</v>
      </c>
      <c r="F211">
        <v>-1</v>
      </c>
      <c r="G211">
        <v>-1</v>
      </c>
    </row>
    <row r="212" spans="1:7">
      <c r="A212" t="s">
        <v>376</v>
      </c>
      <c r="B212">
        <v>3.1000000000000002E-10</v>
      </c>
      <c r="C212">
        <v>5.6000000000000003E-10</v>
      </c>
      <c r="D212">
        <v>5.4999999999999996E-10</v>
      </c>
      <c r="E212">
        <v>8.3999999999999999E-10</v>
      </c>
      <c r="F212">
        <v>-1</v>
      </c>
      <c r="G212">
        <v>-1</v>
      </c>
    </row>
    <row r="213" spans="1:7">
      <c r="A213" t="s">
        <v>377</v>
      </c>
      <c r="B213">
        <v>5.8E-11</v>
      </c>
      <c r="C213">
        <v>1E-10</v>
      </c>
      <c r="D213">
        <v>1.5E-10</v>
      </c>
      <c r="E213">
        <v>2.0000000000000001E-10</v>
      </c>
      <c r="F213">
        <v>-1</v>
      </c>
      <c r="G213">
        <v>-1</v>
      </c>
    </row>
    <row r="214" spans="1:7">
      <c r="A214" t="s">
        <v>378</v>
      </c>
      <c r="B214">
        <v>1.5E-11</v>
      </c>
      <c r="C214">
        <v>2.6000000000000001E-11</v>
      </c>
      <c r="D214">
        <v>2.0999999999999999E-11</v>
      </c>
      <c r="E214">
        <v>3.5000000000000002E-11</v>
      </c>
      <c r="F214">
        <v>-1</v>
      </c>
      <c r="G214">
        <v>-1</v>
      </c>
    </row>
    <row r="215" spans="1:7">
      <c r="A215" t="s">
        <v>379</v>
      </c>
      <c r="B215">
        <v>4.3999999999999997E-9</v>
      </c>
      <c r="C215">
        <v>5.2000000000000002E-9</v>
      </c>
      <c r="D215">
        <v>6E-9</v>
      </c>
      <c r="E215">
        <v>4.5999999999999998E-9</v>
      </c>
      <c r="F215">
        <v>-1</v>
      </c>
      <c r="G215">
        <v>-1</v>
      </c>
    </row>
    <row r="216" spans="1:7">
      <c r="A216" t="s">
        <v>380</v>
      </c>
      <c r="B216">
        <v>2.7E-10</v>
      </c>
      <c r="C216">
        <v>4.5E-10</v>
      </c>
      <c r="D216">
        <v>4.0999999999999998E-10</v>
      </c>
      <c r="E216">
        <v>5.9000000000000003E-10</v>
      </c>
      <c r="F216">
        <v>-1</v>
      </c>
      <c r="G216">
        <v>-1</v>
      </c>
    </row>
    <row r="217" spans="1:7">
      <c r="A217" t="s">
        <v>381</v>
      </c>
      <c r="B217">
        <v>2.5000000000000001E-5</v>
      </c>
      <c r="C217">
        <v>3.0000000000000001E-5</v>
      </c>
      <c r="D217">
        <v>1.1E-5</v>
      </c>
      <c r="E217">
        <v>7.1999999999999997E-6</v>
      </c>
      <c r="F217">
        <v>-1</v>
      </c>
      <c r="G217">
        <v>-1</v>
      </c>
    </row>
    <row r="218" spans="1:7">
      <c r="A218" t="s">
        <v>382</v>
      </c>
      <c r="B218">
        <v>2.5999999999999998E-10</v>
      </c>
      <c r="C218">
        <v>4.5E-10</v>
      </c>
      <c r="D218">
        <v>6.9999999999999996E-10</v>
      </c>
      <c r="E218">
        <v>7.8999999999999996E-10</v>
      </c>
      <c r="F218">
        <v>-1</v>
      </c>
      <c r="G218">
        <v>-1</v>
      </c>
    </row>
    <row r="219" spans="1:7">
      <c r="A219" t="s">
        <v>383</v>
      </c>
      <c r="B219">
        <v>7.7999999999999999E-10</v>
      </c>
      <c r="C219">
        <v>9.2999999999999999E-10</v>
      </c>
      <c r="D219">
        <v>8.0999999999999999E-10</v>
      </c>
      <c r="E219">
        <v>6.5000000000000003E-10</v>
      </c>
      <c r="F219">
        <v>-1</v>
      </c>
      <c r="G219">
        <v>-1</v>
      </c>
    </row>
    <row r="220" spans="1:7">
      <c r="A220" t="s">
        <v>35</v>
      </c>
      <c r="B220">
        <v>1.9000000000000001E-5</v>
      </c>
      <c r="C220">
        <v>2.1999999999999999E-5</v>
      </c>
      <c r="D220">
        <v>7.4000000000000003E-6</v>
      </c>
      <c r="E220">
        <v>5.0000000000000004E-6</v>
      </c>
      <c r="F220">
        <v>-1</v>
      </c>
      <c r="G220">
        <v>-1</v>
      </c>
    </row>
    <row r="221" spans="1:7">
      <c r="A221" t="s">
        <v>384</v>
      </c>
      <c r="B221">
        <v>2.1000000000000002E-9</v>
      </c>
      <c r="C221">
        <v>2.5000000000000001E-9</v>
      </c>
      <c r="D221">
        <v>1.9000000000000001E-9</v>
      </c>
      <c r="E221">
        <v>1.3999999999999999E-9</v>
      </c>
      <c r="F221">
        <v>-1</v>
      </c>
      <c r="G221">
        <v>-1</v>
      </c>
    </row>
    <row r="222" spans="1:7">
      <c r="A222" t="s">
        <v>385</v>
      </c>
      <c r="B222">
        <v>1.0999999999999999E-10</v>
      </c>
      <c r="C222">
        <v>1.8E-10</v>
      </c>
      <c r="D222">
        <v>2.7E-10</v>
      </c>
      <c r="E222">
        <v>3.9E-10</v>
      </c>
      <c r="F222">
        <v>-1</v>
      </c>
      <c r="G222">
        <v>-1</v>
      </c>
    </row>
    <row r="223" spans="1:7">
      <c r="A223" t="s">
        <v>386</v>
      </c>
      <c r="B223">
        <v>5.6999999999999997E-11</v>
      </c>
      <c r="C223">
        <v>9.8999999999999994E-11</v>
      </c>
      <c r="D223">
        <v>9.2000000000000005E-11</v>
      </c>
      <c r="E223">
        <v>1.2999999999999999E-10</v>
      </c>
      <c r="F223">
        <v>-1</v>
      </c>
      <c r="G223">
        <v>-1</v>
      </c>
    </row>
    <row r="224" spans="1:7">
      <c r="A224" t="s">
        <v>387</v>
      </c>
      <c r="B224">
        <v>1.6E-11</v>
      </c>
      <c r="C224">
        <v>2.8E-11</v>
      </c>
      <c r="D224">
        <v>2.6000000000000001E-11</v>
      </c>
      <c r="E224">
        <v>4.1999999999999997E-11</v>
      </c>
      <c r="F224">
        <v>-1</v>
      </c>
      <c r="G224">
        <v>-1</v>
      </c>
    </row>
    <row r="225" spans="1:7">
      <c r="A225" t="s">
        <v>388</v>
      </c>
      <c r="B225">
        <v>5.4E-10</v>
      </c>
      <c r="C225">
        <v>8.3000000000000003E-10</v>
      </c>
      <c r="D225">
        <v>1.3000000000000001E-8</v>
      </c>
      <c r="E225">
        <v>7.8999999999999996E-9</v>
      </c>
      <c r="F225">
        <v>-1</v>
      </c>
      <c r="G225">
        <v>-1</v>
      </c>
    </row>
    <row r="226" spans="1:7">
      <c r="A226" t="s">
        <v>389</v>
      </c>
      <c r="B226">
        <v>1.4000000000000001E-10</v>
      </c>
      <c r="C226">
        <v>2.5000000000000002E-10</v>
      </c>
      <c r="D226">
        <v>2.8999999999999998E-10</v>
      </c>
      <c r="E226">
        <v>3.7000000000000001E-10</v>
      </c>
      <c r="F226">
        <v>-1</v>
      </c>
      <c r="G226">
        <v>-1</v>
      </c>
    </row>
    <row r="227" spans="1:7">
      <c r="A227" t="s">
        <v>390</v>
      </c>
      <c r="B227">
        <v>4.9999999999999997E-12</v>
      </c>
      <c r="C227">
        <v>7.7999999999999999E-12</v>
      </c>
      <c r="D227">
        <v>9.9999999999999994E-12</v>
      </c>
      <c r="E227">
        <v>1.1000000000000001E-11</v>
      </c>
      <c r="F227">
        <v>-1</v>
      </c>
      <c r="G227">
        <v>-1</v>
      </c>
    </row>
    <row r="228" spans="1:7">
      <c r="A228" t="s">
        <v>391</v>
      </c>
      <c r="B228">
        <v>1.6E-11</v>
      </c>
      <c r="C228">
        <v>2.7E-11</v>
      </c>
      <c r="D228">
        <v>3.7000000000000001E-11</v>
      </c>
      <c r="E228">
        <v>5.4000000000000001E-11</v>
      </c>
      <c r="F228">
        <v>-1</v>
      </c>
      <c r="G228">
        <v>-1</v>
      </c>
    </row>
    <row r="229" spans="1:7">
      <c r="A229" t="s">
        <v>392</v>
      </c>
      <c r="B229">
        <v>1.5E-10</v>
      </c>
      <c r="C229">
        <v>2.5000000000000002E-10</v>
      </c>
      <c r="D229">
        <v>3.6E-10</v>
      </c>
      <c r="E229">
        <v>4.5E-10</v>
      </c>
      <c r="F229">
        <v>-1</v>
      </c>
      <c r="G229">
        <v>-1</v>
      </c>
    </row>
    <row r="230" spans="1:7">
      <c r="A230" t="s">
        <v>393</v>
      </c>
      <c r="B230">
        <v>4.8000000000000002E-11</v>
      </c>
      <c r="C230">
        <v>8.1000000000000005E-11</v>
      </c>
      <c r="D230">
        <v>9.7000000000000001E-11</v>
      </c>
      <c r="E230">
        <v>1.4000000000000001E-10</v>
      </c>
      <c r="F230">
        <v>-1</v>
      </c>
      <c r="G230">
        <v>-1</v>
      </c>
    </row>
    <row r="231" spans="1:7">
      <c r="A231" t="s">
        <v>394</v>
      </c>
      <c r="B231">
        <v>1.7000000000000001E-10</v>
      </c>
      <c r="C231">
        <v>2.8999999999999998E-10</v>
      </c>
      <c r="D231">
        <v>3.1999999999999998E-10</v>
      </c>
      <c r="E231">
        <v>4.3000000000000001E-10</v>
      </c>
      <c r="F231">
        <v>-1</v>
      </c>
      <c r="G231">
        <v>-1</v>
      </c>
    </row>
    <row r="232" spans="1:7">
      <c r="A232" t="s">
        <v>395</v>
      </c>
      <c r="B232">
        <v>3.2000000000000002E-8</v>
      </c>
      <c r="C232">
        <v>3.7E-8</v>
      </c>
      <c r="D232">
        <v>1.9000000000000001E-8</v>
      </c>
      <c r="E232">
        <v>1.3000000000000001E-8</v>
      </c>
      <c r="F232">
        <v>-1</v>
      </c>
      <c r="G232">
        <v>-1</v>
      </c>
    </row>
    <row r="233" spans="1:7">
      <c r="A233" t="s">
        <v>396</v>
      </c>
      <c r="B233">
        <v>7.8999999999999999E-11</v>
      </c>
      <c r="C233">
        <v>1.2999999999999999E-10</v>
      </c>
      <c r="D233">
        <v>1.5999999999999999E-10</v>
      </c>
      <c r="E233">
        <v>2.1999999999999999E-10</v>
      </c>
      <c r="F233">
        <v>-1</v>
      </c>
      <c r="G233">
        <v>-1</v>
      </c>
    </row>
    <row r="234" spans="1:7">
      <c r="A234" t="s">
        <v>397</v>
      </c>
      <c r="B234">
        <v>7.2E-10</v>
      </c>
      <c r="C234">
        <v>8.6999999999999999E-10</v>
      </c>
      <c r="D234">
        <v>1.0999999999999999E-9</v>
      </c>
      <c r="E234">
        <v>8.7999999999999996E-10</v>
      </c>
      <c r="F234">
        <v>-1</v>
      </c>
      <c r="G234">
        <v>-1</v>
      </c>
    </row>
    <row r="235" spans="1:7">
      <c r="A235" t="s">
        <v>398</v>
      </c>
      <c r="B235">
        <v>4.6999999999999999E-11</v>
      </c>
      <c r="C235">
        <v>8.3999999999999994E-11</v>
      </c>
      <c r="D235">
        <v>9.2000000000000005E-11</v>
      </c>
      <c r="E235">
        <v>1.5E-10</v>
      </c>
      <c r="F235">
        <v>-1</v>
      </c>
      <c r="G235">
        <v>-1</v>
      </c>
    </row>
    <row r="236" spans="1:7">
      <c r="A236" t="s">
        <v>399</v>
      </c>
      <c r="B236">
        <v>2.6E-7</v>
      </c>
      <c r="C236">
        <v>3.1E-7</v>
      </c>
      <c r="D236">
        <v>1.1000000000000001E-7</v>
      </c>
      <c r="E236">
        <v>7.7999999999999997E-8</v>
      </c>
      <c r="F236">
        <v>-1</v>
      </c>
      <c r="G236">
        <v>-1</v>
      </c>
    </row>
    <row r="237" spans="1:7">
      <c r="A237" t="s">
        <v>400</v>
      </c>
      <c r="B237">
        <v>1.0999999999999999E-9</v>
      </c>
      <c r="C237">
        <v>1.3999999999999999E-9</v>
      </c>
      <c r="D237">
        <v>3.6E-9</v>
      </c>
      <c r="E237">
        <v>3.2000000000000001E-9</v>
      </c>
      <c r="F237">
        <v>-1</v>
      </c>
      <c r="G237">
        <v>-1</v>
      </c>
    </row>
    <row r="238" spans="1:7">
      <c r="A238" t="s">
        <v>401</v>
      </c>
      <c r="B238">
        <v>6.3999999999999999E-11</v>
      </c>
      <c r="C238">
        <v>1.2E-10</v>
      </c>
      <c r="D238">
        <v>1.4000000000000001E-10</v>
      </c>
      <c r="E238">
        <v>2.0000000000000001E-10</v>
      </c>
      <c r="F238">
        <v>-1</v>
      </c>
      <c r="G238">
        <v>-1</v>
      </c>
    </row>
    <row r="239" spans="1:7">
      <c r="A239" t="s">
        <v>402</v>
      </c>
      <c r="B239">
        <v>1.3999999999999999E-9</v>
      </c>
      <c r="C239">
        <v>1.8E-9</v>
      </c>
      <c r="D239">
        <v>4.6999999999999999E-9</v>
      </c>
      <c r="E239">
        <v>4.1000000000000003E-9</v>
      </c>
      <c r="F239">
        <v>-1</v>
      </c>
      <c r="G239">
        <v>-1</v>
      </c>
    </row>
    <row r="240" spans="1:7">
      <c r="A240" t="s">
        <v>403</v>
      </c>
      <c r="B240">
        <v>2.9999999999999999E-7</v>
      </c>
      <c r="C240">
        <v>3.5999999999999999E-7</v>
      </c>
      <c r="D240">
        <v>1.1999999999999999E-7</v>
      </c>
      <c r="E240">
        <v>8.3000000000000002E-8</v>
      </c>
      <c r="F240">
        <v>-1</v>
      </c>
      <c r="G240">
        <v>-1</v>
      </c>
    </row>
    <row r="241" spans="1:7">
      <c r="A241" t="s">
        <v>404</v>
      </c>
      <c r="B241">
        <v>2.3000000000000001E-11</v>
      </c>
      <c r="C241">
        <v>3.9999999999999998E-11</v>
      </c>
      <c r="D241">
        <v>4.6999999999999999E-11</v>
      </c>
      <c r="E241">
        <v>7.1E-11</v>
      </c>
      <c r="F241">
        <v>-1</v>
      </c>
      <c r="G241">
        <v>-1</v>
      </c>
    </row>
    <row r="242" spans="1:7">
      <c r="A242" t="s">
        <v>405</v>
      </c>
      <c r="B242">
        <v>2.6000000000000001E-11</v>
      </c>
      <c r="C242">
        <v>4.4000000000000003E-11</v>
      </c>
      <c r="D242">
        <v>5.8E-11</v>
      </c>
      <c r="E242">
        <v>8.2999999999999998E-11</v>
      </c>
      <c r="F242">
        <v>-1</v>
      </c>
      <c r="G242">
        <v>-1</v>
      </c>
    </row>
    <row r="243" spans="1:7">
      <c r="A243" t="s">
        <v>406</v>
      </c>
      <c r="B243">
        <v>1.2999999999999999E-10</v>
      </c>
      <c r="C243">
        <v>2.3000000000000001E-10</v>
      </c>
      <c r="D243">
        <v>3.3E-10</v>
      </c>
      <c r="E243">
        <v>4.5E-10</v>
      </c>
      <c r="F243">
        <v>-1</v>
      </c>
      <c r="G243">
        <v>-1</v>
      </c>
    </row>
    <row r="244" spans="1:7">
      <c r="A244" t="s">
        <v>407</v>
      </c>
      <c r="B244">
        <v>2.6000000000000001E-11</v>
      </c>
      <c r="C244">
        <v>4.6999999999999999E-11</v>
      </c>
      <c r="D244">
        <v>7.5E-11</v>
      </c>
      <c r="E244">
        <v>1E-10</v>
      </c>
      <c r="F244">
        <v>-1</v>
      </c>
      <c r="G244">
        <v>-1</v>
      </c>
    </row>
    <row r="245" spans="1:7">
      <c r="A245" t="s">
        <v>408</v>
      </c>
      <c r="B245">
        <v>1.0999999999999999E-10</v>
      </c>
      <c r="C245">
        <v>2.0000000000000001E-10</v>
      </c>
      <c r="D245">
        <v>2.5999999999999998E-10</v>
      </c>
      <c r="E245">
        <v>3.7999999999999998E-10</v>
      </c>
      <c r="F245">
        <v>-1</v>
      </c>
      <c r="G245">
        <v>-1</v>
      </c>
    </row>
    <row r="246" spans="1:7">
      <c r="A246" t="s">
        <v>409</v>
      </c>
      <c r="B246">
        <v>1.4999999999999999E-8</v>
      </c>
      <c r="C246">
        <v>1.9000000000000001E-8</v>
      </c>
      <c r="D246">
        <v>7.8000000000000004E-9</v>
      </c>
      <c r="E246">
        <v>5.3000000000000003E-9</v>
      </c>
      <c r="F246">
        <v>-1</v>
      </c>
      <c r="G246">
        <v>-1</v>
      </c>
    </row>
    <row r="247" spans="1:7">
      <c r="A247" t="s">
        <v>410</v>
      </c>
      <c r="B247">
        <v>2.4000000000000001E-11</v>
      </c>
      <c r="C247">
        <v>4.4000000000000003E-11</v>
      </c>
      <c r="D247">
        <v>7.1999999999999997E-11</v>
      </c>
      <c r="E247">
        <v>9.2000000000000005E-11</v>
      </c>
      <c r="F247">
        <v>-1</v>
      </c>
      <c r="G247">
        <v>-1</v>
      </c>
    </row>
    <row r="248" spans="1:7">
      <c r="A248" t="s">
        <v>411</v>
      </c>
      <c r="B248">
        <v>1.2999999999999999E-10</v>
      </c>
      <c r="C248">
        <v>2.1999999999999999E-10</v>
      </c>
      <c r="D248">
        <v>5.1E-10</v>
      </c>
      <c r="E248">
        <v>6.5000000000000003E-10</v>
      </c>
      <c r="F248">
        <v>-1</v>
      </c>
      <c r="G248">
        <v>-1</v>
      </c>
    </row>
    <row r="249" spans="1:7">
      <c r="A249" t="s">
        <v>412</v>
      </c>
      <c r="B249">
        <v>5.0000000000000002E-11</v>
      </c>
      <c r="C249">
        <v>8.5000000000000004E-11</v>
      </c>
      <c r="D249">
        <v>2.8999999999999998E-10</v>
      </c>
      <c r="E249">
        <v>2.8000000000000002E-10</v>
      </c>
      <c r="F249">
        <v>-1</v>
      </c>
      <c r="G249">
        <v>-1</v>
      </c>
    </row>
    <row r="250" spans="1:7">
      <c r="A250" t="s">
        <v>413</v>
      </c>
      <c r="B250">
        <v>1E-10</v>
      </c>
      <c r="C250">
        <v>1.8E-10</v>
      </c>
      <c r="D250">
        <v>5.1E-10</v>
      </c>
      <c r="E250">
        <v>6.6E-10</v>
      </c>
      <c r="F250">
        <v>-1</v>
      </c>
      <c r="G250">
        <v>-1</v>
      </c>
    </row>
    <row r="251" spans="1:7">
      <c r="A251" t="s">
        <v>414</v>
      </c>
      <c r="B251">
        <v>1.6E-11</v>
      </c>
      <c r="C251">
        <v>2.7E-11</v>
      </c>
      <c r="D251">
        <v>3.3000000000000002E-11</v>
      </c>
      <c r="E251">
        <v>5.2000000000000001E-11</v>
      </c>
      <c r="F251">
        <v>-1</v>
      </c>
      <c r="G251">
        <v>-1</v>
      </c>
    </row>
    <row r="252" spans="1:7">
      <c r="A252" t="s">
        <v>415</v>
      </c>
      <c r="B252">
        <v>5.7E-10</v>
      </c>
      <c r="C252">
        <v>7.5E-10</v>
      </c>
      <c r="D252">
        <v>2.2999999999999999E-9</v>
      </c>
      <c r="E252">
        <v>1.9000000000000001E-9</v>
      </c>
      <c r="F252">
        <v>-1</v>
      </c>
      <c r="G252">
        <v>-1</v>
      </c>
    </row>
    <row r="253" spans="1:7">
      <c r="A253" t="s">
        <v>416</v>
      </c>
      <c r="B253">
        <v>-1</v>
      </c>
      <c r="C253">
        <v>-1</v>
      </c>
      <c r="D253">
        <v>1.9999999999999999E-11</v>
      </c>
      <c r="E253">
        <v>3.1999999999999999E-11</v>
      </c>
      <c r="F253">
        <v>-1</v>
      </c>
      <c r="G253">
        <v>-1</v>
      </c>
    </row>
    <row r="254" spans="1:7">
      <c r="A254" t="s">
        <v>417</v>
      </c>
      <c r="B254">
        <v>-1</v>
      </c>
      <c r="C254">
        <v>-1</v>
      </c>
      <c r="D254">
        <v>4.4999999999999998E-12</v>
      </c>
      <c r="E254">
        <v>7.5999999999999999E-12</v>
      </c>
      <c r="F254">
        <v>-1</v>
      </c>
      <c r="G254">
        <v>-1</v>
      </c>
    </row>
    <row r="255" spans="1:7">
      <c r="A255" t="s">
        <v>418</v>
      </c>
      <c r="B255">
        <v>-1</v>
      </c>
      <c r="C255">
        <v>-1</v>
      </c>
      <c r="D255">
        <v>6.3000000000000002E-12</v>
      </c>
      <c r="E255">
        <v>9.9999999999999994E-12</v>
      </c>
      <c r="F255">
        <v>-1</v>
      </c>
      <c r="G255">
        <v>-1</v>
      </c>
    </row>
    <row r="256" spans="1:7">
      <c r="A256" t="s">
        <v>419</v>
      </c>
      <c r="B256">
        <v>-1</v>
      </c>
      <c r="C256">
        <v>-1</v>
      </c>
      <c r="D256">
        <v>6.3000000000000002E-12</v>
      </c>
      <c r="E256">
        <v>9.9999999999999994E-12</v>
      </c>
      <c r="F256">
        <v>-1</v>
      </c>
      <c r="G256">
        <v>-1</v>
      </c>
    </row>
    <row r="257" spans="1:7">
      <c r="A257" t="s">
        <v>420</v>
      </c>
      <c r="B257">
        <v>-1</v>
      </c>
      <c r="C257">
        <v>-1</v>
      </c>
      <c r="D257">
        <v>2.9000000000000002E-12</v>
      </c>
      <c r="E257">
        <v>4.4999999999999998E-12</v>
      </c>
      <c r="F257">
        <v>-1</v>
      </c>
      <c r="G257">
        <v>-1</v>
      </c>
    </row>
    <row r="258" spans="1:7">
      <c r="A258" t="s">
        <v>421</v>
      </c>
      <c r="B258">
        <v>-1</v>
      </c>
      <c r="C258">
        <v>-1</v>
      </c>
      <c r="D258">
        <v>2.2000000000000002E-11</v>
      </c>
      <c r="E258">
        <v>3.3000000000000002E-11</v>
      </c>
      <c r="F258">
        <v>-1</v>
      </c>
      <c r="G258">
        <v>-1</v>
      </c>
    </row>
    <row r="259" spans="1:7">
      <c r="A259" t="s">
        <v>422</v>
      </c>
      <c r="B259">
        <v>-1</v>
      </c>
      <c r="C259">
        <v>-1</v>
      </c>
      <c r="D259">
        <v>8.5999999999999997E-12</v>
      </c>
      <c r="E259">
        <v>1.3E-11</v>
      </c>
      <c r="F259">
        <v>-1</v>
      </c>
      <c r="G259">
        <v>-1</v>
      </c>
    </row>
    <row r="260" spans="1:7">
      <c r="A260" t="s">
        <v>423</v>
      </c>
      <c r="B260">
        <v>-1</v>
      </c>
      <c r="C260">
        <v>-1</v>
      </c>
      <c r="D260">
        <v>1.2000000000000001E-11</v>
      </c>
      <c r="E260">
        <v>1.6E-11</v>
      </c>
      <c r="F260">
        <v>-1</v>
      </c>
      <c r="G260">
        <v>-1</v>
      </c>
    </row>
    <row r="261" spans="1:7">
      <c r="A261" t="s">
        <v>424</v>
      </c>
      <c r="B261">
        <v>-1</v>
      </c>
      <c r="C261">
        <v>-1</v>
      </c>
      <c r="D261">
        <v>6.6E-10</v>
      </c>
      <c r="E261">
        <v>8.3000000000000003E-10</v>
      </c>
      <c r="F261">
        <v>-1</v>
      </c>
      <c r="G261">
        <v>-1</v>
      </c>
    </row>
    <row r="262" spans="1:7">
      <c r="A262" t="s">
        <v>425</v>
      </c>
      <c r="B262">
        <v>-1</v>
      </c>
      <c r="C262">
        <v>-1</v>
      </c>
      <c r="D262">
        <v>1.1000000000000001E-7</v>
      </c>
      <c r="E262">
        <v>7.7999999999999997E-8</v>
      </c>
      <c r="F262">
        <v>-1</v>
      </c>
      <c r="G262">
        <v>-1</v>
      </c>
    </row>
    <row r="263" spans="1:7">
      <c r="A263" t="s">
        <v>426</v>
      </c>
      <c r="B263">
        <v>-1</v>
      </c>
      <c r="C263">
        <v>-1</v>
      </c>
      <c r="D263">
        <v>7.1E-11</v>
      </c>
      <c r="E263">
        <v>1E-10</v>
      </c>
      <c r="F263">
        <v>-1</v>
      </c>
      <c r="G263">
        <v>-1</v>
      </c>
    </row>
    <row r="264" spans="1:7">
      <c r="A264" t="s">
        <v>190</v>
      </c>
      <c r="B264">
        <v>1E-10</v>
      </c>
      <c r="C264">
        <v>1.8999999999999999E-10</v>
      </c>
      <c r="D264">
        <v>-1</v>
      </c>
      <c r="E264">
        <v>-1</v>
      </c>
      <c r="F264">
        <v>-1</v>
      </c>
      <c r="G264">
        <v>-1</v>
      </c>
    </row>
    <row r="265" spans="1:7">
      <c r="A265" t="s">
        <v>427</v>
      </c>
      <c r="B265">
        <v>8.6999999999999997E-11</v>
      </c>
      <c r="C265">
        <v>1.4000000000000001E-10</v>
      </c>
      <c r="D265">
        <v>-1</v>
      </c>
      <c r="E265">
        <v>-1</v>
      </c>
      <c r="F265">
        <v>-1</v>
      </c>
      <c r="G265">
        <v>-1</v>
      </c>
    </row>
    <row r="266" spans="1:7">
      <c r="A266" t="s">
        <v>189</v>
      </c>
      <c r="B266">
        <v>2.8E-11</v>
      </c>
      <c r="C266">
        <v>3.9000000000000001E-11</v>
      </c>
      <c r="D266">
        <v>-1</v>
      </c>
      <c r="E266">
        <v>-1</v>
      </c>
      <c r="F266">
        <v>-1</v>
      </c>
      <c r="G266">
        <v>-1</v>
      </c>
    </row>
    <row r="267" spans="1:7">
      <c r="A267" t="s">
        <v>25</v>
      </c>
      <c r="B267">
        <v>7.5999999999999996E-11</v>
      </c>
      <c r="C267">
        <v>1.0999999999999999E-10</v>
      </c>
      <c r="D267">
        <v>-1</v>
      </c>
      <c r="E267">
        <v>-1</v>
      </c>
      <c r="F267">
        <v>-1</v>
      </c>
      <c r="G267">
        <v>-1</v>
      </c>
    </row>
    <row r="268" spans="1:7">
      <c r="A268" t="s">
        <v>26</v>
      </c>
      <c r="B268">
        <v>4.4999999999999998E-9</v>
      </c>
      <c r="C268">
        <v>6.3000000000000002E-9</v>
      </c>
      <c r="D268">
        <v>-1</v>
      </c>
      <c r="E268">
        <v>-1</v>
      </c>
      <c r="F268">
        <v>-1</v>
      </c>
      <c r="G268">
        <v>-1</v>
      </c>
    </row>
    <row r="269" spans="1:7">
      <c r="A269" t="s">
        <v>27</v>
      </c>
      <c r="B269">
        <v>5.3000000000000003E-9</v>
      </c>
      <c r="C269">
        <v>7.3E-9</v>
      </c>
      <c r="D269">
        <v>-1</v>
      </c>
      <c r="E269">
        <v>-1</v>
      </c>
      <c r="F269">
        <v>-1</v>
      </c>
      <c r="G269">
        <v>-1</v>
      </c>
    </row>
    <row r="270" spans="1:7">
      <c r="A270" t="s">
        <v>188</v>
      </c>
      <c r="B270">
        <v>1E-8</v>
      </c>
      <c r="C270">
        <v>1.4E-8</v>
      </c>
      <c r="D270">
        <v>-1</v>
      </c>
      <c r="E270">
        <v>-1</v>
      </c>
      <c r="F270">
        <v>-1</v>
      </c>
      <c r="G270">
        <v>-1</v>
      </c>
    </row>
    <row r="271" spans="1:7">
      <c r="A271" t="s">
        <v>187</v>
      </c>
      <c r="B271">
        <v>1.4E-11</v>
      </c>
      <c r="C271">
        <v>2.2000000000000002E-11</v>
      </c>
      <c r="D271">
        <v>-1</v>
      </c>
      <c r="E271">
        <v>-1</v>
      </c>
      <c r="F271">
        <v>-1</v>
      </c>
      <c r="G271">
        <v>-1</v>
      </c>
    </row>
    <row r="272" spans="1:7">
      <c r="A272" t="s">
        <v>28</v>
      </c>
      <c r="B272">
        <v>3.7E-8</v>
      </c>
      <c r="C272">
        <v>5.1E-8</v>
      </c>
      <c r="D272">
        <v>-1</v>
      </c>
      <c r="E272">
        <v>-1</v>
      </c>
      <c r="F272">
        <v>-1</v>
      </c>
      <c r="G272">
        <v>-1</v>
      </c>
    </row>
    <row r="273" spans="1:7">
      <c r="A273" t="s">
        <v>186</v>
      </c>
      <c r="B273">
        <v>6.9E-10</v>
      </c>
      <c r="C273">
        <v>9.5999999999999999E-10</v>
      </c>
      <c r="D273">
        <v>-1</v>
      </c>
      <c r="E273">
        <v>-1</v>
      </c>
      <c r="F273">
        <v>-1</v>
      </c>
      <c r="G273">
        <v>-1</v>
      </c>
    </row>
    <row r="274" spans="1:7">
      <c r="A274" t="s">
        <v>30</v>
      </c>
      <c r="B274">
        <v>7.6000000000000002E-9</v>
      </c>
      <c r="C274">
        <v>1.0999999999999999E-8</v>
      </c>
      <c r="D274">
        <v>-1</v>
      </c>
      <c r="E274">
        <v>-1</v>
      </c>
      <c r="F274">
        <v>-1</v>
      </c>
      <c r="G274">
        <v>-1</v>
      </c>
    </row>
    <row r="275" spans="1:7">
      <c r="A275" t="s">
        <v>185</v>
      </c>
      <c r="B275">
        <v>9.6000000000000005E-11</v>
      </c>
      <c r="C275">
        <v>2.0000000000000001E-10</v>
      </c>
      <c r="D275">
        <v>-1</v>
      </c>
      <c r="E275">
        <v>-1</v>
      </c>
      <c r="F275">
        <v>-1</v>
      </c>
      <c r="G275">
        <v>-1</v>
      </c>
    </row>
    <row r="276" spans="1:7">
      <c r="A276" t="s">
        <v>428</v>
      </c>
      <c r="B276">
        <v>8.1000000000000005E-11</v>
      </c>
      <c r="C276">
        <v>1.0999999999999999E-10</v>
      </c>
      <c r="D276">
        <v>-1</v>
      </c>
      <c r="E276">
        <v>-1</v>
      </c>
      <c r="F276">
        <v>-1</v>
      </c>
      <c r="G276">
        <v>-1</v>
      </c>
    </row>
    <row r="277" spans="1:7">
      <c r="A277" t="s">
        <v>184</v>
      </c>
      <c r="B277">
        <v>1.5E-9</v>
      </c>
      <c r="C277">
        <v>2.1000000000000002E-9</v>
      </c>
      <c r="D277">
        <v>-1</v>
      </c>
      <c r="E277">
        <v>-1</v>
      </c>
      <c r="F277">
        <v>-1</v>
      </c>
      <c r="G277">
        <v>-1</v>
      </c>
    </row>
    <row r="278" spans="1:7">
      <c r="A278" t="s">
        <v>183</v>
      </c>
      <c r="B278">
        <v>4.8000000000000002E-11</v>
      </c>
      <c r="C278">
        <v>7.8999999999999999E-11</v>
      </c>
      <c r="D278">
        <v>-1</v>
      </c>
      <c r="E278">
        <v>-1</v>
      </c>
      <c r="F278">
        <v>-1</v>
      </c>
      <c r="G278">
        <v>-1</v>
      </c>
    </row>
    <row r="279" spans="1:7">
      <c r="A279" t="s">
        <v>182</v>
      </c>
      <c r="B279">
        <v>3.3E-10</v>
      </c>
      <c r="C279">
        <v>4.6000000000000001E-10</v>
      </c>
      <c r="D279">
        <v>-1</v>
      </c>
      <c r="E279">
        <v>-1</v>
      </c>
      <c r="F279">
        <v>-1</v>
      </c>
      <c r="G279">
        <v>-1</v>
      </c>
    </row>
    <row r="280" spans="1:7">
      <c r="A280" t="s">
        <v>429</v>
      </c>
      <c r="B280">
        <v>3.1999999999999999E-11</v>
      </c>
      <c r="C280">
        <v>5.6999999999999997E-11</v>
      </c>
      <c r="D280">
        <v>4.4000000000000003E-11</v>
      </c>
      <c r="E280">
        <v>7.3000000000000006E-11</v>
      </c>
      <c r="F280">
        <v>-1</v>
      </c>
      <c r="G280">
        <v>-1</v>
      </c>
    </row>
    <row r="281" spans="1:7">
      <c r="A281" t="s">
        <v>430</v>
      </c>
      <c r="B281">
        <v>1.2E-10</v>
      </c>
      <c r="C281">
        <v>2.1999999999999999E-10</v>
      </c>
      <c r="D281">
        <v>1.4000000000000001E-10</v>
      </c>
      <c r="E281">
        <v>2.5000000000000002E-10</v>
      </c>
      <c r="F281">
        <v>-1</v>
      </c>
      <c r="G281">
        <v>-1</v>
      </c>
    </row>
    <row r="282" spans="1:7">
      <c r="A282" t="s">
        <v>431</v>
      </c>
      <c r="B282">
        <v>3.1000000000000003E-11</v>
      </c>
      <c r="C282">
        <v>5.4999999999999997E-11</v>
      </c>
      <c r="D282">
        <v>5.0000000000000002E-11</v>
      </c>
      <c r="E282">
        <v>8.1000000000000005E-11</v>
      </c>
      <c r="F282">
        <v>-1</v>
      </c>
      <c r="G282">
        <v>-1</v>
      </c>
    </row>
    <row r="283" spans="1:7">
      <c r="A283" t="s">
        <v>432</v>
      </c>
      <c r="B283">
        <v>1.2999999999999999E-10</v>
      </c>
      <c r="C283">
        <v>2.1999999999999999E-10</v>
      </c>
      <c r="D283">
        <v>2.3000000000000001E-10</v>
      </c>
      <c r="E283">
        <v>3.1000000000000002E-10</v>
      </c>
      <c r="F283">
        <v>-1</v>
      </c>
      <c r="G283">
        <v>-1</v>
      </c>
    </row>
    <row r="284" spans="1:7">
      <c r="A284" t="s">
        <v>433</v>
      </c>
      <c r="B284">
        <v>4.9999999999999997E-12</v>
      </c>
      <c r="C284">
        <v>8.5999999999999997E-12</v>
      </c>
      <c r="D284">
        <v>7.7999999999999999E-12</v>
      </c>
      <c r="E284">
        <v>1.3E-11</v>
      </c>
      <c r="F284">
        <v>-1</v>
      </c>
      <c r="G284">
        <v>-1</v>
      </c>
    </row>
    <row r="285" spans="1:7">
      <c r="A285" t="s">
        <v>434</v>
      </c>
      <c r="B285">
        <v>9.9999999999999994E-12</v>
      </c>
      <c r="C285">
        <v>1.8999999999999999E-11</v>
      </c>
      <c r="D285">
        <v>1.9999999999999999E-11</v>
      </c>
      <c r="E285">
        <v>3.1999999999999999E-11</v>
      </c>
      <c r="F285">
        <v>-1</v>
      </c>
      <c r="G285">
        <v>-1</v>
      </c>
    </row>
    <row r="286" spans="1:7">
      <c r="A286" t="s">
        <v>435</v>
      </c>
      <c r="B286">
        <v>9.3000000000000006E-9</v>
      </c>
      <c r="C286">
        <v>1.0999999999999999E-8</v>
      </c>
      <c r="D286">
        <v>5.8999999999999999E-9</v>
      </c>
      <c r="E286">
        <v>5.8999999999999999E-9</v>
      </c>
      <c r="F286">
        <v>-1</v>
      </c>
      <c r="G286">
        <v>-1</v>
      </c>
    </row>
    <row r="287" spans="1:7">
      <c r="A287" t="s">
        <v>436</v>
      </c>
      <c r="B287">
        <v>3.9000000000000002E-7</v>
      </c>
      <c r="C287">
        <v>4.4999999999999998E-7</v>
      </c>
      <c r="D287">
        <v>1.4999999999999999E-7</v>
      </c>
      <c r="E287">
        <v>1.1000000000000001E-7</v>
      </c>
      <c r="F287">
        <v>-1</v>
      </c>
      <c r="G287">
        <v>-1</v>
      </c>
    </row>
    <row r="288" spans="1:7">
      <c r="A288" t="s">
        <v>437</v>
      </c>
      <c r="B288">
        <v>2.5000000000000001E-11</v>
      </c>
      <c r="C288">
        <v>4.5E-11</v>
      </c>
      <c r="D288">
        <v>6E-11</v>
      </c>
      <c r="E288">
        <v>8.6999999999999997E-11</v>
      </c>
      <c r="F288">
        <v>-1</v>
      </c>
      <c r="G288">
        <v>-1</v>
      </c>
    </row>
    <row r="289" spans="1:7">
      <c r="A289" t="s">
        <v>438</v>
      </c>
      <c r="B289">
        <v>3E-11</v>
      </c>
      <c r="C289">
        <v>5.4999999999999997E-11</v>
      </c>
      <c r="D289">
        <v>4.8000000000000002E-11</v>
      </c>
      <c r="E289">
        <v>7.9999999999999995E-11</v>
      </c>
      <c r="F289">
        <v>-1</v>
      </c>
      <c r="G289">
        <v>-1</v>
      </c>
    </row>
    <row r="290" spans="1:7">
      <c r="A290" t="s">
        <v>439</v>
      </c>
      <c r="B290">
        <v>1.6E-11</v>
      </c>
      <c r="C290">
        <v>2.8E-11</v>
      </c>
      <c r="D290">
        <v>3E-11</v>
      </c>
      <c r="E290">
        <v>4.8000000000000002E-11</v>
      </c>
      <c r="F290">
        <v>-1</v>
      </c>
      <c r="G290">
        <v>-1</v>
      </c>
    </row>
    <row r="291" spans="1:7">
      <c r="A291" t="s">
        <v>440</v>
      </c>
      <c r="B291">
        <v>3.1000000000000003E-11</v>
      </c>
      <c r="C291">
        <v>5.4999999999999997E-11</v>
      </c>
      <c r="D291">
        <v>7.3000000000000006E-11</v>
      </c>
      <c r="E291">
        <v>1.0999999999999999E-10</v>
      </c>
      <c r="F291">
        <v>-1</v>
      </c>
      <c r="G291">
        <v>-1</v>
      </c>
    </row>
    <row r="292" spans="1:7">
      <c r="A292" t="s">
        <v>441</v>
      </c>
      <c r="B292">
        <v>1.1000000000000001E-11</v>
      </c>
      <c r="C292">
        <v>1.7999999999999999E-11</v>
      </c>
      <c r="D292">
        <v>1.7999999999999999E-11</v>
      </c>
      <c r="E292">
        <v>2.9E-11</v>
      </c>
      <c r="F292">
        <v>-1</v>
      </c>
      <c r="G292">
        <v>-1</v>
      </c>
    </row>
    <row r="293" spans="1:7">
      <c r="A293" t="s">
        <v>442</v>
      </c>
      <c r="B293">
        <v>1.5E-11</v>
      </c>
      <c r="C293">
        <v>2.6000000000000001E-11</v>
      </c>
      <c r="D293">
        <v>2.4000000000000001E-11</v>
      </c>
      <c r="E293">
        <v>3.9000000000000001E-11</v>
      </c>
      <c r="F293">
        <v>2.5000000000000001E-11</v>
      </c>
      <c r="G293">
        <v>3.9999999999999998E-11</v>
      </c>
    </row>
    <row r="294" spans="1:7">
      <c r="A294" t="s">
        <v>443</v>
      </c>
      <c r="B294">
        <v>6.7000000000000001E-11</v>
      </c>
      <c r="C294">
        <v>1.2E-10</v>
      </c>
      <c r="D294">
        <v>1.0999999999999999E-10</v>
      </c>
      <c r="E294">
        <v>1.8E-10</v>
      </c>
      <c r="F294">
        <v>1.2E-10</v>
      </c>
      <c r="G294">
        <v>1.8999999999999999E-10</v>
      </c>
    </row>
    <row r="295" spans="1:7">
      <c r="A295" t="s">
        <v>444</v>
      </c>
      <c r="B295">
        <v>8.8000000000000006E-11</v>
      </c>
      <c r="C295">
        <v>1.5E-10</v>
      </c>
      <c r="D295">
        <v>1.8E-10</v>
      </c>
      <c r="E295">
        <v>2.5000000000000002E-10</v>
      </c>
      <c r="F295">
        <v>1.8999999999999999E-10</v>
      </c>
      <c r="G295">
        <v>2.5999999999999998E-10</v>
      </c>
    </row>
    <row r="296" spans="1:7">
      <c r="A296" t="s">
        <v>445</v>
      </c>
      <c r="B296">
        <v>1.8E-10</v>
      </c>
      <c r="C296">
        <v>3.3E-10</v>
      </c>
      <c r="D296">
        <v>3.1999999999999998E-10</v>
      </c>
      <c r="E296">
        <v>4.8E-10</v>
      </c>
      <c r="F296">
        <v>3.3E-10</v>
      </c>
      <c r="G296">
        <v>5.0000000000000003E-10</v>
      </c>
    </row>
    <row r="297" spans="1:7">
      <c r="A297" t="s">
        <v>446</v>
      </c>
      <c r="B297">
        <v>2.5000000000000001E-11</v>
      </c>
      <c r="C297">
        <v>4.5E-11</v>
      </c>
      <c r="D297">
        <v>4.3E-11</v>
      </c>
      <c r="E297">
        <v>6.8999999999999994E-11</v>
      </c>
      <c r="F297">
        <v>4.5E-11</v>
      </c>
      <c r="G297">
        <v>7.1E-11</v>
      </c>
    </row>
    <row r="298" spans="1:7">
      <c r="A298" t="s">
        <v>447</v>
      </c>
      <c r="B298">
        <v>3.9999999999999998E-11</v>
      </c>
      <c r="C298">
        <v>7.1999999999999997E-11</v>
      </c>
      <c r="D298">
        <v>7.5E-11</v>
      </c>
      <c r="E298">
        <v>1.0999999999999999E-10</v>
      </c>
      <c r="F298">
        <v>7.8999999999999999E-11</v>
      </c>
      <c r="G298">
        <v>1.2E-10</v>
      </c>
    </row>
    <row r="299" spans="1:7">
      <c r="A299" t="s">
        <v>448</v>
      </c>
      <c r="B299">
        <v>2.5999999999999998E-10</v>
      </c>
      <c r="C299">
        <v>4.3999999999999998E-10</v>
      </c>
      <c r="D299">
        <v>4.0999999999999998E-10</v>
      </c>
      <c r="E299">
        <v>6E-10</v>
      </c>
      <c r="F299">
        <v>4.3000000000000001E-10</v>
      </c>
      <c r="G299">
        <v>6.2000000000000003E-10</v>
      </c>
    </row>
    <row r="300" spans="1:7">
      <c r="A300" t="s">
        <v>449</v>
      </c>
      <c r="B300">
        <v>1.0999999999999999E-10</v>
      </c>
      <c r="C300">
        <v>1.7000000000000001E-10</v>
      </c>
      <c r="D300">
        <v>4.8E-10</v>
      </c>
      <c r="E300">
        <v>4.0999999999999998E-10</v>
      </c>
      <c r="F300">
        <v>5.4999999999999996E-10</v>
      </c>
      <c r="G300">
        <v>4.6000000000000001E-10</v>
      </c>
    </row>
    <row r="301" spans="1:7">
      <c r="A301" t="s">
        <v>450</v>
      </c>
      <c r="B301">
        <v>7.8999999999999996E-10</v>
      </c>
      <c r="C301">
        <v>1.2E-9</v>
      </c>
      <c r="D301">
        <v>2.0000000000000001E-9</v>
      </c>
      <c r="E301">
        <v>2.2999999999999999E-9</v>
      </c>
      <c r="F301">
        <v>2.2999999999999999E-9</v>
      </c>
      <c r="G301">
        <v>2.5000000000000001E-9</v>
      </c>
    </row>
    <row r="302" spans="1:7">
      <c r="A302" t="s">
        <v>451</v>
      </c>
      <c r="B302">
        <v>3.7E-12</v>
      </c>
      <c r="C302">
        <v>5.6000000000000004E-12</v>
      </c>
      <c r="D302">
        <v>8.9999999999999996E-12</v>
      </c>
      <c r="E302">
        <v>9.9999999999999994E-12</v>
      </c>
      <c r="F302">
        <v>9.9999999999999994E-12</v>
      </c>
      <c r="G302">
        <v>1.1000000000000001E-11</v>
      </c>
    </row>
    <row r="303" spans="1:7">
      <c r="A303" t="s">
        <v>452</v>
      </c>
      <c r="B303">
        <v>5.2999999999999998E-11</v>
      </c>
      <c r="C303">
        <v>9.7000000000000001E-11</v>
      </c>
      <c r="D303">
        <v>8.2999999999999998E-11</v>
      </c>
      <c r="E303">
        <v>1.4000000000000001E-10</v>
      </c>
      <c r="F303">
        <v>8.6E-11</v>
      </c>
      <c r="G303">
        <v>1.4000000000000001E-10</v>
      </c>
    </row>
    <row r="304" spans="1:7">
      <c r="A304" t="s">
        <v>453</v>
      </c>
      <c r="B304">
        <v>1.8E-9</v>
      </c>
      <c r="C304">
        <v>2.1999999999999998E-9</v>
      </c>
      <c r="D304">
        <v>4.9E-9</v>
      </c>
      <c r="E304">
        <v>4.1000000000000003E-9</v>
      </c>
      <c r="F304">
        <v>6.2000000000000001E-9</v>
      </c>
      <c r="G304">
        <v>4.9E-9</v>
      </c>
    </row>
    <row r="305" spans="1:7">
      <c r="A305" t="s">
        <v>454</v>
      </c>
      <c r="B305">
        <v>4.8E-9</v>
      </c>
      <c r="C305">
        <v>5.5999999999999997E-9</v>
      </c>
      <c r="D305">
        <v>5.4000000000000004E-9</v>
      </c>
      <c r="E305">
        <v>3.3999999999999998E-9</v>
      </c>
      <c r="F305">
        <v>3.5999999999999998E-8</v>
      </c>
      <c r="G305">
        <v>1.9000000000000001E-8</v>
      </c>
    </row>
    <row r="306" spans="1:7">
      <c r="A306" t="s">
        <v>455</v>
      </c>
      <c r="B306">
        <v>1E-10</v>
      </c>
      <c r="C306">
        <v>1.5999999999999999E-10</v>
      </c>
      <c r="D306">
        <v>1.0000000000000001E-9</v>
      </c>
      <c r="E306">
        <v>9.0999999999999996E-10</v>
      </c>
      <c r="F306">
        <v>1.2E-9</v>
      </c>
      <c r="G306">
        <v>1.0000000000000001E-9</v>
      </c>
    </row>
    <row r="307" spans="1:7">
      <c r="A307" t="s">
        <v>456</v>
      </c>
      <c r="B307">
        <v>2.1999999999999999E-10</v>
      </c>
      <c r="C307">
        <v>3.6E-10</v>
      </c>
      <c r="D307">
        <v>5.3000000000000003E-10</v>
      </c>
      <c r="E307">
        <v>7.1000000000000003E-10</v>
      </c>
      <c r="F307">
        <v>5.6000000000000003E-10</v>
      </c>
      <c r="G307">
        <v>7.5E-10</v>
      </c>
    </row>
    <row r="308" spans="1:7">
      <c r="A308" t="s">
        <v>457</v>
      </c>
      <c r="B308">
        <v>5.4000000000000004E-9</v>
      </c>
      <c r="C308">
        <v>6.5000000000000003E-9</v>
      </c>
      <c r="D308">
        <v>8.5E-9</v>
      </c>
      <c r="E308">
        <v>6.5000000000000003E-9</v>
      </c>
      <c r="F308">
        <v>1.2E-8</v>
      </c>
      <c r="G308">
        <v>8.2000000000000006E-9</v>
      </c>
    </row>
    <row r="309" spans="1:7">
      <c r="A309" t="s">
        <v>458</v>
      </c>
      <c r="B309">
        <v>2.6000000000000001E-11</v>
      </c>
      <c r="C309">
        <v>4.5E-11</v>
      </c>
      <c r="D309">
        <v>6.7000000000000001E-11</v>
      </c>
      <c r="E309">
        <v>9.6000000000000005E-11</v>
      </c>
      <c r="F309">
        <v>7.1999999999999997E-11</v>
      </c>
      <c r="G309">
        <v>1E-10</v>
      </c>
    </row>
    <row r="310" spans="1:7">
      <c r="A310" t="s">
        <v>459</v>
      </c>
      <c r="B310">
        <v>6.4999999999999995E-11</v>
      </c>
      <c r="C310">
        <v>1.0999999999999999E-10</v>
      </c>
      <c r="D310">
        <v>1.5999999999999999E-10</v>
      </c>
      <c r="E310">
        <v>2.3000000000000001E-10</v>
      </c>
      <c r="F310">
        <v>1.7000000000000001E-10</v>
      </c>
      <c r="G310">
        <v>2.4E-10</v>
      </c>
    </row>
    <row r="311" spans="1:7">
      <c r="A311" t="s">
        <v>181</v>
      </c>
      <c r="B311">
        <v>2.1000000000000002E-9</v>
      </c>
      <c r="C311">
        <v>3E-9</v>
      </c>
      <c r="D311">
        <v>-1</v>
      </c>
      <c r="E311">
        <v>-1</v>
      </c>
      <c r="F311">
        <v>-1</v>
      </c>
      <c r="G311">
        <v>-1</v>
      </c>
    </row>
    <row r="312" spans="1:7">
      <c r="A312" t="s">
        <v>180</v>
      </c>
      <c r="B312">
        <v>1.2999999999999999E-10</v>
      </c>
      <c r="C312">
        <v>2.0000000000000001E-10</v>
      </c>
      <c r="D312">
        <v>-1</v>
      </c>
      <c r="E312">
        <v>-1</v>
      </c>
      <c r="F312">
        <v>-1</v>
      </c>
      <c r="G312">
        <v>-1</v>
      </c>
    </row>
    <row r="313" spans="1:7">
      <c r="A313" t="s">
        <v>179</v>
      </c>
      <c r="B313">
        <v>1.5E-10</v>
      </c>
      <c r="C313">
        <v>2.5999999999999998E-10</v>
      </c>
      <c r="D313">
        <v>-1</v>
      </c>
      <c r="E313">
        <v>-1</v>
      </c>
      <c r="F313">
        <v>-1</v>
      </c>
      <c r="G313">
        <v>-1</v>
      </c>
    </row>
    <row r="314" spans="1:7">
      <c r="A314" t="s">
        <v>178</v>
      </c>
      <c r="B314">
        <v>2.0999999999999999E-11</v>
      </c>
      <c r="C314">
        <v>3.7000000000000001E-11</v>
      </c>
      <c r="D314">
        <v>-1</v>
      </c>
      <c r="E314">
        <v>-1</v>
      </c>
      <c r="F314">
        <v>-1</v>
      </c>
      <c r="G314">
        <v>-1</v>
      </c>
    </row>
    <row r="315" spans="1:7">
      <c r="A315" t="s">
        <v>177</v>
      </c>
      <c r="B315">
        <v>1.6E-11</v>
      </c>
      <c r="C315">
        <v>2.8E-11</v>
      </c>
      <c r="D315">
        <v>-1</v>
      </c>
      <c r="E315">
        <v>-1</v>
      </c>
      <c r="F315">
        <v>-1</v>
      </c>
      <c r="G315">
        <v>-1</v>
      </c>
    </row>
    <row r="316" spans="1:7">
      <c r="A316" t="s">
        <v>460</v>
      </c>
      <c r="B316">
        <v>1.4E-11</v>
      </c>
      <c r="C316">
        <v>2.4000000000000001E-11</v>
      </c>
      <c r="D316">
        <v>2.3000000000000001E-11</v>
      </c>
      <c r="E316">
        <v>3.5999999999999998E-11</v>
      </c>
      <c r="F316">
        <v>-1</v>
      </c>
      <c r="G316">
        <v>-1</v>
      </c>
    </row>
    <row r="317" spans="1:7">
      <c r="A317" t="s">
        <v>461</v>
      </c>
      <c r="B317">
        <v>1.0999999999999999E-10</v>
      </c>
      <c r="C317">
        <v>2.0000000000000001E-10</v>
      </c>
      <c r="D317">
        <v>1.7000000000000001E-10</v>
      </c>
      <c r="E317">
        <v>2.8000000000000002E-10</v>
      </c>
      <c r="F317">
        <v>-1</v>
      </c>
      <c r="G317">
        <v>-1</v>
      </c>
    </row>
    <row r="318" spans="1:7">
      <c r="A318" t="s">
        <v>462</v>
      </c>
      <c r="B318">
        <v>1.1000000000000001E-11</v>
      </c>
      <c r="C318">
        <v>1.9999999999999999E-11</v>
      </c>
      <c r="D318">
        <v>1.5E-11</v>
      </c>
      <c r="E318">
        <v>2.5000000000000001E-11</v>
      </c>
      <c r="F318">
        <v>-1</v>
      </c>
      <c r="G318">
        <v>-1</v>
      </c>
    </row>
    <row r="319" spans="1:7">
      <c r="A319" t="s">
        <v>463</v>
      </c>
      <c r="B319">
        <v>8.5999999999999993E-9</v>
      </c>
      <c r="C319">
        <v>1E-8</v>
      </c>
      <c r="D319">
        <v>3.3999999999999998E-9</v>
      </c>
      <c r="E319">
        <v>2.2999999999999999E-9</v>
      </c>
      <c r="F319">
        <v>-1</v>
      </c>
      <c r="G319">
        <v>-1</v>
      </c>
    </row>
    <row r="320" spans="1:7">
      <c r="A320" t="s">
        <v>464</v>
      </c>
      <c r="B320">
        <v>1.4999999999999999E-7</v>
      </c>
      <c r="C320">
        <v>1.8E-7</v>
      </c>
      <c r="D320">
        <v>6.1000000000000004E-8</v>
      </c>
      <c r="E320">
        <v>4.1999999999999999E-8</v>
      </c>
      <c r="F320">
        <v>-1</v>
      </c>
      <c r="G320">
        <v>-1</v>
      </c>
    </row>
    <row r="321" spans="1:7">
      <c r="A321" t="s">
        <v>465</v>
      </c>
      <c r="B321">
        <v>6E-10</v>
      </c>
      <c r="C321">
        <v>1.0000000000000001E-9</v>
      </c>
      <c r="D321">
        <v>1.0999999999999999E-9</v>
      </c>
      <c r="E321">
        <v>1.5E-9</v>
      </c>
      <c r="F321">
        <v>-1</v>
      </c>
      <c r="G321">
        <v>-1</v>
      </c>
    </row>
    <row r="322" spans="1:7">
      <c r="A322" t="s">
        <v>466</v>
      </c>
      <c r="B322">
        <v>6.7000000000000001E-11</v>
      </c>
      <c r="C322">
        <v>1.0999999999999999E-10</v>
      </c>
      <c r="D322">
        <v>1.5E-10</v>
      </c>
      <c r="E322">
        <v>2.1999999999999999E-10</v>
      </c>
      <c r="F322">
        <v>-1</v>
      </c>
      <c r="G322">
        <v>-1</v>
      </c>
    </row>
    <row r="323" spans="1:7">
      <c r="A323" t="s">
        <v>467</v>
      </c>
      <c r="B323">
        <v>5.6E-11</v>
      </c>
      <c r="C323">
        <v>1E-10</v>
      </c>
      <c r="D323">
        <v>9.3000000000000002E-11</v>
      </c>
      <c r="E323">
        <v>1.5E-10</v>
      </c>
      <c r="F323">
        <v>-1</v>
      </c>
      <c r="G323">
        <v>-1</v>
      </c>
    </row>
    <row r="324" spans="1:7">
      <c r="A324" t="s">
        <v>468</v>
      </c>
      <c r="B324">
        <v>1.2000000000000001E-11</v>
      </c>
      <c r="C324">
        <v>1.9999999999999999E-11</v>
      </c>
      <c r="D324">
        <v>2.2000000000000002E-11</v>
      </c>
      <c r="E324">
        <v>3.3000000000000002E-11</v>
      </c>
      <c r="F324">
        <v>-1</v>
      </c>
      <c r="G324">
        <v>-1</v>
      </c>
    </row>
    <row r="325" spans="1:7">
      <c r="A325" t="s">
        <v>469</v>
      </c>
      <c r="B325">
        <v>-1</v>
      </c>
      <c r="C325">
        <v>-1</v>
      </c>
      <c r="D325">
        <v>3.4999999999999998E-10</v>
      </c>
      <c r="E325">
        <v>4.7000000000000003E-10</v>
      </c>
      <c r="F325">
        <v>3.7999999999999998E-10</v>
      </c>
      <c r="G325">
        <v>4.8999999999999996E-10</v>
      </c>
    </row>
    <row r="326" spans="1:7">
      <c r="A326" t="s">
        <v>470</v>
      </c>
      <c r="B326">
        <v>-1</v>
      </c>
      <c r="C326">
        <v>-1</v>
      </c>
      <c r="D326">
        <v>6.3999999999999996E-10</v>
      </c>
      <c r="E326">
        <v>9.2999999999999999E-10</v>
      </c>
      <c r="F326">
        <v>6.6999999999999996E-10</v>
      </c>
      <c r="G326">
        <v>9.5000000000000003E-10</v>
      </c>
    </row>
    <row r="327" spans="1:7">
      <c r="A327" t="s">
        <v>471</v>
      </c>
      <c r="B327">
        <v>-1</v>
      </c>
      <c r="C327">
        <v>-1</v>
      </c>
      <c r="D327">
        <v>7.5999999999999996E-10</v>
      </c>
      <c r="E327">
        <v>8.7999999999999996E-10</v>
      </c>
      <c r="F327">
        <v>8.3000000000000003E-10</v>
      </c>
      <c r="G327">
        <v>9.2999999999999999E-10</v>
      </c>
    </row>
    <row r="328" spans="1:7">
      <c r="A328" t="s">
        <v>472</v>
      </c>
      <c r="B328">
        <v>-1</v>
      </c>
      <c r="C328">
        <v>-1</v>
      </c>
      <c r="D328">
        <v>1.3999999999999999E-9</v>
      </c>
      <c r="E328">
        <v>1.6999999999999999E-9</v>
      </c>
      <c r="F328">
        <v>1.5E-9</v>
      </c>
      <c r="G328">
        <v>1.8E-9</v>
      </c>
    </row>
    <row r="329" spans="1:7">
      <c r="A329" t="s">
        <v>473</v>
      </c>
      <c r="B329">
        <v>-1</v>
      </c>
      <c r="C329">
        <v>-1</v>
      </c>
      <c r="D329">
        <v>2.0000000000000001E-9</v>
      </c>
      <c r="E329">
        <v>1.5E-9</v>
      </c>
      <c r="F329">
        <v>2.2999999999999999E-9</v>
      </c>
      <c r="G329">
        <v>1.3999999999999999E-9</v>
      </c>
    </row>
    <row r="330" spans="1:7">
      <c r="A330" t="s">
        <v>474</v>
      </c>
      <c r="B330">
        <v>-1</v>
      </c>
      <c r="C330">
        <v>-1</v>
      </c>
      <c r="D330">
        <v>4.0000000000000002E-9</v>
      </c>
      <c r="E330">
        <v>2.8999999999999999E-9</v>
      </c>
      <c r="F330">
        <v>3.9000000000000002E-9</v>
      </c>
      <c r="G330">
        <v>2.5000000000000001E-9</v>
      </c>
    </row>
    <row r="331" spans="1:7">
      <c r="A331" t="s">
        <v>475</v>
      </c>
      <c r="B331">
        <v>-1</v>
      </c>
      <c r="C331">
        <v>-1</v>
      </c>
      <c r="D331">
        <v>3.3999999999999998E-9</v>
      </c>
      <c r="E331">
        <v>2.4E-9</v>
      </c>
      <c r="F331">
        <v>3.8000000000000001E-9</v>
      </c>
      <c r="G331">
        <v>2.6000000000000001E-9</v>
      </c>
    </row>
    <row r="332" spans="1:7">
      <c r="A332" t="s">
        <v>476</v>
      </c>
      <c r="B332">
        <v>-1</v>
      </c>
      <c r="C332">
        <v>-1</v>
      </c>
      <c r="D332">
        <v>6.5999999999999995E-8</v>
      </c>
      <c r="E332">
        <v>4.6000000000000002E-8</v>
      </c>
      <c r="F332">
        <v>5.2000000000000002E-8</v>
      </c>
      <c r="G332">
        <v>2.9999999999999997E-8</v>
      </c>
    </row>
    <row r="333" spans="1:7">
      <c r="A333" t="s">
        <v>477</v>
      </c>
      <c r="B333">
        <v>-1</v>
      </c>
      <c r="C333">
        <v>-1</v>
      </c>
      <c r="D333">
        <v>1.0999999999999999E-10</v>
      </c>
      <c r="E333">
        <v>1.5E-10</v>
      </c>
      <c r="F333">
        <v>1.2E-10</v>
      </c>
      <c r="G333">
        <v>1.5999999999999999E-10</v>
      </c>
    </row>
    <row r="334" spans="1:7">
      <c r="A334" t="s">
        <v>478</v>
      </c>
      <c r="B334">
        <v>-1</v>
      </c>
      <c r="C334">
        <v>-1</v>
      </c>
      <c r="D334">
        <v>1.0000000000000001E-9</v>
      </c>
      <c r="E334">
        <v>1.0000000000000001E-9</v>
      </c>
      <c r="F334">
        <v>1.0999999999999999E-9</v>
      </c>
      <c r="G334">
        <v>1.0999999999999999E-9</v>
      </c>
    </row>
    <row r="335" spans="1:7">
      <c r="A335" t="s">
        <v>479</v>
      </c>
      <c r="B335">
        <v>-1</v>
      </c>
      <c r="C335">
        <v>-1</v>
      </c>
      <c r="D335">
        <v>1.2E-8</v>
      </c>
      <c r="E335">
        <v>1E-8</v>
      </c>
      <c r="F335">
        <v>1.4999999999999999E-8</v>
      </c>
      <c r="G335">
        <v>1.2E-8</v>
      </c>
    </row>
    <row r="336" spans="1:7">
      <c r="A336" t="s">
        <v>480</v>
      </c>
      <c r="B336">
        <v>-1</v>
      </c>
      <c r="C336">
        <v>-1</v>
      </c>
      <c r="D336">
        <v>2.5000000000000001E-11</v>
      </c>
      <c r="E336">
        <v>3.9000000000000001E-11</v>
      </c>
      <c r="F336">
        <v>2.6000000000000001E-11</v>
      </c>
      <c r="G336">
        <v>4.1000000000000001E-11</v>
      </c>
    </row>
    <row r="337" spans="1:7">
      <c r="A337" t="s">
        <v>481</v>
      </c>
      <c r="B337">
        <v>-1</v>
      </c>
      <c r="C337">
        <v>-1</v>
      </c>
      <c r="D337">
        <v>3.3000000000000002E-11</v>
      </c>
      <c r="E337">
        <v>5.4000000000000001E-11</v>
      </c>
      <c r="F337">
        <v>3.5000000000000002E-11</v>
      </c>
      <c r="G337">
        <v>5.6E-11</v>
      </c>
    </row>
    <row r="338" spans="1:7">
      <c r="A338" t="s">
        <v>482</v>
      </c>
      <c r="B338">
        <v>-1</v>
      </c>
      <c r="C338">
        <v>-1</v>
      </c>
      <c r="D338">
        <v>1.0999999999999999E-10</v>
      </c>
      <c r="E338">
        <v>1.5999999999999999E-10</v>
      </c>
      <c r="F338">
        <v>1.2E-10</v>
      </c>
      <c r="G338">
        <v>1.5999999999999999E-10</v>
      </c>
    </row>
    <row r="339" spans="1:7">
      <c r="A339" t="s">
        <v>483</v>
      </c>
      <c r="B339">
        <v>-1</v>
      </c>
      <c r="C339">
        <v>-1</v>
      </c>
      <c r="D339">
        <v>2.3000000000000001E-8</v>
      </c>
      <c r="E339">
        <v>2E-8</v>
      </c>
      <c r="F339">
        <v>-1</v>
      </c>
      <c r="G339">
        <v>-1</v>
      </c>
    </row>
    <row r="340" spans="1:7">
      <c r="A340" t="s">
        <v>484</v>
      </c>
      <c r="B340">
        <v>-1</v>
      </c>
      <c r="C340">
        <v>-1</v>
      </c>
      <c r="D340">
        <v>5.4999999999999999E-6</v>
      </c>
      <c r="E340">
        <v>4.4000000000000002E-6</v>
      </c>
      <c r="F340">
        <v>-1</v>
      </c>
      <c r="G340">
        <v>-1</v>
      </c>
    </row>
    <row r="341" spans="1:7">
      <c r="A341" t="s">
        <v>485</v>
      </c>
      <c r="B341">
        <v>6.3999999999999996E-10</v>
      </c>
      <c r="C341">
        <v>1.0999999999999999E-9</v>
      </c>
      <c r="D341">
        <v>1.2E-9</v>
      </c>
      <c r="E341">
        <v>1.6999999999999999E-9</v>
      </c>
      <c r="F341">
        <v>-1</v>
      </c>
      <c r="G341">
        <v>-1</v>
      </c>
    </row>
    <row r="342" spans="1:7">
      <c r="A342" t="s">
        <v>486</v>
      </c>
      <c r="B342">
        <v>2.4000000000000001E-11</v>
      </c>
      <c r="C342">
        <v>4.1999999999999997E-11</v>
      </c>
      <c r="D342">
        <v>4.3E-11</v>
      </c>
      <c r="E342">
        <v>6.7999999999999998E-11</v>
      </c>
      <c r="F342">
        <v>-1</v>
      </c>
      <c r="G342">
        <v>-1</v>
      </c>
    </row>
    <row r="343" spans="1:7">
      <c r="A343" t="s">
        <v>487</v>
      </c>
      <c r="B343">
        <v>9.900000000000001E-10</v>
      </c>
      <c r="C343">
        <v>1.6000000000000001E-9</v>
      </c>
      <c r="D343">
        <v>1.3999999999999999E-9</v>
      </c>
      <c r="E343">
        <v>1.8E-9</v>
      </c>
      <c r="F343">
        <v>-1</v>
      </c>
      <c r="G343">
        <v>-1</v>
      </c>
    </row>
    <row r="344" spans="1:7">
      <c r="A344" t="s">
        <v>488</v>
      </c>
      <c r="B344">
        <v>1.9999999999999999E-11</v>
      </c>
      <c r="C344">
        <v>3.5000000000000002E-11</v>
      </c>
      <c r="D344">
        <v>3E-11</v>
      </c>
      <c r="E344">
        <v>5.0000000000000002E-11</v>
      </c>
      <c r="F344">
        <v>-1</v>
      </c>
      <c r="G344">
        <v>-1</v>
      </c>
    </row>
    <row r="345" spans="1:7">
      <c r="A345" t="s">
        <v>489</v>
      </c>
      <c r="B345">
        <v>2.9E-11</v>
      </c>
      <c r="C345">
        <v>3.5999999999999998E-11</v>
      </c>
      <c r="D345">
        <v>5.2000000000000001E-11</v>
      </c>
      <c r="E345">
        <v>3.5999999999999998E-11</v>
      </c>
      <c r="F345">
        <v>-1</v>
      </c>
      <c r="G345">
        <v>-1</v>
      </c>
    </row>
    <row r="346" spans="1:7">
      <c r="A346" t="s">
        <v>10</v>
      </c>
      <c r="B346">
        <v>8.6999999999999999E-10</v>
      </c>
      <c r="C346">
        <v>1.0999999999999999E-9</v>
      </c>
      <c r="D346">
        <v>1.5E-9</v>
      </c>
      <c r="E346">
        <v>1.2E-9</v>
      </c>
      <c r="F346">
        <v>-1</v>
      </c>
      <c r="G346">
        <v>-1</v>
      </c>
    </row>
    <row r="347" spans="1:7">
      <c r="A347" t="s">
        <v>490</v>
      </c>
      <c r="B347">
        <v>6.8999999999999994E-11</v>
      </c>
      <c r="C347">
        <v>1.2E-10</v>
      </c>
      <c r="D347">
        <v>1.2999999999999999E-10</v>
      </c>
      <c r="E347">
        <v>2.0000000000000001E-10</v>
      </c>
      <c r="F347">
        <v>-1</v>
      </c>
      <c r="G347">
        <v>-1</v>
      </c>
    </row>
    <row r="348" spans="1:7">
      <c r="A348" t="s">
        <v>491</v>
      </c>
      <c r="B348">
        <v>1.5E-11</v>
      </c>
      <c r="C348">
        <v>2.7E-11</v>
      </c>
      <c r="D348">
        <v>-1</v>
      </c>
      <c r="E348">
        <v>-1</v>
      </c>
      <c r="F348">
        <v>2.7E-11</v>
      </c>
      <c r="G348">
        <v>4.5E-11</v>
      </c>
    </row>
    <row r="349" spans="1:7">
      <c r="A349" t="s">
        <v>492</v>
      </c>
      <c r="B349">
        <v>1.7000000000000001E-10</v>
      </c>
      <c r="C349">
        <v>2.8999999999999998E-10</v>
      </c>
      <c r="D349">
        <v>-1</v>
      </c>
      <c r="E349">
        <v>-1</v>
      </c>
      <c r="F349">
        <v>3.7000000000000001E-10</v>
      </c>
      <c r="G349">
        <v>5.6000000000000003E-10</v>
      </c>
    </row>
    <row r="350" spans="1:7">
      <c r="A350" t="s">
        <v>493</v>
      </c>
      <c r="B350">
        <v>1.0000000000000001E-9</v>
      </c>
      <c r="C350">
        <v>1.3999999999999999E-9</v>
      </c>
      <c r="D350">
        <v>-1</v>
      </c>
      <c r="E350">
        <v>-1</v>
      </c>
      <c r="F350">
        <v>2.1999999999999998E-9</v>
      </c>
      <c r="G350">
        <v>1.2E-9</v>
      </c>
    </row>
    <row r="351" spans="1:7">
      <c r="A351" t="s">
        <v>494</v>
      </c>
      <c r="B351">
        <v>1E-10</v>
      </c>
      <c r="C351">
        <v>1.8999999999999999E-10</v>
      </c>
      <c r="D351">
        <v>-1</v>
      </c>
      <c r="E351">
        <v>-1</v>
      </c>
      <c r="F351">
        <v>1.8E-10</v>
      </c>
      <c r="G351">
        <v>3E-10</v>
      </c>
    </row>
    <row r="352" spans="1:7">
      <c r="A352" t="s">
        <v>495</v>
      </c>
      <c r="B352">
        <v>2.3000000000000001E-10</v>
      </c>
      <c r="C352">
        <v>3.6E-10</v>
      </c>
      <c r="D352">
        <v>-1</v>
      </c>
      <c r="E352">
        <v>-1</v>
      </c>
      <c r="F352">
        <v>9.6999999999999996E-10</v>
      </c>
      <c r="G352">
        <v>1.0999999999999999E-9</v>
      </c>
    </row>
    <row r="353" spans="1:7">
      <c r="A353" t="s">
        <v>3</v>
      </c>
      <c r="B353">
        <v>1.3000000000000001E-9</v>
      </c>
      <c r="C353">
        <v>2.0000000000000001E-9</v>
      </c>
      <c r="D353">
        <v>-1</v>
      </c>
      <c r="E353">
        <v>-1</v>
      </c>
      <c r="F353">
        <v>-1</v>
      </c>
      <c r="G353">
        <v>-1</v>
      </c>
    </row>
    <row r="354" spans="1:7">
      <c r="A354" t="s">
        <v>496</v>
      </c>
      <c r="B354">
        <v>2.8999999999999998E-10</v>
      </c>
      <c r="C354">
        <v>5.3000000000000003E-10</v>
      </c>
      <c r="D354">
        <v>-1</v>
      </c>
      <c r="E354">
        <v>-1</v>
      </c>
      <c r="F354">
        <v>-1</v>
      </c>
      <c r="G354">
        <v>-1</v>
      </c>
    </row>
    <row r="355" spans="1:7">
      <c r="A355" t="s">
        <v>497</v>
      </c>
      <c r="B355">
        <v>-1</v>
      </c>
      <c r="C355">
        <v>-1</v>
      </c>
      <c r="D355">
        <v>2.9E-11</v>
      </c>
      <c r="E355">
        <v>4.8000000000000002E-11</v>
      </c>
      <c r="F355">
        <v>3E-11</v>
      </c>
      <c r="G355">
        <v>5.0000000000000002E-11</v>
      </c>
    </row>
    <row r="356" spans="1:7">
      <c r="A356" t="s">
        <v>498</v>
      </c>
      <c r="B356">
        <v>-1</v>
      </c>
      <c r="C356">
        <v>-1</v>
      </c>
      <c r="D356">
        <v>1.2E-10</v>
      </c>
      <c r="E356">
        <v>1.8E-10</v>
      </c>
      <c r="F356">
        <v>1.2999999999999999E-10</v>
      </c>
      <c r="G356">
        <v>1.8999999999999999E-10</v>
      </c>
    </row>
    <row r="357" spans="1:7">
      <c r="A357" t="s">
        <v>499</v>
      </c>
      <c r="B357">
        <v>-1</v>
      </c>
      <c r="C357">
        <v>-1</v>
      </c>
      <c r="D357">
        <v>7.1E-11</v>
      </c>
      <c r="E357">
        <v>1.0999999999999999E-10</v>
      </c>
      <c r="F357">
        <v>7.4000000000000003E-11</v>
      </c>
      <c r="G357">
        <v>1.2E-10</v>
      </c>
    </row>
    <row r="358" spans="1:7">
      <c r="A358" t="s">
        <v>500</v>
      </c>
      <c r="B358">
        <v>-1</v>
      </c>
      <c r="C358">
        <v>-1</v>
      </c>
      <c r="D358">
        <v>6.6E-10</v>
      </c>
      <c r="E358">
        <v>1.0000000000000001E-9</v>
      </c>
      <c r="F358">
        <v>6.9E-10</v>
      </c>
      <c r="G358">
        <v>1.0999999999999999E-9</v>
      </c>
    </row>
    <row r="359" spans="1:7">
      <c r="A359" t="s">
        <v>111</v>
      </c>
      <c r="B359">
        <v>-1</v>
      </c>
      <c r="C359">
        <v>-1</v>
      </c>
      <c r="D359">
        <v>4.6000000000000001E-10</v>
      </c>
      <c r="E359">
        <v>2.8999999999999998E-10</v>
      </c>
      <c r="F359">
        <v>1.6000000000000001E-9</v>
      </c>
      <c r="G359">
        <v>8.6000000000000003E-10</v>
      </c>
    </row>
    <row r="360" spans="1:7">
      <c r="A360" t="s">
        <v>501</v>
      </c>
      <c r="B360">
        <v>-1</v>
      </c>
      <c r="C360">
        <v>-1</v>
      </c>
      <c r="D360">
        <v>1E-8</v>
      </c>
      <c r="E360">
        <v>7.2E-9</v>
      </c>
      <c r="F360">
        <v>4.4999999999999999E-8</v>
      </c>
      <c r="G360">
        <v>2.4999999999999999E-8</v>
      </c>
    </row>
    <row r="361" spans="1:7">
      <c r="A361" t="s">
        <v>502</v>
      </c>
      <c r="B361">
        <v>-1</v>
      </c>
      <c r="C361">
        <v>-1</v>
      </c>
      <c r="D361">
        <v>1.3999999999999999E-9</v>
      </c>
      <c r="E361">
        <v>1.3000000000000001E-9</v>
      </c>
      <c r="F361">
        <v>1.6000000000000001E-9</v>
      </c>
      <c r="G361">
        <v>1.3000000000000001E-9</v>
      </c>
    </row>
    <row r="362" spans="1:7">
      <c r="A362" t="s">
        <v>503</v>
      </c>
      <c r="B362">
        <v>-1</v>
      </c>
      <c r="C362">
        <v>-1</v>
      </c>
      <c r="D362">
        <v>7.5999999999999996E-10</v>
      </c>
      <c r="E362">
        <v>7.7000000000000003E-10</v>
      </c>
      <c r="F362">
        <v>8.4999999999999996E-10</v>
      </c>
      <c r="G362">
        <v>8.4999999999999996E-10</v>
      </c>
    </row>
    <row r="363" spans="1:7">
      <c r="A363" t="s">
        <v>504</v>
      </c>
      <c r="B363">
        <v>-1</v>
      </c>
      <c r="C363">
        <v>-1</v>
      </c>
      <c r="D363">
        <v>6.5000000000000003E-10</v>
      </c>
      <c r="E363">
        <v>9.6999999999999996E-10</v>
      </c>
      <c r="F363">
        <v>6.8000000000000003E-10</v>
      </c>
      <c r="G363">
        <v>1.0000000000000001E-9</v>
      </c>
    </row>
    <row r="364" spans="1:7">
      <c r="A364" t="s">
        <v>505</v>
      </c>
      <c r="B364">
        <v>-1</v>
      </c>
      <c r="C364">
        <v>-1</v>
      </c>
      <c r="D364">
        <v>4.4000000000000003E-11</v>
      </c>
      <c r="E364">
        <v>6.8999999999999994E-11</v>
      </c>
      <c r="F364">
        <v>4.6999999999999999E-11</v>
      </c>
      <c r="G364">
        <v>7.1999999999999997E-11</v>
      </c>
    </row>
    <row r="365" spans="1:7">
      <c r="A365" t="s">
        <v>506</v>
      </c>
      <c r="B365">
        <v>-1</v>
      </c>
      <c r="C365">
        <v>-1</v>
      </c>
      <c r="D365">
        <v>5.9000000000000003E-11</v>
      </c>
      <c r="E365">
        <v>9.6000000000000005E-11</v>
      </c>
      <c r="F365">
        <v>6.0999999999999996E-11</v>
      </c>
      <c r="G365">
        <v>9.8999999999999994E-11</v>
      </c>
    </row>
    <row r="366" spans="1:7">
      <c r="A366" t="s">
        <v>507</v>
      </c>
      <c r="B366">
        <v>-1</v>
      </c>
      <c r="C366">
        <v>-1</v>
      </c>
      <c r="D366">
        <v>5.2999999999999998E-11</v>
      </c>
      <c r="E366">
        <v>8.5000000000000004E-11</v>
      </c>
      <c r="F366">
        <v>5.6E-11</v>
      </c>
      <c r="G366">
        <v>8.9000000000000003E-11</v>
      </c>
    </row>
    <row r="367" spans="1:7">
      <c r="A367" t="s">
        <v>508</v>
      </c>
      <c r="B367">
        <v>-1</v>
      </c>
      <c r="C367">
        <v>-1</v>
      </c>
      <c r="D367">
        <v>2.4E-10</v>
      </c>
      <c r="E367">
        <v>3.7000000000000001E-10</v>
      </c>
      <c r="F367">
        <v>2.5999999999999998E-10</v>
      </c>
      <c r="G367">
        <v>3.7999999999999998E-10</v>
      </c>
    </row>
    <row r="368" spans="1:7">
      <c r="A368" t="s">
        <v>509</v>
      </c>
      <c r="B368">
        <v>-1</v>
      </c>
      <c r="C368">
        <v>-1</v>
      </c>
      <c r="D368">
        <v>9.9999999999999994E-12</v>
      </c>
      <c r="E368">
        <v>1.6999999999999999E-11</v>
      </c>
      <c r="F368">
        <v>1.1000000000000001E-11</v>
      </c>
      <c r="G368">
        <v>1.6999999999999999E-11</v>
      </c>
    </row>
    <row r="369" spans="1:7">
      <c r="A369" t="s">
        <v>510</v>
      </c>
      <c r="B369">
        <v>-1</v>
      </c>
      <c r="C369">
        <v>-1</v>
      </c>
      <c r="D369">
        <v>1.5E-10</v>
      </c>
      <c r="E369">
        <v>2.5000000000000002E-10</v>
      </c>
      <c r="F369">
        <v>1.5999999999999999E-10</v>
      </c>
      <c r="G369">
        <v>2.5000000000000002E-10</v>
      </c>
    </row>
    <row r="370" spans="1:7">
      <c r="A370" t="s">
        <v>511</v>
      </c>
      <c r="B370">
        <v>-1</v>
      </c>
      <c r="C370">
        <v>-1</v>
      </c>
      <c r="D370">
        <v>5.0999999999999997E-12</v>
      </c>
      <c r="E370">
        <v>8.4999999999999997E-12</v>
      </c>
      <c r="F370">
        <v>5.2999999999999996E-12</v>
      </c>
      <c r="G370">
        <v>8.7999999999999997E-12</v>
      </c>
    </row>
    <row r="371" spans="1:7">
      <c r="A371" t="s">
        <v>512</v>
      </c>
      <c r="B371">
        <v>-1</v>
      </c>
      <c r="C371">
        <v>-1</v>
      </c>
      <c r="D371">
        <v>2.0000000000000001E-9</v>
      </c>
      <c r="E371">
        <v>1.9000000000000001E-9</v>
      </c>
      <c r="F371">
        <v>2.2999999999999999E-9</v>
      </c>
      <c r="G371">
        <v>2.1000000000000002E-9</v>
      </c>
    </row>
    <row r="372" spans="1:7">
      <c r="A372" t="s">
        <v>513</v>
      </c>
      <c r="B372">
        <v>-1</v>
      </c>
      <c r="C372">
        <v>-1</v>
      </c>
      <c r="D372">
        <v>8.5000000000000004E-11</v>
      </c>
      <c r="E372">
        <v>1.2E-10</v>
      </c>
      <c r="F372">
        <v>8.9999999999999999E-11</v>
      </c>
      <c r="G372">
        <v>1.2999999999999999E-10</v>
      </c>
    </row>
    <row r="373" spans="1:7">
      <c r="A373" t="s">
        <v>514</v>
      </c>
      <c r="B373">
        <v>-1</v>
      </c>
      <c r="C373">
        <v>-1</v>
      </c>
      <c r="D373">
        <v>1.6999999999999999E-11</v>
      </c>
      <c r="E373">
        <v>2.8E-11</v>
      </c>
      <c r="F373">
        <v>1.7999999999999999E-11</v>
      </c>
      <c r="G373">
        <v>2.9E-11</v>
      </c>
    </row>
    <row r="374" spans="1:7">
      <c r="A374" t="s">
        <v>515</v>
      </c>
      <c r="B374">
        <v>5.1E-10</v>
      </c>
      <c r="C374">
        <v>7.8999999999999996E-10</v>
      </c>
      <c r="D374">
        <v>8.6000000000000003E-10</v>
      </c>
      <c r="E374">
        <v>9.5999999999999999E-10</v>
      </c>
      <c r="F374">
        <v>-1</v>
      </c>
      <c r="G374">
        <v>-1</v>
      </c>
    </row>
    <row r="375" spans="1:7">
      <c r="A375" t="s">
        <v>516</v>
      </c>
      <c r="B375">
        <v>2.8000000000000002E-10</v>
      </c>
      <c r="C375">
        <v>5.0000000000000003E-10</v>
      </c>
      <c r="D375">
        <v>5.1E-10</v>
      </c>
      <c r="E375">
        <v>7.5999999999999996E-10</v>
      </c>
      <c r="F375">
        <v>-1</v>
      </c>
      <c r="G375">
        <v>-1</v>
      </c>
    </row>
    <row r="376" spans="1:7">
      <c r="A376" t="s">
        <v>108</v>
      </c>
      <c r="B376">
        <v>1.8E-10</v>
      </c>
      <c r="C376">
        <v>2.1999999999999999E-10</v>
      </c>
      <c r="D376">
        <v>1.2999999999999999E-10</v>
      </c>
      <c r="E376">
        <v>9.3999999999999999E-11</v>
      </c>
      <c r="F376">
        <v>-1</v>
      </c>
      <c r="G376">
        <v>-1</v>
      </c>
    </row>
    <row r="377" spans="1:7">
      <c r="A377" t="s">
        <v>15</v>
      </c>
      <c r="B377">
        <v>4.3999999999999998E-10</v>
      </c>
      <c r="C377">
        <v>5.1999999999999996E-10</v>
      </c>
      <c r="D377">
        <v>4.3999999999999998E-10</v>
      </c>
      <c r="E377">
        <v>3.1000000000000002E-10</v>
      </c>
      <c r="F377">
        <v>-1</v>
      </c>
      <c r="G377">
        <v>-1</v>
      </c>
    </row>
    <row r="378" spans="1:7">
      <c r="A378" t="s">
        <v>517</v>
      </c>
      <c r="B378">
        <v>4.4000000000000003E-11</v>
      </c>
      <c r="C378">
        <v>7.5E-11</v>
      </c>
      <c r="D378">
        <v>8.6999999999999997E-11</v>
      </c>
      <c r="E378">
        <v>1.2999999999999999E-10</v>
      </c>
      <c r="F378">
        <v>-1</v>
      </c>
      <c r="G378">
        <v>-1</v>
      </c>
    </row>
    <row r="379" spans="1:7">
      <c r="A379" t="s">
        <v>518</v>
      </c>
      <c r="B379">
        <v>4.5E-10</v>
      </c>
      <c r="C379">
        <v>7.5999999999999996E-10</v>
      </c>
      <c r="D379">
        <v>1.6000000000000001E-9</v>
      </c>
      <c r="E379">
        <v>1.9000000000000001E-9</v>
      </c>
      <c r="F379">
        <v>-1</v>
      </c>
      <c r="G379">
        <v>-1</v>
      </c>
    </row>
    <row r="380" spans="1:7">
      <c r="A380" t="s">
        <v>519</v>
      </c>
      <c r="B380">
        <v>-1</v>
      </c>
      <c r="C380">
        <v>-1</v>
      </c>
      <c r="D380">
        <v>4.6999999999999999E-11</v>
      </c>
      <c r="E380">
        <v>3.5000000000000002E-11</v>
      </c>
      <c r="F380">
        <v>-1</v>
      </c>
      <c r="G380">
        <v>-1</v>
      </c>
    </row>
    <row r="381" spans="1:7">
      <c r="A381" t="s">
        <v>520</v>
      </c>
      <c r="B381">
        <v>-1</v>
      </c>
      <c r="C381">
        <v>-1</v>
      </c>
      <c r="D381">
        <v>1.7E-12</v>
      </c>
      <c r="E381">
        <v>3.0000000000000001E-12</v>
      </c>
      <c r="F381">
        <v>-1</v>
      </c>
      <c r="G381">
        <v>-1</v>
      </c>
    </row>
    <row r="382" spans="1:7">
      <c r="A382" t="s">
        <v>521</v>
      </c>
      <c r="B382">
        <v>-1</v>
      </c>
      <c r="C382">
        <v>-1</v>
      </c>
      <c r="D382">
        <v>5.4E-10</v>
      </c>
      <c r="E382">
        <v>7.2999999999999996E-10</v>
      </c>
      <c r="F382">
        <v>-1</v>
      </c>
      <c r="G382">
        <v>-1</v>
      </c>
    </row>
    <row r="383" spans="1:7">
      <c r="A383" t="s">
        <v>522</v>
      </c>
      <c r="B383">
        <v>-1</v>
      </c>
      <c r="C383">
        <v>-1</v>
      </c>
      <c r="D383">
        <v>4.0000000000000001E-10</v>
      </c>
      <c r="E383">
        <v>2.7E-10</v>
      </c>
      <c r="F383">
        <v>-1</v>
      </c>
      <c r="G383">
        <v>-1</v>
      </c>
    </row>
    <row r="384" spans="1:7">
      <c r="A384" t="s">
        <v>131</v>
      </c>
      <c r="B384">
        <v>-1</v>
      </c>
      <c r="C384">
        <v>-1</v>
      </c>
      <c r="D384">
        <v>3.0000000000000001E-6</v>
      </c>
      <c r="E384">
        <v>1.9999999999999999E-6</v>
      </c>
      <c r="F384">
        <v>-1</v>
      </c>
      <c r="G384">
        <v>-1</v>
      </c>
    </row>
    <row r="385" spans="1:7">
      <c r="A385" t="s">
        <v>523</v>
      </c>
      <c r="B385">
        <v>-1</v>
      </c>
      <c r="C385">
        <v>-1</v>
      </c>
      <c r="D385">
        <v>5.0000000000000001E-9</v>
      </c>
      <c r="E385">
        <v>3.6E-9</v>
      </c>
      <c r="F385">
        <v>-1</v>
      </c>
      <c r="G385">
        <v>-1</v>
      </c>
    </row>
    <row r="386" spans="1:7">
      <c r="A386" t="s">
        <v>95</v>
      </c>
      <c r="B386">
        <v>-1</v>
      </c>
      <c r="C386">
        <v>-1</v>
      </c>
      <c r="D386">
        <v>2.0999999999999999E-5</v>
      </c>
      <c r="E386">
        <v>1.5E-5</v>
      </c>
      <c r="F386">
        <v>-1</v>
      </c>
      <c r="G386">
        <v>-1</v>
      </c>
    </row>
    <row r="387" spans="1:7">
      <c r="A387" t="s">
        <v>149</v>
      </c>
      <c r="B387">
        <v>-1</v>
      </c>
      <c r="C387">
        <v>-1</v>
      </c>
      <c r="D387">
        <v>2.0000000000000001E-9</v>
      </c>
      <c r="E387">
        <v>1.6999999999999999E-9</v>
      </c>
      <c r="F387">
        <v>-1</v>
      </c>
      <c r="G387">
        <v>-1</v>
      </c>
    </row>
    <row r="388" spans="1:7">
      <c r="A388" t="s">
        <v>100</v>
      </c>
      <c r="B388">
        <v>-1</v>
      </c>
      <c r="C388">
        <v>-1</v>
      </c>
      <c r="D388">
        <v>8.9999999999999999E-10</v>
      </c>
      <c r="E388">
        <v>1.0999999999999999E-9</v>
      </c>
      <c r="F388">
        <v>-1</v>
      </c>
      <c r="G388">
        <v>-1</v>
      </c>
    </row>
    <row r="389" spans="1:7">
      <c r="A389" t="s">
        <v>524</v>
      </c>
      <c r="B389">
        <v>-1</v>
      </c>
      <c r="C389">
        <v>-1</v>
      </c>
      <c r="D389">
        <v>8.6999999999999997E-11</v>
      </c>
      <c r="E389">
        <v>1.2999999999999999E-10</v>
      </c>
      <c r="F389">
        <v>-1</v>
      </c>
      <c r="G389">
        <v>-1</v>
      </c>
    </row>
    <row r="390" spans="1:7">
      <c r="A390" t="s">
        <v>525</v>
      </c>
      <c r="B390">
        <v>8.7999999999999997E-12</v>
      </c>
      <c r="C390">
        <v>1.6E-11</v>
      </c>
      <c r="D390">
        <v>1.4E-11</v>
      </c>
      <c r="E390">
        <v>2.4000000000000001E-11</v>
      </c>
      <c r="F390">
        <v>1.5E-11</v>
      </c>
      <c r="G390">
        <v>2.5000000000000001E-11</v>
      </c>
    </row>
    <row r="391" spans="1:7">
      <c r="A391" t="s">
        <v>526</v>
      </c>
      <c r="B391">
        <v>3.5999999999999998E-11</v>
      </c>
      <c r="C391">
        <v>6.3999999999999999E-11</v>
      </c>
      <c r="D391">
        <v>6.3000000000000002E-11</v>
      </c>
      <c r="E391">
        <v>9.6000000000000005E-11</v>
      </c>
      <c r="F391">
        <v>6.6000000000000005E-11</v>
      </c>
      <c r="G391">
        <v>1E-10</v>
      </c>
    </row>
    <row r="392" spans="1:7">
      <c r="A392" t="s">
        <v>527</v>
      </c>
      <c r="B392">
        <v>1.8999999999999999E-10</v>
      </c>
      <c r="C392">
        <v>3.1999999999999998E-10</v>
      </c>
      <c r="D392">
        <v>3.7000000000000001E-10</v>
      </c>
      <c r="E392">
        <v>5.0000000000000003E-10</v>
      </c>
      <c r="F392">
        <v>3.9E-10</v>
      </c>
      <c r="G392">
        <v>5.1999999999999996E-10</v>
      </c>
    </row>
    <row r="393" spans="1:7">
      <c r="A393" t="s">
        <v>528</v>
      </c>
      <c r="B393">
        <v>1.0999999999999999E-9</v>
      </c>
      <c r="C393">
        <v>1.3999999999999999E-9</v>
      </c>
      <c r="D393">
        <v>1.2E-9</v>
      </c>
      <c r="E393">
        <v>1.0000000000000001E-9</v>
      </c>
      <c r="F393">
        <v>1.5E-9</v>
      </c>
      <c r="G393">
        <v>1.0999999999999999E-9</v>
      </c>
    </row>
    <row r="394" spans="1:7">
      <c r="A394" t="s">
        <v>529</v>
      </c>
      <c r="B394">
        <v>2.6999999999999998E-12</v>
      </c>
      <c r="C394">
        <v>5.1999999999999997E-12</v>
      </c>
      <c r="D394">
        <v>5.0999999999999997E-12</v>
      </c>
      <c r="E394">
        <v>7.5999999999999999E-12</v>
      </c>
      <c r="F394">
        <v>5.3999999999999996E-12</v>
      </c>
      <c r="G394">
        <v>7.8999999999999999E-12</v>
      </c>
    </row>
    <row r="395" spans="1:7">
      <c r="A395" t="s">
        <v>530</v>
      </c>
      <c r="B395">
        <v>2.5000000000000002E-10</v>
      </c>
      <c r="C395">
        <v>3.4999999999999998E-10</v>
      </c>
      <c r="D395">
        <v>1.5E-9</v>
      </c>
      <c r="E395">
        <v>1.3000000000000001E-9</v>
      </c>
      <c r="F395">
        <v>1.8E-9</v>
      </c>
      <c r="G395">
        <v>1.5E-9</v>
      </c>
    </row>
    <row r="396" spans="1:7">
      <c r="A396" t="s">
        <v>531</v>
      </c>
      <c r="B396">
        <v>2.6000000000000001E-11</v>
      </c>
      <c r="C396">
        <v>4.1000000000000001E-11</v>
      </c>
      <c r="D396">
        <v>1.2999999999999999E-10</v>
      </c>
      <c r="E396">
        <v>1.2999999999999999E-10</v>
      </c>
      <c r="F396">
        <v>1.5E-10</v>
      </c>
      <c r="G396">
        <v>1.4000000000000001E-10</v>
      </c>
    </row>
    <row r="397" spans="1:7">
      <c r="A397" t="s">
        <v>532</v>
      </c>
      <c r="B397">
        <v>1.7000000000000001E-10</v>
      </c>
      <c r="C397">
        <v>2.8000000000000002E-10</v>
      </c>
      <c r="D397">
        <v>4.7000000000000003E-10</v>
      </c>
      <c r="E397">
        <v>6.3999999999999996E-10</v>
      </c>
      <c r="F397">
        <v>5.1E-10</v>
      </c>
      <c r="G397">
        <v>6.8000000000000003E-10</v>
      </c>
    </row>
    <row r="398" spans="1:7">
      <c r="A398" t="s">
        <v>533</v>
      </c>
      <c r="B398">
        <v>1.0999999999999999E-8</v>
      </c>
      <c r="C398">
        <v>1.3000000000000001E-8</v>
      </c>
      <c r="D398">
        <v>2E-8</v>
      </c>
      <c r="E398">
        <v>1.3000000000000001E-8</v>
      </c>
      <c r="F398">
        <v>7.9000000000000006E-8</v>
      </c>
      <c r="G398">
        <v>4.1999999999999999E-8</v>
      </c>
    </row>
    <row r="399" spans="1:7">
      <c r="A399" t="s">
        <v>4</v>
      </c>
      <c r="B399">
        <v>8.0000000000000003E-10</v>
      </c>
      <c r="C399">
        <v>1.0999999999999999E-9</v>
      </c>
      <c r="D399">
        <v>3.2000000000000001E-9</v>
      </c>
      <c r="E399">
        <v>2.8999999999999999E-9</v>
      </c>
      <c r="F399">
        <v>-1</v>
      </c>
      <c r="G399">
        <v>-1</v>
      </c>
    </row>
    <row r="400" spans="1:7">
      <c r="A400" t="s">
        <v>5</v>
      </c>
      <c r="B400">
        <v>9.6000000000000005E-11</v>
      </c>
      <c r="C400">
        <v>1.4000000000000001E-10</v>
      </c>
      <c r="D400">
        <v>1.3999999999999999E-9</v>
      </c>
      <c r="E400">
        <v>1.3000000000000001E-9</v>
      </c>
      <c r="F400">
        <v>-1</v>
      </c>
      <c r="G400">
        <v>-1</v>
      </c>
    </row>
    <row r="401" spans="1:7">
      <c r="A401" t="s">
        <v>534</v>
      </c>
      <c r="B401">
        <v>-1</v>
      </c>
      <c r="C401">
        <v>-1</v>
      </c>
      <c r="D401">
        <v>7.0000000000000005E-8</v>
      </c>
      <c r="E401">
        <v>8.9999999999999999E-8</v>
      </c>
      <c r="F401">
        <v>7.6000000000000006E-8</v>
      </c>
      <c r="G401">
        <v>9.6999999999999995E-8</v>
      </c>
    </row>
    <row r="402" spans="1:7">
      <c r="A402" t="s">
        <v>535</v>
      </c>
      <c r="B402">
        <v>-1</v>
      </c>
      <c r="C402">
        <v>-1</v>
      </c>
      <c r="D402">
        <v>5.8999999999999999E-8</v>
      </c>
      <c r="E402">
        <v>4.6000000000000002E-8</v>
      </c>
      <c r="F402">
        <v>6.8999999999999996E-8</v>
      </c>
      <c r="G402">
        <v>5.1E-8</v>
      </c>
    </row>
    <row r="403" spans="1:7">
      <c r="A403" t="s">
        <v>536</v>
      </c>
      <c r="B403">
        <v>-1</v>
      </c>
      <c r="C403">
        <v>-1</v>
      </c>
      <c r="D403">
        <v>5.6000000000000004E-7</v>
      </c>
      <c r="E403">
        <v>4.5999999999999999E-7</v>
      </c>
      <c r="F403">
        <v>7.0999999999999998E-7</v>
      </c>
      <c r="G403">
        <v>5.7000000000000005E-7</v>
      </c>
    </row>
    <row r="404" spans="1:7">
      <c r="A404" t="s">
        <v>84</v>
      </c>
      <c r="B404">
        <v>-1</v>
      </c>
      <c r="C404">
        <v>-1</v>
      </c>
      <c r="D404">
        <v>1.2999999999999999E-4</v>
      </c>
      <c r="E404">
        <v>8.8999999999999995E-5</v>
      </c>
      <c r="F404">
        <v>3.1999999999999999E-5</v>
      </c>
      <c r="G404">
        <v>1.7E-5</v>
      </c>
    </row>
    <row r="405" spans="1:7">
      <c r="A405" t="s">
        <v>537</v>
      </c>
      <c r="B405">
        <v>-1</v>
      </c>
      <c r="C405">
        <v>-1</v>
      </c>
      <c r="D405">
        <v>9.5000000000000007E-9</v>
      </c>
      <c r="E405">
        <v>6.7999999999999997E-9</v>
      </c>
      <c r="F405">
        <v>3.2000000000000001E-9</v>
      </c>
      <c r="G405">
        <v>2.0000000000000001E-9</v>
      </c>
    </row>
    <row r="406" spans="1:7">
      <c r="A406" t="s">
        <v>88</v>
      </c>
      <c r="B406">
        <v>-1</v>
      </c>
      <c r="C406">
        <v>-1</v>
      </c>
      <c r="D406">
        <v>3.1E-9</v>
      </c>
      <c r="E406">
        <v>2.7999999999999998E-9</v>
      </c>
      <c r="F406">
        <v>3.7E-9</v>
      </c>
      <c r="G406">
        <v>3.2000000000000001E-9</v>
      </c>
    </row>
    <row r="407" spans="1:7">
      <c r="A407" t="s">
        <v>90</v>
      </c>
      <c r="B407">
        <v>-1</v>
      </c>
      <c r="C407">
        <v>-1</v>
      </c>
      <c r="D407">
        <v>3.7999999999999998E-10</v>
      </c>
      <c r="E407">
        <v>5.4999999999999996E-10</v>
      </c>
      <c r="F407">
        <v>4.0000000000000001E-10</v>
      </c>
      <c r="G407">
        <v>5.7999999999999996E-10</v>
      </c>
    </row>
    <row r="408" spans="1:7">
      <c r="A408" t="s">
        <v>538</v>
      </c>
      <c r="B408">
        <v>1.6999999999999999E-11</v>
      </c>
      <c r="C408">
        <v>3E-11</v>
      </c>
      <c r="D408">
        <v>-1</v>
      </c>
      <c r="E408">
        <v>-1</v>
      </c>
      <c r="F408">
        <v>-1</v>
      </c>
      <c r="G408">
        <v>-1</v>
      </c>
    </row>
    <row r="409" spans="1:7">
      <c r="A409" t="s">
        <v>539</v>
      </c>
      <c r="B409">
        <v>4.6999999999999999E-11</v>
      </c>
      <c r="C409">
        <v>8.6999999999999997E-11</v>
      </c>
      <c r="D409">
        <v>-1</v>
      </c>
      <c r="E409">
        <v>-1</v>
      </c>
      <c r="F409">
        <v>-1</v>
      </c>
      <c r="G409">
        <v>-1</v>
      </c>
    </row>
    <row r="410" spans="1:7">
      <c r="A410" t="s">
        <v>540</v>
      </c>
      <c r="B410">
        <v>2.6000000000000001E-11</v>
      </c>
      <c r="C410">
        <v>4.8000000000000002E-11</v>
      </c>
      <c r="D410">
        <v>-1</v>
      </c>
      <c r="E410">
        <v>-1</v>
      </c>
      <c r="F410">
        <v>-1</v>
      </c>
      <c r="G410">
        <v>-1</v>
      </c>
    </row>
    <row r="411" spans="1:7">
      <c r="A411" t="s">
        <v>541</v>
      </c>
      <c r="B411">
        <v>1.5E-10</v>
      </c>
      <c r="C411">
        <v>2.5999999999999998E-10</v>
      </c>
      <c r="D411">
        <v>-1</v>
      </c>
      <c r="E411">
        <v>-1</v>
      </c>
      <c r="F411">
        <v>-1</v>
      </c>
      <c r="G411">
        <v>-1</v>
      </c>
    </row>
    <row r="412" spans="1:7">
      <c r="A412" t="s">
        <v>542</v>
      </c>
      <c r="B412">
        <v>6.4999999999999995E-11</v>
      </c>
      <c r="C412">
        <v>1.2E-10</v>
      </c>
      <c r="D412">
        <v>-1</v>
      </c>
      <c r="E412">
        <v>-1</v>
      </c>
      <c r="F412">
        <v>-1</v>
      </c>
      <c r="G412">
        <v>-1</v>
      </c>
    </row>
    <row r="413" spans="1:7">
      <c r="A413" t="s">
        <v>543</v>
      </c>
      <c r="B413">
        <v>1.0999999999999999E-8</v>
      </c>
      <c r="C413">
        <v>1.4E-8</v>
      </c>
      <c r="D413">
        <v>-1</v>
      </c>
      <c r="E413">
        <v>-1</v>
      </c>
      <c r="F413">
        <v>-1</v>
      </c>
      <c r="G413">
        <v>-1</v>
      </c>
    </row>
    <row r="414" spans="1:7">
      <c r="A414" t="s">
        <v>544</v>
      </c>
      <c r="B414">
        <v>6.7000000000000001E-11</v>
      </c>
      <c r="C414">
        <v>1.2E-10</v>
      </c>
      <c r="D414">
        <v>-1</v>
      </c>
      <c r="E414">
        <v>-1</v>
      </c>
      <c r="F414">
        <v>-1</v>
      </c>
      <c r="G414">
        <v>-1</v>
      </c>
    </row>
    <row r="415" spans="1:7">
      <c r="A415" t="s">
        <v>545</v>
      </c>
      <c r="B415">
        <v>9.0999999999999996E-11</v>
      </c>
      <c r="C415">
        <v>1.5999999999999999E-10</v>
      </c>
      <c r="D415">
        <v>-1</v>
      </c>
      <c r="E415">
        <v>-1</v>
      </c>
      <c r="F415">
        <v>-1</v>
      </c>
      <c r="G415">
        <v>-1</v>
      </c>
    </row>
    <row r="416" spans="1:7">
      <c r="A416" t="s">
        <v>546</v>
      </c>
      <c r="B416">
        <v>3.4000000000000001E-10</v>
      </c>
      <c r="C416">
        <v>4.0999999999999998E-10</v>
      </c>
      <c r="D416">
        <v>-1</v>
      </c>
      <c r="E416">
        <v>-1</v>
      </c>
      <c r="F416">
        <v>-1</v>
      </c>
      <c r="G416">
        <v>-1</v>
      </c>
    </row>
    <row r="417" spans="1:7">
      <c r="A417" t="s">
        <v>40</v>
      </c>
      <c r="B417">
        <v>1.7999999999999999E-11</v>
      </c>
      <c r="C417">
        <v>3.1999999999999999E-11</v>
      </c>
      <c r="D417">
        <v>-1</v>
      </c>
      <c r="E417">
        <v>-1</v>
      </c>
      <c r="F417">
        <v>-1</v>
      </c>
      <c r="G417">
        <v>-1</v>
      </c>
    </row>
    <row r="418" spans="1:7">
      <c r="A418" t="s">
        <v>44</v>
      </c>
      <c r="B418">
        <v>8.8999999999999995E-7</v>
      </c>
      <c r="C418">
        <v>1.1000000000000001E-6</v>
      </c>
      <c r="D418">
        <v>-1</v>
      </c>
      <c r="E418">
        <v>-1</v>
      </c>
      <c r="F418">
        <v>-1</v>
      </c>
      <c r="G418">
        <v>-1</v>
      </c>
    </row>
    <row r="419" spans="1:7">
      <c r="A419" t="s">
        <v>48</v>
      </c>
      <c r="B419">
        <v>3.9000000000000002E-9</v>
      </c>
      <c r="C419">
        <v>5.5999999999999997E-9</v>
      </c>
      <c r="D419">
        <v>-1</v>
      </c>
      <c r="E419">
        <v>-1</v>
      </c>
      <c r="F419">
        <v>-1</v>
      </c>
      <c r="G419">
        <v>-1</v>
      </c>
    </row>
    <row r="420" spans="1:7">
      <c r="A420" t="s">
        <v>51</v>
      </c>
      <c r="B420">
        <v>1.9000000000000001E-8</v>
      </c>
      <c r="C420">
        <v>3.2999999999999998E-8</v>
      </c>
      <c r="D420">
        <v>-1</v>
      </c>
      <c r="E420">
        <v>-1</v>
      </c>
      <c r="F420">
        <v>-1</v>
      </c>
      <c r="G420">
        <v>-1</v>
      </c>
    </row>
    <row r="421" spans="1:7">
      <c r="A421" t="s">
        <v>56</v>
      </c>
      <c r="B421">
        <v>2.8999999999999999E-9</v>
      </c>
      <c r="C421">
        <v>4.8E-9</v>
      </c>
      <c r="D421">
        <v>-1</v>
      </c>
      <c r="E421">
        <v>-1</v>
      </c>
      <c r="F421">
        <v>-1</v>
      </c>
      <c r="G421">
        <v>-1</v>
      </c>
    </row>
    <row r="422" spans="1:7">
      <c r="A422" t="s">
        <v>547</v>
      </c>
      <c r="B422">
        <v>4.8999999999999996E-10</v>
      </c>
      <c r="C422">
        <v>7.5999999999999996E-10</v>
      </c>
      <c r="D422">
        <v>7.8999999999999996E-10</v>
      </c>
      <c r="E422">
        <v>9.5000000000000003E-10</v>
      </c>
      <c r="F422">
        <v>8.3000000000000003E-10</v>
      </c>
      <c r="G422">
        <v>9.6999999999999996E-10</v>
      </c>
    </row>
    <row r="423" spans="1:7">
      <c r="A423" t="s">
        <v>548</v>
      </c>
      <c r="B423">
        <v>4.1999999999999997E-11</v>
      </c>
      <c r="C423">
        <v>7.5E-11</v>
      </c>
      <c r="D423">
        <v>6.2000000000000006E-11</v>
      </c>
      <c r="E423">
        <v>9.7999999999999998E-11</v>
      </c>
      <c r="F423">
        <v>6.3999999999999999E-11</v>
      </c>
      <c r="G423">
        <v>1E-10</v>
      </c>
    </row>
    <row r="424" spans="1:7">
      <c r="A424" t="s">
        <v>549</v>
      </c>
      <c r="B424">
        <v>8.9999999999999999E-11</v>
      </c>
      <c r="C424">
        <v>1.2E-10</v>
      </c>
      <c r="D424">
        <v>3.4999999999999998E-10</v>
      </c>
      <c r="E424">
        <v>3E-10</v>
      </c>
      <c r="F424">
        <v>4.0000000000000001E-10</v>
      </c>
      <c r="G424">
        <v>2.8999999999999998E-10</v>
      </c>
    </row>
    <row r="425" spans="1:7">
      <c r="A425" t="s">
        <v>114</v>
      </c>
      <c r="B425">
        <v>2.6000000000000001E-11</v>
      </c>
      <c r="C425">
        <v>3.3000000000000002E-11</v>
      </c>
      <c r="D425">
        <v>7.9999999999999995E-11</v>
      </c>
      <c r="E425">
        <v>5.2000000000000001E-11</v>
      </c>
      <c r="F425">
        <v>5.4999999999999996E-10</v>
      </c>
      <c r="G425">
        <v>2.8999999999999998E-10</v>
      </c>
    </row>
    <row r="426" spans="1:7">
      <c r="A426" t="s">
        <v>550</v>
      </c>
      <c r="B426">
        <v>1.2E-10</v>
      </c>
      <c r="C426">
        <v>2.1E-10</v>
      </c>
      <c r="D426">
        <v>3.4000000000000001E-10</v>
      </c>
      <c r="E426">
        <v>4.7000000000000003E-10</v>
      </c>
      <c r="F426">
        <v>3.6E-10</v>
      </c>
      <c r="G426">
        <v>5.0000000000000003E-10</v>
      </c>
    </row>
    <row r="427" spans="1:7">
      <c r="A427" t="s">
        <v>551</v>
      </c>
      <c r="B427">
        <v>-1</v>
      </c>
      <c r="C427">
        <v>-1</v>
      </c>
      <c r="D427">
        <v>1.5E-11</v>
      </c>
      <c r="E427">
        <v>2.4000000000000001E-11</v>
      </c>
      <c r="F427">
        <v>1.6E-11</v>
      </c>
      <c r="G427">
        <v>2.5000000000000001E-11</v>
      </c>
    </row>
    <row r="428" spans="1:7">
      <c r="A428" t="s">
        <v>552</v>
      </c>
      <c r="B428">
        <v>-1</v>
      </c>
      <c r="C428">
        <v>-1</v>
      </c>
      <c r="D428">
        <v>1.3999999999999999E-9</v>
      </c>
      <c r="E428">
        <v>9.5999999999999999E-10</v>
      </c>
      <c r="F428">
        <v>1.3000000000000001E-9</v>
      </c>
      <c r="G428">
        <v>8.3000000000000003E-10</v>
      </c>
    </row>
    <row r="429" spans="1:7">
      <c r="A429" t="s">
        <v>553</v>
      </c>
      <c r="B429">
        <v>-1</v>
      </c>
      <c r="C429">
        <v>-1</v>
      </c>
      <c r="D429">
        <v>7.8000000000000004E-9</v>
      </c>
      <c r="E429">
        <v>5.4000000000000004E-9</v>
      </c>
      <c r="F429">
        <v>6.9999999999999998E-9</v>
      </c>
      <c r="G429">
        <v>3.9000000000000002E-9</v>
      </c>
    </row>
    <row r="430" spans="1:7">
      <c r="A430" t="s">
        <v>554</v>
      </c>
      <c r="B430">
        <v>-1</v>
      </c>
      <c r="C430">
        <v>-1</v>
      </c>
      <c r="D430">
        <v>3.3999999999999998E-9</v>
      </c>
      <c r="E430">
        <v>2.4E-9</v>
      </c>
      <c r="F430">
        <v>2.1000000000000002E-9</v>
      </c>
      <c r="G430">
        <v>1.2E-9</v>
      </c>
    </row>
    <row r="431" spans="1:7">
      <c r="A431" t="s">
        <v>126</v>
      </c>
      <c r="B431">
        <v>-1</v>
      </c>
      <c r="C431">
        <v>-1</v>
      </c>
      <c r="D431">
        <v>1.9000000000000001E-8</v>
      </c>
      <c r="E431">
        <v>1.3000000000000001E-8</v>
      </c>
      <c r="F431">
        <v>1.6000000000000001E-8</v>
      </c>
      <c r="G431">
        <v>8.9999999999999995E-9</v>
      </c>
    </row>
    <row r="432" spans="1:7">
      <c r="A432" t="s">
        <v>127</v>
      </c>
      <c r="B432">
        <v>-1</v>
      </c>
      <c r="C432">
        <v>-1</v>
      </c>
      <c r="D432">
        <v>4.6999999999999999E-9</v>
      </c>
      <c r="E432">
        <v>3.4999999999999999E-9</v>
      </c>
      <c r="F432">
        <v>4.5999999999999998E-9</v>
      </c>
      <c r="G432">
        <v>3.2000000000000001E-9</v>
      </c>
    </row>
    <row r="433" spans="1:7">
      <c r="A433" t="s">
        <v>555</v>
      </c>
      <c r="B433">
        <v>-1</v>
      </c>
      <c r="C433">
        <v>-1</v>
      </c>
      <c r="D433">
        <v>2.0000000000000001E-9</v>
      </c>
      <c r="E433">
        <v>2.1000000000000002E-9</v>
      </c>
      <c r="F433">
        <v>2.1000000000000002E-9</v>
      </c>
      <c r="G433">
        <v>2.1999999999999998E-9</v>
      </c>
    </row>
    <row r="434" spans="1:7">
      <c r="A434" t="s">
        <v>556</v>
      </c>
      <c r="B434">
        <v>-1</v>
      </c>
      <c r="C434">
        <v>-1</v>
      </c>
      <c r="D434">
        <v>4.9E-9</v>
      </c>
      <c r="E434">
        <v>4.1000000000000003E-9</v>
      </c>
      <c r="F434">
        <v>5.4000000000000004E-9</v>
      </c>
      <c r="G434">
        <v>4.2999999999999996E-9</v>
      </c>
    </row>
    <row r="435" spans="1:7">
      <c r="A435" t="s">
        <v>557</v>
      </c>
      <c r="B435">
        <v>-1</v>
      </c>
      <c r="C435">
        <v>-1</v>
      </c>
      <c r="D435">
        <v>6.6E-10</v>
      </c>
      <c r="E435">
        <v>7.5999999999999996E-10</v>
      </c>
      <c r="F435">
        <v>7.2E-10</v>
      </c>
      <c r="G435">
        <v>8.1999999999999996E-10</v>
      </c>
    </row>
    <row r="436" spans="1:7">
      <c r="A436" t="s">
        <v>558</v>
      </c>
      <c r="B436">
        <v>-1</v>
      </c>
      <c r="C436">
        <v>-1</v>
      </c>
      <c r="D436">
        <v>1.2999999999999999E-10</v>
      </c>
      <c r="E436">
        <v>2.0000000000000001E-10</v>
      </c>
      <c r="F436">
        <v>1.4000000000000001E-10</v>
      </c>
      <c r="G436">
        <v>2.1E-10</v>
      </c>
    </row>
    <row r="437" spans="1:7">
      <c r="A437" t="s">
        <v>559</v>
      </c>
      <c r="B437">
        <v>-1</v>
      </c>
      <c r="C437">
        <v>-1</v>
      </c>
      <c r="D437">
        <v>4.2E-10</v>
      </c>
      <c r="E437">
        <v>6.0999999999999996E-10</v>
      </c>
      <c r="F437">
        <v>4.5E-10</v>
      </c>
      <c r="G437">
        <v>6.3999999999999996E-10</v>
      </c>
    </row>
    <row r="438" spans="1:7">
      <c r="A438" t="s">
        <v>560</v>
      </c>
      <c r="B438">
        <v>2.5000000000000001E-11</v>
      </c>
      <c r="C438">
        <v>4.5E-11</v>
      </c>
      <c r="D438">
        <v>3.5999999999999998E-11</v>
      </c>
      <c r="E438">
        <v>6.0999999999999996E-11</v>
      </c>
      <c r="F438">
        <v>-1</v>
      </c>
      <c r="G438">
        <v>-1</v>
      </c>
    </row>
    <row r="439" spans="1:7">
      <c r="A439" t="s">
        <v>561</v>
      </c>
      <c r="B439">
        <v>3.5000000000000002E-11</v>
      </c>
      <c r="C439">
        <v>6E-11</v>
      </c>
      <c r="D439">
        <v>6.3999999999999999E-11</v>
      </c>
      <c r="E439">
        <v>8.9000000000000003E-11</v>
      </c>
      <c r="F439">
        <v>-1</v>
      </c>
      <c r="G439">
        <v>-1</v>
      </c>
    </row>
    <row r="440" spans="1:7">
      <c r="A440" t="s">
        <v>562</v>
      </c>
      <c r="B440">
        <v>6.3000000000000002E-11</v>
      </c>
      <c r="C440">
        <v>1.2E-10</v>
      </c>
      <c r="D440">
        <v>8.3999999999999994E-11</v>
      </c>
      <c r="E440">
        <v>1.5E-10</v>
      </c>
      <c r="F440">
        <v>-1</v>
      </c>
      <c r="G440">
        <v>-1</v>
      </c>
    </row>
    <row r="441" spans="1:7">
      <c r="A441" t="s">
        <v>42</v>
      </c>
      <c r="B441">
        <v>5.9999999999999997E-7</v>
      </c>
      <c r="C441">
        <v>7.0999999999999998E-7</v>
      </c>
      <c r="D441">
        <v>3.0000000000000001E-6</v>
      </c>
      <c r="E441">
        <v>2.2000000000000001E-6</v>
      </c>
      <c r="F441">
        <v>-1</v>
      </c>
      <c r="G441">
        <v>-1</v>
      </c>
    </row>
    <row r="442" spans="1:7">
      <c r="A442" t="s">
        <v>563</v>
      </c>
      <c r="B442">
        <v>-1</v>
      </c>
      <c r="C442">
        <v>-1</v>
      </c>
      <c r="D442">
        <v>1.4E-11</v>
      </c>
      <c r="E442">
        <v>2.4000000000000001E-11</v>
      </c>
      <c r="F442">
        <v>1.5E-11</v>
      </c>
      <c r="G442">
        <v>2.5000000000000001E-11</v>
      </c>
    </row>
    <row r="443" spans="1:7">
      <c r="A443" t="s">
        <v>564</v>
      </c>
      <c r="B443">
        <v>-1</v>
      </c>
      <c r="C443">
        <v>-1</v>
      </c>
      <c r="D443">
        <v>2.0999999999999999E-11</v>
      </c>
      <c r="E443">
        <v>3.3999999999999999E-11</v>
      </c>
      <c r="F443">
        <v>2.2000000000000002E-11</v>
      </c>
      <c r="G443">
        <v>3.5000000000000002E-11</v>
      </c>
    </row>
    <row r="444" spans="1:7">
      <c r="A444" t="s">
        <v>565</v>
      </c>
      <c r="B444">
        <v>-1</v>
      </c>
      <c r="C444">
        <v>-1</v>
      </c>
      <c r="D444">
        <v>7.5999999999999996E-11</v>
      </c>
      <c r="E444">
        <v>1.2999999999999999E-10</v>
      </c>
      <c r="F444">
        <v>7.8999999999999999E-11</v>
      </c>
      <c r="G444">
        <v>1.2999999999999999E-10</v>
      </c>
    </row>
    <row r="445" spans="1:7">
      <c r="A445" t="s">
        <v>566</v>
      </c>
      <c r="B445">
        <v>-1</v>
      </c>
      <c r="C445">
        <v>-1</v>
      </c>
      <c r="D445">
        <v>1.8999999999999999E-11</v>
      </c>
      <c r="E445">
        <v>2.9E-11</v>
      </c>
      <c r="F445">
        <v>1.9999999999999999E-11</v>
      </c>
      <c r="G445">
        <v>3E-11</v>
      </c>
    </row>
    <row r="446" spans="1:7">
      <c r="A446" t="s">
        <v>567</v>
      </c>
      <c r="B446">
        <v>-1</v>
      </c>
      <c r="C446">
        <v>-1</v>
      </c>
      <c r="D446">
        <v>5.3000000000000003E-10</v>
      </c>
      <c r="E446">
        <v>6.9999999999999996E-10</v>
      </c>
      <c r="F446">
        <v>5.6000000000000003E-10</v>
      </c>
      <c r="G446">
        <v>7.4000000000000003E-10</v>
      </c>
    </row>
    <row r="447" spans="1:7">
      <c r="A447" t="s">
        <v>568</v>
      </c>
      <c r="B447">
        <v>-1</v>
      </c>
      <c r="C447">
        <v>-1</v>
      </c>
      <c r="D447">
        <v>6.7000000000000001E-12</v>
      </c>
      <c r="E447">
        <v>8.8999999999999996E-12</v>
      </c>
      <c r="F447">
        <v>7.1E-12</v>
      </c>
      <c r="G447">
        <v>9.3999999999999995E-12</v>
      </c>
    </row>
    <row r="448" spans="1:7">
      <c r="A448" t="s">
        <v>569</v>
      </c>
      <c r="B448">
        <v>-1</v>
      </c>
      <c r="C448">
        <v>-1</v>
      </c>
      <c r="D448">
        <v>2.1000000000000002E-9</v>
      </c>
      <c r="E448">
        <v>1.9000000000000001E-9</v>
      </c>
      <c r="F448">
        <v>2.2999999999999999E-9</v>
      </c>
      <c r="G448">
        <v>2.1999999999999998E-9</v>
      </c>
    </row>
    <row r="449" spans="1:7">
      <c r="A449" t="s">
        <v>125</v>
      </c>
      <c r="B449">
        <v>-1</v>
      </c>
      <c r="C449">
        <v>-1</v>
      </c>
      <c r="D449">
        <v>1.7999999999999999E-11</v>
      </c>
      <c r="E449">
        <v>2.9E-11</v>
      </c>
      <c r="F449">
        <v>1.8999999999999999E-11</v>
      </c>
      <c r="G449">
        <v>3E-11</v>
      </c>
    </row>
    <row r="450" spans="1:7">
      <c r="A450" t="s">
        <v>570</v>
      </c>
      <c r="B450">
        <v>-1</v>
      </c>
      <c r="C450">
        <v>-1</v>
      </c>
      <c r="D450">
        <v>1.5999999999999999E-10</v>
      </c>
      <c r="E450">
        <v>2.5000000000000002E-10</v>
      </c>
      <c r="F450">
        <v>1.7000000000000001E-10</v>
      </c>
      <c r="G450">
        <v>2.5999999999999998E-10</v>
      </c>
    </row>
    <row r="451" spans="1:7">
      <c r="A451" t="s">
        <v>571</v>
      </c>
      <c r="B451">
        <v>-1</v>
      </c>
      <c r="C451">
        <v>-1</v>
      </c>
      <c r="D451">
        <v>1.7999999999999999E-11</v>
      </c>
      <c r="E451">
        <v>2.9E-11</v>
      </c>
      <c r="F451">
        <v>1.8999999999999999E-11</v>
      </c>
      <c r="G451">
        <v>3E-11</v>
      </c>
    </row>
    <row r="452" spans="1:7">
      <c r="A452" t="s">
        <v>572</v>
      </c>
      <c r="B452">
        <v>3.5999999999999998E-11</v>
      </c>
      <c r="C452">
        <v>6.6000000000000005E-11</v>
      </c>
      <c r="D452">
        <v>-1</v>
      </c>
      <c r="E452">
        <v>-1</v>
      </c>
      <c r="F452">
        <v>-1</v>
      </c>
      <c r="G452">
        <v>-1</v>
      </c>
    </row>
    <row r="453" spans="1:7">
      <c r="A453" t="s">
        <v>573</v>
      </c>
      <c r="B453">
        <v>4.3000000000000001E-10</v>
      </c>
      <c r="C453">
        <v>6.3E-10</v>
      </c>
      <c r="D453">
        <v>-1</v>
      </c>
      <c r="E453">
        <v>-1</v>
      </c>
      <c r="F453">
        <v>-1</v>
      </c>
      <c r="G453">
        <v>-1</v>
      </c>
    </row>
    <row r="454" spans="1:7">
      <c r="A454" t="s">
        <v>574</v>
      </c>
      <c r="B454">
        <v>4.1000000000000001E-11</v>
      </c>
      <c r="C454">
        <v>7.3000000000000006E-11</v>
      </c>
      <c r="D454">
        <v>-1</v>
      </c>
      <c r="E454">
        <v>-1</v>
      </c>
      <c r="F454">
        <v>-1</v>
      </c>
      <c r="G454">
        <v>-1</v>
      </c>
    </row>
    <row r="455" spans="1:7">
      <c r="A455" t="s">
        <v>575</v>
      </c>
      <c r="B455">
        <v>1.0999999999999999E-10</v>
      </c>
      <c r="C455">
        <v>1.8999999999999999E-10</v>
      </c>
      <c r="D455">
        <v>-1</v>
      </c>
      <c r="E455">
        <v>-1</v>
      </c>
      <c r="F455">
        <v>-1</v>
      </c>
      <c r="G455">
        <v>-1</v>
      </c>
    </row>
    <row r="456" spans="1:7">
      <c r="A456" t="s">
        <v>576</v>
      </c>
      <c r="B456">
        <v>2.0999999999999999E-11</v>
      </c>
      <c r="C456">
        <v>2.7E-11</v>
      </c>
      <c r="D456">
        <v>-1</v>
      </c>
      <c r="E456">
        <v>-1</v>
      </c>
      <c r="F456">
        <v>-1</v>
      </c>
      <c r="G456">
        <v>-1</v>
      </c>
    </row>
    <row r="457" spans="1:7">
      <c r="A457" t="s">
        <v>577</v>
      </c>
      <c r="B457">
        <v>1.2999999999999999E-10</v>
      </c>
      <c r="C457">
        <v>2.1E-10</v>
      </c>
      <c r="D457">
        <v>-1</v>
      </c>
      <c r="E457">
        <v>-1</v>
      </c>
      <c r="F457">
        <v>-1</v>
      </c>
      <c r="G457">
        <v>-1</v>
      </c>
    </row>
    <row r="458" spans="1:7">
      <c r="A458" t="s">
        <v>578</v>
      </c>
      <c r="B458">
        <v>1.8999999999999999E-10</v>
      </c>
      <c r="C458">
        <v>3.1000000000000002E-10</v>
      </c>
      <c r="D458">
        <v>-1</v>
      </c>
      <c r="E458">
        <v>-1</v>
      </c>
      <c r="F458">
        <v>-1</v>
      </c>
      <c r="G458">
        <v>-1</v>
      </c>
    </row>
    <row r="459" spans="1:7">
      <c r="A459" t="s">
        <v>579</v>
      </c>
      <c r="B459">
        <v>9.0999999999999996E-11</v>
      </c>
      <c r="C459">
        <v>1.5999999999999999E-10</v>
      </c>
      <c r="D459">
        <v>-1</v>
      </c>
      <c r="E459">
        <v>-1</v>
      </c>
      <c r="F459">
        <v>-1</v>
      </c>
      <c r="G459">
        <v>-1</v>
      </c>
    </row>
    <row r="460" spans="1:7">
      <c r="A460" t="s">
        <v>580</v>
      </c>
      <c r="B460">
        <v>2.5000000000000001E-11</v>
      </c>
      <c r="C460">
        <v>4.3E-11</v>
      </c>
      <c r="D460">
        <v>-1</v>
      </c>
      <c r="E460">
        <v>-1</v>
      </c>
      <c r="F460">
        <v>-1</v>
      </c>
      <c r="G460">
        <v>-1</v>
      </c>
    </row>
    <row r="461" spans="1:7">
      <c r="A461" t="s">
        <v>581</v>
      </c>
      <c r="B461">
        <v>1.3E-11</v>
      </c>
      <c r="C461">
        <v>2.2000000000000002E-11</v>
      </c>
      <c r="D461">
        <v>-1</v>
      </c>
      <c r="E461">
        <v>-1</v>
      </c>
      <c r="F461">
        <v>-1</v>
      </c>
      <c r="G461">
        <v>-1</v>
      </c>
    </row>
    <row r="462" spans="1:7">
      <c r="A462" t="s">
        <v>582</v>
      </c>
      <c r="B462">
        <v>2.4E-10</v>
      </c>
      <c r="C462">
        <v>4.0000000000000001E-10</v>
      </c>
      <c r="D462">
        <v>-1</v>
      </c>
      <c r="E462">
        <v>-1</v>
      </c>
      <c r="F462">
        <v>-1</v>
      </c>
      <c r="G462">
        <v>-1</v>
      </c>
    </row>
    <row r="463" spans="1:7">
      <c r="A463" t="s">
        <v>583</v>
      </c>
      <c r="B463">
        <v>-1</v>
      </c>
      <c r="C463">
        <v>-1</v>
      </c>
      <c r="D463">
        <v>1.9000000000000001E-8</v>
      </c>
      <c r="E463">
        <v>1.6000000000000001E-8</v>
      </c>
      <c r="F463">
        <v>2.1999999999999998E-8</v>
      </c>
      <c r="G463">
        <v>1.7999999999999999E-8</v>
      </c>
    </row>
    <row r="464" spans="1:7">
      <c r="A464" t="s">
        <v>584</v>
      </c>
      <c r="B464">
        <v>-1</v>
      </c>
      <c r="C464">
        <v>-1</v>
      </c>
      <c r="D464">
        <v>1.5000000000000001E-12</v>
      </c>
      <c r="E464">
        <v>2.4999999999999998E-12</v>
      </c>
      <c r="F464">
        <v>1.6E-12</v>
      </c>
      <c r="G464">
        <v>2.5999999999999998E-12</v>
      </c>
    </row>
    <row r="465" spans="1:7">
      <c r="A465" t="s">
        <v>132</v>
      </c>
      <c r="B465">
        <v>-1</v>
      </c>
      <c r="C465">
        <v>-1</v>
      </c>
      <c r="D465">
        <v>1.8E-5</v>
      </c>
      <c r="E465">
        <v>1.2999999999999999E-5</v>
      </c>
      <c r="F465">
        <v>9.5999999999999996E-6</v>
      </c>
      <c r="G465">
        <v>7.4000000000000003E-6</v>
      </c>
    </row>
    <row r="466" spans="1:7">
      <c r="A466" t="s">
        <v>585</v>
      </c>
      <c r="B466">
        <v>-1</v>
      </c>
      <c r="C466">
        <v>-1</v>
      </c>
      <c r="D466">
        <v>3.3E-10</v>
      </c>
      <c r="E466">
        <v>2.8999999999999998E-10</v>
      </c>
      <c r="F466">
        <v>3.6E-10</v>
      </c>
      <c r="G466">
        <v>3E-10</v>
      </c>
    </row>
    <row r="467" spans="1:7">
      <c r="A467" t="s">
        <v>97</v>
      </c>
      <c r="B467">
        <v>-1</v>
      </c>
      <c r="C467">
        <v>-1</v>
      </c>
      <c r="D467">
        <v>4.3000000000000002E-5</v>
      </c>
      <c r="E467">
        <v>3.0000000000000001E-5</v>
      </c>
      <c r="F467">
        <v>1.5E-5</v>
      </c>
      <c r="G467">
        <v>1.1E-5</v>
      </c>
    </row>
    <row r="468" spans="1:7">
      <c r="A468" t="s">
        <v>99</v>
      </c>
      <c r="B468">
        <v>-1</v>
      </c>
      <c r="C468">
        <v>-1</v>
      </c>
      <c r="D468">
        <v>4.6999999999999997E-5</v>
      </c>
      <c r="E468">
        <v>3.1999999999999999E-5</v>
      </c>
      <c r="F468">
        <v>1.5E-5</v>
      </c>
      <c r="G468">
        <v>8.3000000000000002E-6</v>
      </c>
    </row>
    <row r="469" spans="1:7">
      <c r="A469" t="s">
        <v>101</v>
      </c>
      <c r="B469">
        <v>-1</v>
      </c>
      <c r="C469">
        <v>-1</v>
      </c>
      <c r="D469">
        <v>4.6999999999999997E-5</v>
      </c>
      <c r="E469">
        <v>3.1999999999999999E-5</v>
      </c>
      <c r="F469">
        <v>1.5E-5</v>
      </c>
      <c r="G469">
        <v>8.3000000000000002E-6</v>
      </c>
    </row>
    <row r="470" spans="1:7">
      <c r="A470" t="s">
        <v>103</v>
      </c>
      <c r="B470">
        <v>-1</v>
      </c>
      <c r="C470">
        <v>-1</v>
      </c>
      <c r="D470">
        <v>8.5000000000000001E-7</v>
      </c>
      <c r="E470">
        <v>5.7999999999999995E-7</v>
      </c>
      <c r="F470">
        <v>1.6E-7</v>
      </c>
      <c r="G470">
        <v>8.3999999999999998E-8</v>
      </c>
    </row>
    <row r="471" spans="1:7">
      <c r="A471" t="s">
        <v>133</v>
      </c>
      <c r="B471">
        <v>-1</v>
      </c>
      <c r="C471">
        <v>-1</v>
      </c>
      <c r="D471">
        <v>4.3999999999999999E-5</v>
      </c>
      <c r="E471">
        <v>3.1000000000000001E-5</v>
      </c>
      <c r="F471">
        <v>1.4E-5</v>
      </c>
      <c r="G471">
        <v>7.7000000000000008E-6</v>
      </c>
    </row>
    <row r="472" spans="1:7">
      <c r="A472" t="s">
        <v>586</v>
      </c>
      <c r="B472">
        <v>-1</v>
      </c>
      <c r="C472">
        <v>-1</v>
      </c>
      <c r="D472">
        <v>8.2000000000000001E-11</v>
      </c>
      <c r="E472">
        <v>1.0999999999999999E-10</v>
      </c>
      <c r="F472">
        <v>8.5000000000000004E-11</v>
      </c>
      <c r="G472">
        <v>1.0999999999999999E-10</v>
      </c>
    </row>
    <row r="473" spans="1:7">
      <c r="A473" t="s">
        <v>587</v>
      </c>
      <c r="B473">
        <v>-1</v>
      </c>
      <c r="C473">
        <v>-1</v>
      </c>
      <c r="D473">
        <v>4.3999999999999999E-5</v>
      </c>
      <c r="E473">
        <v>3.0000000000000001E-5</v>
      </c>
      <c r="F473">
        <v>1.2999999999999999E-5</v>
      </c>
      <c r="G473">
        <v>7.4000000000000003E-6</v>
      </c>
    </row>
    <row r="474" spans="1:7">
      <c r="A474" t="s">
        <v>588</v>
      </c>
      <c r="B474">
        <v>-1</v>
      </c>
      <c r="C474">
        <v>-1</v>
      </c>
      <c r="D474">
        <v>4.5E-10</v>
      </c>
      <c r="E474">
        <v>6.0999999999999996E-10</v>
      </c>
      <c r="F474">
        <v>4.8E-10</v>
      </c>
      <c r="G474">
        <v>6.5000000000000003E-10</v>
      </c>
    </row>
    <row r="475" spans="1:7">
      <c r="A475" t="s">
        <v>589</v>
      </c>
      <c r="B475">
        <v>-1</v>
      </c>
      <c r="C475">
        <v>-1</v>
      </c>
      <c r="D475">
        <v>6.9999999999999998E-9</v>
      </c>
      <c r="E475">
        <v>6.5000000000000003E-9</v>
      </c>
      <c r="F475">
        <v>7.6000000000000002E-9</v>
      </c>
      <c r="G475">
        <v>6.9999999999999998E-9</v>
      </c>
    </row>
    <row r="476" spans="1:7">
      <c r="A476" t="s">
        <v>71</v>
      </c>
      <c r="B476">
        <v>-1</v>
      </c>
      <c r="C476">
        <v>-1</v>
      </c>
      <c r="D476">
        <v>6.9E-6</v>
      </c>
      <c r="E476">
        <v>5.6999999999999996E-6</v>
      </c>
      <c r="F476">
        <v>-1</v>
      </c>
      <c r="G476">
        <v>-1</v>
      </c>
    </row>
    <row r="477" spans="1:7">
      <c r="A477" t="s">
        <v>73</v>
      </c>
      <c r="B477">
        <v>-1</v>
      </c>
      <c r="C477">
        <v>-1</v>
      </c>
      <c r="D477">
        <v>2.9000000000000002E-6</v>
      </c>
      <c r="E477">
        <v>2.3999999999999999E-6</v>
      </c>
      <c r="F477">
        <v>-1</v>
      </c>
      <c r="G477">
        <v>-1</v>
      </c>
    </row>
    <row r="478" spans="1:7">
      <c r="A478" t="s">
        <v>75</v>
      </c>
      <c r="B478">
        <v>-1</v>
      </c>
      <c r="C478">
        <v>-1</v>
      </c>
      <c r="D478">
        <v>5.8000000000000004E-6</v>
      </c>
      <c r="E478">
        <v>4.7999999999999998E-6</v>
      </c>
      <c r="F478">
        <v>-1</v>
      </c>
      <c r="G478">
        <v>-1</v>
      </c>
    </row>
    <row r="479" spans="1:7">
      <c r="A479" t="s">
        <v>76</v>
      </c>
      <c r="B479">
        <v>-1</v>
      </c>
      <c r="C479">
        <v>-1</v>
      </c>
      <c r="D479">
        <v>3.1999999999999999E-6</v>
      </c>
      <c r="E479">
        <v>2.2000000000000001E-6</v>
      </c>
      <c r="F479">
        <v>-1</v>
      </c>
      <c r="G479">
        <v>-1</v>
      </c>
    </row>
    <row r="480" spans="1:7">
      <c r="A480" t="s">
        <v>590</v>
      </c>
      <c r="B480">
        <v>-1</v>
      </c>
      <c r="C480">
        <v>-1</v>
      </c>
      <c r="D480">
        <v>2.8000000000000002E-10</v>
      </c>
      <c r="E480">
        <v>2.1E-10</v>
      </c>
      <c r="F480">
        <v>-1</v>
      </c>
      <c r="G480">
        <v>-1</v>
      </c>
    </row>
    <row r="481" spans="1:7">
      <c r="A481" t="s">
        <v>81</v>
      </c>
      <c r="B481">
        <v>-1</v>
      </c>
      <c r="C481">
        <v>-1</v>
      </c>
      <c r="D481">
        <v>2.6000000000000001E-6</v>
      </c>
      <c r="E481">
        <v>1.7E-6</v>
      </c>
      <c r="F481">
        <v>-1</v>
      </c>
      <c r="G481">
        <v>-1</v>
      </c>
    </row>
    <row r="482" spans="1:7">
      <c r="A482" t="s">
        <v>591</v>
      </c>
      <c r="B482">
        <v>1.6999999999999999E-11</v>
      </c>
      <c r="C482">
        <v>3E-11</v>
      </c>
      <c r="D482">
        <v>-1</v>
      </c>
      <c r="E482">
        <v>-1</v>
      </c>
      <c r="F482">
        <v>-1</v>
      </c>
      <c r="G482">
        <v>-1</v>
      </c>
    </row>
    <row r="483" spans="1:7">
      <c r="A483" t="s">
        <v>592</v>
      </c>
      <c r="B483">
        <v>3.7000000000000001E-11</v>
      </c>
      <c r="C483">
        <v>6.7999999999999998E-11</v>
      </c>
      <c r="D483">
        <v>-1</v>
      </c>
      <c r="E483">
        <v>-1</v>
      </c>
      <c r="F483">
        <v>-1</v>
      </c>
      <c r="G483">
        <v>-1</v>
      </c>
    </row>
    <row r="484" spans="1:7">
      <c r="A484" t="s">
        <v>593</v>
      </c>
      <c r="B484">
        <v>7.3E-12</v>
      </c>
      <c r="C484">
        <v>1.3E-11</v>
      </c>
      <c r="D484">
        <v>-1</v>
      </c>
      <c r="E484">
        <v>-1</v>
      </c>
      <c r="F484">
        <v>-1</v>
      </c>
      <c r="G484">
        <v>-1</v>
      </c>
    </row>
    <row r="485" spans="1:7">
      <c r="A485" t="s">
        <v>594</v>
      </c>
      <c r="B485">
        <v>1.2E-10</v>
      </c>
      <c r="C485">
        <v>2.1999999999999999E-10</v>
      </c>
      <c r="D485">
        <v>-1</v>
      </c>
      <c r="E485">
        <v>-1</v>
      </c>
      <c r="F485">
        <v>-1</v>
      </c>
      <c r="G485">
        <v>-1</v>
      </c>
    </row>
    <row r="486" spans="1:7">
      <c r="A486" t="s">
        <v>595</v>
      </c>
      <c r="B486">
        <v>7.1000000000000003E-10</v>
      </c>
      <c r="C486">
        <v>1.0000000000000001E-9</v>
      </c>
      <c r="D486">
        <v>-1</v>
      </c>
      <c r="E486">
        <v>-1</v>
      </c>
      <c r="F486">
        <v>-1</v>
      </c>
      <c r="G486">
        <v>-1</v>
      </c>
    </row>
    <row r="487" spans="1:7">
      <c r="A487" t="s">
        <v>596</v>
      </c>
      <c r="B487">
        <v>1.0999999999999999E-9</v>
      </c>
      <c r="C487">
        <v>1.5E-9</v>
      </c>
      <c r="D487">
        <v>-1</v>
      </c>
      <c r="E487">
        <v>-1</v>
      </c>
      <c r="F487">
        <v>-1</v>
      </c>
      <c r="G487">
        <v>-1</v>
      </c>
    </row>
    <row r="488" spans="1:7">
      <c r="A488" t="s">
        <v>19</v>
      </c>
      <c r="B488">
        <v>9.5999999999999999E-10</v>
      </c>
      <c r="C488">
        <v>1.3000000000000001E-9</v>
      </c>
      <c r="D488">
        <v>-1</v>
      </c>
      <c r="E488">
        <v>-1</v>
      </c>
      <c r="F488">
        <v>-1</v>
      </c>
      <c r="G488">
        <v>-1</v>
      </c>
    </row>
    <row r="489" spans="1:7">
      <c r="A489" t="s">
        <v>597</v>
      </c>
      <c r="B489">
        <v>5.1E-10</v>
      </c>
      <c r="C489">
        <v>7.5999999999999996E-10</v>
      </c>
      <c r="D489">
        <v>-1</v>
      </c>
      <c r="E489">
        <v>-1</v>
      </c>
      <c r="F489">
        <v>-1</v>
      </c>
      <c r="G489">
        <v>-1</v>
      </c>
    </row>
    <row r="490" spans="1:7">
      <c r="A490" t="s">
        <v>598</v>
      </c>
      <c r="B490">
        <v>1.6999999999999999E-11</v>
      </c>
      <c r="C490">
        <v>2.8E-11</v>
      </c>
      <c r="D490">
        <v>-1</v>
      </c>
      <c r="E490">
        <v>-1</v>
      </c>
      <c r="F490">
        <v>-1</v>
      </c>
      <c r="G490">
        <v>-1</v>
      </c>
    </row>
    <row r="491" spans="1:7">
      <c r="A491" t="s">
        <v>599</v>
      </c>
      <c r="B491">
        <v>1.4E-11</v>
      </c>
      <c r="C491">
        <v>2.5000000000000001E-11</v>
      </c>
      <c r="D491">
        <v>-1</v>
      </c>
      <c r="E491">
        <v>-1</v>
      </c>
      <c r="F491">
        <v>-1</v>
      </c>
      <c r="G491">
        <v>-1</v>
      </c>
    </row>
    <row r="492" spans="1:7">
      <c r="A492" t="s">
        <v>600</v>
      </c>
      <c r="B492">
        <v>9.9999999999999994E-12</v>
      </c>
      <c r="C492">
        <v>1.6999999999999999E-11</v>
      </c>
      <c r="D492">
        <v>1.4E-11</v>
      </c>
      <c r="E492">
        <v>2.2000000000000002E-11</v>
      </c>
      <c r="F492">
        <v>-1</v>
      </c>
      <c r="G492">
        <v>-1</v>
      </c>
    </row>
    <row r="493" spans="1:7">
      <c r="A493" t="s">
        <v>601</v>
      </c>
      <c r="B493">
        <v>1.1000000000000001E-11</v>
      </c>
      <c r="C493">
        <v>1.7999999999999999E-11</v>
      </c>
      <c r="D493">
        <v>1.5E-11</v>
      </c>
      <c r="E493">
        <v>2.4000000000000001E-11</v>
      </c>
      <c r="F493">
        <v>-1</v>
      </c>
      <c r="G493">
        <v>-1</v>
      </c>
    </row>
    <row r="494" spans="1:7">
      <c r="A494" t="s">
        <v>602</v>
      </c>
      <c r="B494">
        <v>1.8999999999999999E-10</v>
      </c>
      <c r="C494">
        <v>3E-10</v>
      </c>
      <c r="D494">
        <v>2.5000000000000002E-10</v>
      </c>
      <c r="E494">
        <v>3.7000000000000001E-10</v>
      </c>
      <c r="F494">
        <v>-1</v>
      </c>
      <c r="G494">
        <v>-1</v>
      </c>
    </row>
    <row r="495" spans="1:7">
      <c r="A495" t="s">
        <v>603</v>
      </c>
      <c r="B495">
        <v>6.8000000000000003E-10</v>
      </c>
      <c r="C495">
        <v>1.0999999999999999E-9</v>
      </c>
      <c r="D495">
        <v>1.3000000000000001E-9</v>
      </c>
      <c r="E495">
        <v>1.6999999999999999E-9</v>
      </c>
      <c r="F495">
        <v>-1</v>
      </c>
      <c r="G495">
        <v>-1</v>
      </c>
    </row>
    <row r="496" spans="1:7">
      <c r="A496" t="s">
        <v>604</v>
      </c>
      <c r="B496">
        <v>1.5E-10</v>
      </c>
      <c r="C496">
        <v>2.4E-10</v>
      </c>
      <c r="D496">
        <v>2.0000000000000001E-10</v>
      </c>
      <c r="E496">
        <v>3E-10</v>
      </c>
      <c r="F496">
        <v>-1</v>
      </c>
      <c r="G496">
        <v>-1</v>
      </c>
    </row>
    <row r="497" spans="1:7">
      <c r="A497" t="s">
        <v>605</v>
      </c>
      <c r="B497">
        <v>4.6000000000000001E-10</v>
      </c>
      <c r="C497">
        <v>6.9999999999999996E-10</v>
      </c>
      <c r="D497">
        <v>1.8E-9</v>
      </c>
      <c r="E497">
        <v>1.8E-9</v>
      </c>
      <c r="F497">
        <v>-1</v>
      </c>
      <c r="G497">
        <v>-1</v>
      </c>
    </row>
    <row r="498" spans="1:7">
      <c r="A498" t="s">
        <v>606</v>
      </c>
      <c r="B498">
        <v>6.0999999999999996E-10</v>
      </c>
      <c r="C498">
        <v>8.7999999999999996E-10</v>
      </c>
      <c r="D498">
        <v>6.1E-9</v>
      </c>
      <c r="E498">
        <v>4.8E-9</v>
      </c>
      <c r="F498">
        <v>-1</v>
      </c>
      <c r="G498">
        <v>-1</v>
      </c>
    </row>
    <row r="499" spans="1:7">
      <c r="A499" t="s">
        <v>607</v>
      </c>
      <c r="B499">
        <v>5.3000000000000003E-10</v>
      </c>
      <c r="C499">
        <v>7.2999999999999996E-10</v>
      </c>
      <c r="D499">
        <v>1.0999999999999999E-9</v>
      </c>
      <c r="E499">
        <v>1.2E-9</v>
      </c>
      <c r="F499">
        <v>-1</v>
      </c>
      <c r="G499">
        <v>-1</v>
      </c>
    </row>
    <row r="500" spans="1:7">
      <c r="A500" t="s">
        <v>608</v>
      </c>
      <c r="B500">
        <v>8.4999999999999996E-10</v>
      </c>
      <c r="C500">
        <v>1.2E-9</v>
      </c>
      <c r="D500">
        <v>1.0999999999999999E-8</v>
      </c>
      <c r="E500">
        <v>7.8999999999999996E-9</v>
      </c>
      <c r="F500">
        <v>-1</v>
      </c>
      <c r="G500">
        <v>-1</v>
      </c>
    </row>
    <row r="501" spans="1:7">
      <c r="A501" t="s">
        <v>609</v>
      </c>
      <c r="B501">
        <v>1.9E-12</v>
      </c>
      <c r="C501">
        <v>2.5999999999999998E-12</v>
      </c>
      <c r="D501">
        <v>6.0000000000000003E-12</v>
      </c>
      <c r="E501">
        <v>4.5999999999999998E-12</v>
      </c>
      <c r="F501">
        <v>-1</v>
      </c>
      <c r="G501">
        <v>-1</v>
      </c>
    </row>
    <row r="502" spans="1:7">
      <c r="A502" t="s">
        <v>610</v>
      </c>
      <c r="B502">
        <v>4.7000000000000003E-10</v>
      </c>
      <c r="C502">
        <v>6.6E-10</v>
      </c>
      <c r="D502">
        <v>5.4999999999999996E-10</v>
      </c>
      <c r="E502">
        <v>7.4000000000000003E-10</v>
      </c>
      <c r="F502">
        <v>-1</v>
      </c>
      <c r="G502">
        <v>-1</v>
      </c>
    </row>
    <row r="503" spans="1:7">
      <c r="A503" t="s">
        <v>611</v>
      </c>
      <c r="B503">
        <v>9.9999999999999994E-12</v>
      </c>
      <c r="C503">
        <v>1.6E-11</v>
      </c>
      <c r="D503">
        <v>1.4E-11</v>
      </c>
      <c r="E503">
        <v>1.9999999999999999E-11</v>
      </c>
      <c r="F503">
        <v>-1</v>
      </c>
      <c r="G503">
        <v>-1</v>
      </c>
    </row>
    <row r="504" spans="1:7">
      <c r="A504" t="s">
        <v>612</v>
      </c>
      <c r="B504">
        <v>2.7E-10</v>
      </c>
      <c r="C504">
        <v>4.3000000000000001E-10</v>
      </c>
      <c r="D504">
        <v>4.3000000000000001E-10</v>
      </c>
      <c r="E504">
        <v>6E-10</v>
      </c>
      <c r="F504">
        <v>-1</v>
      </c>
      <c r="G504">
        <v>-1</v>
      </c>
    </row>
    <row r="505" spans="1:7">
      <c r="A505" t="s">
        <v>613</v>
      </c>
      <c r="B505">
        <v>2.8000000000000002E-10</v>
      </c>
      <c r="C505">
        <v>5.1E-10</v>
      </c>
      <c r="D505">
        <v>3.6E-10</v>
      </c>
      <c r="E505">
        <v>6.2000000000000003E-10</v>
      </c>
      <c r="F505">
        <v>3.7000000000000001E-10</v>
      </c>
      <c r="G505">
        <v>6.3E-10</v>
      </c>
    </row>
    <row r="506" spans="1:7">
      <c r="A506" t="s">
        <v>614</v>
      </c>
      <c r="B506">
        <v>1.3999999999999999E-9</v>
      </c>
      <c r="C506">
        <v>1.6999999999999999E-9</v>
      </c>
      <c r="D506">
        <v>2.1999999999999998E-9</v>
      </c>
      <c r="E506">
        <v>1.6999999999999999E-9</v>
      </c>
      <c r="F506">
        <v>5.0000000000000001E-9</v>
      </c>
      <c r="G506">
        <v>3.1E-9</v>
      </c>
    </row>
    <row r="507" spans="1:7">
      <c r="A507" t="s">
        <v>615</v>
      </c>
      <c r="B507">
        <v>1E-10</v>
      </c>
      <c r="C507">
        <v>1.7000000000000001E-10</v>
      </c>
      <c r="D507">
        <v>2.0000000000000001E-10</v>
      </c>
      <c r="E507">
        <v>2.5000000000000002E-10</v>
      </c>
      <c r="F507">
        <v>2.1E-10</v>
      </c>
      <c r="G507">
        <v>2.7E-10</v>
      </c>
    </row>
    <row r="508" spans="1:7">
      <c r="A508" t="s">
        <v>616</v>
      </c>
      <c r="B508">
        <v>1.5E-9</v>
      </c>
      <c r="C508">
        <v>1.9000000000000001E-9</v>
      </c>
      <c r="D508">
        <v>3.8000000000000001E-9</v>
      </c>
      <c r="E508">
        <v>2.7000000000000002E-9</v>
      </c>
      <c r="F508">
        <v>6.6999999999999996E-9</v>
      </c>
      <c r="G508">
        <v>4.2000000000000004E-9</v>
      </c>
    </row>
    <row r="509" spans="1:7">
      <c r="A509" t="s">
        <v>617</v>
      </c>
      <c r="B509">
        <v>7.3E-9</v>
      </c>
      <c r="C509">
        <v>8.9000000000000003E-9</v>
      </c>
      <c r="D509">
        <v>6.5000000000000003E-9</v>
      </c>
      <c r="E509">
        <v>5.0000000000000001E-9</v>
      </c>
      <c r="F509">
        <v>1.6000000000000001E-8</v>
      </c>
      <c r="G509">
        <v>8.9999999999999995E-9</v>
      </c>
    </row>
    <row r="510" spans="1:7">
      <c r="A510" t="s">
        <v>618</v>
      </c>
      <c r="B510">
        <v>8.5999999999999997E-13</v>
      </c>
      <c r="C510">
        <v>1.1999999999999999E-12</v>
      </c>
      <c r="D510">
        <v>2.2999999999999999E-12</v>
      </c>
      <c r="E510">
        <v>2.3999999999999999E-12</v>
      </c>
      <c r="F510">
        <v>2.4999999999999998E-12</v>
      </c>
      <c r="G510">
        <v>2.4999999999999998E-12</v>
      </c>
    </row>
    <row r="511" spans="1:7">
      <c r="A511" t="s">
        <v>619</v>
      </c>
      <c r="B511">
        <v>8.6999999999999997E-11</v>
      </c>
      <c r="C511">
        <v>1.5E-10</v>
      </c>
      <c r="D511">
        <v>3.1000000000000002E-10</v>
      </c>
      <c r="E511">
        <v>4.0999999999999998E-10</v>
      </c>
      <c r="F511">
        <v>3.4000000000000001E-10</v>
      </c>
      <c r="G511">
        <v>4.3999999999999998E-10</v>
      </c>
    </row>
    <row r="512" spans="1:7">
      <c r="A512" t="s">
        <v>620</v>
      </c>
      <c r="B512">
        <v>7.0000000000000004E-11</v>
      </c>
      <c r="C512">
        <v>1.2999999999999999E-10</v>
      </c>
      <c r="D512">
        <v>1.0999999999999999E-10</v>
      </c>
      <c r="E512">
        <v>1.8E-10</v>
      </c>
      <c r="F512">
        <v>1.2E-10</v>
      </c>
      <c r="G512">
        <v>1.8999999999999999E-10</v>
      </c>
    </row>
    <row r="513" spans="1:7">
      <c r="A513" t="s">
        <v>621</v>
      </c>
      <c r="B513">
        <v>9.5999999999999995E-12</v>
      </c>
      <c r="C513">
        <v>1.6E-11</v>
      </c>
      <c r="D513">
        <v>1.6999999999999999E-11</v>
      </c>
      <c r="E513">
        <v>2.7E-11</v>
      </c>
      <c r="F513">
        <v>1.6999999999999999E-11</v>
      </c>
      <c r="G513">
        <v>2.8E-11</v>
      </c>
    </row>
    <row r="514" spans="1:7">
      <c r="A514" t="s">
        <v>24</v>
      </c>
      <c r="B514">
        <v>3.3E-10</v>
      </c>
      <c r="C514">
        <v>4.8999999999999996E-10</v>
      </c>
      <c r="D514">
        <v>7.2999999999999996E-10</v>
      </c>
      <c r="E514">
        <v>8.1999999999999996E-10</v>
      </c>
      <c r="F514">
        <v>8.3000000000000003E-10</v>
      </c>
      <c r="G514">
        <v>8.9000000000000003E-10</v>
      </c>
    </row>
    <row r="515" spans="1:7">
      <c r="A515" t="s">
        <v>622</v>
      </c>
      <c r="B515">
        <v>3E-11</v>
      </c>
      <c r="C515">
        <v>5.6999999999999997E-11</v>
      </c>
      <c r="D515">
        <v>4.1000000000000001E-11</v>
      </c>
      <c r="E515">
        <v>7.1999999999999997E-11</v>
      </c>
      <c r="F515">
        <v>4.3E-11</v>
      </c>
      <c r="G515">
        <v>7.3000000000000006E-11</v>
      </c>
    </row>
    <row r="516" spans="1:7">
      <c r="A516" t="s">
        <v>623</v>
      </c>
      <c r="B516">
        <v>4.8999999999999996E-10</v>
      </c>
      <c r="C516">
        <v>6.8000000000000003E-10</v>
      </c>
      <c r="D516">
        <v>2.2999999999999999E-9</v>
      </c>
      <c r="E516">
        <v>1.9000000000000001E-9</v>
      </c>
      <c r="F516">
        <v>2.7999999999999998E-9</v>
      </c>
      <c r="G516">
        <v>2.1999999999999998E-9</v>
      </c>
    </row>
    <row r="517" spans="1:7">
      <c r="A517" t="s">
        <v>624</v>
      </c>
      <c r="B517">
        <v>7.1E-11</v>
      </c>
      <c r="C517">
        <v>1.2999999999999999E-10</v>
      </c>
      <c r="D517">
        <v>1.7000000000000001E-10</v>
      </c>
      <c r="E517">
        <v>2.4E-10</v>
      </c>
      <c r="F517">
        <v>1.8E-10</v>
      </c>
      <c r="G517">
        <v>2.5000000000000002E-10</v>
      </c>
    </row>
    <row r="518" spans="1:7">
      <c r="A518" t="s">
        <v>112</v>
      </c>
      <c r="B518">
        <v>8.0000000000000005E-9</v>
      </c>
      <c r="C518">
        <v>9.8000000000000001E-9</v>
      </c>
      <c r="D518">
        <v>2.6000000000000001E-8</v>
      </c>
      <c r="E518">
        <v>1.7E-8</v>
      </c>
      <c r="F518">
        <v>6.1999999999999999E-8</v>
      </c>
      <c r="G518">
        <v>3.5000000000000002E-8</v>
      </c>
    </row>
    <row r="519" spans="1:7">
      <c r="A519" t="s">
        <v>625</v>
      </c>
      <c r="B519">
        <v>2.7E-11</v>
      </c>
      <c r="C519">
        <v>4.8999999999999999E-11</v>
      </c>
      <c r="D519">
        <v>4.4000000000000003E-11</v>
      </c>
      <c r="E519">
        <v>7.1999999999999997E-11</v>
      </c>
      <c r="F519">
        <v>4.6000000000000003E-11</v>
      </c>
      <c r="G519">
        <v>7.4000000000000003E-11</v>
      </c>
    </row>
    <row r="520" spans="1:7">
      <c r="A520" t="s">
        <v>626</v>
      </c>
      <c r="B520">
        <v>6.7000000000000001E-11</v>
      </c>
      <c r="C520">
        <v>1.2E-10</v>
      </c>
      <c r="D520">
        <v>1.0999999999999999E-10</v>
      </c>
      <c r="E520">
        <v>1.5999999999999999E-10</v>
      </c>
      <c r="F520">
        <v>1.0999999999999999E-10</v>
      </c>
      <c r="G520">
        <v>1.5999999999999999E-10</v>
      </c>
    </row>
    <row r="521" spans="1:7">
      <c r="A521" t="s">
        <v>6</v>
      </c>
      <c r="B521">
        <v>5.2999999999999998E-11</v>
      </c>
      <c r="C521">
        <v>7.9999999999999995E-11</v>
      </c>
      <c r="D521">
        <v>1.3000000000000001E-9</v>
      </c>
      <c r="E521">
        <v>1.0999999999999999E-9</v>
      </c>
      <c r="F521">
        <v>-1</v>
      </c>
      <c r="G521">
        <v>-1</v>
      </c>
    </row>
    <row r="522" spans="1:7">
      <c r="A522" t="s">
        <v>627</v>
      </c>
      <c r="B522">
        <v>9.1999999999999996E-12</v>
      </c>
      <c r="C522">
        <v>1.6999999999999999E-11</v>
      </c>
      <c r="D522">
        <v>1.4E-11</v>
      </c>
      <c r="E522">
        <v>2.3000000000000001E-11</v>
      </c>
      <c r="F522">
        <v>-1</v>
      </c>
      <c r="G522">
        <v>-1</v>
      </c>
    </row>
    <row r="523" spans="1:7">
      <c r="A523" t="s">
        <v>628</v>
      </c>
      <c r="B523">
        <v>9.8999999999999994E-12</v>
      </c>
      <c r="C523">
        <v>1.7999999999999999E-11</v>
      </c>
      <c r="D523">
        <v>1.4E-11</v>
      </c>
      <c r="E523">
        <v>2.3000000000000001E-11</v>
      </c>
      <c r="F523">
        <v>-1</v>
      </c>
      <c r="G523">
        <v>-1</v>
      </c>
    </row>
    <row r="524" spans="1:7">
      <c r="A524" t="s">
        <v>629</v>
      </c>
      <c r="B524">
        <v>3.5000000000000002E-11</v>
      </c>
      <c r="C524">
        <v>6.3999999999999999E-11</v>
      </c>
      <c r="D524">
        <v>5.0000000000000002E-11</v>
      </c>
      <c r="E524">
        <v>8.5000000000000004E-11</v>
      </c>
      <c r="F524">
        <v>-1</v>
      </c>
      <c r="G524">
        <v>-1</v>
      </c>
    </row>
    <row r="525" spans="1:7">
      <c r="A525" t="s">
        <v>630</v>
      </c>
      <c r="B525">
        <v>9.2999999999999996E-12</v>
      </c>
      <c r="C525">
        <v>1.6999999999999999E-11</v>
      </c>
      <c r="D525">
        <v>1.6999999999999999E-11</v>
      </c>
      <c r="E525">
        <v>2.7E-11</v>
      </c>
      <c r="F525">
        <v>-1</v>
      </c>
      <c r="G525">
        <v>-1</v>
      </c>
    </row>
    <row r="526" spans="1:7">
      <c r="A526" t="s">
        <v>631</v>
      </c>
      <c r="B526">
        <v>1E-10</v>
      </c>
      <c r="C526">
        <v>1.8999999999999999E-10</v>
      </c>
      <c r="D526">
        <v>1.2999999999999999E-10</v>
      </c>
      <c r="E526">
        <v>2.3000000000000001E-10</v>
      </c>
      <c r="F526">
        <v>-1</v>
      </c>
      <c r="G526">
        <v>-1</v>
      </c>
    </row>
    <row r="527" spans="1:7">
      <c r="A527" t="s">
        <v>632</v>
      </c>
      <c r="B527">
        <v>2.5000000000000001E-11</v>
      </c>
      <c r="C527">
        <v>4.5E-11</v>
      </c>
      <c r="D527">
        <v>3.7000000000000001E-11</v>
      </c>
      <c r="E527">
        <v>5.9000000000000003E-11</v>
      </c>
      <c r="F527">
        <v>-1</v>
      </c>
      <c r="G527">
        <v>-1</v>
      </c>
    </row>
    <row r="528" spans="1:7">
      <c r="A528" t="s">
        <v>633</v>
      </c>
      <c r="B528">
        <v>4.8999999999999997E-12</v>
      </c>
      <c r="C528">
        <v>8.4999999999999997E-12</v>
      </c>
      <c r="D528">
        <v>7.4E-12</v>
      </c>
      <c r="E528">
        <v>1.2000000000000001E-11</v>
      </c>
      <c r="F528">
        <v>-1</v>
      </c>
      <c r="G528">
        <v>-1</v>
      </c>
    </row>
    <row r="529" spans="1:7">
      <c r="A529" t="s">
        <v>634</v>
      </c>
      <c r="B529">
        <v>5.9000000000000003E-10</v>
      </c>
      <c r="C529">
        <v>9.7999999999999992E-10</v>
      </c>
      <c r="D529">
        <v>1.0000000000000001E-9</v>
      </c>
      <c r="E529">
        <v>1.3000000000000001E-9</v>
      </c>
      <c r="F529">
        <v>-1</v>
      </c>
      <c r="G529">
        <v>-1</v>
      </c>
    </row>
    <row r="530" spans="1:7">
      <c r="A530" t="s">
        <v>635</v>
      </c>
      <c r="B530">
        <v>3.9E-10</v>
      </c>
      <c r="C530">
        <v>6.3E-10</v>
      </c>
      <c r="D530">
        <v>1.0000000000000001E-9</v>
      </c>
      <c r="E530">
        <v>1.2E-9</v>
      </c>
      <c r="F530">
        <v>-1</v>
      </c>
      <c r="G530">
        <v>-1</v>
      </c>
    </row>
    <row r="531" spans="1:7">
      <c r="A531" t="s">
        <v>636</v>
      </c>
      <c r="B531">
        <v>1.3000000000000001E-9</v>
      </c>
      <c r="C531">
        <v>1.9000000000000001E-9</v>
      </c>
      <c r="D531">
        <v>6.1E-9</v>
      </c>
      <c r="E531">
        <v>4.6999999999999999E-9</v>
      </c>
      <c r="F531">
        <v>-1</v>
      </c>
      <c r="G531">
        <v>-1</v>
      </c>
    </row>
    <row r="532" spans="1:7">
      <c r="A532" t="s">
        <v>637</v>
      </c>
      <c r="B532">
        <v>3.0000000000000001E-12</v>
      </c>
      <c r="C532">
        <v>5.2999999999999996E-12</v>
      </c>
      <c r="D532">
        <v>5.5000000000000004E-12</v>
      </c>
      <c r="E532">
        <v>8.2999999999999998E-12</v>
      </c>
      <c r="F532">
        <v>-1</v>
      </c>
      <c r="G532">
        <v>-1</v>
      </c>
    </row>
    <row r="533" spans="1:7">
      <c r="A533" t="s">
        <v>117</v>
      </c>
      <c r="B533">
        <v>1.3999999999999999E-9</v>
      </c>
      <c r="C533">
        <v>1.6999999999999999E-9</v>
      </c>
      <c r="D533">
        <v>4.4999999999999998E-9</v>
      </c>
      <c r="E533">
        <v>3.3000000000000002E-9</v>
      </c>
      <c r="F533">
        <v>-1</v>
      </c>
      <c r="G533">
        <v>-1</v>
      </c>
    </row>
    <row r="534" spans="1:7">
      <c r="A534" t="s">
        <v>121</v>
      </c>
      <c r="B534">
        <v>1.0999999999999999E-9</v>
      </c>
      <c r="C534">
        <v>1.6999999999999999E-9</v>
      </c>
      <c r="D534">
        <v>2.7000000000000002E-9</v>
      </c>
      <c r="E534">
        <v>3.2000000000000001E-9</v>
      </c>
      <c r="F534">
        <v>-1</v>
      </c>
      <c r="G534">
        <v>-1</v>
      </c>
    </row>
    <row r="535" spans="1:7">
      <c r="A535" t="s">
        <v>120</v>
      </c>
      <c r="B535">
        <v>1.3E-11</v>
      </c>
      <c r="C535">
        <v>2.3000000000000001E-11</v>
      </c>
      <c r="D535">
        <v>1.9999999999999999E-11</v>
      </c>
      <c r="E535">
        <v>3.3000000000000002E-11</v>
      </c>
      <c r="F535">
        <v>-1</v>
      </c>
      <c r="G535">
        <v>-1</v>
      </c>
    </row>
    <row r="536" spans="1:7">
      <c r="A536" t="s">
        <v>638</v>
      </c>
      <c r="B536">
        <v>4.6000000000000001E-10</v>
      </c>
      <c r="C536">
        <v>7.4000000000000003E-10</v>
      </c>
      <c r="D536">
        <v>1.6000000000000001E-9</v>
      </c>
      <c r="E536">
        <v>1.6999999999999999E-9</v>
      </c>
      <c r="F536">
        <v>-1</v>
      </c>
      <c r="G536">
        <v>-1</v>
      </c>
    </row>
    <row r="537" spans="1:7">
      <c r="A537" t="s">
        <v>639</v>
      </c>
      <c r="B537">
        <v>2.5000000000000002E-10</v>
      </c>
      <c r="C537">
        <v>4.6000000000000001E-10</v>
      </c>
      <c r="D537">
        <v>4.2E-10</v>
      </c>
      <c r="E537">
        <v>6.6999999999999996E-10</v>
      </c>
      <c r="F537">
        <v>-1</v>
      </c>
      <c r="G537">
        <v>-1</v>
      </c>
    </row>
    <row r="538" spans="1:7">
      <c r="A538" t="s">
        <v>640</v>
      </c>
      <c r="B538">
        <v>1.1000000000000001E-11</v>
      </c>
      <c r="C538">
        <v>1.8999999999999999E-11</v>
      </c>
      <c r="D538">
        <v>1.5E-11</v>
      </c>
      <c r="E538">
        <v>2.6000000000000001E-11</v>
      </c>
      <c r="F538">
        <v>-1</v>
      </c>
      <c r="G538">
        <v>-1</v>
      </c>
    </row>
    <row r="539" spans="1:7">
      <c r="A539" t="s">
        <v>641</v>
      </c>
      <c r="B539">
        <v>1.0999999999999999E-10</v>
      </c>
      <c r="C539">
        <v>2.0000000000000001E-10</v>
      </c>
      <c r="D539">
        <v>2.4E-10</v>
      </c>
      <c r="E539">
        <v>3.4999999999999998E-10</v>
      </c>
      <c r="F539">
        <v>-1</v>
      </c>
      <c r="G539">
        <v>-1</v>
      </c>
    </row>
    <row r="540" spans="1:7">
      <c r="A540" t="s">
        <v>642</v>
      </c>
      <c r="B540">
        <v>3.5000000000000002E-11</v>
      </c>
      <c r="C540">
        <v>6.3000000000000002E-11</v>
      </c>
      <c r="D540">
        <v>5.4000000000000001E-11</v>
      </c>
      <c r="E540">
        <v>9.0999999999999996E-11</v>
      </c>
      <c r="F540">
        <v>-1</v>
      </c>
      <c r="G540">
        <v>-1</v>
      </c>
    </row>
    <row r="541" spans="1:7">
      <c r="A541" t="s">
        <v>643</v>
      </c>
      <c r="B541">
        <v>3.7000000000000001E-11</v>
      </c>
      <c r="C541">
        <v>5.9000000000000003E-11</v>
      </c>
      <c r="D541">
        <v>5.2000000000000001E-11</v>
      </c>
      <c r="E541">
        <v>8.2999999999999998E-11</v>
      </c>
      <c r="F541">
        <v>-1</v>
      </c>
      <c r="G541">
        <v>-1</v>
      </c>
    </row>
    <row r="542" spans="1:7">
      <c r="A542" t="s">
        <v>644</v>
      </c>
      <c r="B542">
        <v>-1</v>
      </c>
      <c r="C542">
        <v>-1</v>
      </c>
      <c r="D542">
        <v>-1</v>
      </c>
      <c r="E542">
        <v>-1</v>
      </c>
      <c r="F542">
        <v>1.2E-10</v>
      </c>
      <c r="G542">
        <v>1.8E-10</v>
      </c>
    </row>
    <row r="543" spans="1:7">
      <c r="A543" t="s">
        <v>645</v>
      </c>
      <c r="B543">
        <v>-1</v>
      </c>
      <c r="C543">
        <v>-1</v>
      </c>
      <c r="D543">
        <v>-1</v>
      </c>
      <c r="E543">
        <v>-1</v>
      </c>
      <c r="F543">
        <v>1.8999999999999999E-10</v>
      </c>
      <c r="G543">
        <v>3E-10</v>
      </c>
    </row>
    <row r="544" spans="1:7">
      <c r="A544" t="s">
        <v>646</v>
      </c>
      <c r="B544">
        <v>-1</v>
      </c>
      <c r="C544">
        <v>-1</v>
      </c>
      <c r="D544">
        <v>-1</v>
      </c>
      <c r="E544">
        <v>-1</v>
      </c>
      <c r="F544">
        <v>1.5E-9</v>
      </c>
      <c r="G544">
        <v>2.0000000000000001E-9</v>
      </c>
    </row>
    <row r="545" spans="1:7">
      <c r="A545" t="s">
        <v>647</v>
      </c>
      <c r="B545">
        <v>-1</v>
      </c>
      <c r="C545">
        <v>-1</v>
      </c>
      <c r="D545">
        <v>-1</v>
      </c>
      <c r="E545">
        <v>-1</v>
      </c>
      <c r="F545">
        <v>6.4000000000000002E-9</v>
      </c>
      <c r="G545">
        <v>4.8E-9</v>
      </c>
    </row>
    <row r="546" spans="1:7">
      <c r="A546" t="s">
        <v>648</v>
      </c>
      <c r="B546">
        <v>-1</v>
      </c>
      <c r="C546">
        <v>-1</v>
      </c>
      <c r="D546">
        <v>-1</v>
      </c>
      <c r="E546">
        <v>-1</v>
      </c>
      <c r="F546">
        <v>6.9999999999999996E-10</v>
      </c>
      <c r="G546">
        <v>7.2999999999999996E-10</v>
      </c>
    </row>
    <row r="547" spans="1:7">
      <c r="A547" t="s">
        <v>649</v>
      </c>
      <c r="B547">
        <v>-1</v>
      </c>
      <c r="C547">
        <v>-1</v>
      </c>
      <c r="D547">
        <v>-1</v>
      </c>
      <c r="E547">
        <v>-1</v>
      </c>
      <c r="F547">
        <v>1.0999999999999999E-9</v>
      </c>
      <c r="G547">
        <v>1.6000000000000001E-9</v>
      </c>
    </row>
    <row r="548" spans="1:7">
      <c r="A548" t="s">
        <v>650</v>
      </c>
      <c r="B548">
        <v>-1</v>
      </c>
      <c r="C548">
        <v>-1</v>
      </c>
      <c r="D548">
        <v>-1</v>
      </c>
      <c r="E548">
        <v>-1</v>
      </c>
      <c r="F548">
        <v>4.1000000000000001E-11</v>
      </c>
      <c r="G548">
        <v>6.0999999999999996E-11</v>
      </c>
    </row>
    <row r="549" spans="1:7">
      <c r="A549" t="s">
        <v>651</v>
      </c>
      <c r="B549">
        <v>4.5E-11</v>
      </c>
      <c r="C549">
        <v>8.2000000000000001E-11</v>
      </c>
      <c r="D549">
        <v>7.3000000000000006E-11</v>
      </c>
      <c r="E549">
        <v>1.2E-10</v>
      </c>
      <c r="F549">
        <v>-1</v>
      </c>
      <c r="G549">
        <v>-1</v>
      </c>
    </row>
    <row r="550" spans="1:7">
      <c r="A550" t="s">
        <v>652</v>
      </c>
      <c r="B550">
        <v>8.6E-11</v>
      </c>
      <c r="C550">
        <v>1.5E-10</v>
      </c>
      <c r="D550">
        <v>1.5999999999999999E-10</v>
      </c>
      <c r="E550">
        <v>2.4E-10</v>
      </c>
      <c r="F550">
        <v>-1</v>
      </c>
      <c r="G550">
        <v>-1</v>
      </c>
    </row>
    <row r="551" spans="1:7">
      <c r="A551" t="s">
        <v>653</v>
      </c>
      <c r="B551">
        <v>9.8999999999999994E-12</v>
      </c>
      <c r="C551">
        <v>1.6999999999999999E-11</v>
      </c>
      <c r="D551">
        <v>1.7999999999999999E-11</v>
      </c>
      <c r="E551">
        <v>2.7E-11</v>
      </c>
      <c r="F551">
        <v>-1</v>
      </c>
      <c r="G551">
        <v>-1</v>
      </c>
    </row>
    <row r="552" spans="1:7">
      <c r="A552" t="s">
        <v>654</v>
      </c>
      <c r="B552">
        <v>1.0000000000000001E-9</v>
      </c>
      <c r="C552">
        <v>1.3999999999999999E-9</v>
      </c>
      <c r="D552">
        <v>1.3999999999999999E-9</v>
      </c>
      <c r="E552">
        <v>1.6999999999999999E-9</v>
      </c>
      <c r="F552">
        <v>-1</v>
      </c>
      <c r="G552">
        <v>-1</v>
      </c>
    </row>
    <row r="553" spans="1:7">
      <c r="A553" t="s">
        <v>109</v>
      </c>
      <c r="B553">
        <v>1.2E-9</v>
      </c>
      <c r="C553">
        <v>1.6000000000000001E-9</v>
      </c>
      <c r="D553">
        <v>2.8999999999999999E-9</v>
      </c>
      <c r="E553">
        <v>3.1E-9</v>
      </c>
      <c r="F553">
        <v>-1</v>
      </c>
      <c r="G553">
        <v>-1</v>
      </c>
    </row>
    <row r="554" spans="1:7">
      <c r="A554" t="s">
        <v>655</v>
      </c>
      <c r="B554">
        <v>8.5999999999999997E-12</v>
      </c>
      <c r="C554">
        <v>1.4E-11</v>
      </c>
      <c r="D554">
        <v>1.5E-11</v>
      </c>
      <c r="E554">
        <v>2.4000000000000001E-11</v>
      </c>
      <c r="F554">
        <v>-1</v>
      </c>
      <c r="G554">
        <v>-1</v>
      </c>
    </row>
    <row r="555" spans="1:7">
      <c r="A555" t="s">
        <v>656</v>
      </c>
      <c r="B555">
        <v>1.6999999999999999E-11</v>
      </c>
      <c r="C555">
        <v>3E-11</v>
      </c>
      <c r="D555">
        <v>4.6999999999999999E-11</v>
      </c>
      <c r="E555">
        <v>6.7999999999999998E-11</v>
      </c>
      <c r="F555">
        <v>-1</v>
      </c>
      <c r="G555">
        <v>-1</v>
      </c>
    </row>
    <row r="556" spans="1:7">
      <c r="A556" t="s">
        <v>657</v>
      </c>
      <c r="B556">
        <v>1.8999999999999999E-11</v>
      </c>
      <c r="C556">
        <v>3.3999999999999999E-11</v>
      </c>
      <c r="D556">
        <v>3.3000000000000002E-11</v>
      </c>
      <c r="E556">
        <v>5.2999999999999998E-11</v>
      </c>
      <c r="F556">
        <v>-1</v>
      </c>
      <c r="G556">
        <v>-1</v>
      </c>
    </row>
    <row r="557" spans="1:7">
      <c r="A557" t="s">
        <v>658</v>
      </c>
      <c r="B557">
        <v>2.9E-11</v>
      </c>
      <c r="C557">
        <v>5.0999999999999998E-11</v>
      </c>
      <c r="D557">
        <v>7.5E-11</v>
      </c>
      <c r="E557">
        <v>1.0999999999999999E-10</v>
      </c>
      <c r="F557">
        <v>7.9999999999999995E-11</v>
      </c>
      <c r="G557">
        <v>1.0999999999999999E-10</v>
      </c>
    </row>
    <row r="558" spans="1:7">
      <c r="A558" t="s">
        <v>659</v>
      </c>
      <c r="B558">
        <v>3.2000000000000001E-9</v>
      </c>
      <c r="C558">
        <v>3.7E-9</v>
      </c>
      <c r="D558">
        <v>1.4999999999999999E-8</v>
      </c>
      <c r="E558">
        <v>9.5999999999999999E-9</v>
      </c>
      <c r="F558">
        <v>1.1000000000000001E-7</v>
      </c>
      <c r="G558">
        <v>5.5000000000000003E-8</v>
      </c>
    </row>
    <row r="559" spans="1:7">
      <c r="A559" t="s">
        <v>660</v>
      </c>
      <c r="B559">
        <v>-1</v>
      </c>
      <c r="C559">
        <v>-1</v>
      </c>
      <c r="D559">
        <v>1.6E-11</v>
      </c>
      <c r="E559">
        <v>2.7E-11</v>
      </c>
      <c r="F559">
        <v>-1</v>
      </c>
      <c r="G559">
        <v>-1</v>
      </c>
    </row>
    <row r="560" spans="1:7">
      <c r="A560" t="s">
        <v>661</v>
      </c>
      <c r="B560">
        <v>-1</v>
      </c>
      <c r="C560">
        <v>-1</v>
      </c>
      <c r="D560">
        <v>3.3999999999999999E-11</v>
      </c>
      <c r="E560">
        <v>5.6E-11</v>
      </c>
      <c r="F560">
        <v>-1</v>
      </c>
      <c r="G560">
        <v>-1</v>
      </c>
    </row>
    <row r="561" spans="1:7">
      <c r="A561" t="s">
        <v>662</v>
      </c>
      <c r="B561">
        <v>-1</v>
      </c>
      <c r="C561">
        <v>-1</v>
      </c>
      <c r="D561">
        <v>7.4000000000000003E-11</v>
      </c>
      <c r="E561">
        <v>1.0999999999999999E-10</v>
      </c>
      <c r="F561">
        <v>-1</v>
      </c>
      <c r="G561">
        <v>-1</v>
      </c>
    </row>
    <row r="562" spans="1:7">
      <c r="A562" t="s">
        <v>663</v>
      </c>
      <c r="B562">
        <v>-1</v>
      </c>
      <c r="C562">
        <v>-1</v>
      </c>
      <c r="D562">
        <v>1.5E-9</v>
      </c>
      <c r="E562">
        <v>1.0999999999999999E-9</v>
      </c>
      <c r="F562">
        <v>-1</v>
      </c>
      <c r="G562">
        <v>-1</v>
      </c>
    </row>
    <row r="563" spans="1:7">
      <c r="A563" t="s">
        <v>147</v>
      </c>
      <c r="B563">
        <v>-1</v>
      </c>
      <c r="C563">
        <v>-1</v>
      </c>
      <c r="D563">
        <v>9.9000000000000001E-6</v>
      </c>
      <c r="E563">
        <v>6.7000000000000002E-6</v>
      </c>
      <c r="F563">
        <v>-1</v>
      </c>
      <c r="G563">
        <v>-1</v>
      </c>
    </row>
    <row r="564" spans="1:7">
      <c r="A564" t="s">
        <v>148</v>
      </c>
      <c r="B564">
        <v>-1</v>
      </c>
      <c r="C564">
        <v>-1</v>
      </c>
      <c r="D564">
        <v>8.8999999999999995E-6</v>
      </c>
      <c r="E564">
        <v>6.1E-6</v>
      </c>
      <c r="F564">
        <v>-1</v>
      </c>
      <c r="G564">
        <v>-1</v>
      </c>
    </row>
    <row r="565" spans="1:7">
      <c r="A565" t="s">
        <v>128</v>
      </c>
      <c r="B565">
        <v>-1</v>
      </c>
      <c r="C565">
        <v>-1</v>
      </c>
      <c r="D565">
        <v>3.7E-9</v>
      </c>
      <c r="E565">
        <v>2.6000000000000001E-9</v>
      </c>
      <c r="F565">
        <v>-1</v>
      </c>
      <c r="G565">
        <v>-1</v>
      </c>
    </row>
    <row r="566" spans="1:7">
      <c r="A566" t="s">
        <v>664</v>
      </c>
      <c r="B566">
        <v>-1</v>
      </c>
      <c r="C566">
        <v>-1</v>
      </c>
      <c r="D566">
        <v>6.0999999999999996E-10</v>
      </c>
      <c r="E566">
        <v>6.8000000000000003E-10</v>
      </c>
      <c r="F566">
        <v>-1</v>
      </c>
      <c r="G566">
        <v>-1</v>
      </c>
    </row>
    <row r="567" spans="1:7">
      <c r="A567" t="s">
        <v>665</v>
      </c>
      <c r="B567">
        <v>-1</v>
      </c>
      <c r="C567">
        <v>-1</v>
      </c>
      <c r="D567">
        <v>1.6999999999999999E-11</v>
      </c>
      <c r="E567">
        <v>2.8E-11</v>
      </c>
      <c r="F567">
        <v>-1</v>
      </c>
      <c r="G567">
        <v>-1</v>
      </c>
    </row>
    <row r="568" spans="1:7">
      <c r="A568" t="s">
        <v>666</v>
      </c>
      <c r="B568">
        <v>-1</v>
      </c>
      <c r="C568">
        <v>-1</v>
      </c>
      <c r="D568">
        <v>2.1E-10</v>
      </c>
      <c r="E568">
        <v>2.8000000000000002E-10</v>
      </c>
      <c r="F568">
        <v>-1</v>
      </c>
      <c r="G568">
        <v>-1</v>
      </c>
    </row>
    <row r="569" spans="1:7">
      <c r="A569" t="s">
        <v>667</v>
      </c>
      <c r="B569">
        <v>1.0999999999999999E-10</v>
      </c>
      <c r="C569">
        <v>1.8999999999999999E-10</v>
      </c>
      <c r="D569">
        <v>1.5999999999999999E-10</v>
      </c>
      <c r="E569">
        <v>2.5999999999999998E-10</v>
      </c>
      <c r="F569">
        <v>-1</v>
      </c>
      <c r="G569">
        <v>-1</v>
      </c>
    </row>
    <row r="570" spans="1:7">
      <c r="A570" t="s">
        <v>668</v>
      </c>
      <c r="B570">
        <v>8.2999999999999998E-12</v>
      </c>
      <c r="C570">
        <v>1.5E-11</v>
      </c>
      <c r="D570">
        <v>1.4E-11</v>
      </c>
      <c r="E570">
        <v>2.2000000000000002E-11</v>
      </c>
      <c r="F570">
        <v>-1</v>
      </c>
      <c r="G570">
        <v>-1</v>
      </c>
    </row>
    <row r="571" spans="1:7">
      <c r="A571" t="s">
        <v>669</v>
      </c>
      <c r="B571">
        <v>5.4E-10</v>
      </c>
      <c r="C571">
        <v>7.8999999999999996E-10</v>
      </c>
      <c r="D571">
        <v>2.5000000000000001E-9</v>
      </c>
      <c r="E571">
        <v>1.9000000000000001E-9</v>
      </c>
      <c r="F571">
        <v>-1</v>
      </c>
      <c r="G571">
        <v>-1</v>
      </c>
    </row>
    <row r="572" spans="1:7">
      <c r="A572" t="s">
        <v>670</v>
      </c>
      <c r="B572">
        <v>2.8999999999999998E-10</v>
      </c>
      <c r="C572">
        <v>3.9E-10</v>
      </c>
      <c r="D572">
        <v>2.2999999999999999E-9</v>
      </c>
      <c r="E572">
        <v>2.1999999999999998E-9</v>
      </c>
      <c r="F572">
        <v>-1</v>
      </c>
      <c r="G572">
        <v>-1</v>
      </c>
    </row>
    <row r="573" spans="1:7">
      <c r="A573" t="s">
        <v>671</v>
      </c>
      <c r="B573">
        <v>2.8999999999999998E-10</v>
      </c>
      <c r="C573">
        <v>3.6E-10</v>
      </c>
      <c r="D573">
        <v>2.0000000000000001E-9</v>
      </c>
      <c r="E573">
        <v>1.5E-9</v>
      </c>
      <c r="F573">
        <v>-1</v>
      </c>
      <c r="G573">
        <v>-1</v>
      </c>
    </row>
    <row r="574" spans="1:7">
      <c r="A574" t="s">
        <v>146</v>
      </c>
      <c r="B574">
        <v>6.3999999999999999E-11</v>
      </c>
      <c r="C574">
        <v>1E-10</v>
      </c>
      <c r="D574">
        <v>2.1999999999999999E-10</v>
      </c>
      <c r="E574">
        <v>2.8000000000000002E-10</v>
      </c>
      <c r="F574">
        <v>-1</v>
      </c>
      <c r="G574">
        <v>-1</v>
      </c>
    </row>
    <row r="575" spans="1:7">
      <c r="A575" t="s">
        <v>116</v>
      </c>
      <c r="B575">
        <v>8.0000000000000003E-10</v>
      </c>
      <c r="C575">
        <v>9.6999999999999996E-10</v>
      </c>
      <c r="D575">
        <v>4.2000000000000004E-9</v>
      </c>
      <c r="E575">
        <v>3.3000000000000002E-9</v>
      </c>
      <c r="F575">
        <v>-1</v>
      </c>
      <c r="G575">
        <v>-1</v>
      </c>
    </row>
    <row r="576" spans="1:7">
      <c r="A576" t="s">
        <v>672</v>
      </c>
      <c r="B576">
        <v>1.2E-9</v>
      </c>
      <c r="C576">
        <v>1.6000000000000001E-9</v>
      </c>
      <c r="D576">
        <v>7.6999999999999995E-9</v>
      </c>
      <c r="E576">
        <v>5.5999999999999997E-9</v>
      </c>
      <c r="F576">
        <v>-1</v>
      </c>
      <c r="G576">
        <v>-1</v>
      </c>
    </row>
    <row r="577" spans="1:7">
      <c r="A577" t="s">
        <v>673</v>
      </c>
      <c r="B577">
        <v>1.4E-11</v>
      </c>
      <c r="C577">
        <v>2.4000000000000001E-11</v>
      </c>
      <c r="D577">
        <v>2.8E-11</v>
      </c>
      <c r="E577">
        <v>4.4000000000000003E-11</v>
      </c>
      <c r="F577">
        <v>-1</v>
      </c>
      <c r="G577">
        <v>-1</v>
      </c>
    </row>
    <row r="578" spans="1:7">
      <c r="A578" t="s">
        <v>674</v>
      </c>
      <c r="B578">
        <v>9.2000000000000003E-10</v>
      </c>
      <c r="C578">
        <v>1.3000000000000001E-9</v>
      </c>
      <c r="D578">
        <v>3E-9</v>
      </c>
      <c r="E578">
        <v>2.7999999999999998E-9</v>
      </c>
      <c r="F578">
        <v>-1</v>
      </c>
      <c r="G578">
        <v>-1</v>
      </c>
    </row>
    <row r="579" spans="1:7">
      <c r="A579" t="s">
        <v>119</v>
      </c>
      <c r="B579">
        <v>1.0999999999999999E-8</v>
      </c>
      <c r="C579">
        <v>1.4E-8</v>
      </c>
      <c r="D579">
        <v>2.7E-8</v>
      </c>
      <c r="E579">
        <v>1.7999999999999999E-8</v>
      </c>
      <c r="F579">
        <v>-1</v>
      </c>
      <c r="G579">
        <v>-1</v>
      </c>
    </row>
    <row r="580" spans="1:7">
      <c r="A580" t="s">
        <v>675</v>
      </c>
      <c r="B580">
        <v>6.8999999999999994E-11</v>
      </c>
      <c r="C580">
        <v>1.2E-10</v>
      </c>
      <c r="D580">
        <v>1.2999999999999999E-10</v>
      </c>
      <c r="E580">
        <v>2.0000000000000001E-10</v>
      </c>
      <c r="F580">
        <v>-1</v>
      </c>
      <c r="G580">
        <v>-1</v>
      </c>
    </row>
    <row r="581" spans="1:7">
      <c r="A581" t="s">
        <v>676</v>
      </c>
      <c r="B581">
        <v>5.4000000000000001E-11</v>
      </c>
      <c r="C581">
        <v>9.4999999999999995E-11</v>
      </c>
      <c r="D581">
        <v>9.6000000000000005E-11</v>
      </c>
      <c r="E581">
        <v>1.5E-10</v>
      </c>
      <c r="F581">
        <v>-1</v>
      </c>
      <c r="G581">
        <v>-1</v>
      </c>
    </row>
    <row r="582" spans="1:7">
      <c r="A582" t="s">
        <v>677</v>
      </c>
      <c r="B582">
        <v>7.5999999999999996E-11</v>
      </c>
      <c r="C582">
        <v>1.2999999999999999E-10</v>
      </c>
      <c r="D582">
        <v>-1</v>
      </c>
      <c r="E582">
        <v>-1</v>
      </c>
      <c r="F582">
        <v>1.4000000000000001E-10</v>
      </c>
      <c r="G582">
        <v>2.1E-10</v>
      </c>
    </row>
    <row r="583" spans="1:7">
      <c r="A583" t="s">
        <v>678</v>
      </c>
      <c r="B583">
        <v>2.2000000000000002E-11</v>
      </c>
      <c r="C583">
        <v>3.9000000000000001E-11</v>
      </c>
      <c r="D583">
        <v>-1</v>
      </c>
      <c r="E583">
        <v>-1</v>
      </c>
      <c r="F583">
        <v>3.7999999999999998E-11</v>
      </c>
      <c r="G583">
        <v>6.0999999999999996E-11</v>
      </c>
    </row>
    <row r="584" spans="1:7">
      <c r="A584" t="s">
        <v>679</v>
      </c>
      <c r="B584">
        <v>2.1999999999999998E-9</v>
      </c>
      <c r="C584">
        <v>3.3000000000000002E-9</v>
      </c>
      <c r="D584">
        <v>-1</v>
      </c>
      <c r="E584">
        <v>-1</v>
      </c>
      <c r="F584">
        <v>1E-8</v>
      </c>
      <c r="G584">
        <v>7.6999999999999995E-9</v>
      </c>
    </row>
    <row r="585" spans="1:7">
      <c r="A585" t="s">
        <v>680</v>
      </c>
      <c r="B585">
        <v>1.7000000000000001E-10</v>
      </c>
      <c r="C585">
        <v>3E-10</v>
      </c>
      <c r="D585">
        <v>-1</v>
      </c>
      <c r="E585">
        <v>-1</v>
      </c>
      <c r="F585">
        <v>3.4000000000000001E-10</v>
      </c>
      <c r="G585">
        <v>4.8999999999999996E-10</v>
      </c>
    </row>
    <row r="586" spans="1:7">
      <c r="A586" t="s">
        <v>681</v>
      </c>
      <c r="B586">
        <v>3.9E-10</v>
      </c>
      <c r="C586">
        <v>5.6000000000000003E-10</v>
      </c>
      <c r="D586">
        <v>-1</v>
      </c>
      <c r="E586">
        <v>-1</v>
      </c>
      <c r="F586">
        <v>7.7000000000000003E-10</v>
      </c>
      <c r="G586">
        <v>6.3999999999999996E-10</v>
      </c>
    </row>
    <row r="587" spans="1:7">
      <c r="A587" t="s">
        <v>682</v>
      </c>
      <c r="B587">
        <v>3.1000000000000001E-12</v>
      </c>
      <c r="C587">
        <v>5.6000000000000004E-12</v>
      </c>
      <c r="D587">
        <v>-1</v>
      </c>
      <c r="E587">
        <v>-1</v>
      </c>
      <c r="F587">
        <v>4.4999999999999998E-12</v>
      </c>
      <c r="G587">
        <v>7.4E-12</v>
      </c>
    </row>
    <row r="588" spans="1:7">
      <c r="A588" t="s">
        <v>683</v>
      </c>
      <c r="B588">
        <v>1.2000000000000001E-11</v>
      </c>
      <c r="C588">
        <v>2.2000000000000002E-11</v>
      </c>
      <c r="D588">
        <v>-1</v>
      </c>
      <c r="E588">
        <v>-1</v>
      </c>
      <c r="F588">
        <v>2.2000000000000002E-11</v>
      </c>
      <c r="G588">
        <v>3.5000000000000002E-11</v>
      </c>
    </row>
    <row r="589" spans="1:7">
      <c r="A589" t="s">
        <v>684</v>
      </c>
      <c r="B589">
        <v>1.0000000000000001E-9</v>
      </c>
      <c r="C589">
        <v>1.3999999999999999E-9</v>
      </c>
      <c r="D589">
        <v>-1</v>
      </c>
      <c r="E589">
        <v>-1</v>
      </c>
      <c r="F589">
        <v>7.4999999999999993E-9</v>
      </c>
      <c r="G589">
        <v>5.5999999999999997E-9</v>
      </c>
    </row>
    <row r="590" spans="1:7">
      <c r="A590" t="s">
        <v>21</v>
      </c>
      <c r="B590">
        <v>2.4E-8</v>
      </c>
      <c r="C590">
        <v>2.9999999999999997E-8</v>
      </c>
      <c r="D590">
        <v>-1</v>
      </c>
      <c r="E590">
        <v>-1</v>
      </c>
      <c r="F590">
        <v>1.4999999999999999E-7</v>
      </c>
      <c r="G590">
        <v>7.7000000000000001E-8</v>
      </c>
    </row>
    <row r="591" spans="1:7">
      <c r="A591" t="s">
        <v>685</v>
      </c>
      <c r="B591">
        <v>1.7000000000000001E-10</v>
      </c>
      <c r="C591">
        <v>2.8999999999999998E-10</v>
      </c>
      <c r="D591">
        <v>-1</v>
      </c>
      <c r="E591">
        <v>-1</v>
      </c>
      <c r="F591">
        <v>4.0999999999999998E-10</v>
      </c>
      <c r="G591">
        <v>5.7E-10</v>
      </c>
    </row>
    <row r="592" spans="1:7">
      <c r="A592" t="s">
        <v>686</v>
      </c>
      <c r="B592">
        <v>1.0999999999999999E-10</v>
      </c>
      <c r="C592">
        <v>1.8E-10</v>
      </c>
      <c r="D592">
        <v>-1</v>
      </c>
      <c r="E592">
        <v>-1</v>
      </c>
      <c r="F592">
        <v>2.3000000000000001E-10</v>
      </c>
      <c r="G592">
        <v>3.4000000000000001E-10</v>
      </c>
    </row>
    <row r="593" spans="1:7">
      <c r="A593" t="s">
        <v>687</v>
      </c>
      <c r="B593">
        <v>-1</v>
      </c>
      <c r="C593">
        <v>-1</v>
      </c>
      <c r="D593">
        <v>3.3999999999999999E-11</v>
      </c>
      <c r="E593">
        <v>5.4999999999999997E-11</v>
      </c>
      <c r="F593">
        <v>3.5999999999999998E-11</v>
      </c>
      <c r="G593">
        <v>5.6999999999999997E-11</v>
      </c>
    </row>
    <row r="594" spans="1:7">
      <c r="A594" t="s">
        <v>688</v>
      </c>
      <c r="B594">
        <v>-1</v>
      </c>
      <c r="C594">
        <v>-1</v>
      </c>
      <c r="D594">
        <v>1.0999999999999999E-10</v>
      </c>
      <c r="E594">
        <v>1.5999999999999999E-10</v>
      </c>
      <c r="F594">
        <v>1.2E-10</v>
      </c>
      <c r="G594">
        <v>1.5999999999999999E-10</v>
      </c>
    </row>
    <row r="595" spans="1:7">
      <c r="A595" t="s">
        <v>689</v>
      </c>
      <c r="B595">
        <v>-1</v>
      </c>
      <c r="C595">
        <v>-1</v>
      </c>
      <c r="D595">
        <v>4.1999999999999997E-11</v>
      </c>
      <c r="E595">
        <v>6.3000000000000002E-11</v>
      </c>
      <c r="F595">
        <v>4.4000000000000003E-11</v>
      </c>
      <c r="G595">
        <v>6.6000000000000005E-11</v>
      </c>
    </row>
    <row r="596" spans="1:7">
      <c r="A596" t="s">
        <v>690</v>
      </c>
      <c r="B596">
        <v>-1</v>
      </c>
      <c r="C596">
        <v>-1</v>
      </c>
      <c r="D596">
        <v>1.2999999999999999E-10</v>
      </c>
      <c r="E596">
        <v>2.0000000000000001E-10</v>
      </c>
      <c r="F596">
        <v>1.4000000000000001E-10</v>
      </c>
      <c r="G596">
        <v>2.0000000000000001E-10</v>
      </c>
    </row>
    <row r="597" spans="1:7">
      <c r="A597" t="s">
        <v>691</v>
      </c>
      <c r="B597">
        <v>-1</v>
      </c>
      <c r="C597">
        <v>-1</v>
      </c>
      <c r="D597">
        <v>2.0000000000000001E-10</v>
      </c>
      <c r="E597">
        <v>3.1999999999999998E-10</v>
      </c>
      <c r="F597">
        <v>2.1E-10</v>
      </c>
      <c r="G597">
        <v>3.3E-10</v>
      </c>
    </row>
    <row r="598" spans="1:7">
      <c r="A598" t="s">
        <v>692</v>
      </c>
      <c r="B598">
        <v>-1</v>
      </c>
      <c r="C598">
        <v>-1</v>
      </c>
      <c r="D598">
        <v>9.3000000000000002E-11</v>
      </c>
      <c r="E598">
        <v>1.2E-10</v>
      </c>
      <c r="F598">
        <v>1E-10</v>
      </c>
      <c r="G598">
        <v>1.2999999999999999E-10</v>
      </c>
    </row>
    <row r="599" spans="1:7">
      <c r="A599" t="s">
        <v>693</v>
      </c>
      <c r="B599">
        <v>-1</v>
      </c>
      <c r="C599">
        <v>-1</v>
      </c>
      <c r="D599">
        <v>6.6000000000000005E-11</v>
      </c>
      <c r="E599">
        <v>1E-10</v>
      </c>
      <c r="F599">
        <v>6.8999999999999994E-11</v>
      </c>
      <c r="G599">
        <v>1.0999999999999999E-10</v>
      </c>
    </row>
    <row r="600" spans="1:7">
      <c r="A600" t="s">
        <v>694</v>
      </c>
      <c r="B600">
        <v>-1</v>
      </c>
      <c r="C600">
        <v>-1</v>
      </c>
      <c r="D600">
        <v>2.0000000000000001E-10</v>
      </c>
      <c r="E600">
        <v>1.2999999999999999E-10</v>
      </c>
      <c r="F600">
        <v>5.1999999999999996E-10</v>
      </c>
      <c r="G600">
        <v>2.8999999999999998E-10</v>
      </c>
    </row>
    <row r="601" spans="1:7">
      <c r="A601" t="s">
        <v>695</v>
      </c>
      <c r="B601">
        <v>-1</v>
      </c>
      <c r="C601">
        <v>-1</v>
      </c>
      <c r="D601">
        <v>4.4000000000000003E-11</v>
      </c>
      <c r="E601">
        <v>5.8E-11</v>
      </c>
      <c r="F601">
        <v>4.6999999999999999E-11</v>
      </c>
      <c r="G601">
        <v>6.2000000000000006E-11</v>
      </c>
    </row>
    <row r="602" spans="1:7">
      <c r="A602" t="s">
        <v>696</v>
      </c>
      <c r="B602">
        <v>-1</v>
      </c>
      <c r="C602">
        <v>-1</v>
      </c>
      <c r="D602">
        <v>7.2E-9</v>
      </c>
      <c r="E602">
        <v>5.7999999999999998E-9</v>
      </c>
      <c r="F602">
        <v>9.6999999999999992E-9</v>
      </c>
      <c r="G602">
        <v>7.4000000000000001E-9</v>
      </c>
    </row>
    <row r="603" spans="1:7">
      <c r="A603" t="s">
        <v>697</v>
      </c>
      <c r="B603">
        <v>-1</v>
      </c>
      <c r="C603">
        <v>-1</v>
      </c>
      <c r="D603">
        <v>1.8E-9</v>
      </c>
      <c r="E603">
        <v>1.8E-9</v>
      </c>
      <c r="F603">
        <v>2.0000000000000001E-9</v>
      </c>
      <c r="G603">
        <v>2.0000000000000001E-9</v>
      </c>
    </row>
    <row r="604" spans="1:7">
      <c r="A604" t="s">
        <v>698</v>
      </c>
      <c r="B604">
        <v>-1</v>
      </c>
      <c r="C604">
        <v>-1</v>
      </c>
      <c r="D604">
        <v>4.0999999999999998E-10</v>
      </c>
      <c r="E604">
        <v>6E-10</v>
      </c>
      <c r="F604">
        <v>4.3999999999999998E-10</v>
      </c>
      <c r="G604">
        <v>6.3E-10</v>
      </c>
    </row>
    <row r="605" spans="1:7">
      <c r="A605" t="s">
        <v>699</v>
      </c>
      <c r="B605">
        <v>-1</v>
      </c>
      <c r="C605">
        <v>-1</v>
      </c>
      <c r="D605">
        <v>4.6000000000000003E-11</v>
      </c>
      <c r="E605">
        <v>6.7999999999999998E-11</v>
      </c>
      <c r="F605">
        <v>4.8999999999999999E-11</v>
      </c>
      <c r="G605">
        <v>7.1999999999999997E-11</v>
      </c>
    </row>
    <row r="606" spans="1:7">
      <c r="A606" t="s">
        <v>700</v>
      </c>
      <c r="B606">
        <v>-1</v>
      </c>
      <c r="C606">
        <v>-1</v>
      </c>
      <c r="D606">
        <v>1.7999999999999999E-11</v>
      </c>
      <c r="E606">
        <v>3E-11</v>
      </c>
      <c r="F606">
        <v>1.8999999999999999E-11</v>
      </c>
      <c r="G606">
        <v>3.1000000000000003E-11</v>
      </c>
    </row>
    <row r="607" spans="1:7">
      <c r="A607" t="s">
        <v>701</v>
      </c>
      <c r="B607">
        <v>-1</v>
      </c>
      <c r="C607">
        <v>-1</v>
      </c>
      <c r="D607">
        <v>7.8999999999999999E-11</v>
      </c>
      <c r="E607">
        <v>1.2E-10</v>
      </c>
      <c r="F607">
        <v>-1</v>
      </c>
      <c r="G607">
        <v>-1</v>
      </c>
    </row>
    <row r="608" spans="1:7">
      <c r="A608" t="s">
        <v>702</v>
      </c>
      <c r="B608">
        <v>-1</v>
      </c>
      <c r="C608">
        <v>-1</v>
      </c>
      <c r="D608">
        <v>4.2999999999999996E-9</v>
      </c>
      <c r="E608">
        <v>3.1E-9</v>
      </c>
      <c r="F608">
        <v>-1</v>
      </c>
      <c r="G608">
        <v>-1</v>
      </c>
    </row>
    <row r="609" spans="1:7">
      <c r="A609" t="s">
        <v>703</v>
      </c>
      <c r="B609">
        <v>-1</v>
      </c>
      <c r="C609">
        <v>-1</v>
      </c>
      <c r="D609">
        <v>1.0999999999999999E-10</v>
      </c>
      <c r="E609">
        <v>1.8E-10</v>
      </c>
      <c r="F609">
        <v>-1</v>
      </c>
      <c r="G609">
        <v>-1</v>
      </c>
    </row>
    <row r="610" spans="1:7">
      <c r="A610" t="s">
        <v>704</v>
      </c>
      <c r="B610">
        <v>-1</v>
      </c>
      <c r="C610">
        <v>-1</v>
      </c>
      <c r="D610">
        <v>2.3000000000000001E-10</v>
      </c>
      <c r="E610">
        <v>3.3E-10</v>
      </c>
      <c r="F610">
        <v>-1</v>
      </c>
      <c r="G610">
        <v>-1</v>
      </c>
    </row>
    <row r="611" spans="1:7">
      <c r="A611" t="s">
        <v>705</v>
      </c>
      <c r="B611">
        <v>-1</v>
      </c>
      <c r="C611">
        <v>-1</v>
      </c>
      <c r="D611">
        <v>2.0000000000000001E-10</v>
      </c>
      <c r="E611">
        <v>2.4E-10</v>
      </c>
      <c r="F611">
        <v>-1</v>
      </c>
      <c r="G611">
        <v>-1</v>
      </c>
    </row>
    <row r="612" spans="1:7">
      <c r="A612" t="s">
        <v>706</v>
      </c>
      <c r="B612">
        <v>-1</v>
      </c>
      <c r="C612">
        <v>-1</v>
      </c>
      <c r="D612">
        <v>3.7999999999999998E-10</v>
      </c>
      <c r="E612">
        <v>6E-10</v>
      </c>
      <c r="F612">
        <v>-1</v>
      </c>
      <c r="G612">
        <v>-1</v>
      </c>
    </row>
    <row r="613" spans="1:7">
      <c r="A613" t="s">
        <v>707</v>
      </c>
      <c r="B613">
        <v>-1</v>
      </c>
      <c r="C613">
        <v>-1</v>
      </c>
      <c r="D613">
        <v>2.1E-10</v>
      </c>
      <c r="E613">
        <v>2.5000000000000002E-10</v>
      </c>
      <c r="F613">
        <v>-1</v>
      </c>
      <c r="G613">
        <v>-1</v>
      </c>
    </row>
    <row r="614" spans="1:7">
      <c r="A614" t="s">
        <v>708</v>
      </c>
      <c r="B614">
        <v>-1</v>
      </c>
      <c r="C614">
        <v>-1</v>
      </c>
      <c r="D614">
        <v>1.2E-9</v>
      </c>
      <c r="E614">
        <v>1.3999999999999999E-9</v>
      </c>
      <c r="F614">
        <v>-1</v>
      </c>
      <c r="G614">
        <v>-1</v>
      </c>
    </row>
    <row r="615" spans="1:7">
      <c r="A615" t="s">
        <v>709</v>
      </c>
      <c r="B615">
        <v>-1</v>
      </c>
      <c r="C615">
        <v>-1</v>
      </c>
      <c r="D615">
        <v>2.0000000000000001E-10</v>
      </c>
      <c r="E615">
        <v>2.3000000000000001E-10</v>
      </c>
      <c r="F615">
        <v>-1</v>
      </c>
      <c r="G615">
        <v>-1</v>
      </c>
    </row>
    <row r="616" spans="1:7">
      <c r="A616" t="s">
        <v>710</v>
      </c>
      <c r="B616">
        <v>-1</v>
      </c>
      <c r="C616">
        <v>-1</v>
      </c>
      <c r="D616">
        <v>9.2000000000000005E-11</v>
      </c>
      <c r="E616">
        <v>1.2999999999999999E-10</v>
      </c>
      <c r="F616">
        <v>-1</v>
      </c>
      <c r="G616">
        <v>-1</v>
      </c>
    </row>
    <row r="617" spans="1:7">
      <c r="A617" t="s">
        <v>711</v>
      </c>
      <c r="B617">
        <v>-1</v>
      </c>
      <c r="C617">
        <v>-1</v>
      </c>
      <c r="D617">
        <v>1.0999999999999999E-9</v>
      </c>
      <c r="E617">
        <v>7.8999999999999996E-10</v>
      </c>
      <c r="F617">
        <v>-1</v>
      </c>
      <c r="G617">
        <v>-1</v>
      </c>
    </row>
    <row r="618" spans="1:7">
      <c r="A618" t="s">
        <v>712</v>
      </c>
      <c r="B618">
        <v>-1</v>
      </c>
      <c r="C618">
        <v>-1</v>
      </c>
      <c r="D618">
        <v>4.3000000000000001E-8</v>
      </c>
      <c r="E618">
        <v>2.9999999999999997E-8</v>
      </c>
      <c r="F618">
        <v>-1</v>
      </c>
      <c r="G618">
        <v>-1</v>
      </c>
    </row>
    <row r="619" spans="1:7">
      <c r="A619" t="s">
        <v>713</v>
      </c>
      <c r="B619">
        <v>-1</v>
      </c>
      <c r="C619">
        <v>-1</v>
      </c>
      <c r="D619">
        <v>6.6000000000000004E-9</v>
      </c>
      <c r="E619">
        <v>5.4000000000000004E-9</v>
      </c>
      <c r="F619">
        <v>-1</v>
      </c>
      <c r="G619">
        <v>-1</v>
      </c>
    </row>
    <row r="620" spans="1:7">
      <c r="A620" t="s">
        <v>714</v>
      </c>
      <c r="B620">
        <v>-1</v>
      </c>
      <c r="C620">
        <v>-1</v>
      </c>
      <c r="D620">
        <v>1.2E-9</v>
      </c>
      <c r="E620">
        <v>1.2E-9</v>
      </c>
      <c r="F620">
        <v>-1</v>
      </c>
      <c r="G620">
        <v>-1</v>
      </c>
    </row>
    <row r="621" spans="1:7">
      <c r="A621" t="s">
        <v>715</v>
      </c>
      <c r="B621">
        <v>8.6999999999999997E-12</v>
      </c>
      <c r="C621">
        <v>1.5E-11</v>
      </c>
      <c r="D621">
        <v>1.3E-11</v>
      </c>
      <c r="E621">
        <v>2.0999999999999999E-11</v>
      </c>
      <c r="F621">
        <v>-1</v>
      </c>
      <c r="G621">
        <v>-1</v>
      </c>
    </row>
    <row r="622" spans="1:7">
      <c r="A622" t="s">
        <v>716</v>
      </c>
      <c r="B622">
        <v>2.4000000000000001E-11</v>
      </c>
      <c r="C622">
        <v>3.9000000000000001E-11</v>
      </c>
      <c r="D622">
        <v>3E-11</v>
      </c>
      <c r="E622">
        <v>4.8000000000000002E-11</v>
      </c>
      <c r="F622">
        <v>-1</v>
      </c>
      <c r="G622">
        <v>-1</v>
      </c>
    </row>
    <row r="623" spans="1:7">
      <c r="A623" t="s">
        <v>717</v>
      </c>
      <c r="B623">
        <v>3.3999999999999999E-11</v>
      </c>
      <c r="C623">
        <v>6.2000000000000006E-11</v>
      </c>
      <c r="D623">
        <v>3.5999999999999998E-11</v>
      </c>
      <c r="E623">
        <v>6.4999999999999995E-11</v>
      </c>
      <c r="F623">
        <v>-1</v>
      </c>
      <c r="G623">
        <v>-1</v>
      </c>
    </row>
    <row r="624" spans="1:7">
      <c r="A624" t="s">
        <v>718</v>
      </c>
      <c r="B624">
        <v>1.5E-11</v>
      </c>
      <c r="C624">
        <v>2.6000000000000001E-11</v>
      </c>
      <c r="D624">
        <v>1.6999999999999999E-11</v>
      </c>
      <c r="E624">
        <v>3.1000000000000003E-11</v>
      </c>
      <c r="F624">
        <v>-1</v>
      </c>
      <c r="G624">
        <v>-1</v>
      </c>
    </row>
    <row r="625" spans="1:7">
      <c r="A625" t="s">
        <v>719</v>
      </c>
      <c r="B625">
        <v>1.2E-10</v>
      </c>
      <c r="C625">
        <v>2.1E-10</v>
      </c>
      <c r="D625">
        <v>1.2999999999999999E-10</v>
      </c>
      <c r="E625">
        <v>2.1999999999999999E-10</v>
      </c>
      <c r="F625">
        <v>-1</v>
      </c>
      <c r="G625">
        <v>-1</v>
      </c>
    </row>
    <row r="626" spans="1:7">
      <c r="A626" t="s">
        <v>720</v>
      </c>
      <c r="B626">
        <v>4.3E-11</v>
      </c>
      <c r="C626">
        <v>6.8999999999999994E-11</v>
      </c>
      <c r="D626">
        <v>4.8999999999999999E-11</v>
      </c>
      <c r="E626">
        <v>7.9999999999999995E-11</v>
      </c>
      <c r="F626">
        <v>-1</v>
      </c>
      <c r="G626">
        <v>-1</v>
      </c>
    </row>
    <row r="627" spans="1:7">
      <c r="A627" t="s">
        <v>721</v>
      </c>
      <c r="B627">
        <v>1E-10</v>
      </c>
      <c r="C627">
        <v>1.8E-10</v>
      </c>
      <c r="D627">
        <v>1E-10</v>
      </c>
      <c r="E627">
        <v>1.8E-10</v>
      </c>
      <c r="F627">
        <v>-1</v>
      </c>
      <c r="G627">
        <v>-1</v>
      </c>
    </row>
    <row r="628" spans="1:7">
      <c r="A628" t="s">
        <v>722</v>
      </c>
      <c r="B628">
        <v>3.1000000000000002E-10</v>
      </c>
      <c r="C628">
        <v>4.8E-10</v>
      </c>
      <c r="D628">
        <v>8.6999999999999999E-10</v>
      </c>
      <c r="E628">
        <v>8.6000000000000003E-10</v>
      </c>
      <c r="F628">
        <v>-1</v>
      </c>
      <c r="G628">
        <v>-1</v>
      </c>
    </row>
    <row r="629" spans="1:7">
      <c r="A629" t="s">
        <v>723</v>
      </c>
      <c r="B629">
        <v>6E-10</v>
      </c>
      <c r="C629">
        <v>9.7999999999999992E-10</v>
      </c>
      <c r="D629">
        <v>7.1000000000000003E-10</v>
      </c>
      <c r="E629">
        <v>1.0000000000000001E-9</v>
      </c>
      <c r="F629">
        <v>-1</v>
      </c>
      <c r="G629">
        <v>-1</v>
      </c>
    </row>
    <row r="630" spans="1:7">
      <c r="A630" t="s">
        <v>724</v>
      </c>
      <c r="B630">
        <v>6.5000000000000002E-12</v>
      </c>
      <c r="C630">
        <v>1.1000000000000001E-11</v>
      </c>
      <c r="D630">
        <v>7.6999999999999999E-12</v>
      </c>
      <c r="E630">
        <v>1.1000000000000001E-11</v>
      </c>
      <c r="F630">
        <v>-1</v>
      </c>
      <c r="G630">
        <v>-1</v>
      </c>
    </row>
    <row r="631" spans="1:7">
      <c r="A631" t="s">
        <v>725</v>
      </c>
      <c r="B631">
        <v>4.5E-11</v>
      </c>
      <c r="C631">
        <v>7.1999999999999997E-11</v>
      </c>
      <c r="D631">
        <v>2.1E-10</v>
      </c>
      <c r="E631">
        <v>1.5999999999999999E-10</v>
      </c>
      <c r="F631">
        <v>-1</v>
      </c>
      <c r="G631">
        <v>-1</v>
      </c>
    </row>
    <row r="632" spans="1:7">
      <c r="A632" t="s">
        <v>726</v>
      </c>
      <c r="B632">
        <v>2.8000000000000002E-10</v>
      </c>
      <c r="C632">
        <v>4.0000000000000001E-10</v>
      </c>
      <c r="D632">
        <v>3.1E-9</v>
      </c>
      <c r="E632">
        <v>2.7000000000000002E-9</v>
      </c>
      <c r="F632">
        <v>-1</v>
      </c>
      <c r="G632">
        <v>-1</v>
      </c>
    </row>
    <row r="633" spans="1:7">
      <c r="A633" t="s">
        <v>727</v>
      </c>
      <c r="B633">
        <v>1.0000000000000001E-9</v>
      </c>
      <c r="C633">
        <v>1.5E-9</v>
      </c>
      <c r="D633">
        <v>8.0999999999999997E-9</v>
      </c>
      <c r="E633">
        <v>6.1E-9</v>
      </c>
      <c r="F633">
        <v>-1</v>
      </c>
      <c r="G633">
        <v>-1</v>
      </c>
    </row>
    <row r="634" spans="1:7">
      <c r="A634" t="s">
        <v>22</v>
      </c>
      <c r="B634">
        <v>2.8999999999999998E-10</v>
      </c>
      <c r="C634">
        <v>4.0000000000000001E-10</v>
      </c>
      <c r="D634">
        <v>3.9000000000000002E-9</v>
      </c>
      <c r="E634">
        <v>3.2000000000000001E-9</v>
      </c>
      <c r="F634">
        <v>-1</v>
      </c>
      <c r="G634">
        <v>-1</v>
      </c>
    </row>
    <row r="635" spans="1:7">
      <c r="A635" t="s">
        <v>23</v>
      </c>
      <c r="B635">
        <v>1.2000000000000001E-11</v>
      </c>
      <c r="C635">
        <v>1.9999999999999999E-11</v>
      </c>
      <c r="D635">
        <v>1.8999999999999999E-11</v>
      </c>
      <c r="E635">
        <v>2.9E-11</v>
      </c>
      <c r="F635">
        <v>-1</v>
      </c>
      <c r="G635">
        <v>-1</v>
      </c>
    </row>
    <row r="636" spans="1:7">
      <c r="A636" t="s">
        <v>728</v>
      </c>
      <c r="B636">
        <v>6.3000000000000002E-11</v>
      </c>
      <c r="C636">
        <v>1.2E-10</v>
      </c>
      <c r="D636">
        <v>1.0999999999999999E-10</v>
      </c>
      <c r="E636">
        <v>1.7000000000000001E-10</v>
      </c>
      <c r="F636">
        <v>-1</v>
      </c>
      <c r="G636">
        <v>-1</v>
      </c>
    </row>
    <row r="637" spans="1:7">
      <c r="A637" t="s">
        <v>729</v>
      </c>
      <c r="B637">
        <v>2.5000000000000002E-10</v>
      </c>
      <c r="C637">
        <v>3.9E-10</v>
      </c>
      <c r="D637">
        <v>3.9E-10</v>
      </c>
      <c r="E637">
        <v>4.3999999999999998E-10</v>
      </c>
      <c r="F637">
        <v>-1</v>
      </c>
      <c r="G637">
        <v>-1</v>
      </c>
    </row>
    <row r="638" spans="1:7">
      <c r="A638" t="s">
        <v>730</v>
      </c>
      <c r="B638">
        <v>1.8E-9</v>
      </c>
      <c r="C638">
        <v>2.2999999999999999E-9</v>
      </c>
      <c r="D638">
        <v>4.2000000000000004E-9</v>
      </c>
      <c r="E638">
        <v>3.6E-9</v>
      </c>
      <c r="F638">
        <v>-1</v>
      </c>
      <c r="G638">
        <v>-1</v>
      </c>
    </row>
    <row r="639" spans="1:7">
      <c r="A639" t="s">
        <v>731</v>
      </c>
      <c r="B639">
        <v>4.0000000000000002E-9</v>
      </c>
      <c r="C639">
        <v>5.0000000000000001E-9</v>
      </c>
      <c r="D639">
        <v>2.6000000000000001E-9</v>
      </c>
      <c r="E639">
        <v>2.7999999999999998E-9</v>
      </c>
      <c r="F639">
        <v>-1</v>
      </c>
      <c r="G639">
        <v>-1</v>
      </c>
    </row>
    <row r="640" spans="1:7">
      <c r="A640" t="s">
        <v>732</v>
      </c>
      <c r="B640">
        <v>9.6999999999999996E-10</v>
      </c>
      <c r="C640">
        <v>1.2E-9</v>
      </c>
      <c r="D640">
        <v>3.9000000000000002E-9</v>
      </c>
      <c r="E640">
        <v>3.3999999999999998E-9</v>
      </c>
      <c r="F640">
        <v>-1</v>
      </c>
      <c r="G640">
        <v>-1</v>
      </c>
    </row>
    <row r="641" spans="1:7">
      <c r="A641" t="s">
        <v>118</v>
      </c>
      <c r="B641">
        <v>5.1E-10</v>
      </c>
      <c r="C641">
        <v>6.6999999999999996E-10</v>
      </c>
      <c r="D641">
        <v>3.3000000000000002E-9</v>
      </c>
      <c r="E641">
        <v>2.8999999999999999E-9</v>
      </c>
      <c r="F641">
        <v>-1</v>
      </c>
      <c r="G641">
        <v>-1</v>
      </c>
    </row>
    <row r="642" spans="1:7">
      <c r="A642" t="s">
        <v>733</v>
      </c>
      <c r="B642">
        <v>4.1999999999999997E-11</v>
      </c>
      <c r="C642">
        <v>7.1999999999999997E-11</v>
      </c>
      <c r="D642">
        <v>1.2E-10</v>
      </c>
      <c r="E642">
        <v>1.8E-10</v>
      </c>
      <c r="F642">
        <v>-1</v>
      </c>
      <c r="G642">
        <v>-1</v>
      </c>
    </row>
    <row r="643" spans="1:7">
      <c r="A643" t="s">
        <v>734</v>
      </c>
      <c r="B643">
        <v>1.6000000000000001E-9</v>
      </c>
      <c r="C643">
        <v>2.0000000000000001E-9</v>
      </c>
      <c r="D643">
        <v>7.2E-9</v>
      </c>
      <c r="E643">
        <v>6.2000000000000001E-9</v>
      </c>
      <c r="F643">
        <v>-1</v>
      </c>
      <c r="G643">
        <v>-1</v>
      </c>
    </row>
    <row r="644" spans="1:7">
      <c r="A644" t="s">
        <v>735</v>
      </c>
      <c r="B644">
        <v>1.6999999999999999E-11</v>
      </c>
      <c r="C644">
        <v>2.9E-11</v>
      </c>
      <c r="D644">
        <v>3.7999999999999998E-11</v>
      </c>
      <c r="E644">
        <v>5.6999999999999997E-11</v>
      </c>
      <c r="F644">
        <v>-1</v>
      </c>
      <c r="G644">
        <v>-1</v>
      </c>
    </row>
    <row r="645" spans="1:7">
      <c r="A645" t="s">
        <v>736</v>
      </c>
      <c r="B645">
        <v>1.3000000000000001E-9</v>
      </c>
      <c r="C645">
        <v>1.8E-9</v>
      </c>
      <c r="D645">
        <v>6.3000000000000002E-9</v>
      </c>
      <c r="E645">
        <v>5.4000000000000004E-9</v>
      </c>
      <c r="F645">
        <v>-1</v>
      </c>
      <c r="G645">
        <v>-1</v>
      </c>
    </row>
    <row r="646" spans="1:7">
      <c r="A646" t="s">
        <v>737</v>
      </c>
      <c r="B646">
        <v>2.3000000000000001E-11</v>
      </c>
      <c r="C646">
        <v>4.6000000000000003E-11</v>
      </c>
      <c r="D646">
        <v>3.7999999999999998E-11</v>
      </c>
      <c r="E646">
        <v>6.0999999999999996E-11</v>
      </c>
      <c r="F646">
        <v>-1</v>
      </c>
      <c r="G646">
        <v>-1</v>
      </c>
    </row>
    <row r="647" spans="1:7">
      <c r="A647" t="s">
        <v>738</v>
      </c>
      <c r="B647">
        <v>8.6999999999999999E-10</v>
      </c>
      <c r="C647">
        <v>1.2E-9</v>
      </c>
      <c r="D647">
        <v>1.0999999999999999E-9</v>
      </c>
      <c r="E647">
        <v>1.6000000000000001E-9</v>
      </c>
      <c r="F647">
        <v>-1</v>
      </c>
      <c r="G647">
        <v>-1</v>
      </c>
    </row>
    <row r="648" spans="1:7">
      <c r="A648" t="s">
        <v>739</v>
      </c>
      <c r="B648">
        <v>1.8E-9</v>
      </c>
      <c r="C648">
        <v>2.4E-9</v>
      </c>
      <c r="D648">
        <v>2.1999999999999998E-9</v>
      </c>
      <c r="E648">
        <v>3E-9</v>
      </c>
      <c r="F648">
        <v>-1</v>
      </c>
      <c r="G648">
        <v>-1</v>
      </c>
    </row>
    <row r="649" spans="1:7">
      <c r="A649" t="s">
        <v>740</v>
      </c>
      <c r="B649">
        <v>1.9999999999999999E-11</v>
      </c>
      <c r="C649">
        <v>3.7999999999999998E-11</v>
      </c>
      <c r="D649">
        <v>2.7E-11</v>
      </c>
      <c r="E649">
        <v>4.4000000000000003E-11</v>
      </c>
      <c r="F649">
        <v>-1</v>
      </c>
      <c r="G649">
        <v>-1</v>
      </c>
    </row>
    <row r="650" spans="1:7">
      <c r="A650" t="s">
        <v>741</v>
      </c>
      <c r="B650">
        <v>8.3999999999999994E-11</v>
      </c>
      <c r="C650">
        <v>1.2E-10</v>
      </c>
      <c r="D650">
        <v>1.2E-10</v>
      </c>
      <c r="E650">
        <v>1.8999999999999999E-10</v>
      </c>
      <c r="F650">
        <v>-1</v>
      </c>
      <c r="G650">
        <v>-1</v>
      </c>
    </row>
    <row r="651" spans="1:7">
      <c r="A651" t="s">
        <v>742</v>
      </c>
      <c r="B651">
        <v>5.0000000000000002E-11</v>
      </c>
      <c r="C651">
        <v>8.2999999999999998E-11</v>
      </c>
      <c r="D651">
        <v>7.1E-11</v>
      </c>
      <c r="E651">
        <v>1.0999999999999999E-10</v>
      </c>
      <c r="F651">
        <v>-1</v>
      </c>
      <c r="G651">
        <v>-1</v>
      </c>
    </row>
    <row r="652" spans="1:7">
      <c r="A652" t="s">
        <v>743</v>
      </c>
      <c r="B652">
        <v>-1</v>
      </c>
      <c r="C652">
        <v>-1</v>
      </c>
      <c r="D652">
        <v>5.5000000000000003E-8</v>
      </c>
      <c r="E652">
        <v>7.4000000000000001E-8</v>
      </c>
      <c r="F652">
        <v>5.8999999999999999E-8</v>
      </c>
      <c r="G652">
        <v>7.7999999999999997E-8</v>
      </c>
    </row>
    <row r="653" spans="1:7">
      <c r="A653" t="s">
        <v>77</v>
      </c>
      <c r="B653">
        <v>-1</v>
      </c>
      <c r="C653">
        <v>-1</v>
      </c>
      <c r="D653">
        <v>7.7999999999999999E-6</v>
      </c>
      <c r="E653">
        <v>6.1999999999999999E-6</v>
      </c>
      <c r="F653">
        <v>9.5999999999999996E-6</v>
      </c>
      <c r="G653">
        <v>7.6000000000000001E-6</v>
      </c>
    </row>
    <row r="654" spans="1:7">
      <c r="A654" t="s">
        <v>79</v>
      </c>
      <c r="B654">
        <v>-1</v>
      </c>
      <c r="C654">
        <v>-1</v>
      </c>
      <c r="D654">
        <v>3.0000000000000001E-5</v>
      </c>
      <c r="E654">
        <v>2.1999999999999999E-5</v>
      </c>
      <c r="F654">
        <v>3.6999999999999998E-5</v>
      </c>
      <c r="G654">
        <v>2.5000000000000001E-5</v>
      </c>
    </row>
    <row r="655" spans="1:7">
      <c r="A655" t="s">
        <v>82</v>
      </c>
      <c r="B655">
        <v>-1</v>
      </c>
      <c r="C655">
        <v>-1</v>
      </c>
      <c r="D655">
        <v>9.8999999999999994E-5</v>
      </c>
      <c r="E655">
        <v>6.8999999999999997E-5</v>
      </c>
      <c r="F655">
        <v>6.4999999999999994E-5</v>
      </c>
      <c r="G655">
        <v>4.8000000000000001E-5</v>
      </c>
    </row>
    <row r="656" spans="1:7">
      <c r="A656" t="s">
        <v>83</v>
      </c>
      <c r="B656">
        <v>-1</v>
      </c>
      <c r="C656">
        <v>-1</v>
      </c>
      <c r="D656">
        <v>4.0000000000000003E-5</v>
      </c>
      <c r="E656">
        <v>2.8E-5</v>
      </c>
      <c r="F656">
        <v>1.2999999999999999E-5</v>
      </c>
      <c r="G656">
        <v>7.1999999999999997E-6</v>
      </c>
    </row>
    <row r="657" spans="1:7">
      <c r="A657" t="s">
        <v>85</v>
      </c>
      <c r="B657">
        <v>-1</v>
      </c>
      <c r="C657">
        <v>-1</v>
      </c>
      <c r="D657">
        <v>2.8999999999999998E-10</v>
      </c>
      <c r="E657">
        <v>3.7000000000000001E-10</v>
      </c>
      <c r="F657">
        <v>3.1999999999999998E-10</v>
      </c>
      <c r="G657">
        <v>4.0000000000000001E-10</v>
      </c>
    </row>
    <row r="658" spans="1:7">
      <c r="A658" t="s">
        <v>86</v>
      </c>
      <c r="B658">
        <v>-1</v>
      </c>
      <c r="C658">
        <v>-1</v>
      </c>
      <c r="D658">
        <v>4.1999999999999998E-5</v>
      </c>
      <c r="E658">
        <v>2.9E-5</v>
      </c>
      <c r="F658">
        <v>2.3E-5</v>
      </c>
      <c r="G658">
        <v>1.2E-5</v>
      </c>
    </row>
    <row r="659" spans="1:7">
      <c r="A659" t="s">
        <v>92</v>
      </c>
      <c r="B659">
        <v>-1</v>
      </c>
      <c r="C659">
        <v>-1</v>
      </c>
      <c r="D659">
        <v>6.3000000000000002E-9</v>
      </c>
      <c r="E659">
        <v>5.3000000000000003E-9</v>
      </c>
      <c r="F659">
        <v>7.3E-9</v>
      </c>
      <c r="G659">
        <v>5.7999999999999998E-9</v>
      </c>
    </row>
    <row r="660" spans="1:7">
      <c r="A660" t="s">
        <v>744</v>
      </c>
      <c r="B660">
        <v>6.1000000000000004E-8</v>
      </c>
      <c r="C660">
        <v>7.1999999999999996E-8</v>
      </c>
      <c r="D660">
        <v>4.0000000000000001E-8</v>
      </c>
      <c r="E660">
        <v>2.7E-8</v>
      </c>
      <c r="F660">
        <v>1.1999999999999999E-7</v>
      </c>
      <c r="G660">
        <v>6.1999999999999999E-8</v>
      </c>
    </row>
    <row r="661" spans="1:7">
      <c r="A661" t="s">
        <v>745</v>
      </c>
      <c r="B661">
        <v>4.6000000000000003E-11</v>
      </c>
      <c r="C661">
        <v>8.2999999999999998E-11</v>
      </c>
      <c r="D661">
        <v>9.0999999999999996E-11</v>
      </c>
      <c r="E661">
        <v>1.4000000000000001E-10</v>
      </c>
      <c r="F661">
        <v>9.6000000000000005E-11</v>
      </c>
      <c r="G661">
        <v>1.5E-10</v>
      </c>
    </row>
    <row r="662" spans="1:7">
      <c r="A662" t="s">
        <v>746</v>
      </c>
      <c r="B662">
        <v>4.7999999999999997E-12</v>
      </c>
      <c r="C662">
        <v>8.8999999999999996E-12</v>
      </c>
      <c r="D662">
        <v>-1</v>
      </c>
      <c r="E662">
        <v>-1</v>
      </c>
      <c r="F662">
        <v>-1</v>
      </c>
      <c r="G662">
        <v>-1</v>
      </c>
    </row>
    <row r="663" spans="1:7">
      <c r="A663" t="s">
        <v>747</v>
      </c>
      <c r="B663">
        <v>1.9999999999999999E-11</v>
      </c>
      <c r="C663">
        <v>3.5999999999999998E-11</v>
      </c>
      <c r="D663">
        <v>-1</v>
      </c>
      <c r="E663">
        <v>-1</v>
      </c>
      <c r="F663">
        <v>-1</v>
      </c>
      <c r="G663">
        <v>-1</v>
      </c>
    </row>
    <row r="664" spans="1:7">
      <c r="A664" t="s">
        <v>748</v>
      </c>
      <c r="B664">
        <v>1.6E-11</v>
      </c>
      <c r="C664">
        <v>3E-11</v>
      </c>
      <c r="D664">
        <v>-1</v>
      </c>
      <c r="E664">
        <v>-1</v>
      </c>
      <c r="F664">
        <v>-1</v>
      </c>
      <c r="G664">
        <v>-1</v>
      </c>
    </row>
    <row r="665" spans="1:7">
      <c r="A665" t="s">
        <v>749</v>
      </c>
      <c r="B665">
        <v>1.5E-11</v>
      </c>
      <c r="C665">
        <v>2.7E-11</v>
      </c>
      <c r="D665">
        <v>-1</v>
      </c>
      <c r="E665">
        <v>-1</v>
      </c>
      <c r="F665">
        <v>-1</v>
      </c>
      <c r="G665">
        <v>-1</v>
      </c>
    </row>
    <row r="666" spans="1:7">
      <c r="A666" t="s">
        <v>750</v>
      </c>
      <c r="B666">
        <v>6.6000000000000005E-11</v>
      </c>
      <c r="C666">
        <v>1.2E-10</v>
      </c>
      <c r="D666">
        <v>-1</v>
      </c>
      <c r="E666">
        <v>-1</v>
      </c>
      <c r="F666">
        <v>-1</v>
      </c>
      <c r="G666">
        <v>-1</v>
      </c>
    </row>
    <row r="667" spans="1:7">
      <c r="A667" t="s">
        <v>751</v>
      </c>
      <c r="B667">
        <v>3.9999999999999998E-11</v>
      </c>
      <c r="C667">
        <v>7.3000000000000006E-11</v>
      </c>
      <c r="D667">
        <v>-1</v>
      </c>
      <c r="E667">
        <v>-1</v>
      </c>
      <c r="F667">
        <v>-1</v>
      </c>
      <c r="G667">
        <v>-1</v>
      </c>
    </row>
    <row r="668" spans="1:7">
      <c r="A668" t="s">
        <v>752</v>
      </c>
      <c r="B668">
        <v>1.9999999999999999E-11</v>
      </c>
      <c r="C668">
        <v>3.7000000000000001E-11</v>
      </c>
      <c r="D668">
        <v>-1</v>
      </c>
      <c r="E668">
        <v>-1</v>
      </c>
      <c r="F668">
        <v>-1</v>
      </c>
      <c r="G668">
        <v>-1</v>
      </c>
    </row>
    <row r="669" spans="1:7">
      <c r="A669" t="s">
        <v>753</v>
      </c>
      <c r="B669">
        <v>1.4000000000000001E-10</v>
      </c>
      <c r="C669">
        <v>2.5000000000000002E-10</v>
      </c>
      <c r="D669">
        <v>-1</v>
      </c>
      <c r="E669">
        <v>-1</v>
      </c>
      <c r="F669">
        <v>-1</v>
      </c>
      <c r="G669">
        <v>-1</v>
      </c>
    </row>
    <row r="670" spans="1:7">
      <c r="A670" t="s">
        <v>754</v>
      </c>
      <c r="B670">
        <v>4.6999999999999999E-11</v>
      </c>
      <c r="C670">
        <v>7.5999999999999996E-11</v>
      </c>
      <c r="D670">
        <v>-1</v>
      </c>
      <c r="E670">
        <v>-1</v>
      </c>
      <c r="F670">
        <v>-1</v>
      </c>
      <c r="G670">
        <v>-1</v>
      </c>
    </row>
    <row r="671" spans="1:7">
      <c r="A671" t="s">
        <v>755</v>
      </c>
      <c r="B671">
        <v>2.0000000000000001E-10</v>
      </c>
      <c r="C671">
        <v>3.1000000000000002E-10</v>
      </c>
      <c r="D671">
        <v>-1</v>
      </c>
      <c r="E671">
        <v>-1</v>
      </c>
      <c r="F671">
        <v>-1</v>
      </c>
      <c r="G671">
        <v>-1</v>
      </c>
    </row>
    <row r="672" spans="1:7">
      <c r="A672" t="s">
        <v>756</v>
      </c>
      <c r="B672">
        <v>4.3999999999999998E-10</v>
      </c>
      <c r="C672">
        <v>6.2000000000000003E-10</v>
      </c>
      <c r="D672">
        <v>-1</v>
      </c>
      <c r="E672">
        <v>-1</v>
      </c>
      <c r="F672">
        <v>-1</v>
      </c>
      <c r="G672">
        <v>-1</v>
      </c>
    </row>
    <row r="673" spans="1:7">
      <c r="A673" t="s">
        <v>757</v>
      </c>
      <c r="B673">
        <v>-1</v>
      </c>
      <c r="C673">
        <v>-1</v>
      </c>
      <c r="D673">
        <v>1.6E-11</v>
      </c>
      <c r="E673">
        <v>2.7E-11</v>
      </c>
      <c r="F673">
        <v>-1</v>
      </c>
      <c r="G673">
        <v>-1</v>
      </c>
    </row>
    <row r="674" spans="1:7">
      <c r="A674" t="s">
        <v>758</v>
      </c>
      <c r="B674">
        <v>-1</v>
      </c>
      <c r="C674">
        <v>-1</v>
      </c>
      <c r="D674">
        <v>1.8E-10</v>
      </c>
      <c r="E674">
        <v>2.8000000000000002E-10</v>
      </c>
      <c r="F674">
        <v>-1</v>
      </c>
      <c r="G674">
        <v>-1</v>
      </c>
    </row>
    <row r="675" spans="1:7">
      <c r="A675" t="s">
        <v>759</v>
      </c>
      <c r="B675">
        <v>-1</v>
      </c>
      <c r="C675">
        <v>-1</v>
      </c>
      <c r="D675">
        <v>1.0999999999999999E-9</v>
      </c>
      <c r="E675">
        <v>1.0000000000000001E-9</v>
      </c>
      <c r="F675">
        <v>-1</v>
      </c>
      <c r="G675">
        <v>-1</v>
      </c>
    </row>
    <row r="676" spans="1:7">
      <c r="A676" t="s">
        <v>760</v>
      </c>
      <c r="B676">
        <v>-1</v>
      </c>
      <c r="C676">
        <v>-1</v>
      </c>
      <c r="D676">
        <v>6.6000000000000004E-9</v>
      </c>
      <c r="E676">
        <v>5.2000000000000002E-9</v>
      </c>
      <c r="F676">
        <v>-1</v>
      </c>
      <c r="G676">
        <v>-1</v>
      </c>
    </row>
    <row r="677" spans="1:7">
      <c r="A677" t="s">
        <v>761</v>
      </c>
      <c r="B677">
        <v>-1</v>
      </c>
      <c r="C677">
        <v>-1</v>
      </c>
      <c r="D677">
        <v>1.3000000000000001E-9</v>
      </c>
      <c r="E677">
        <v>9.0999999999999996E-10</v>
      </c>
      <c r="F677">
        <v>-1</v>
      </c>
      <c r="G677">
        <v>-1</v>
      </c>
    </row>
    <row r="678" spans="1:7">
      <c r="A678" t="s">
        <v>762</v>
      </c>
      <c r="B678">
        <v>-1</v>
      </c>
      <c r="C678">
        <v>-1</v>
      </c>
      <c r="D678">
        <v>1.0999999999999999E-9</v>
      </c>
      <c r="E678">
        <v>1.3999999999999999E-9</v>
      </c>
      <c r="F678">
        <v>-1</v>
      </c>
      <c r="G678">
        <v>-1</v>
      </c>
    </row>
    <row r="679" spans="1:7">
      <c r="A679" t="s">
        <v>763</v>
      </c>
      <c r="B679">
        <v>-1</v>
      </c>
      <c r="C679">
        <v>-1</v>
      </c>
      <c r="D679">
        <v>1.8E-10</v>
      </c>
      <c r="E679">
        <v>2.5999999999999998E-10</v>
      </c>
      <c r="F679">
        <v>-1</v>
      </c>
      <c r="G679">
        <v>-1</v>
      </c>
    </row>
    <row r="680" spans="1:7">
      <c r="A680" t="s">
        <v>764</v>
      </c>
      <c r="B680">
        <v>-1</v>
      </c>
      <c r="C680">
        <v>-1</v>
      </c>
      <c r="D680">
        <v>1.8999999999999999E-11</v>
      </c>
      <c r="E680">
        <v>3.1000000000000003E-11</v>
      </c>
      <c r="F680">
        <v>-1</v>
      </c>
      <c r="G680">
        <v>-1</v>
      </c>
    </row>
    <row r="681" spans="1:7">
      <c r="A681" t="s">
        <v>176</v>
      </c>
      <c r="B681">
        <v>3.5999999999999999E-7</v>
      </c>
      <c r="C681">
        <v>4.2E-7</v>
      </c>
      <c r="D681">
        <v>1.2E-5</v>
      </c>
      <c r="E681">
        <v>1.0000000000000001E-5</v>
      </c>
      <c r="F681">
        <v>1.5E-5</v>
      </c>
      <c r="G681">
        <v>1.2E-5</v>
      </c>
    </row>
    <row r="682" spans="1:7">
      <c r="A682" t="s">
        <v>175</v>
      </c>
      <c r="B682">
        <v>6.7000000000000001E-11</v>
      </c>
      <c r="C682">
        <v>1.5999999999999999E-10</v>
      </c>
      <c r="D682">
        <v>4.3000000000000001E-10</v>
      </c>
      <c r="E682">
        <v>4.5E-10</v>
      </c>
      <c r="F682">
        <v>4.8E-10</v>
      </c>
      <c r="G682">
        <v>4.8999999999999996E-10</v>
      </c>
    </row>
    <row r="683" spans="1:7">
      <c r="A683" t="s">
        <v>107</v>
      </c>
      <c r="B683">
        <v>3.9999999999999998E-6</v>
      </c>
      <c r="C683">
        <v>4.6999999999999999E-6</v>
      </c>
      <c r="D683">
        <v>7.1999999999999997E-6</v>
      </c>
      <c r="E683">
        <v>4.7999999999999998E-6</v>
      </c>
      <c r="F683">
        <v>3.4999999999999997E-5</v>
      </c>
      <c r="G683">
        <v>2.5999999999999998E-5</v>
      </c>
    </row>
    <row r="684" spans="1:7">
      <c r="A684" t="s">
        <v>87</v>
      </c>
      <c r="B684">
        <v>5.7000000000000005E-7</v>
      </c>
      <c r="C684">
        <v>6.6000000000000003E-7</v>
      </c>
      <c r="D684">
        <v>3.1999999999999999E-6</v>
      </c>
      <c r="E684">
        <v>2.2000000000000001E-6</v>
      </c>
      <c r="F684">
        <v>8.6999999999999997E-6</v>
      </c>
      <c r="G684">
        <v>6.9E-6</v>
      </c>
    </row>
    <row r="685" spans="1:7">
      <c r="A685" t="s">
        <v>89</v>
      </c>
      <c r="B685">
        <v>5.5000000000000003E-7</v>
      </c>
      <c r="C685">
        <v>6.4000000000000001E-7</v>
      </c>
      <c r="D685">
        <v>3.1E-6</v>
      </c>
      <c r="E685">
        <v>2.0999999999999998E-6</v>
      </c>
      <c r="F685">
        <v>8.4999999999999999E-6</v>
      </c>
      <c r="G685">
        <v>6.8000000000000001E-6</v>
      </c>
    </row>
    <row r="686" spans="1:7">
      <c r="A686" t="s">
        <v>93</v>
      </c>
      <c r="B686">
        <v>5.0999999999999999E-7</v>
      </c>
      <c r="C686">
        <v>5.9999999999999997E-7</v>
      </c>
      <c r="D686">
        <v>2.7999999999999999E-6</v>
      </c>
      <c r="E686">
        <v>1.7999999999999999E-6</v>
      </c>
      <c r="F686">
        <v>7.7000000000000008E-6</v>
      </c>
      <c r="G686">
        <v>6.1E-6</v>
      </c>
    </row>
    <row r="687" spans="1:7">
      <c r="A687" t="s">
        <v>94</v>
      </c>
      <c r="B687">
        <v>5.2E-7</v>
      </c>
      <c r="C687">
        <v>6.0999999999999998E-7</v>
      </c>
      <c r="D687">
        <v>2.9000000000000002E-6</v>
      </c>
      <c r="E687">
        <v>1.9E-6</v>
      </c>
      <c r="F687">
        <v>7.9000000000000006E-6</v>
      </c>
      <c r="G687">
        <v>6.2999999999999998E-6</v>
      </c>
    </row>
    <row r="688" spans="1:7">
      <c r="A688" t="s">
        <v>96</v>
      </c>
      <c r="B688">
        <v>1.8999999999999999E-10</v>
      </c>
      <c r="C688">
        <v>3.3E-10</v>
      </c>
      <c r="D688">
        <v>1.6000000000000001E-9</v>
      </c>
      <c r="E688">
        <v>1.5E-9</v>
      </c>
      <c r="F688">
        <v>1.8E-9</v>
      </c>
      <c r="G688">
        <v>1.6999999999999999E-9</v>
      </c>
    </row>
    <row r="689" spans="1:7">
      <c r="A689" t="s">
        <v>98</v>
      </c>
      <c r="B689">
        <v>4.8999999999999997E-7</v>
      </c>
      <c r="C689">
        <v>5.7999999999999995E-7</v>
      </c>
      <c r="D689">
        <v>2.6000000000000001E-6</v>
      </c>
      <c r="E689">
        <v>1.5999999999999999E-6</v>
      </c>
      <c r="F689">
        <v>7.3000000000000004E-6</v>
      </c>
      <c r="G689">
        <v>5.6999999999999996E-6</v>
      </c>
    </row>
    <row r="690" spans="1:7">
      <c r="A690" t="s">
        <v>174</v>
      </c>
      <c r="B690">
        <v>1.1000000000000001E-11</v>
      </c>
      <c r="C690">
        <v>1.7999999999999999E-11</v>
      </c>
      <c r="D690">
        <v>2.3000000000000001E-11</v>
      </c>
      <c r="E690">
        <v>3.3000000000000002E-11</v>
      </c>
      <c r="F690">
        <v>2.4000000000000001E-11</v>
      </c>
      <c r="G690">
        <v>3.5000000000000002E-11</v>
      </c>
    </row>
    <row r="691" spans="1:7">
      <c r="A691" t="s">
        <v>173</v>
      </c>
      <c r="B691">
        <v>2.1E-10</v>
      </c>
      <c r="C691">
        <v>3.7000000000000001E-10</v>
      </c>
      <c r="D691">
        <v>5.3000000000000003E-10</v>
      </c>
      <c r="E691">
        <v>7.8999999999999996E-10</v>
      </c>
      <c r="F691">
        <v>5.7E-10</v>
      </c>
      <c r="G691">
        <v>8.3999999999999999E-10</v>
      </c>
    </row>
    <row r="692" spans="1:7">
      <c r="A692" t="s">
        <v>172</v>
      </c>
      <c r="B692">
        <v>1.8999999999999999E-11</v>
      </c>
      <c r="C692">
        <v>3.1999999999999999E-11</v>
      </c>
      <c r="D692">
        <v>3.1000000000000003E-11</v>
      </c>
      <c r="E692">
        <v>5.0000000000000002E-11</v>
      </c>
      <c r="F692">
        <v>-1</v>
      </c>
      <c r="G692">
        <v>-1</v>
      </c>
    </row>
    <row r="693" spans="1:7">
      <c r="A693" t="s">
        <v>171</v>
      </c>
      <c r="B693">
        <v>1.0999999999999999E-9</v>
      </c>
      <c r="C693">
        <v>1.6999999999999999E-9</v>
      </c>
      <c r="D693">
        <v>2.2999999999999999E-9</v>
      </c>
      <c r="E693">
        <v>2.7000000000000002E-9</v>
      </c>
      <c r="F693">
        <v>-1</v>
      </c>
      <c r="G693">
        <v>-1</v>
      </c>
    </row>
    <row r="694" spans="1:7">
      <c r="A694" t="s">
        <v>170</v>
      </c>
      <c r="B694">
        <v>2.0999999999999999E-11</v>
      </c>
      <c r="C694">
        <v>2.6000000000000001E-11</v>
      </c>
      <c r="D694">
        <v>3.1999999999999999E-11</v>
      </c>
      <c r="E694">
        <v>2.3000000000000001E-11</v>
      </c>
      <c r="F694">
        <v>-1</v>
      </c>
      <c r="G694">
        <v>-1</v>
      </c>
    </row>
    <row r="695" spans="1:7">
      <c r="A695" t="s">
        <v>169</v>
      </c>
      <c r="B695">
        <v>4.4000000000000003E-11</v>
      </c>
      <c r="C695">
        <v>7.5999999999999996E-11</v>
      </c>
      <c r="D695">
        <v>-1</v>
      </c>
      <c r="E695">
        <v>-1</v>
      </c>
      <c r="F695">
        <v>-1</v>
      </c>
      <c r="G695">
        <v>-1</v>
      </c>
    </row>
    <row r="696" spans="1:7">
      <c r="A696" t="s">
        <v>168</v>
      </c>
      <c r="B696">
        <v>2.6000000000000001E-11</v>
      </c>
      <c r="C696">
        <v>4.6000000000000003E-11</v>
      </c>
      <c r="D696">
        <v>-1</v>
      </c>
      <c r="E696">
        <v>-1</v>
      </c>
      <c r="F696">
        <v>-1</v>
      </c>
      <c r="G696">
        <v>-1</v>
      </c>
    </row>
    <row r="697" spans="1:7">
      <c r="A697" t="s">
        <v>167</v>
      </c>
      <c r="B697">
        <v>7.5999999999999996E-11</v>
      </c>
      <c r="C697">
        <v>1.2E-10</v>
      </c>
      <c r="D697">
        <v>-1</v>
      </c>
      <c r="E697">
        <v>-1</v>
      </c>
      <c r="F697">
        <v>-1</v>
      </c>
      <c r="G697">
        <v>-1</v>
      </c>
    </row>
    <row r="698" spans="1:7">
      <c r="A698" t="s">
        <v>166</v>
      </c>
      <c r="B698">
        <v>9.9000000000000002E-13</v>
      </c>
      <c r="C698">
        <v>1.8E-12</v>
      </c>
      <c r="D698">
        <v>-1</v>
      </c>
      <c r="E698">
        <v>-1</v>
      </c>
      <c r="F698">
        <v>-1</v>
      </c>
      <c r="G698">
        <v>-1</v>
      </c>
    </row>
    <row r="699" spans="1:7">
      <c r="A699" t="s">
        <v>165</v>
      </c>
      <c r="B699">
        <v>2.8E-11</v>
      </c>
      <c r="C699">
        <v>4.3E-11</v>
      </c>
      <c r="D699">
        <v>-1</v>
      </c>
      <c r="E699">
        <v>-1</v>
      </c>
      <c r="F699">
        <v>-1</v>
      </c>
      <c r="G699">
        <v>-1</v>
      </c>
    </row>
    <row r="700" spans="1:7">
      <c r="A700" t="s">
        <v>164</v>
      </c>
      <c r="B700">
        <v>1.4000000000000001E-10</v>
      </c>
      <c r="C700">
        <v>2.1999999999999999E-10</v>
      </c>
      <c r="D700">
        <v>-1</v>
      </c>
      <c r="E700">
        <v>-1</v>
      </c>
      <c r="F700">
        <v>-1</v>
      </c>
      <c r="G700">
        <v>-1</v>
      </c>
    </row>
    <row r="701" spans="1:7">
      <c r="A701" t="s">
        <v>163</v>
      </c>
      <c r="B701">
        <v>2.0000000000000001E-10</v>
      </c>
      <c r="C701">
        <v>3.3E-10</v>
      </c>
      <c r="D701">
        <v>-1</v>
      </c>
      <c r="E701">
        <v>-1</v>
      </c>
      <c r="F701">
        <v>-1</v>
      </c>
      <c r="G701">
        <v>-1</v>
      </c>
    </row>
    <row r="702" spans="1:7">
      <c r="A702" t="s">
        <v>162</v>
      </c>
      <c r="B702">
        <v>5.9000000000000003E-10</v>
      </c>
      <c r="C702">
        <v>8.3999999999999999E-10</v>
      </c>
      <c r="D702">
        <v>-1</v>
      </c>
      <c r="E702">
        <v>-1</v>
      </c>
      <c r="F702">
        <v>-1</v>
      </c>
      <c r="G702">
        <v>-1</v>
      </c>
    </row>
    <row r="703" spans="1:7">
      <c r="A703" t="s">
        <v>161</v>
      </c>
      <c r="B703">
        <v>-1</v>
      </c>
      <c r="C703">
        <v>-1</v>
      </c>
      <c r="D703">
        <v>4.8E-10</v>
      </c>
      <c r="E703">
        <v>8.0000000000000003E-10</v>
      </c>
      <c r="F703">
        <v>4.8999999999999996E-10</v>
      </c>
      <c r="G703">
        <v>8.0999999999999999E-10</v>
      </c>
    </row>
    <row r="704" spans="1:7">
      <c r="A704" t="s">
        <v>765</v>
      </c>
      <c r="B704">
        <v>-1</v>
      </c>
      <c r="C704">
        <v>-1</v>
      </c>
      <c r="D704">
        <v>2.9E-11</v>
      </c>
      <c r="E704">
        <v>4.8000000000000002E-11</v>
      </c>
      <c r="F704">
        <v>3E-11</v>
      </c>
      <c r="G704">
        <v>4.8999999999999999E-11</v>
      </c>
    </row>
    <row r="705" spans="1:7">
      <c r="A705" t="s">
        <v>160</v>
      </c>
      <c r="B705">
        <v>-1</v>
      </c>
      <c r="C705">
        <v>-1</v>
      </c>
      <c r="D705">
        <v>3.7999999999999998E-10</v>
      </c>
      <c r="E705">
        <v>5.1999999999999996E-10</v>
      </c>
      <c r="F705">
        <v>4.0000000000000001E-10</v>
      </c>
      <c r="G705">
        <v>5.3000000000000003E-10</v>
      </c>
    </row>
    <row r="706" spans="1:7">
      <c r="A706" t="s">
        <v>159</v>
      </c>
      <c r="B706">
        <v>-1</v>
      </c>
      <c r="C706">
        <v>-1</v>
      </c>
      <c r="D706">
        <v>3.9000000000000002E-9</v>
      </c>
      <c r="E706">
        <v>3.3000000000000002E-9</v>
      </c>
      <c r="F706">
        <v>4.1000000000000003E-9</v>
      </c>
      <c r="G706">
        <v>3E-9</v>
      </c>
    </row>
    <row r="707" spans="1:7">
      <c r="A707" t="s">
        <v>20</v>
      </c>
      <c r="B707">
        <v>-1</v>
      </c>
      <c r="C707">
        <v>-1</v>
      </c>
      <c r="D707">
        <v>1.3999999999999999E-9</v>
      </c>
      <c r="E707">
        <v>1.6000000000000001E-9</v>
      </c>
      <c r="F707">
        <v>1.5E-9</v>
      </c>
      <c r="G707">
        <v>1.6999999999999999E-9</v>
      </c>
    </row>
    <row r="708" spans="1:7">
      <c r="A708" t="s">
        <v>766</v>
      </c>
      <c r="B708">
        <v>-1</v>
      </c>
      <c r="C708">
        <v>-1</v>
      </c>
      <c r="D708">
        <v>9.6000000000000005E-11</v>
      </c>
      <c r="E708">
        <v>1.2999999999999999E-10</v>
      </c>
      <c r="F708">
        <v>1E-10</v>
      </c>
      <c r="G708">
        <v>1.2999999999999999E-10</v>
      </c>
    </row>
    <row r="709" spans="1:7">
      <c r="A709" t="s">
        <v>158</v>
      </c>
      <c r="B709">
        <v>-1</v>
      </c>
      <c r="C709">
        <v>-1</v>
      </c>
      <c r="D709">
        <v>6.6999999999999996E-9</v>
      </c>
      <c r="E709">
        <v>5.2000000000000002E-9</v>
      </c>
      <c r="F709">
        <v>8.4000000000000008E-9</v>
      </c>
      <c r="G709">
        <v>6.1E-9</v>
      </c>
    </row>
    <row r="710" spans="1:7">
      <c r="A710" t="s">
        <v>767</v>
      </c>
      <c r="B710">
        <v>-1</v>
      </c>
      <c r="C710">
        <v>-1</v>
      </c>
      <c r="D710">
        <v>9.9999999999999994E-12</v>
      </c>
      <c r="E710">
        <v>1.4E-11</v>
      </c>
      <c r="F710">
        <v>1.1000000000000001E-11</v>
      </c>
      <c r="G710">
        <v>1.5E-11</v>
      </c>
    </row>
    <row r="711" spans="1:7">
      <c r="A711" t="s">
        <v>157</v>
      </c>
      <c r="B711">
        <v>-1</v>
      </c>
      <c r="C711">
        <v>-1</v>
      </c>
      <c r="D711">
        <v>1.8999999999999999E-10</v>
      </c>
      <c r="E711">
        <v>2.7E-10</v>
      </c>
      <c r="F711">
        <v>2.0000000000000001E-10</v>
      </c>
      <c r="G711">
        <v>2.8000000000000002E-10</v>
      </c>
    </row>
    <row r="712" spans="1:7">
      <c r="A712" t="s">
        <v>156</v>
      </c>
      <c r="B712">
        <v>-1</v>
      </c>
      <c r="C712">
        <v>-1</v>
      </c>
      <c r="D712">
        <v>4.0999999999999998E-10</v>
      </c>
      <c r="E712">
        <v>5.7E-10</v>
      </c>
      <c r="F712">
        <v>4.3000000000000001E-10</v>
      </c>
      <c r="G712">
        <v>6E-10</v>
      </c>
    </row>
    <row r="713" spans="1:7">
      <c r="A713" t="s">
        <v>155</v>
      </c>
      <c r="B713">
        <v>-1</v>
      </c>
      <c r="C713">
        <v>-1</v>
      </c>
      <c r="D713">
        <v>2.8E-11</v>
      </c>
      <c r="E713">
        <v>4.4000000000000003E-11</v>
      </c>
      <c r="F713">
        <v>2.9E-11</v>
      </c>
      <c r="G713">
        <v>4.6000000000000003E-11</v>
      </c>
    </row>
    <row r="714" spans="1:7">
      <c r="A714" t="s">
        <v>154</v>
      </c>
      <c r="B714">
        <v>-1</v>
      </c>
      <c r="C714">
        <v>-1</v>
      </c>
      <c r="D714">
        <v>1.6E-11</v>
      </c>
      <c r="E714">
        <v>2.5000000000000001E-11</v>
      </c>
      <c r="F714">
        <v>1.6999999999999999E-11</v>
      </c>
      <c r="G714">
        <v>2.6000000000000001E-11</v>
      </c>
    </row>
    <row r="715" spans="1:7">
      <c r="A715" t="s">
        <v>768</v>
      </c>
      <c r="B715">
        <v>-1</v>
      </c>
      <c r="C715">
        <v>-1</v>
      </c>
      <c r="D715">
        <v>1.4E-11</v>
      </c>
      <c r="E715">
        <v>2.2000000000000002E-11</v>
      </c>
      <c r="F715">
        <v>1.4E-11</v>
      </c>
      <c r="G715">
        <v>2.3000000000000001E-11</v>
      </c>
    </row>
    <row r="716" spans="1:7">
      <c r="A716" t="s">
        <v>769</v>
      </c>
      <c r="B716">
        <v>-1</v>
      </c>
      <c r="C716">
        <v>-1</v>
      </c>
      <c r="D716">
        <v>7.2E-10</v>
      </c>
      <c r="E716">
        <v>9.0999999999999996E-10</v>
      </c>
      <c r="F716">
        <v>7.5999999999999996E-10</v>
      </c>
      <c r="G716">
        <v>9.5000000000000003E-10</v>
      </c>
    </row>
    <row r="717" spans="1:7">
      <c r="A717" t="s">
        <v>770</v>
      </c>
      <c r="B717">
        <v>-1</v>
      </c>
      <c r="C717">
        <v>-1</v>
      </c>
      <c r="D717">
        <v>6.5000000000000002E-12</v>
      </c>
      <c r="E717">
        <v>8.9999999999999996E-12</v>
      </c>
      <c r="F717">
        <v>6.9000000000000001E-12</v>
      </c>
      <c r="G717">
        <v>9.4999999999999995E-12</v>
      </c>
    </row>
    <row r="718" spans="1:7">
      <c r="A718" t="s">
        <v>771</v>
      </c>
      <c r="B718">
        <v>-1</v>
      </c>
      <c r="C718">
        <v>-1</v>
      </c>
      <c r="D718">
        <v>2.4E-9</v>
      </c>
      <c r="E718">
        <v>2.1000000000000002E-9</v>
      </c>
      <c r="F718">
        <v>2.7999999999999998E-9</v>
      </c>
      <c r="G718">
        <v>2.4E-9</v>
      </c>
    </row>
    <row r="719" spans="1:7">
      <c r="A719" t="s">
        <v>772</v>
      </c>
      <c r="B719">
        <v>-1</v>
      </c>
      <c r="C719">
        <v>-1</v>
      </c>
      <c r="D719">
        <v>6.3E-10</v>
      </c>
      <c r="E719">
        <v>6.3999999999999996E-10</v>
      </c>
      <c r="F719">
        <v>6.9999999999999996E-10</v>
      </c>
      <c r="G719">
        <v>6.9999999999999996E-10</v>
      </c>
    </row>
    <row r="720" spans="1:7">
      <c r="A720" t="s">
        <v>773</v>
      </c>
      <c r="B720">
        <v>-1</v>
      </c>
      <c r="C720">
        <v>-1</v>
      </c>
      <c r="D720">
        <v>6.3999999999999999E-11</v>
      </c>
      <c r="E720">
        <v>8.8000000000000006E-11</v>
      </c>
      <c r="F720">
        <v>6.8999999999999994E-11</v>
      </c>
      <c r="G720">
        <v>9.3999999999999999E-11</v>
      </c>
    </row>
    <row r="721" spans="1:7">
      <c r="A721" t="s">
        <v>774</v>
      </c>
      <c r="B721">
        <v>-1</v>
      </c>
      <c r="C721">
        <v>-1</v>
      </c>
      <c r="D721">
        <v>7.1E-11</v>
      </c>
      <c r="E721">
        <v>1E-10</v>
      </c>
      <c r="F721">
        <v>7.5999999999999996E-11</v>
      </c>
      <c r="G721">
        <v>1.0999999999999999E-10</v>
      </c>
    </row>
    <row r="722" spans="1:7">
      <c r="A722" t="s">
        <v>775</v>
      </c>
      <c r="B722">
        <v>-1</v>
      </c>
      <c r="C722">
        <v>-1</v>
      </c>
      <c r="D722">
        <v>-1</v>
      </c>
      <c r="E722">
        <v>-1</v>
      </c>
      <c r="F722">
        <v>4.7000000000000003E-10</v>
      </c>
      <c r="G722">
        <v>6.6E-10</v>
      </c>
    </row>
    <row r="723" spans="1:7">
      <c r="A723" t="s">
        <v>776</v>
      </c>
      <c r="B723">
        <v>-1</v>
      </c>
      <c r="C723">
        <v>-1</v>
      </c>
      <c r="D723">
        <v>-1</v>
      </c>
      <c r="E723">
        <v>-1</v>
      </c>
      <c r="F723">
        <v>3.7999999999999998E-11</v>
      </c>
      <c r="G723">
        <v>6.0999999999999996E-11</v>
      </c>
    </row>
    <row r="724" spans="1:7">
      <c r="A724" t="s">
        <v>17</v>
      </c>
      <c r="B724">
        <v>-1</v>
      </c>
      <c r="C724">
        <v>-1</v>
      </c>
      <c r="D724">
        <v>-1</v>
      </c>
      <c r="E724">
        <v>-1</v>
      </c>
      <c r="F724">
        <v>2.8999999999999999E-9</v>
      </c>
      <c r="G724">
        <v>2.7999999999999998E-9</v>
      </c>
    </row>
    <row r="725" spans="1:7">
      <c r="A725" t="s">
        <v>777</v>
      </c>
      <c r="B725">
        <v>-1</v>
      </c>
      <c r="C725">
        <v>-1</v>
      </c>
      <c r="D725">
        <v>-1</v>
      </c>
      <c r="E725">
        <v>-1</v>
      </c>
      <c r="F725">
        <v>2.8E-11</v>
      </c>
      <c r="G725">
        <v>4.3E-11</v>
      </c>
    </row>
    <row r="726" spans="1:7">
      <c r="A726" t="s">
        <v>778</v>
      </c>
      <c r="B726">
        <v>-1</v>
      </c>
      <c r="C726">
        <v>-1</v>
      </c>
      <c r="D726">
        <v>-1</v>
      </c>
      <c r="E726">
        <v>-1</v>
      </c>
      <c r="F726">
        <v>2.5999999999999998E-10</v>
      </c>
      <c r="G726">
        <v>3.3E-10</v>
      </c>
    </row>
    <row r="727" spans="1:7">
      <c r="A727" t="s">
        <v>779</v>
      </c>
      <c r="B727">
        <v>-1</v>
      </c>
      <c r="C727">
        <v>-1</v>
      </c>
      <c r="D727">
        <v>-1</v>
      </c>
      <c r="E727">
        <v>-1</v>
      </c>
      <c r="F727">
        <v>1.5999999999999999E-10</v>
      </c>
      <c r="G727">
        <v>2.4E-10</v>
      </c>
    </row>
    <row r="728" spans="1:7">
      <c r="A728" t="s">
        <v>780</v>
      </c>
      <c r="B728">
        <v>-1</v>
      </c>
      <c r="C728">
        <v>-1</v>
      </c>
      <c r="D728">
        <v>-1</v>
      </c>
      <c r="E728">
        <v>-1</v>
      </c>
      <c r="F728">
        <v>1.2E-9</v>
      </c>
      <c r="G728">
        <v>1.5E-9</v>
      </c>
    </row>
    <row r="729" spans="1:7">
      <c r="A729" t="s">
        <v>781</v>
      </c>
      <c r="B729">
        <v>3E-10</v>
      </c>
      <c r="C729">
        <v>5.1999999999999996E-10</v>
      </c>
      <c r="D729">
        <v>4.3000000000000001E-10</v>
      </c>
      <c r="E729">
        <v>6.8000000000000003E-10</v>
      </c>
      <c r="F729">
        <v>4.5E-10</v>
      </c>
      <c r="G729">
        <v>6.9999999999999996E-10</v>
      </c>
    </row>
    <row r="730" spans="1:7">
      <c r="A730" t="s">
        <v>782</v>
      </c>
      <c r="B730">
        <v>3.4999999999999999E-9</v>
      </c>
      <c r="C730">
        <v>4.1000000000000003E-9</v>
      </c>
      <c r="D730">
        <v>2.5000000000000001E-9</v>
      </c>
      <c r="E730">
        <v>1.6999999999999999E-9</v>
      </c>
      <c r="F730">
        <v>3.3000000000000002E-9</v>
      </c>
      <c r="G730">
        <v>1.8E-9</v>
      </c>
    </row>
    <row r="731" spans="1:7">
      <c r="A731" t="s">
        <v>783</v>
      </c>
      <c r="B731">
        <v>3.1000000000000002E-10</v>
      </c>
      <c r="C731">
        <v>5.1999999999999996E-10</v>
      </c>
      <c r="D731">
        <v>5.3000000000000003E-10</v>
      </c>
      <c r="E731">
        <v>7.2E-10</v>
      </c>
      <c r="F731">
        <v>5.4999999999999996E-10</v>
      </c>
      <c r="G731">
        <v>7.5E-10</v>
      </c>
    </row>
    <row r="732" spans="1:7">
      <c r="A732" t="s">
        <v>110</v>
      </c>
      <c r="B732">
        <v>2.4999999999999999E-8</v>
      </c>
      <c r="C732">
        <v>2.9000000000000002E-8</v>
      </c>
      <c r="D732">
        <v>9.5999999999999999E-9</v>
      </c>
      <c r="E732">
        <v>6.6000000000000004E-9</v>
      </c>
      <c r="F732">
        <v>3.1E-9</v>
      </c>
      <c r="G732">
        <v>1.6999999999999999E-9</v>
      </c>
    </row>
    <row r="733" spans="1:7">
      <c r="A733" t="s">
        <v>784</v>
      </c>
      <c r="B733">
        <v>2.5000000000000001E-9</v>
      </c>
      <c r="C733">
        <v>3E-9</v>
      </c>
      <c r="D733">
        <v>4.4999999999999998E-9</v>
      </c>
      <c r="E733">
        <v>3.6E-9</v>
      </c>
      <c r="F733">
        <v>5.4999999999999996E-9</v>
      </c>
      <c r="G733">
        <v>4.2000000000000004E-9</v>
      </c>
    </row>
    <row r="734" spans="1:7">
      <c r="A734" t="s">
        <v>785</v>
      </c>
      <c r="B734">
        <v>4.2E-10</v>
      </c>
      <c r="C734">
        <v>7.4000000000000003E-10</v>
      </c>
      <c r="D734">
        <v>9.4000000000000006E-10</v>
      </c>
      <c r="E734">
        <v>1.3000000000000001E-9</v>
      </c>
      <c r="F734">
        <v>1.0000000000000001E-9</v>
      </c>
      <c r="G734">
        <v>1.3999999999999999E-9</v>
      </c>
    </row>
  </sheetData>
  <autoFilter ref="A1:G734" xr:uid="{00000000-0001-0000-0400-000000000000}"/>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B737"/>
  <sheetViews>
    <sheetView workbookViewId="0">
      <selection activeCell="C1" sqref="C1:C1048576"/>
    </sheetView>
  </sheetViews>
  <sheetFormatPr defaultRowHeight="15"/>
  <cols>
    <col min="1" max="1" width="12" bestFit="1" customWidth="1"/>
    <col min="2" max="2" width="8.28515625" bestFit="1" customWidth="1"/>
  </cols>
  <sheetData>
    <row r="1" spans="1:2">
      <c r="A1" t="s">
        <v>153</v>
      </c>
      <c r="B1" t="s">
        <v>199</v>
      </c>
    </row>
    <row r="2" spans="1:2">
      <c r="A2" t="s">
        <v>201</v>
      </c>
      <c r="B2">
        <v>6.9999999999999996E-10</v>
      </c>
    </row>
    <row r="3" spans="1:2">
      <c r="A3" t="s">
        <v>74</v>
      </c>
      <c r="B3">
        <v>2.4E-8</v>
      </c>
    </row>
    <row r="4" spans="1:2">
      <c r="A4" t="s">
        <v>202</v>
      </c>
      <c r="B4">
        <v>1E-8</v>
      </c>
    </row>
    <row r="5" spans="1:2">
      <c r="A5" t="s">
        <v>78</v>
      </c>
      <c r="B5">
        <v>1.1000000000000001E-6</v>
      </c>
    </row>
    <row r="6" spans="1:2">
      <c r="A6" t="s">
        <v>80</v>
      </c>
      <c r="B6">
        <v>4.3000000000000001E-10</v>
      </c>
    </row>
    <row r="7" spans="1:2">
      <c r="A7" t="s">
        <v>203</v>
      </c>
      <c r="B7">
        <v>3.9999999999999998E-11</v>
      </c>
    </row>
    <row r="8" spans="1:2">
      <c r="A8" t="s">
        <v>204</v>
      </c>
      <c r="B8">
        <v>4.3E-11</v>
      </c>
    </row>
    <row r="9" spans="1:2">
      <c r="A9" t="s">
        <v>205</v>
      </c>
      <c r="B9">
        <v>6E-11</v>
      </c>
    </row>
    <row r="10" spans="1:2">
      <c r="A10" t="s">
        <v>206</v>
      </c>
      <c r="B10">
        <v>5.4000000000000001E-11</v>
      </c>
    </row>
    <row r="11" spans="1:2">
      <c r="A11" t="s">
        <v>207</v>
      </c>
      <c r="B11">
        <v>4.7000000000000003E-10</v>
      </c>
    </row>
    <row r="12" spans="1:2">
      <c r="A12" t="s">
        <v>208</v>
      </c>
      <c r="B12">
        <v>3.1999999999999999E-11</v>
      </c>
    </row>
    <row r="13" spans="1:2">
      <c r="A13" t="s">
        <v>209</v>
      </c>
      <c r="B13">
        <v>1.5E-9</v>
      </c>
    </row>
    <row r="14" spans="1:2">
      <c r="A14" t="s">
        <v>210</v>
      </c>
      <c r="B14">
        <v>2.2999999999999999E-9</v>
      </c>
    </row>
    <row r="15" spans="1:2">
      <c r="A15" t="s">
        <v>211</v>
      </c>
      <c r="B15">
        <v>2.7999999999999998E-9</v>
      </c>
    </row>
    <row r="16" spans="1:2">
      <c r="A16" t="s">
        <v>212</v>
      </c>
      <c r="B16">
        <v>1.3000000000000001E-9</v>
      </c>
    </row>
    <row r="17" spans="1:2">
      <c r="A17" t="s">
        <v>213</v>
      </c>
      <c r="B17">
        <v>4.3000000000000001E-10</v>
      </c>
    </row>
    <row r="18" spans="1:2">
      <c r="A18" t="s">
        <v>214</v>
      </c>
      <c r="B18">
        <v>6E-11</v>
      </c>
    </row>
    <row r="19" spans="1:2">
      <c r="A19" t="s">
        <v>215</v>
      </c>
      <c r="B19">
        <v>3.4999999999999999E-9</v>
      </c>
    </row>
    <row r="20" spans="1:2">
      <c r="A20" t="s">
        <v>216</v>
      </c>
      <c r="B20">
        <v>1.7999999999999999E-11</v>
      </c>
    </row>
    <row r="21" spans="1:2">
      <c r="A21" t="s">
        <v>217</v>
      </c>
      <c r="B21">
        <v>3.1999999999999999E-11</v>
      </c>
    </row>
    <row r="22" spans="1:2">
      <c r="A22" t="s">
        <v>218</v>
      </c>
      <c r="B22">
        <v>2.4E-10</v>
      </c>
    </row>
    <row r="23" spans="1:2">
      <c r="A23" t="s">
        <v>219</v>
      </c>
      <c r="B23">
        <v>5.7999999999999996E-10</v>
      </c>
    </row>
    <row r="24" spans="1:2">
      <c r="A24" t="s">
        <v>102</v>
      </c>
      <c r="B24">
        <v>1.9999999999999999E-7</v>
      </c>
    </row>
    <row r="25" spans="1:2">
      <c r="A25" t="s">
        <v>134</v>
      </c>
      <c r="B25">
        <v>3E-10</v>
      </c>
    </row>
    <row r="26" spans="1:2">
      <c r="A26" t="s">
        <v>135</v>
      </c>
      <c r="B26">
        <v>1.9000000000000001E-7</v>
      </c>
    </row>
    <row r="27" spans="1:2">
      <c r="A27" t="s">
        <v>104</v>
      </c>
      <c r="B27">
        <v>1.9999999999999999E-7</v>
      </c>
    </row>
    <row r="28" spans="1:2">
      <c r="A28" t="s">
        <v>220</v>
      </c>
      <c r="B28">
        <v>4.6000000000000001E-10</v>
      </c>
    </row>
    <row r="29" spans="1:2">
      <c r="A29" t="s">
        <v>221</v>
      </c>
      <c r="B29">
        <v>2.9E-11</v>
      </c>
    </row>
    <row r="30" spans="1:2">
      <c r="A30" t="s">
        <v>222</v>
      </c>
      <c r="B30">
        <v>6.2000000000000006E-11</v>
      </c>
    </row>
    <row r="31" spans="1:2">
      <c r="A31" t="s">
        <v>223</v>
      </c>
      <c r="B31">
        <v>5.8E-11</v>
      </c>
    </row>
    <row r="32" spans="1:2">
      <c r="A32" t="s">
        <v>224</v>
      </c>
      <c r="B32">
        <v>3.3999999999999999E-11</v>
      </c>
    </row>
    <row r="33" spans="1:2">
      <c r="A33" t="s">
        <v>225</v>
      </c>
      <c r="B33">
        <v>5.6999999999999997E-11</v>
      </c>
    </row>
    <row r="34" spans="1:2">
      <c r="A34" t="s">
        <v>226</v>
      </c>
      <c r="B34">
        <v>1.2999999999999999E-10</v>
      </c>
    </row>
    <row r="35" spans="1:2">
      <c r="A35" t="s">
        <v>227</v>
      </c>
      <c r="B35">
        <v>4.6000000000000001E-10</v>
      </c>
    </row>
    <row r="36" spans="1:2">
      <c r="A36" t="s">
        <v>228</v>
      </c>
      <c r="B36">
        <v>1.8E-9</v>
      </c>
    </row>
    <row r="37" spans="1:2">
      <c r="A37" t="s">
        <v>229</v>
      </c>
      <c r="B37">
        <v>2.5999999999999998E-10</v>
      </c>
    </row>
    <row r="38" spans="1:2">
      <c r="A38" t="s">
        <v>230</v>
      </c>
      <c r="B38">
        <v>1.3000000000000001E-9</v>
      </c>
    </row>
    <row r="39" spans="1:2">
      <c r="A39" t="s">
        <v>231</v>
      </c>
      <c r="B39">
        <v>1.6000000000000001E-9</v>
      </c>
    </row>
    <row r="40" spans="1:2">
      <c r="A40" t="s">
        <v>232</v>
      </c>
      <c r="B40">
        <v>4.0000000000000001E-10</v>
      </c>
    </row>
    <row r="41" spans="1:2">
      <c r="A41" t="s">
        <v>233</v>
      </c>
      <c r="B41">
        <v>2.1E-10</v>
      </c>
    </row>
    <row r="42" spans="1:2">
      <c r="A42" t="s">
        <v>234</v>
      </c>
      <c r="B42">
        <v>2.3000000000000001E-10</v>
      </c>
    </row>
    <row r="43" spans="1:2">
      <c r="A43" t="s">
        <v>235</v>
      </c>
      <c r="B43">
        <v>1.0999999999999999E-8</v>
      </c>
    </row>
    <row r="44" spans="1:2">
      <c r="A44" t="s">
        <v>236</v>
      </c>
      <c r="B44">
        <v>1.2999999999999999E-10</v>
      </c>
    </row>
    <row r="45" spans="1:2">
      <c r="A45" t="s">
        <v>237</v>
      </c>
      <c r="B45">
        <v>4.2E-10</v>
      </c>
    </row>
    <row r="46" spans="1:2">
      <c r="A46" t="s">
        <v>238</v>
      </c>
      <c r="B46">
        <v>2.5000000000000002E-10</v>
      </c>
    </row>
    <row r="47" spans="1:2">
      <c r="A47" t="s">
        <v>239</v>
      </c>
      <c r="B47">
        <v>1.0000000000000001E-9</v>
      </c>
    </row>
    <row r="48" spans="1:2">
      <c r="A48" t="s">
        <v>240</v>
      </c>
      <c r="B48">
        <v>1.3000000000000001E-9</v>
      </c>
    </row>
    <row r="49" spans="1:2">
      <c r="A49" t="s">
        <v>241</v>
      </c>
      <c r="B49">
        <v>4.3999999999999998E-10</v>
      </c>
    </row>
    <row r="50" spans="1:2">
      <c r="A50" t="s">
        <v>242</v>
      </c>
      <c r="B50">
        <v>6.7999999999999998E-11</v>
      </c>
    </row>
    <row r="51" spans="1:2">
      <c r="A51" t="s">
        <v>243</v>
      </c>
      <c r="B51">
        <v>1.0999999999999999E-9</v>
      </c>
    </row>
    <row r="52" spans="1:2">
      <c r="A52" t="s">
        <v>244</v>
      </c>
      <c r="B52">
        <v>2.4000000000000001E-11</v>
      </c>
    </row>
    <row r="53" spans="1:2">
      <c r="A53" t="s">
        <v>245</v>
      </c>
      <c r="B53">
        <v>2.5999999999999998E-10</v>
      </c>
    </row>
    <row r="54" spans="1:2">
      <c r="A54" t="s">
        <v>246</v>
      </c>
      <c r="B54">
        <v>2.7000000000000002E-9</v>
      </c>
    </row>
    <row r="55" spans="1:2">
      <c r="A55" t="s">
        <v>247</v>
      </c>
      <c r="B55">
        <v>4.5E-10</v>
      </c>
    </row>
    <row r="56" spans="1:2">
      <c r="A56" t="s">
        <v>248</v>
      </c>
      <c r="B56">
        <v>4.8999999999999997E-12</v>
      </c>
    </row>
    <row r="57" spans="1:2">
      <c r="A57" t="s">
        <v>249</v>
      </c>
      <c r="B57">
        <v>1.0000000000000001E-9</v>
      </c>
    </row>
    <row r="58" spans="1:2">
      <c r="A58" t="s">
        <v>250</v>
      </c>
      <c r="B58">
        <v>5.4999999999999996E-10</v>
      </c>
    </row>
    <row r="59" spans="1:2">
      <c r="A59" t="s">
        <v>251</v>
      </c>
      <c r="B59">
        <v>4.5E-10</v>
      </c>
    </row>
    <row r="60" spans="1:2">
      <c r="A60" t="s">
        <v>252</v>
      </c>
      <c r="B60">
        <v>1.2E-10</v>
      </c>
    </row>
    <row r="61" spans="1:2">
      <c r="A61" t="s">
        <v>253</v>
      </c>
      <c r="B61">
        <v>2.5000000000000001E-9</v>
      </c>
    </row>
    <row r="62" spans="1:2">
      <c r="A62" t="s">
        <v>254</v>
      </c>
      <c r="B62">
        <v>7.0000000000000004E-11</v>
      </c>
    </row>
    <row r="63" spans="1:2">
      <c r="A63" t="s">
        <v>255</v>
      </c>
      <c r="B63">
        <v>3.5000000000000002E-11</v>
      </c>
    </row>
    <row r="64" spans="1:2">
      <c r="A64" t="s">
        <v>256</v>
      </c>
      <c r="B64">
        <v>1.0999999999999999E-9</v>
      </c>
    </row>
    <row r="65" spans="1:2">
      <c r="A65" t="s">
        <v>257</v>
      </c>
      <c r="B65">
        <v>2.8E-11</v>
      </c>
    </row>
    <row r="66" spans="1:2">
      <c r="A66" t="s">
        <v>258</v>
      </c>
      <c r="B66">
        <v>5.0999999999999998E-11</v>
      </c>
    </row>
    <row r="67" spans="1:2">
      <c r="A67" t="s">
        <v>259</v>
      </c>
      <c r="B67">
        <v>1.2E-10</v>
      </c>
    </row>
    <row r="68" spans="1:2">
      <c r="A68" t="s">
        <v>260</v>
      </c>
      <c r="B68">
        <v>8.9000000000000003E-11</v>
      </c>
    </row>
    <row r="69" spans="1:2">
      <c r="A69" t="s">
        <v>261</v>
      </c>
      <c r="B69">
        <v>4.8E-10</v>
      </c>
    </row>
    <row r="70" spans="1:2">
      <c r="A70" t="s">
        <v>262</v>
      </c>
      <c r="B70">
        <v>8.9999999999999999E-10</v>
      </c>
    </row>
    <row r="71" spans="1:2">
      <c r="A71" t="s">
        <v>263</v>
      </c>
      <c r="B71">
        <v>1.9000000000000001E-9</v>
      </c>
    </row>
    <row r="72" spans="1:2">
      <c r="A72" t="s">
        <v>264</v>
      </c>
      <c r="B72">
        <v>1.3000000000000001E-9</v>
      </c>
    </row>
    <row r="73" spans="1:2">
      <c r="A73" t="s">
        <v>43</v>
      </c>
      <c r="B73">
        <v>1.3000000000000001E-9</v>
      </c>
    </row>
    <row r="74" spans="1:2">
      <c r="A74" t="s">
        <v>265</v>
      </c>
      <c r="B74">
        <v>1.4999999999999999E-8</v>
      </c>
    </row>
    <row r="75" spans="1:2">
      <c r="A75" t="s">
        <v>50</v>
      </c>
      <c r="B75">
        <v>2.5999999999999998E-10</v>
      </c>
    </row>
    <row r="76" spans="1:2">
      <c r="A76" t="s">
        <v>53</v>
      </c>
      <c r="B76">
        <v>2.0000000000000001E-10</v>
      </c>
    </row>
    <row r="77" spans="1:2">
      <c r="A77" t="s">
        <v>55</v>
      </c>
      <c r="B77">
        <v>1.0999999999999999E-10</v>
      </c>
    </row>
    <row r="78" spans="1:2">
      <c r="A78" t="s">
        <v>266</v>
      </c>
      <c r="B78">
        <v>5.7E-10</v>
      </c>
    </row>
    <row r="79" spans="1:2">
      <c r="A79" t="s">
        <v>267</v>
      </c>
      <c r="B79">
        <v>4.8E-10</v>
      </c>
    </row>
    <row r="80" spans="1:2">
      <c r="A80" t="s">
        <v>268</v>
      </c>
      <c r="B80">
        <v>3.4999999999999998E-7</v>
      </c>
    </row>
    <row r="81" spans="1:2">
      <c r="A81" t="s">
        <v>269</v>
      </c>
      <c r="B81">
        <v>9.6999999999999996E-10</v>
      </c>
    </row>
    <row r="82" spans="1:2">
      <c r="A82" t="s">
        <v>270</v>
      </c>
      <c r="B82">
        <v>1.4000000000000001E-10</v>
      </c>
    </row>
    <row r="83" spans="1:2">
      <c r="A83" t="s">
        <v>271</v>
      </c>
      <c r="B83">
        <v>8.3999999999999994E-11</v>
      </c>
    </row>
    <row r="84" spans="1:2">
      <c r="A84" t="s">
        <v>272</v>
      </c>
      <c r="B84">
        <v>1.4000000000000001E-10</v>
      </c>
    </row>
    <row r="85" spans="1:2">
      <c r="A85" t="s">
        <v>273</v>
      </c>
      <c r="B85">
        <v>7.8999999999999999E-11</v>
      </c>
    </row>
    <row r="86" spans="1:2">
      <c r="A86" t="s">
        <v>274</v>
      </c>
      <c r="B86">
        <v>4.6000000000000001E-10</v>
      </c>
    </row>
    <row r="87" spans="1:2">
      <c r="A87" t="s">
        <v>275</v>
      </c>
      <c r="B87">
        <v>9.6000000000000005E-11</v>
      </c>
    </row>
    <row r="88" spans="1:2">
      <c r="A88" t="s">
        <v>276</v>
      </c>
      <c r="B88">
        <v>3.1000000000000003E-11</v>
      </c>
    </row>
    <row r="89" spans="1:2">
      <c r="A89" t="s">
        <v>277</v>
      </c>
      <c r="B89">
        <v>1.0999999999999999E-10</v>
      </c>
    </row>
    <row r="90" spans="1:2">
      <c r="A90" t="s">
        <v>278</v>
      </c>
      <c r="B90">
        <v>5.4E-10</v>
      </c>
    </row>
    <row r="91" spans="1:2">
      <c r="A91" t="s">
        <v>279</v>
      </c>
      <c r="B91">
        <v>4.3E-11</v>
      </c>
    </row>
    <row r="92" spans="1:2">
      <c r="A92" t="s">
        <v>280</v>
      </c>
      <c r="B92">
        <v>8.8000000000000006E-11</v>
      </c>
    </row>
    <row r="93" spans="1:2">
      <c r="A93" t="s">
        <v>198</v>
      </c>
      <c r="B93">
        <v>2.4000000000000001E-11</v>
      </c>
    </row>
    <row r="94" spans="1:2">
      <c r="A94" t="s">
        <v>2</v>
      </c>
      <c r="B94">
        <v>5.7999999999999996E-10</v>
      </c>
    </row>
    <row r="95" spans="1:2">
      <c r="A95" t="s">
        <v>281</v>
      </c>
      <c r="B95">
        <v>2.8999999999999998E-10</v>
      </c>
    </row>
    <row r="96" spans="1:2">
      <c r="A96" t="s">
        <v>8</v>
      </c>
      <c r="B96">
        <v>7.5999999999999996E-10</v>
      </c>
    </row>
    <row r="97" spans="1:2">
      <c r="A97" t="s">
        <v>282</v>
      </c>
      <c r="B97">
        <v>1.6000000000000001E-9</v>
      </c>
    </row>
    <row r="98" spans="1:2">
      <c r="A98" t="s">
        <v>283</v>
      </c>
      <c r="B98">
        <v>5.8E-11</v>
      </c>
    </row>
    <row r="99" spans="1:2">
      <c r="A99" t="s">
        <v>284</v>
      </c>
      <c r="B99">
        <v>6.2000000000000006E-11</v>
      </c>
    </row>
    <row r="100" spans="1:2">
      <c r="A100" t="s">
        <v>285</v>
      </c>
      <c r="B100">
        <v>2.0000000000000001E-9</v>
      </c>
    </row>
    <row r="101" spans="1:2">
      <c r="A101" t="s">
        <v>145</v>
      </c>
      <c r="B101">
        <v>2.4999999999999999E-8</v>
      </c>
    </row>
    <row r="102" spans="1:2">
      <c r="A102" t="s">
        <v>115</v>
      </c>
      <c r="B102">
        <v>2.3000000000000001E-8</v>
      </c>
    </row>
    <row r="103" spans="1:2">
      <c r="A103" t="s">
        <v>286</v>
      </c>
      <c r="B103">
        <v>1.3999999999999999E-9</v>
      </c>
    </row>
    <row r="104" spans="1:2">
      <c r="A104" t="s">
        <v>287</v>
      </c>
      <c r="B104">
        <v>3.3000000000000002E-9</v>
      </c>
    </row>
    <row r="105" spans="1:2">
      <c r="A105" t="s">
        <v>288</v>
      </c>
      <c r="B105">
        <v>2.8000000000000002E-10</v>
      </c>
    </row>
    <row r="106" spans="1:2">
      <c r="A106" t="s">
        <v>289</v>
      </c>
      <c r="B106">
        <v>2.8000000000000002E-10</v>
      </c>
    </row>
    <row r="107" spans="1:2">
      <c r="A107" t="s">
        <v>290</v>
      </c>
      <c r="B107">
        <v>2.5000000000000001E-9</v>
      </c>
    </row>
    <row r="108" spans="1:2">
      <c r="A108" t="s">
        <v>291</v>
      </c>
      <c r="B108">
        <v>7.8999999999999996E-10</v>
      </c>
    </row>
    <row r="109" spans="1:2">
      <c r="A109" t="s">
        <v>292</v>
      </c>
      <c r="B109">
        <v>2.5000000000000001E-11</v>
      </c>
    </row>
    <row r="110" spans="1:2">
      <c r="A110" t="s">
        <v>293</v>
      </c>
      <c r="B110">
        <v>5.4E-10</v>
      </c>
    </row>
    <row r="111" spans="1:2">
      <c r="A111" t="s">
        <v>294</v>
      </c>
      <c r="B111">
        <v>2.5999999999999998E-10</v>
      </c>
    </row>
    <row r="112" spans="1:2">
      <c r="A112" t="s">
        <v>295</v>
      </c>
      <c r="B112">
        <v>7.1000000000000003E-10</v>
      </c>
    </row>
    <row r="113" spans="1:2">
      <c r="A113" t="s">
        <v>296</v>
      </c>
      <c r="B113">
        <v>1.0999999999999999E-9</v>
      </c>
    </row>
    <row r="114" spans="1:2">
      <c r="A114" t="s">
        <v>124</v>
      </c>
      <c r="B114">
        <v>5.2000000000000002E-9</v>
      </c>
    </row>
    <row r="115" spans="1:2">
      <c r="A115" t="s">
        <v>297</v>
      </c>
      <c r="B115">
        <v>7.0000000000000004E-11</v>
      </c>
    </row>
    <row r="116" spans="1:2">
      <c r="A116" t="s">
        <v>298</v>
      </c>
      <c r="B116">
        <v>3.3000000000000002E-9</v>
      </c>
    </row>
    <row r="117" spans="1:2">
      <c r="A117" t="s">
        <v>299</v>
      </c>
      <c r="B117">
        <v>2.7999999999999999E-8</v>
      </c>
    </row>
    <row r="118" spans="1:2">
      <c r="A118" t="s">
        <v>300</v>
      </c>
      <c r="B118">
        <v>3.4999999999999998E-7</v>
      </c>
    </row>
    <row r="119" spans="1:2">
      <c r="A119" t="s">
        <v>301</v>
      </c>
      <c r="B119">
        <v>1.6E-7</v>
      </c>
    </row>
    <row r="120" spans="1:2">
      <c r="A120" t="s">
        <v>302</v>
      </c>
      <c r="B120">
        <v>3.5999999999999999E-7</v>
      </c>
    </row>
    <row r="121" spans="1:2">
      <c r="A121" t="s">
        <v>303</v>
      </c>
      <c r="B121">
        <v>8.9999999999999999E-8</v>
      </c>
    </row>
    <row r="122" spans="1:2">
      <c r="A122" t="s">
        <v>304</v>
      </c>
      <c r="B122">
        <v>1.3999999999999999E-9</v>
      </c>
    </row>
    <row r="123" spans="1:2">
      <c r="A123" t="s">
        <v>305</v>
      </c>
      <c r="B123">
        <v>3.9999999999999998E-7</v>
      </c>
    </row>
    <row r="124" spans="1:2">
      <c r="A124" t="s">
        <v>7</v>
      </c>
      <c r="B124">
        <v>9.2999999999999999E-10</v>
      </c>
    </row>
    <row r="125" spans="1:2">
      <c r="A125" t="s">
        <v>306</v>
      </c>
      <c r="B125">
        <v>1.2E-10</v>
      </c>
    </row>
    <row r="126" spans="1:2">
      <c r="A126" t="s">
        <v>307</v>
      </c>
      <c r="B126">
        <v>8.5000000000000004E-11</v>
      </c>
    </row>
    <row r="127" spans="1:2">
      <c r="A127" t="s">
        <v>308</v>
      </c>
      <c r="B127">
        <v>7.9999999999999995E-11</v>
      </c>
    </row>
    <row r="128" spans="1:2">
      <c r="A128" t="s">
        <v>309</v>
      </c>
      <c r="B128">
        <v>7.6000000000000002E-9</v>
      </c>
    </row>
    <row r="129" spans="1:2">
      <c r="A129" t="s">
        <v>310</v>
      </c>
      <c r="B129">
        <v>9.0999999999999996E-10</v>
      </c>
    </row>
    <row r="130" spans="1:2">
      <c r="A130" t="s">
        <v>136</v>
      </c>
      <c r="B130">
        <v>1.2E-8</v>
      </c>
    </row>
    <row r="131" spans="1:2">
      <c r="A131" t="s">
        <v>105</v>
      </c>
      <c r="B131">
        <v>1.4999999999999999E-7</v>
      </c>
    </row>
    <row r="132" spans="1:2">
      <c r="A132" t="s">
        <v>106</v>
      </c>
      <c r="B132">
        <v>1.1999999999999999E-7</v>
      </c>
    </row>
    <row r="133" spans="1:2">
      <c r="A133" t="s">
        <v>137</v>
      </c>
      <c r="B133">
        <v>2.1E-7</v>
      </c>
    </row>
    <row r="134" spans="1:2">
      <c r="A134" t="s">
        <v>138</v>
      </c>
      <c r="B134">
        <v>2.1E-7</v>
      </c>
    </row>
    <row r="135" spans="1:2">
      <c r="A135" t="s">
        <v>311</v>
      </c>
      <c r="B135">
        <v>1.9000000000000001E-7</v>
      </c>
    </row>
    <row r="136" spans="1:2">
      <c r="A136" t="s">
        <v>312</v>
      </c>
      <c r="B136">
        <v>7.7000000000000004E-7</v>
      </c>
    </row>
    <row r="137" spans="1:2">
      <c r="A137" t="s">
        <v>313</v>
      </c>
      <c r="B137">
        <v>3.1000000000000003E-11</v>
      </c>
    </row>
    <row r="138" spans="1:2">
      <c r="A138" t="s">
        <v>314</v>
      </c>
      <c r="B138">
        <v>4.4000000000000002E-6</v>
      </c>
    </row>
    <row r="139" spans="1:2">
      <c r="A139" t="s">
        <v>315</v>
      </c>
      <c r="B139">
        <v>1.0999999999999999E-9</v>
      </c>
    </row>
    <row r="140" spans="1:2">
      <c r="A140" t="s">
        <v>316</v>
      </c>
      <c r="B140">
        <v>2.5000000000000001E-9</v>
      </c>
    </row>
    <row r="141" spans="1:2">
      <c r="A141" t="s">
        <v>12</v>
      </c>
      <c r="B141">
        <v>2.1E-10</v>
      </c>
    </row>
    <row r="142" spans="1:2">
      <c r="A142" t="s">
        <v>317</v>
      </c>
      <c r="B142">
        <v>7.4000000000000003E-10</v>
      </c>
    </row>
    <row r="143" spans="1:2">
      <c r="A143" t="s">
        <v>318</v>
      </c>
      <c r="B143">
        <v>2.4000000000000001E-11</v>
      </c>
    </row>
    <row r="144" spans="1:2">
      <c r="A144" t="s">
        <v>14</v>
      </c>
      <c r="B144">
        <v>3.3999999999999998E-9</v>
      </c>
    </row>
    <row r="145" spans="1:2">
      <c r="A145" t="s">
        <v>319</v>
      </c>
      <c r="B145">
        <v>1.7E-12</v>
      </c>
    </row>
    <row r="146" spans="1:2">
      <c r="A146" t="s">
        <v>320</v>
      </c>
      <c r="B146">
        <v>7.4000000000000003E-11</v>
      </c>
    </row>
    <row r="147" spans="1:2">
      <c r="A147" t="s">
        <v>321</v>
      </c>
      <c r="B147">
        <v>4.6999999999999999E-11</v>
      </c>
    </row>
    <row r="148" spans="1:2">
      <c r="A148" t="s">
        <v>322</v>
      </c>
      <c r="B148">
        <v>2.0000000000000001E-10</v>
      </c>
    </row>
    <row r="149" spans="1:2">
      <c r="A149" t="s">
        <v>323</v>
      </c>
      <c r="B149">
        <v>6.0999999999999996E-11</v>
      </c>
    </row>
    <row r="150" spans="1:2">
      <c r="A150" t="s">
        <v>9</v>
      </c>
      <c r="B150">
        <v>3.7999999999999998E-11</v>
      </c>
    </row>
    <row r="151" spans="1:2">
      <c r="A151" t="s">
        <v>324</v>
      </c>
      <c r="B151">
        <v>3.5000000000000002E-11</v>
      </c>
    </row>
    <row r="152" spans="1:2">
      <c r="A152" t="s">
        <v>325</v>
      </c>
      <c r="B152">
        <v>2.4000000000000001E-11</v>
      </c>
    </row>
    <row r="153" spans="1:2">
      <c r="A153" t="s">
        <v>326</v>
      </c>
      <c r="B153">
        <v>6E-11</v>
      </c>
    </row>
    <row r="154" spans="1:2">
      <c r="A154" t="s">
        <v>327</v>
      </c>
      <c r="B154">
        <v>2.8E-11</v>
      </c>
    </row>
    <row r="155" spans="1:2">
      <c r="A155" t="s">
        <v>328</v>
      </c>
      <c r="B155">
        <v>5.8E-11</v>
      </c>
    </row>
    <row r="156" spans="1:2">
      <c r="A156" t="s">
        <v>329</v>
      </c>
      <c r="B156">
        <v>5.0000000000000003E-10</v>
      </c>
    </row>
    <row r="157" spans="1:2">
      <c r="A157" t="s">
        <v>122</v>
      </c>
      <c r="B157">
        <v>1.9000000000000001E-8</v>
      </c>
    </row>
    <row r="158" spans="1:2">
      <c r="A158" t="s">
        <v>330</v>
      </c>
      <c r="B158">
        <v>1.9999999999999999E-11</v>
      </c>
    </row>
    <row r="159" spans="1:2">
      <c r="A159" t="s">
        <v>123</v>
      </c>
      <c r="B159">
        <v>2.0000000000000001E-9</v>
      </c>
    </row>
    <row r="160" spans="1:2">
      <c r="A160" t="s">
        <v>331</v>
      </c>
      <c r="B160">
        <v>1.8999999999999999E-11</v>
      </c>
    </row>
    <row r="161" spans="1:2">
      <c r="A161" t="s">
        <v>332</v>
      </c>
      <c r="B161">
        <v>3E-9</v>
      </c>
    </row>
    <row r="162" spans="1:2">
      <c r="A162" t="s">
        <v>31</v>
      </c>
      <c r="B162">
        <v>1.3000000000000001E-8</v>
      </c>
    </row>
    <row r="163" spans="1:2">
      <c r="A163" t="s">
        <v>333</v>
      </c>
      <c r="B163">
        <v>9.2000000000000005E-11</v>
      </c>
    </row>
    <row r="164" spans="1:2">
      <c r="A164" t="s">
        <v>334</v>
      </c>
      <c r="B164">
        <v>7.0000000000000004E-11</v>
      </c>
    </row>
    <row r="165" spans="1:2">
      <c r="A165" t="s">
        <v>335</v>
      </c>
      <c r="B165">
        <v>1.2E-10</v>
      </c>
    </row>
    <row r="166" spans="1:2">
      <c r="A166" t="s">
        <v>16</v>
      </c>
      <c r="B166">
        <v>1.2E-10</v>
      </c>
    </row>
    <row r="167" spans="1:2">
      <c r="A167" t="s">
        <v>336</v>
      </c>
      <c r="B167">
        <v>3.4000000000000001E-10</v>
      </c>
    </row>
    <row r="168" spans="1:2">
      <c r="A168" t="s">
        <v>337</v>
      </c>
      <c r="B168">
        <v>1.2999999999999999E-10</v>
      </c>
    </row>
    <row r="169" spans="1:2">
      <c r="A169" t="s">
        <v>338</v>
      </c>
      <c r="B169">
        <v>6.0999999999999996E-11</v>
      </c>
    </row>
    <row r="170" spans="1:2">
      <c r="A170" t="s">
        <v>339</v>
      </c>
      <c r="B170">
        <v>1E-10</v>
      </c>
    </row>
    <row r="171" spans="1:2">
      <c r="A171" t="s">
        <v>340</v>
      </c>
      <c r="B171">
        <v>1.0999999999999999E-10</v>
      </c>
    </row>
    <row r="172" spans="1:2">
      <c r="A172" t="s">
        <v>341</v>
      </c>
      <c r="B172">
        <v>1.6000000000000001E-9</v>
      </c>
    </row>
    <row r="173" spans="1:2">
      <c r="A173" t="s">
        <v>342</v>
      </c>
      <c r="B173">
        <v>7.9999999999999995E-11</v>
      </c>
    </row>
    <row r="174" spans="1:2">
      <c r="A174" t="s">
        <v>343</v>
      </c>
      <c r="B174">
        <v>1.8999999999999999E-11</v>
      </c>
    </row>
    <row r="175" spans="1:2">
      <c r="A175" t="s">
        <v>344</v>
      </c>
      <c r="B175">
        <v>3.7000000000000001E-10</v>
      </c>
    </row>
    <row r="176" spans="1:2">
      <c r="A176" t="s">
        <v>345</v>
      </c>
      <c r="B176">
        <v>3.6E-10</v>
      </c>
    </row>
    <row r="177" spans="1:2">
      <c r="A177" t="s">
        <v>346</v>
      </c>
      <c r="B177">
        <v>1.0000000000000001E-9</v>
      </c>
    </row>
    <row r="178" spans="1:2">
      <c r="A178" t="s">
        <v>347</v>
      </c>
      <c r="B178">
        <v>2.0999999999999999E-11</v>
      </c>
    </row>
    <row r="179" spans="1:2">
      <c r="A179" t="s">
        <v>348</v>
      </c>
      <c r="B179">
        <v>1.7000000000000001E-10</v>
      </c>
    </row>
    <row r="180" spans="1:2">
      <c r="A180" t="s">
        <v>349</v>
      </c>
      <c r="B180">
        <v>6.1E-9</v>
      </c>
    </row>
    <row r="181" spans="1:2">
      <c r="A181" t="s">
        <v>350</v>
      </c>
      <c r="B181">
        <v>2.7999999999999999E-8</v>
      </c>
    </row>
    <row r="182" spans="1:2">
      <c r="A182" t="s">
        <v>351</v>
      </c>
      <c r="B182">
        <v>4.2000000000000004E-9</v>
      </c>
    </row>
    <row r="183" spans="1:2">
      <c r="A183" t="s">
        <v>352</v>
      </c>
      <c r="B183">
        <v>7.5E-10</v>
      </c>
    </row>
    <row r="184" spans="1:2">
      <c r="A184" t="s">
        <v>353</v>
      </c>
      <c r="B184">
        <v>1.3000000000000001E-9</v>
      </c>
    </row>
    <row r="185" spans="1:2">
      <c r="A185" t="s">
        <v>354</v>
      </c>
      <c r="B185">
        <v>4.3999999999999998E-10</v>
      </c>
    </row>
    <row r="186" spans="1:2">
      <c r="A186" t="s">
        <v>355</v>
      </c>
      <c r="B186">
        <v>1.3000000000000001E-9</v>
      </c>
    </row>
    <row r="187" spans="1:2">
      <c r="A187" t="s">
        <v>356</v>
      </c>
      <c r="B187">
        <v>1E-10</v>
      </c>
    </row>
    <row r="188" spans="1:2">
      <c r="A188" t="s">
        <v>357</v>
      </c>
      <c r="B188">
        <v>1.3000000000000001E-9</v>
      </c>
    </row>
    <row r="189" spans="1:2">
      <c r="A189" t="s">
        <v>358</v>
      </c>
      <c r="B189">
        <v>3.7999999999999998E-10</v>
      </c>
    </row>
    <row r="190" spans="1:2">
      <c r="A190" t="s">
        <v>36</v>
      </c>
      <c r="B190">
        <v>1.3999999999999999E-9</v>
      </c>
    </row>
    <row r="191" spans="1:2">
      <c r="A191" t="s">
        <v>359</v>
      </c>
      <c r="B191">
        <v>5.0000000000000003E-10</v>
      </c>
    </row>
    <row r="192" spans="1:2">
      <c r="A192" t="s">
        <v>129</v>
      </c>
      <c r="B192">
        <v>2.0000000000000001E-9</v>
      </c>
    </row>
    <row r="193" spans="1:2">
      <c r="A193" t="s">
        <v>130</v>
      </c>
      <c r="B193">
        <v>3.1999999999999998E-10</v>
      </c>
    </row>
    <row r="194" spans="1:2">
      <c r="A194" t="s">
        <v>360</v>
      </c>
      <c r="B194">
        <v>2.1999999999999998E-9</v>
      </c>
    </row>
    <row r="195" spans="1:2">
      <c r="A195" t="s">
        <v>361</v>
      </c>
      <c r="B195">
        <v>6E-10</v>
      </c>
    </row>
    <row r="196" spans="1:2">
      <c r="A196" t="s">
        <v>362</v>
      </c>
      <c r="B196">
        <v>9.3999999999999999E-11</v>
      </c>
    </row>
    <row r="197" spans="1:2">
      <c r="A197" t="s">
        <v>191</v>
      </c>
      <c r="B197">
        <v>4.8999999999999999E-11</v>
      </c>
    </row>
    <row r="198" spans="1:2">
      <c r="A198" t="s">
        <v>363</v>
      </c>
      <c r="B198">
        <v>1.3999999999999999E-9</v>
      </c>
    </row>
    <row r="199" spans="1:2">
      <c r="A199" t="s">
        <v>11</v>
      </c>
      <c r="B199">
        <v>3.3E-10</v>
      </c>
    </row>
    <row r="200" spans="1:2">
      <c r="A200" t="s">
        <v>13</v>
      </c>
      <c r="B200">
        <v>1.8E-9</v>
      </c>
    </row>
    <row r="201" spans="1:2">
      <c r="A201" t="s">
        <v>364</v>
      </c>
      <c r="B201">
        <v>1.1000000000000001E-7</v>
      </c>
    </row>
    <row r="202" spans="1:2">
      <c r="A202" t="s">
        <v>365</v>
      </c>
      <c r="B202">
        <v>2.7000000000000002E-9</v>
      </c>
    </row>
    <row r="203" spans="1:2">
      <c r="A203" t="s">
        <v>366</v>
      </c>
      <c r="B203">
        <v>9.0999999999999996E-10</v>
      </c>
    </row>
    <row r="204" spans="1:2">
      <c r="A204" t="s">
        <v>367</v>
      </c>
      <c r="B204">
        <v>4.3999999999999998E-10</v>
      </c>
    </row>
    <row r="205" spans="1:2">
      <c r="A205" t="s">
        <v>368</v>
      </c>
      <c r="B205">
        <v>2.5000000000000001E-9</v>
      </c>
    </row>
    <row r="206" spans="1:2">
      <c r="A206" t="s">
        <v>369</v>
      </c>
      <c r="B206">
        <v>1.4999999999999999E-8</v>
      </c>
    </row>
    <row r="207" spans="1:2">
      <c r="A207" t="s">
        <v>370</v>
      </c>
      <c r="B207">
        <v>7.1000000000000003E-10</v>
      </c>
    </row>
    <row r="208" spans="1:2">
      <c r="A208" t="s">
        <v>72</v>
      </c>
      <c r="B208">
        <v>2.2999999999999999E-9</v>
      </c>
    </row>
    <row r="209" spans="1:2">
      <c r="A209" t="s">
        <v>371</v>
      </c>
      <c r="B209">
        <v>3.7000000000000001E-11</v>
      </c>
    </row>
    <row r="210" spans="1:2">
      <c r="A210" t="s">
        <v>372</v>
      </c>
      <c r="B210">
        <v>1.2E-9</v>
      </c>
    </row>
    <row r="211" spans="1:2">
      <c r="A211" t="s">
        <v>373</v>
      </c>
      <c r="B211">
        <v>1.8999999999999999E-10</v>
      </c>
    </row>
    <row r="212" spans="1:2">
      <c r="A212" t="s">
        <v>374</v>
      </c>
      <c r="B212">
        <v>1E-10</v>
      </c>
    </row>
    <row r="213" spans="1:2">
      <c r="A213" t="s">
        <v>375</v>
      </c>
      <c r="B213">
        <v>3.1000000000000003E-11</v>
      </c>
    </row>
    <row r="214" spans="1:2">
      <c r="A214" t="s">
        <v>376</v>
      </c>
      <c r="B214">
        <v>1.0999999999999999E-9</v>
      </c>
    </row>
    <row r="215" spans="1:2">
      <c r="A215" t="s">
        <v>377</v>
      </c>
      <c r="B215">
        <v>2.5999999999999998E-10</v>
      </c>
    </row>
    <row r="216" spans="1:2">
      <c r="A216" t="s">
        <v>378</v>
      </c>
      <c r="B216">
        <v>4.4000000000000003E-11</v>
      </c>
    </row>
    <row r="217" spans="1:2">
      <c r="A217" t="s">
        <v>379</v>
      </c>
      <c r="B217">
        <v>9.5999999999999999E-10</v>
      </c>
    </row>
    <row r="218" spans="1:2">
      <c r="A218" t="s">
        <v>380</v>
      </c>
      <c r="B218">
        <v>6.0999999999999996E-10</v>
      </c>
    </row>
    <row r="219" spans="1:2">
      <c r="A219" t="s">
        <v>381</v>
      </c>
      <c r="B219">
        <v>5.5000000000000003E-8</v>
      </c>
    </row>
    <row r="220" spans="1:2">
      <c r="A220" t="s">
        <v>382</v>
      </c>
      <c r="B220">
        <v>4.5E-10</v>
      </c>
    </row>
    <row r="221" spans="1:2">
      <c r="A221" t="s">
        <v>383</v>
      </c>
      <c r="B221">
        <v>2.0000000000000001E-10</v>
      </c>
    </row>
    <row r="222" spans="1:2">
      <c r="A222" t="s">
        <v>35</v>
      </c>
      <c r="B222">
        <v>4.1000000000000003E-8</v>
      </c>
    </row>
    <row r="223" spans="1:2">
      <c r="A223" t="s">
        <v>384</v>
      </c>
      <c r="B223">
        <v>2.7E-10</v>
      </c>
    </row>
    <row r="224" spans="1:2">
      <c r="A224" t="s">
        <v>385</v>
      </c>
      <c r="B224">
        <v>4.8999999999999996E-10</v>
      </c>
    </row>
    <row r="225" spans="1:2">
      <c r="A225" t="s">
        <v>386</v>
      </c>
      <c r="B225">
        <v>1E-10</v>
      </c>
    </row>
    <row r="226" spans="1:2">
      <c r="A226" t="s">
        <v>387</v>
      </c>
      <c r="B226">
        <v>6.4999999999999995E-11</v>
      </c>
    </row>
    <row r="227" spans="1:2">
      <c r="A227" t="s">
        <v>388</v>
      </c>
      <c r="B227">
        <v>1.3000000000000001E-9</v>
      </c>
    </row>
    <row r="228" spans="1:2">
      <c r="A228" t="s">
        <v>389</v>
      </c>
      <c r="B228">
        <v>2.4E-10</v>
      </c>
    </row>
    <row r="229" spans="1:2">
      <c r="A229" t="s">
        <v>390</v>
      </c>
      <c r="B229">
        <v>1.2000000000000001E-11</v>
      </c>
    </row>
    <row r="230" spans="1:2">
      <c r="A230" t="s">
        <v>391</v>
      </c>
      <c r="B230">
        <v>4.6000000000000003E-11</v>
      </c>
    </row>
    <row r="231" spans="1:2">
      <c r="A231" t="s">
        <v>392</v>
      </c>
      <c r="B231">
        <v>3.3E-10</v>
      </c>
    </row>
    <row r="232" spans="1:2">
      <c r="A232" t="s">
        <v>393</v>
      </c>
      <c r="B232">
        <v>1.2E-10</v>
      </c>
    </row>
    <row r="233" spans="1:2">
      <c r="A233" t="s">
        <v>1</v>
      </c>
      <c r="B233">
        <v>4.1999999999999997E-11</v>
      </c>
    </row>
    <row r="234" spans="1:2">
      <c r="A234" t="s">
        <v>394</v>
      </c>
      <c r="B234">
        <v>4.8E-10</v>
      </c>
    </row>
    <row r="235" spans="1:2">
      <c r="A235" t="s">
        <v>395</v>
      </c>
      <c r="B235">
        <v>1.0000000000000001E-9</v>
      </c>
    </row>
    <row r="236" spans="1:2">
      <c r="A236" t="s">
        <v>396</v>
      </c>
      <c r="B236">
        <v>2.3000000000000001E-10</v>
      </c>
    </row>
    <row r="237" spans="1:2">
      <c r="A237" t="s">
        <v>397</v>
      </c>
      <c r="B237">
        <v>4.0999999999999998E-10</v>
      </c>
    </row>
    <row r="238" spans="1:2">
      <c r="A238" t="s">
        <v>398</v>
      </c>
      <c r="B238">
        <v>8.1000000000000005E-11</v>
      </c>
    </row>
    <row r="239" spans="1:2">
      <c r="A239" t="s">
        <v>399</v>
      </c>
      <c r="B239">
        <v>4.6999999999999999E-9</v>
      </c>
    </row>
    <row r="240" spans="1:2">
      <c r="A240" t="s">
        <v>400</v>
      </c>
      <c r="B240">
        <v>1.2E-9</v>
      </c>
    </row>
    <row r="241" spans="1:2">
      <c r="A241" t="s">
        <v>401</v>
      </c>
      <c r="B241">
        <v>1.7000000000000001E-10</v>
      </c>
    </row>
    <row r="242" spans="1:2">
      <c r="A242" t="s">
        <v>402</v>
      </c>
      <c r="B242">
        <v>1.0999999999999999E-9</v>
      </c>
    </row>
    <row r="243" spans="1:2">
      <c r="A243" t="s">
        <v>403</v>
      </c>
      <c r="B243">
        <v>3E-9</v>
      </c>
    </row>
    <row r="244" spans="1:2">
      <c r="A244" t="s">
        <v>404</v>
      </c>
      <c r="B244">
        <v>4.1999999999999997E-11</v>
      </c>
    </row>
    <row r="245" spans="1:2">
      <c r="A245" t="s">
        <v>405</v>
      </c>
      <c r="B245">
        <v>7.3000000000000006E-11</v>
      </c>
    </row>
    <row r="246" spans="1:2">
      <c r="A246" t="s">
        <v>406</v>
      </c>
      <c r="B246">
        <v>5.1999999999999996E-10</v>
      </c>
    </row>
    <row r="247" spans="1:2">
      <c r="A247" t="s">
        <v>407</v>
      </c>
      <c r="B247">
        <v>8.2000000000000001E-11</v>
      </c>
    </row>
    <row r="248" spans="1:2">
      <c r="A248" t="s">
        <v>408</v>
      </c>
      <c r="B248">
        <v>4.0000000000000001E-10</v>
      </c>
    </row>
    <row r="249" spans="1:2">
      <c r="A249" t="s">
        <v>409</v>
      </c>
      <c r="B249">
        <v>5.1E-8</v>
      </c>
    </row>
    <row r="250" spans="1:2">
      <c r="A250" t="s">
        <v>410</v>
      </c>
      <c r="B250">
        <v>9.7000000000000001E-11</v>
      </c>
    </row>
    <row r="251" spans="1:2">
      <c r="A251" t="s">
        <v>411</v>
      </c>
      <c r="B251">
        <v>5.6000000000000003E-10</v>
      </c>
    </row>
    <row r="252" spans="1:2">
      <c r="A252" t="s">
        <v>412</v>
      </c>
      <c r="B252">
        <v>2.3000000000000001E-10</v>
      </c>
    </row>
    <row r="253" spans="1:2">
      <c r="A253" t="s">
        <v>413</v>
      </c>
      <c r="B253">
        <v>4.7000000000000003E-10</v>
      </c>
    </row>
    <row r="254" spans="1:2">
      <c r="A254" t="s">
        <v>414</v>
      </c>
      <c r="B254">
        <v>3.1000000000000003E-11</v>
      </c>
    </row>
    <row r="255" spans="1:2">
      <c r="A255" t="s">
        <v>415</v>
      </c>
      <c r="B255">
        <v>1.9000000000000001E-9</v>
      </c>
    </row>
    <row r="256" spans="1:2">
      <c r="A256" t="s">
        <v>416</v>
      </c>
      <c r="B256">
        <v>3.7000000000000001E-11</v>
      </c>
    </row>
    <row r="257" spans="1:2">
      <c r="A257" t="s">
        <v>417</v>
      </c>
      <c r="B257">
        <v>6.5000000000000002E-12</v>
      </c>
    </row>
    <row r="258" spans="1:2">
      <c r="A258" t="s">
        <v>418</v>
      </c>
      <c r="B258">
        <v>7.8999999999999999E-12</v>
      </c>
    </row>
    <row r="259" spans="1:2">
      <c r="A259" t="s">
        <v>419</v>
      </c>
      <c r="B259">
        <v>1.3E-11</v>
      </c>
    </row>
    <row r="260" spans="1:2">
      <c r="A260" t="s">
        <v>420</v>
      </c>
      <c r="B260">
        <v>3.3000000000000001E-12</v>
      </c>
    </row>
    <row r="261" spans="1:2">
      <c r="A261" t="s">
        <v>421</v>
      </c>
      <c r="B261">
        <v>2.6000000000000001E-11</v>
      </c>
    </row>
    <row r="262" spans="1:2">
      <c r="A262" t="s">
        <v>422</v>
      </c>
      <c r="B262">
        <v>9.4999999999999995E-12</v>
      </c>
    </row>
    <row r="263" spans="1:2">
      <c r="A263" t="s">
        <v>423</v>
      </c>
      <c r="B263">
        <v>1.6E-11</v>
      </c>
    </row>
    <row r="264" spans="1:2">
      <c r="A264" t="s">
        <v>424</v>
      </c>
      <c r="B264">
        <v>1.3999999999999999E-9</v>
      </c>
    </row>
    <row r="265" spans="1:2">
      <c r="A265" t="s">
        <v>425</v>
      </c>
      <c r="B265">
        <v>2.0000000000000001E-9</v>
      </c>
    </row>
    <row r="266" spans="1:2">
      <c r="A266" t="s">
        <v>426</v>
      </c>
      <c r="B266">
        <v>8.2999999999999998E-11</v>
      </c>
    </row>
    <row r="267" spans="1:2">
      <c r="A267" t="s">
        <v>190</v>
      </c>
      <c r="B267">
        <v>3.4000000000000001E-10</v>
      </c>
    </row>
    <row r="268" spans="1:2">
      <c r="A268" t="s">
        <v>427</v>
      </c>
      <c r="B268">
        <v>2.1E-10</v>
      </c>
    </row>
    <row r="269" spans="1:2">
      <c r="A269" t="s">
        <v>189</v>
      </c>
      <c r="B269">
        <v>8.2000000000000001E-11</v>
      </c>
    </row>
    <row r="270" spans="1:2">
      <c r="A270" t="s">
        <v>25</v>
      </c>
      <c r="B270">
        <v>2.1E-10</v>
      </c>
    </row>
    <row r="271" spans="1:2">
      <c r="A271" t="s">
        <v>26</v>
      </c>
      <c r="B271">
        <v>1.3000000000000001E-8</v>
      </c>
    </row>
    <row r="272" spans="1:2">
      <c r="A272" t="s">
        <v>27</v>
      </c>
      <c r="B272">
        <v>1.4999999999999999E-8</v>
      </c>
    </row>
    <row r="273" spans="1:2">
      <c r="A273" t="s">
        <v>188</v>
      </c>
      <c r="B273">
        <v>2.9000000000000002E-8</v>
      </c>
    </row>
    <row r="274" spans="1:2">
      <c r="A274" t="s">
        <v>187</v>
      </c>
      <c r="B274">
        <v>4.6000000000000003E-11</v>
      </c>
    </row>
    <row r="275" spans="1:2">
      <c r="A275" t="s">
        <v>28</v>
      </c>
      <c r="B275">
        <v>1.1000000000000001E-7</v>
      </c>
    </row>
    <row r="276" spans="1:2">
      <c r="A276" t="s">
        <v>186</v>
      </c>
      <c r="B276">
        <v>2.0000000000000001E-9</v>
      </c>
    </row>
    <row r="277" spans="1:2">
      <c r="A277" t="s">
        <v>30</v>
      </c>
      <c r="B277">
        <v>2.1999999999999998E-8</v>
      </c>
    </row>
    <row r="278" spans="1:2">
      <c r="A278" t="s">
        <v>185</v>
      </c>
      <c r="B278">
        <v>2.8999999999999998E-10</v>
      </c>
    </row>
    <row r="279" spans="1:2">
      <c r="A279" t="s">
        <v>428</v>
      </c>
      <c r="B279">
        <v>2.1999999999999999E-10</v>
      </c>
    </row>
    <row r="280" spans="1:2">
      <c r="A280" t="s">
        <v>184</v>
      </c>
      <c r="B280">
        <v>4.2999999999999996E-9</v>
      </c>
    </row>
    <row r="281" spans="1:2">
      <c r="A281" t="s">
        <v>183</v>
      </c>
      <c r="B281">
        <v>1.0999999999999999E-10</v>
      </c>
    </row>
    <row r="282" spans="1:2">
      <c r="A282" t="s">
        <v>182</v>
      </c>
      <c r="B282">
        <v>9.2999999999999999E-10</v>
      </c>
    </row>
    <row r="283" spans="1:2">
      <c r="A283" t="s">
        <v>429</v>
      </c>
      <c r="B283">
        <v>6.6000000000000005E-11</v>
      </c>
    </row>
    <row r="284" spans="1:2">
      <c r="A284" t="s">
        <v>430</v>
      </c>
      <c r="B284">
        <v>2.4E-10</v>
      </c>
    </row>
    <row r="285" spans="1:2">
      <c r="A285" t="s">
        <v>431</v>
      </c>
      <c r="B285">
        <v>1E-10</v>
      </c>
    </row>
    <row r="286" spans="1:2">
      <c r="A286" t="s">
        <v>432</v>
      </c>
      <c r="B286">
        <v>2.8999999999999998E-10</v>
      </c>
    </row>
    <row r="287" spans="1:2">
      <c r="A287" t="s">
        <v>433</v>
      </c>
      <c r="B287">
        <v>9.9999999999999994E-12</v>
      </c>
    </row>
    <row r="288" spans="1:2">
      <c r="A288" t="s">
        <v>434</v>
      </c>
      <c r="B288">
        <v>2.8E-11</v>
      </c>
    </row>
    <row r="289" spans="1:2">
      <c r="A289" t="s">
        <v>435</v>
      </c>
      <c r="B289">
        <v>4.1000000000000003E-9</v>
      </c>
    </row>
    <row r="290" spans="1:2">
      <c r="A290" t="s">
        <v>436</v>
      </c>
      <c r="B290">
        <v>3.2000000000000002E-8</v>
      </c>
    </row>
    <row r="291" spans="1:2">
      <c r="A291" t="s">
        <v>437</v>
      </c>
      <c r="B291">
        <v>8.6E-11</v>
      </c>
    </row>
    <row r="292" spans="1:2">
      <c r="A292" t="s">
        <v>438</v>
      </c>
      <c r="B292">
        <v>6.3999999999999999E-11</v>
      </c>
    </row>
    <row r="293" spans="1:2">
      <c r="A293" t="s">
        <v>439</v>
      </c>
      <c r="B293">
        <v>3.1000000000000003E-11</v>
      </c>
    </row>
    <row r="294" spans="1:2">
      <c r="A294" t="s">
        <v>440</v>
      </c>
      <c r="B294">
        <v>1.2E-10</v>
      </c>
    </row>
    <row r="295" spans="1:2">
      <c r="A295" t="s">
        <v>441</v>
      </c>
      <c r="B295">
        <v>4.6999999999999999E-11</v>
      </c>
    </row>
    <row r="296" spans="1:2">
      <c r="A296" t="s">
        <v>442</v>
      </c>
      <c r="B296">
        <v>4.8000000000000002E-11</v>
      </c>
    </row>
    <row r="297" spans="1:2">
      <c r="A297" t="s">
        <v>443</v>
      </c>
      <c r="B297">
        <v>1.7000000000000001E-10</v>
      </c>
    </row>
    <row r="298" spans="1:2">
      <c r="A298" t="s">
        <v>444</v>
      </c>
      <c r="B298">
        <v>2.5999999999999998E-10</v>
      </c>
    </row>
    <row r="299" spans="1:2">
      <c r="A299" t="s">
        <v>445</v>
      </c>
      <c r="B299">
        <v>4.8999999999999996E-10</v>
      </c>
    </row>
    <row r="300" spans="1:2">
      <c r="A300" t="s">
        <v>446</v>
      </c>
      <c r="B300">
        <v>6.0999999999999996E-11</v>
      </c>
    </row>
    <row r="301" spans="1:2">
      <c r="A301" t="s">
        <v>447</v>
      </c>
      <c r="B301">
        <v>1.2E-10</v>
      </c>
    </row>
    <row r="302" spans="1:2">
      <c r="A302" t="s">
        <v>448</v>
      </c>
      <c r="B302">
        <v>6.3E-10</v>
      </c>
    </row>
    <row r="303" spans="1:2">
      <c r="A303" t="s">
        <v>449</v>
      </c>
      <c r="B303">
        <v>2.4E-10</v>
      </c>
    </row>
    <row r="304" spans="1:2">
      <c r="A304" t="s">
        <v>450</v>
      </c>
      <c r="B304">
        <v>1.2E-9</v>
      </c>
    </row>
    <row r="305" spans="1:2">
      <c r="A305" t="s">
        <v>451</v>
      </c>
      <c r="B305">
        <v>7.9999999999999998E-12</v>
      </c>
    </row>
    <row r="306" spans="1:2">
      <c r="A306" t="s">
        <v>452</v>
      </c>
      <c r="B306">
        <v>1.2E-10</v>
      </c>
    </row>
    <row r="307" spans="1:2">
      <c r="A307" t="s">
        <v>453</v>
      </c>
      <c r="B307">
        <v>1.3999999999999999E-9</v>
      </c>
    </row>
    <row r="308" spans="1:2">
      <c r="A308" t="s">
        <v>454</v>
      </c>
      <c r="B308">
        <v>3.1000000000000002E-10</v>
      </c>
    </row>
    <row r="309" spans="1:2">
      <c r="A309" t="s">
        <v>455</v>
      </c>
      <c r="B309">
        <v>2.7E-10</v>
      </c>
    </row>
    <row r="310" spans="1:2">
      <c r="A310" t="s">
        <v>456</v>
      </c>
      <c r="B310">
        <v>1.3000000000000001E-9</v>
      </c>
    </row>
    <row r="311" spans="1:2">
      <c r="A311" t="s">
        <v>457</v>
      </c>
      <c r="B311">
        <v>2.1000000000000002E-9</v>
      </c>
    </row>
    <row r="312" spans="1:2">
      <c r="A312" t="s">
        <v>458</v>
      </c>
      <c r="B312">
        <v>1E-10</v>
      </c>
    </row>
    <row r="313" spans="1:2">
      <c r="A313" t="s">
        <v>459</v>
      </c>
      <c r="B313">
        <v>2.1E-10</v>
      </c>
    </row>
    <row r="314" spans="1:2">
      <c r="A314" t="s">
        <v>181</v>
      </c>
      <c r="B314">
        <v>6.2000000000000001E-9</v>
      </c>
    </row>
    <row r="315" spans="1:2">
      <c r="A315" t="s">
        <v>180</v>
      </c>
      <c r="B315">
        <v>4.3000000000000001E-10</v>
      </c>
    </row>
    <row r="316" spans="1:2">
      <c r="A316" t="s">
        <v>179</v>
      </c>
      <c r="B316">
        <v>2.5000000000000002E-10</v>
      </c>
    </row>
    <row r="317" spans="1:2">
      <c r="A317" t="s">
        <v>178</v>
      </c>
      <c r="B317">
        <v>8.3999999999999994E-11</v>
      </c>
    </row>
    <row r="318" spans="1:2">
      <c r="A318" t="s">
        <v>177</v>
      </c>
      <c r="B318">
        <v>5.4000000000000001E-11</v>
      </c>
    </row>
    <row r="319" spans="1:2">
      <c r="A319" t="s">
        <v>460</v>
      </c>
      <c r="B319">
        <v>3.5000000000000002E-11</v>
      </c>
    </row>
    <row r="320" spans="1:2">
      <c r="A320" t="s">
        <v>461</v>
      </c>
      <c r="B320">
        <v>3.9E-10</v>
      </c>
    </row>
    <row r="321" spans="1:2">
      <c r="A321" t="s">
        <v>462</v>
      </c>
      <c r="B321">
        <v>3E-11</v>
      </c>
    </row>
    <row r="322" spans="1:2">
      <c r="A322" t="s">
        <v>463</v>
      </c>
      <c r="B322">
        <v>8.1000000000000005E-11</v>
      </c>
    </row>
    <row r="323" spans="1:2">
      <c r="A323" t="s">
        <v>464</v>
      </c>
      <c r="B323">
        <v>1.0999999999999999E-9</v>
      </c>
    </row>
    <row r="324" spans="1:2">
      <c r="A324" t="s">
        <v>465</v>
      </c>
      <c r="B324">
        <v>2.0000000000000001E-9</v>
      </c>
    </row>
    <row r="325" spans="1:2">
      <c r="A325" t="s">
        <v>466</v>
      </c>
      <c r="B325">
        <v>3.6E-10</v>
      </c>
    </row>
    <row r="326" spans="1:2">
      <c r="A326" t="s">
        <v>467</v>
      </c>
      <c r="B326">
        <v>1.8E-10</v>
      </c>
    </row>
    <row r="327" spans="1:2">
      <c r="A327" t="s">
        <v>468</v>
      </c>
      <c r="B327">
        <v>5.6E-11</v>
      </c>
    </row>
    <row r="328" spans="1:2">
      <c r="A328" t="s">
        <v>469</v>
      </c>
      <c r="B328">
        <v>4.6000000000000001E-10</v>
      </c>
    </row>
    <row r="329" spans="1:2">
      <c r="A329" t="s">
        <v>470</v>
      </c>
      <c r="B329">
        <v>9.900000000000001E-10</v>
      </c>
    </row>
    <row r="330" spans="1:2">
      <c r="A330" t="s">
        <v>471</v>
      </c>
      <c r="B330">
        <v>6.6999999999999996E-10</v>
      </c>
    </row>
    <row r="331" spans="1:2">
      <c r="A331" t="s">
        <v>472</v>
      </c>
      <c r="B331">
        <v>1.3000000000000001E-9</v>
      </c>
    </row>
    <row r="332" spans="1:2">
      <c r="A332" t="s">
        <v>473</v>
      </c>
      <c r="B332">
        <v>2.5999999999999998E-10</v>
      </c>
    </row>
    <row r="333" spans="1:2">
      <c r="A333" t="s">
        <v>474</v>
      </c>
      <c r="B333">
        <v>2.7E-10</v>
      </c>
    </row>
    <row r="334" spans="1:2">
      <c r="A334" t="s">
        <v>475</v>
      </c>
      <c r="B334">
        <v>5.3000000000000003E-10</v>
      </c>
    </row>
    <row r="335" spans="1:2">
      <c r="A335" t="s">
        <v>476</v>
      </c>
      <c r="B335">
        <v>1.8E-9</v>
      </c>
    </row>
    <row r="336" spans="1:2">
      <c r="A336" t="s">
        <v>477</v>
      </c>
      <c r="B336">
        <v>1.7000000000000001E-10</v>
      </c>
    </row>
    <row r="337" spans="1:2">
      <c r="A337" t="s">
        <v>478</v>
      </c>
      <c r="B337">
        <v>5.3000000000000003E-10</v>
      </c>
    </row>
    <row r="338" spans="1:2">
      <c r="A338" t="s">
        <v>479</v>
      </c>
      <c r="B338">
        <v>1.6999999999999999E-9</v>
      </c>
    </row>
    <row r="339" spans="1:2">
      <c r="A339" t="s">
        <v>480</v>
      </c>
      <c r="B339">
        <v>4.6999999999999999E-11</v>
      </c>
    </row>
    <row r="340" spans="1:2">
      <c r="A340" t="s">
        <v>481</v>
      </c>
      <c r="B340">
        <v>3.7999999999999998E-11</v>
      </c>
    </row>
    <row r="341" spans="1:2">
      <c r="A341" t="s">
        <v>482</v>
      </c>
      <c r="B341">
        <v>2.1E-10</v>
      </c>
    </row>
    <row r="342" spans="1:2">
      <c r="A342" t="s">
        <v>483</v>
      </c>
      <c r="B342">
        <v>1.2E-10</v>
      </c>
    </row>
    <row r="343" spans="1:2">
      <c r="A343" t="s">
        <v>484</v>
      </c>
      <c r="B343">
        <v>1.3000000000000001E-8</v>
      </c>
    </row>
    <row r="344" spans="1:2">
      <c r="A344" t="s">
        <v>485</v>
      </c>
      <c r="B344">
        <v>2.1999999999999998E-9</v>
      </c>
    </row>
    <row r="345" spans="1:2">
      <c r="A345" t="s">
        <v>486</v>
      </c>
      <c r="B345">
        <v>9.3000000000000002E-11</v>
      </c>
    </row>
    <row r="346" spans="1:2">
      <c r="A346" t="s">
        <v>487</v>
      </c>
      <c r="B346">
        <v>1.8E-9</v>
      </c>
    </row>
    <row r="347" spans="1:2">
      <c r="A347" t="s">
        <v>488</v>
      </c>
      <c r="B347">
        <v>6.8999999999999994E-11</v>
      </c>
    </row>
    <row r="348" spans="1:2">
      <c r="A348" t="s">
        <v>489</v>
      </c>
      <c r="B348">
        <v>3E-11</v>
      </c>
    </row>
    <row r="349" spans="1:2">
      <c r="A349" t="s">
        <v>10</v>
      </c>
      <c r="B349">
        <v>7.1000000000000003E-10</v>
      </c>
    </row>
    <row r="350" spans="1:2">
      <c r="A350" t="s">
        <v>490</v>
      </c>
      <c r="B350">
        <v>2.5000000000000002E-10</v>
      </c>
    </row>
    <row r="351" spans="1:2">
      <c r="A351" t="s">
        <v>491</v>
      </c>
      <c r="B351">
        <v>4.1999999999999997E-11</v>
      </c>
    </row>
    <row r="352" spans="1:2">
      <c r="A352" t="s">
        <v>492</v>
      </c>
      <c r="B352">
        <v>6.2000000000000003E-10</v>
      </c>
    </row>
    <row r="353" spans="1:2">
      <c r="A353" t="s">
        <v>493</v>
      </c>
      <c r="B353">
        <v>2.6000000000000001E-9</v>
      </c>
    </row>
    <row r="354" spans="1:2">
      <c r="A354" t="s">
        <v>494</v>
      </c>
      <c r="B354">
        <v>2.8000000000000002E-10</v>
      </c>
    </row>
    <row r="355" spans="1:2">
      <c r="A355" t="s">
        <v>495</v>
      </c>
      <c r="B355">
        <v>1.2E-9</v>
      </c>
    </row>
    <row r="356" spans="1:2">
      <c r="A356" t="s">
        <v>3</v>
      </c>
      <c r="B356">
        <v>3.2000000000000001E-9</v>
      </c>
    </row>
    <row r="357" spans="1:2">
      <c r="A357" t="s">
        <v>496</v>
      </c>
      <c r="B357">
        <v>4.3000000000000001E-10</v>
      </c>
    </row>
    <row r="358" spans="1:2">
      <c r="A358" t="s">
        <v>497</v>
      </c>
      <c r="B358">
        <v>6.3000000000000002E-11</v>
      </c>
    </row>
    <row r="359" spans="1:2">
      <c r="A359" t="s">
        <v>498</v>
      </c>
      <c r="B359">
        <v>3E-10</v>
      </c>
    </row>
    <row r="360" spans="1:2">
      <c r="A360" t="s">
        <v>499</v>
      </c>
      <c r="B360">
        <v>1.4000000000000001E-10</v>
      </c>
    </row>
    <row r="361" spans="1:2">
      <c r="A361" t="s">
        <v>500</v>
      </c>
      <c r="B361">
        <v>1.2E-9</v>
      </c>
    </row>
    <row r="362" spans="1:2">
      <c r="A362" t="s">
        <v>111</v>
      </c>
      <c r="B362">
        <v>1.2E-10</v>
      </c>
    </row>
    <row r="363" spans="1:2">
      <c r="A363" t="s">
        <v>501</v>
      </c>
      <c r="B363">
        <v>1.6999999999999999E-9</v>
      </c>
    </row>
    <row r="364" spans="1:2">
      <c r="A364" t="s">
        <v>502</v>
      </c>
      <c r="B364">
        <v>5.7999999999999996E-10</v>
      </c>
    </row>
    <row r="365" spans="1:2">
      <c r="A365" t="s">
        <v>503</v>
      </c>
      <c r="B365">
        <v>5.6000000000000003E-10</v>
      </c>
    </row>
    <row r="366" spans="1:2">
      <c r="A366" t="s">
        <v>504</v>
      </c>
      <c r="B366">
        <v>1.0999999999999999E-9</v>
      </c>
    </row>
    <row r="367" spans="1:2">
      <c r="A367" t="s">
        <v>505</v>
      </c>
      <c r="B367">
        <v>6.7999999999999998E-11</v>
      </c>
    </row>
    <row r="368" spans="1:2">
      <c r="A368" t="s">
        <v>506</v>
      </c>
      <c r="B368">
        <v>1.0999999999999999E-10</v>
      </c>
    </row>
    <row r="369" spans="1:2">
      <c r="A369" t="s">
        <v>507</v>
      </c>
      <c r="B369">
        <v>9.8999999999999994E-11</v>
      </c>
    </row>
    <row r="370" spans="1:2">
      <c r="A370" t="s">
        <v>508</v>
      </c>
      <c r="B370">
        <v>6.3999999999999996E-10</v>
      </c>
    </row>
    <row r="371" spans="1:2">
      <c r="A371" t="s">
        <v>509</v>
      </c>
      <c r="B371">
        <v>1.9999999999999999E-11</v>
      </c>
    </row>
    <row r="372" spans="1:2">
      <c r="A372" t="s">
        <v>510</v>
      </c>
      <c r="B372">
        <v>2.5000000000000002E-10</v>
      </c>
    </row>
    <row r="373" spans="1:2">
      <c r="A373" t="s">
        <v>511</v>
      </c>
      <c r="B373">
        <v>8.2999999999999998E-12</v>
      </c>
    </row>
    <row r="374" spans="1:2">
      <c r="A374" t="s">
        <v>512</v>
      </c>
      <c r="B374">
        <v>1.0999999999999999E-9</v>
      </c>
    </row>
    <row r="375" spans="1:2">
      <c r="A375" t="s">
        <v>513</v>
      </c>
      <c r="B375">
        <v>1.2E-10</v>
      </c>
    </row>
    <row r="376" spans="1:2">
      <c r="A376" t="s">
        <v>514</v>
      </c>
      <c r="B376">
        <v>3E-11</v>
      </c>
    </row>
    <row r="377" spans="1:2">
      <c r="A377" t="s">
        <v>515</v>
      </c>
      <c r="B377">
        <v>8.6000000000000003E-10</v>
      </c>
    </row>
    <row r="378" spans="1:2">
      <c r="A378" t="s">
        <v>516</v>
      </c>
      <c r="B378">
        <v>8.6999999999999999E-10</v>
      </c>
    </row>
    <row r="379" spans="1:2">
      <c r="A379" t="s">
        <v>108</v>
      </c>
      <c r="B379">
        <v>6.3000000000000002E-11</v>
      </c>
    </row>
    <row r="380" spans="1:2">
      <c r="A380" t="s">
        <v>15</v>
      </c>
      <c r="B380">
        <v>1.5E-10</v>
      </c>
    </row>
    <row r="381" spans="1:2">
      <c r="A381" t="s">
        <v>517</v>
      </c>
      <c r="B381">
        <v>1.8E-10</v>
      </c>
    </row>
    <row r="382" spans="1:2">
      <c r="A382" t="s">
        <v>518</v>
      </c>
      <c r="B382">
        <v>3E-9</v>
      </c>
    </row>
    <row r="383" spans="1:2">
      <c r="A383" t="s">
        <v>519</v>
      </c>
      <c r="B383">
        <v>9.6999999999999995E-12</v>
      </c>
    </row>
    <row r="384" spans="1:2">
      <c r="A384" t="s">
        <v>520</v>
      </c>
      <c r="B384">
        <v>2.1999999999999999E-12</v>
      </c>
    </row>
    <row r="385" spans="1:2">
      <c r="A385" t="s">
        <v>521</v>
      </c>
      <c r="B385">
        <v>8.0999999999999999E-10</v>
      </c>
    </row>
    <row r="386" spans="1:2">
      <c r="A386" t="s">
        <v>522</v>
      </c>
      <c r="B386">
        <v>5.2999999999999998E-11</v>
      </c>
    </row>
    <row r="387" spans="1:2">
      <c r="A387" t="s">
        <v>131</v>
      </c>
      <c r="B387">
        <v>1.7E-8</v>
      </c>
    </row>
    <row r="388" spans="1:2">
      <c r="A388" t="s">
        <v>523</v>
      </c>
      <c r="B388">
        <v>1.8999999999999999E-10</v>
      </c>
    </row>
    <row r="389" spans="1:2">
      <c r="A389" t="s">
        <v>95</v>
      </c>
      <c r="B389">
        <v>1.1000000000000001E-7</v>
      </c>
    </row>
    <row r="390" spans="1:2">
      <c r="A390" t="s">
        <v>149</v>
      </c>
      <c r="B390">
        <v>9.0999999999999996E-10</v>
      </c>
    </row>
    <row r="391" spans="1:2">
      <c r="A391" t="s">
        <v>100</v>
      </c>
      <c r="B391">
        <v>8.0000000000000003E-10</v>
      </c>
    </row>
    <row r="392" spans="1:2">
      <c r="A392" t="s">
        <v>524</v>
      </c>
      <c r="B392">
        <v>8.2000000000000001E-11</v>
      </c>
    </row>
    <row r="393" spans="1:2">
      <c r="A393" t="s">
        <v>525</v>
      </c>
      <c r="B393">
        <v>1.6999999999999999E-11</v>
      </c>
    </row>
    <row r="394" spans="1:2">
      <c r="A394" t="s">
        <v>526</v>
      </c>
      <c r="B394">
        <v>8.9000000000000003E-11</v>
      </c>
    </row>
    <row r="395" spans="1:2">
      <c r="A395" t="s">
        <v>527</v>
      </c>
      <c r="B395">
        <v>5.6000000000000003E-10</v>
      </c>
    </row>
    <row r="396" spans="1:2">
      <c r="A396" t="s">
        <v>528</v>
      </c>
      <c r="B396">
        <v>5.1E-10</v>
      </c>
    </row>
    <row r="397" spans="1:2">
      <c r="A397" t="s">
        <v>529</v>
      </c>
      <c r="B397">
        <v>1.7999999999999999E-11</v>
      </c>
    </row>
    <row r="398" spans="1:2">
      <c r="A398" t="s">
        <v>530</v>
      </c>
      <c r="B398">
        <v>5.7E-10</v>
      </c>
    </row>
    <row r="399" spans="1:2">
      <c r="A399" t="s">
        <v>531</v>
      </c>
      <c r="B399">
        <v>9.6000000000000005E-11</v>
      </c>
    </row>
    <row r="400" spans="1:2">
      <c r="A400" t="s">
        <v>532</v>
      </c>
      <c r="B400">
        <v>8.0999999999999999E-10</v>
      </c>
    </row>
    <row r="401" spans="1:2">
      <c r="A401" t="s">
        <v>533</v>
      </c>
      <c r="B401">
        <v>2.4E-9</v>
      </c>
    </row>
    <row r="402" spans="1:2">
      <c r="A402" t="s">
        <v>4</v>
      </c>
      <c r="B402">
        <v>2.4E-9</v>
      </c>
    </row>
    <row r="403" spans="1:2">
      <c r="A403" t="s">
        <v>5</v>
      </c>
      <c r="B403">
        <v>2.4E-10</v>
      </c>
    </row>
    <row r="404" spans="1:2">
      <c r="A404" t="s">
        <v>534</v>
      </c>
      <c r="B404">
        <v>4.5E-10</v>
      </c>
    </row>
    <row r="405" spans="1:2">
      <c r="A405" t="s">
        <v>535</v>
      </c>
      <c r="B405">
        <v>7.7999999999999999E-10</v>
      </c>
    </row>
    <row r="406" spans="1:2">
      <c r="A406" t="s">
        <v>536</v>
      </c>
      <c r="B406">
        <v>9.2000000000000003E-10</v>
      </c>
    </row>
    <row r="407" spans="1:2">
      <c r="A407" t="s">
        <v>84</v>
      </c>
      <c r="B407">
        <v>7.0999999999999998E-7</v>
      </c>
    </row>
    <row r="408" spans="1:2">
      <c r="A408" t="s">
        <v>537</v>
      </c>
      <c r="B408">
        <v>7.2E-10</v>
      </c>
    </row>
    <row r="409" spans="1:2">
      <c r="A409" t="s">
        <v>88</v>
      </c>
      <c r="B409">
        <v>8.6999999999999999E-10</v>
      </c>
    </row>
    <row r="410" spans="1:2">
      <c r="A410" t="s">
        <v>90</v>
      </c>
      <c r="B410">
        <v>5.1E-10</v>
      </c>
    </row>
    <row r="411" spans="1:2">
      <c r="A411" t="s">
        <v>538</v>
      </c>
      <c r="B411">
        <v>2.9E-11</v>
      </c>
    </row>
    <row r="412" spans="1:2">
      <c r="A412" t="s">
        <v>539</v>
      </c>
      <c r="B412">
        <v>1E-10</v>
      </c>
    </row>
    <row r="413" spans="1:2">
      <c r="A413" t="s">
        <v>540</v>
      </c>
      <c r="B413">
        <v>5.4000000000000001E-11</v>
      </c>
    </row>
    <row r="414" spans="1:2">
      <c r="A414" t="s">
        <v>541</v>
      </c>
      <c r="B414">
        <v>4.0000000000000001E-10</v>
      </c>
    </row>
    <row r="415" spans="1:2">
      <c r="A415" t="s">
        <v>542</v>
      </c>
      <c r="B415">
        <v>1.5999999999999999E-10</v>
      </c>
    </row>
    <row r="416" spans="1:2">
      <c r="A416" t="s">
        <v>543</v>
      </c>
      <c r="B416">
        <v>8.7000000000000001E-9</v>
      </c>
    </row>
    <row r="417" spans="1:2">
      <c r="A417" t="s">
        <v>544</v>
      </c>
      <c r="B417">
        <v>1.2999999999999999E-10</v>
      </c>
    </row>
    <row r="418" spans="1:2">
      <c r="A418" t="s">
        <v>545</v>
      </c>
      <c r="B418">
        <v>2.4E-10</v>
      </c>
    </row>
    <row r="419" spans="1:2">
      <c r="A419" t="s">
        <v>546</v>
      </c>
      <c r="B419">
        <v>2.8000000000000002E-10</v>
      </c>
    </row>
    <row r="420" spans="1:2">
      <c r="A420" t="s">
        <v>40</v>
      </c>
      <c r="B420">
        <v>5.6999999999999997E-11</v>
      </c>
    </row>
    <row r="421" spans="1:2">
      <c r="A421" t="s">
        <v>44</v>
      </c>
      <c r="B421">
        <v>6.7999999999999995E-7</v>
      </c>
    </row>
    <row r="422" spans="1:2">
      <c r="A422" t="s">
        <v>48</v>
      </c>
      <c r="B422">
        <v>1.8E-10</v>
      </c>
    </row>
    <row r="423" spans="1:2">
      <c r="A423" t="s">
        <v>51</v>
      </c>
      <c r="B423">
        <v>5.8999999999999999E-9</v>
      </c>
    </row>
    <row r="424" spans="1:2">
      <c r="A424" t="s">
        <v>56</v>
      </c>
      <c r="B424">
        <v>1.4000000000000001E-10</v>
      </c>
    </row>
    <row r="425" spans="1:2">
      <c r="A425" t="s">
        <v>547</v>
      </c>
      <c r="B425">
        <v>9.4000000000000006E-10</v>
      </c>
    </row>
    <row r="426" spans="1:2">
      <c r="A426" t="s">
        <v>548</v>
      </c>
      <c r="B426">
        <v>9.3999999999999999E-11</v>
      </c>
    </row>
    <row r="427" spans="1:2">
      <c r="A427" t="s">
        <v>549</v>
      </c>
      <c r="B427">
        <v>1.8999999999999999E-10</v>
      </c>
    </row>
    <row r="428" spans="1:2">
      <c r="A428" t="s">
        <v>114</v>
      </c>
      <c r="B428">
        <v>3.7000000000000001E-11</v>
      </c>
    </row>
    <row r="429" spans="1:2">
      <c r="A429" t="s">
        <v>550</v>
      </c>
      <c r="B429">
        <v>5.4999999999999996E-10</v>
      </c>
    </row>
    <row r="430" spans="1:2">
      <c r="A430" t="s">
        <v>551</v>
      </c>
      <c r="B430">
        <v>3.5999999999999998E-11</v>
      </c>
    </row>
    <row r="431" spans="1:2">
      <c r="A431" t="s">
        <v>552</v>
      </c>
      <c r="B431">
        <v>2.3000000000000001E-10</v>
      </c>
    </row>
    <row r="432" spans="1:2">
      <c r="A432" t="s">
        <v>553</v>
      </c>
      <c r="B432">
        <v>9.6999999999999996E-10</v>
      </c>
    </row>
    <row r="433" spans="1:2">
      <c r="A433" t="s">
        <v>554</v>
      </c>
      <c r="B433">
        <v>1.0999999999999999E-10</v>
      </c>
    </row>
    <row r="434" spans="1:2">
      <c r="A434" t="s">
        <v>126</v>
      </c>
      <c r="B434">
        <v>8.9999999999999999E-10</v>
      </c>
    </row>
    <row r="435" spans="1:2">
      <c r="A435" t="s">
        <v>127</v>
      </c>
      <c r="B435">
        <v>2.5999999999999998E-10</v>
      </c>
    </row>
    <row r="436" spans="1:2">
      <c r="A436" t="s">
        <v>555</v>
      </c>
      <c r="B436">
        <v>2.7000000000000002E-9</v>
      </c>
    </row>
    <row r="437" spans="1:2">
      <c r="A437" t="s">
        <v>556</v>
      </c>
      <c r="B437">
        <v>1.8E-9</v>
      </c>
    </row>
    <row r="438" spans="1:2">
      <c r="A438" t="s">
        <v>557</v>
      </c>
      <c r="B438">
        <v>9.900000000000001E-10</v>
      </c>
    </row>
    <row r="439" spans="1:2">
      <c r="A439" t="s">
        <v>558</v>
      </c>
      <c r="B439">
        <v>2.5999999999999998E-10</v>
      </c>
    </row>
    <row r="440" spans="1:2">
      <c r="A440" t="s">
        <v>559</v>
      </c>
      <c r="B440">
        <v>7.2999999999999996E-10</v>
      </c>
    </row>
    <row r="441" spans="1:2">
      <c r="A441" t="s">
        <v>560</v>
      </c>
      <c r="B441">
        <v>5.2000000000000001E-11</v>
      </c>
    </row>
    <row r="442" spans="1:2">
      <c r="A442" t="s">
        <v>561</v>
      </c>
      <c r="B442">
        <v>5.9000000000000003E-11</v>
      </c>
    </row>
    <row r="443" spans="1:2">
      <c r="A443" t="s">
        <v>562</v>
      </c>
      <c r="B443">
        <v>1.4000000000000001E-10</v>
      </c>
    </row>
    <row r="444" spans="1:2">
      <c r="A444" t="s">
        <v>42</v>
      </c>
      <c r="B444">
        <v>2.3999999999999998E-7</v>
      </c>
    </row>
    <row r="445" spans="1:2">
      <c r="A445" t="s">
        <v>563</v>
      </c>
      <c r="B445">
        <v>3.3000000000000002E-11</v>
      </c>
    </row>
    <row r="446" spans="1:2">
      <c r="A446" t="s">
        <v>564</v>
      </c>
      <c r="B446">
        <v>3.9999999999999998E-11</v>
      </c>
    </row>
    <row r="447" spans="1:2">
      <c r="A447" t="s">
        <v>565</v>
      </c>
      <c r="B447">
        <v>1.2999999999999999E-10</v>
      </c>
    </row>
    <row r="448" spans="1:2">
      <c r="A448" t="s">
        <v>566</v>
      </c>
      <c r="B448">
        <v>3.1000000000000003E-11</v>
      </c>
    </row>
    <row r="449" spans="1:2">
      <c r="A449" t="s">
        <v>567</v>
      </c>
      <c r="B449">
        <v>1.3000000000000001E-9</v>
      </c>
    </row>
    <row r="450" spans="1:2">
      <c r="A450" t="s">
        <v>568</v>
      </c>
      <c r="B450">
        <v>1.6999999999999999E-11</v>
      </c>
    </row>
    <row r="451" spans="1:2">
      <c r="A451" t="s">
        <v>569</v>
      </c>
      <c r="B451">
        <v>1.2E-9</v>
      </c>
    </row>
    <row r="452" spans="1:2">
      <c r="A452" t="s">
        <v>125</v>
      </c>
      <c r="B452">
        <v>5.0000000000000002E-11</v>
      </c>
    </row>
    <row r="453" spans="1:2">
      <c r="A453" t="s">
        <v>570</v>
      </c>
      <c r="B453">
        <v>3.9E-10</v>
      </c>
    </row>
    <row r="454" spans="1:2">
      <c r="A454" t="s">
        <v>571</v>
      </c>
      <c r="B454">
        <v>3.3000000000000002E-11</v>
      </c>
    </row>
    <row r="455" spans="1:2">
      <c r="A455" t="s">
        <v>572</v>
      </c>
      <c r="B455">
        <v>9.3000000000000002E-11</v>
      </c>
    </row>
    <row r="456" spans="1:2">
      <c r="A456" t="s">
        <v>573</v>
      </c>
      <c r="B456">
        <v>7.5999999999999996E-10</v>
      </c>
    </row>
    <row r="457" spans="1:2">
      <c r="A457" t="s">
        <v>574</v>
      </c>
      <c r="B457">
        <v>1.2E-10</v>
      </c>
    </row>
    <row r="458" spans="1:2">
      <c r="A458" t="s">
        <v>575</v>
      </c>
      <c r="B458">
        <v>3.4000000000000001E-10</v>
      </c>
    </row>
    <row r="459" spans="1:2">
      <c r="A459" t="s">
        <v>576</v>
      </c>
      <c r="B459">
        <v>3.1000000000000003E-11</v>
      </c>
    </row>
    <row r="460" spans="1:2">
      <c r="A460" t="s">
        <v>577</v>
      </c>
      <c r="B460">
        <v>4.5E-10</v>
      </c>
    </row>
    <row r="461" spans="1:2">
      <c r="A461" t="s">
        <v>578</v>
      </c>
      <c r="B461">
        <v>6.3E-10</v>
      </c>
    </row>
    <row r="462" spans="1:2">
      <c r="A462" t="s">
        <v>579</v>
      </c>
      <c r="B462">
        <v>4.0000000000000001E-10</v>
      </c>
    </row>
    <row r="463" spans="1:2">
      <c r="A463" t="s">
        <v>580</v>
      </c>
      <c r="B463">
        <v>8.3999999999999994E-11</v>
      </c>
    </row>
    <row r="464" spans="1:2">
      <c r="A464" t="s">
        <v>581</v>
      </c>
      <c r="B464">
        <v>3.9000000000000001E-11</v>
      </c>
    </row>
    <row r="465" spans="1:2">
      <c r="A465" t="s">
        <v>582</v>
      </c>
      <c r="B465">
        <v>1.2E-9</v>
      </c>
    </row>
    <row r="466" spans="1:2">
      <c r="A466" t="s">
        <v>583</v>
      </c>
      <c r="B466">
        <v>1.5999999999999999E-10</v>
      </c>
    </row>
    <row r="467" spans="1:2">
      <c r="A467" t="s">
        <v>584</v>
      </c>
      <c r="B467">
        <v>2.0999999999999999E-12</v>
      </c>
    </row>
    <row r="468" spans="1:2">
      <c r="A468" t="s">
        <v>132</v>
      </c>
      <c r="B468">
        <v>8.6000000000000002E-8</v>
      </c>
    </row>
    <row r="469" spans="1:2">
      <c r="A469" t="s">
        <v>585</v>
      </c>
      <c r="B469">
        <v>1E-10</v>
      </c>
    </row>
    <row r="470" spans="1:2">
      <c r="A470" t="s">
        <v>97</v>
      </c>
      <c r="B470">
        <v>2.2999999999999999E-7</v>
      </c>
    </row>
    <row r="471" spans="1:2">
      <c r="A471" t="s">
        <v>99</v>
      </c>
      <c r="B471">
        <v>2.4999999999999999E-7</v>
      </c>
    </row>
    <row r="472" spans="1:2">
      <c r="A472" t="s">
        <v>101</v>
      </c>
      <c r="B472">
        <v>2.4999999999999999E-7</v>
      </c>
    </row>
    <row r="473" spans="1:2">
      <c r="A473" t="s">
        <v>103</v>
      </c>
      <c r="B473">
        <v>4.6999999999999999E-9</v>
      </c>
    </row>
    <row r="474" spans="1:2">
      <c r="A474" t="s">
        <v>133</v>
      </c>
      <c r="B474">
        <v>2.3999999999999998E-7</v>
      </c>
    </row>
    <row r="475" spans="1:2">
      <c r="A475" t="s">
        <v>586</v>
      </c>
      <c r="B475">
        <v>8.5000000000000004E-11</v>
      </c>
    </row>
    <row r="476" spans="1:2">
      <c r="A476" t="s">
        <v>587</v>
      </c>
      <c r="B476">
        <v>2.3999999999999998E-7</v>
      </c>
    </row>
    <row r="477" spans="1:2">
      <c r="A477" t="s">
        <v>588</v>
      </c>
      <c r="B477">
        <v>7.2E-10</v>
      </c>
    </row>
    <row r="478" spans="1:2">
      <c r="A478" t="s">
        <v>589</v>
      </c>
      <c r="B478">
        <v>3.3000000000000002E-9</v>
      </c>
    </row>
    <row r="479" spans="1:2">
      <c r="A479" t="s">
        <v>71</v>
      </c>
      <c r="B479">
        <v>9.9999999999999995E-8</v>
      </c>
    </row>
    <row r="480" spans="1:2">
      <c r="A480" t="s">
        <v>73</v>
      </c>
      <c r="B480">
        <v>6.5E-8</v>
      </c>
    </row>
    <row r="481" spans="1:2">
      <c r="A481" t="s">
        <v>75</v>
      </c>
      <c r="B481">
        <v>9.5000000000000004E-8</v>
      </c>
    </row>
    <row r="482" spans="1:2">
      <c r="A482" t="s">
        <v>76</v>
      </c>
      <c r="B482">
        <v>2.8000000000000002E-7</v>
      </c>
    </row>
    <row r="483" spans="1:2">
      <c r="A483" t="s">
        <v>590</v>
      </c>
      <c r="B483">
        <v>8.3999999999999994E-11</v>
      </c>
    </row>
    <row r="484" spans="1:2">
      <c r="A484" t="s">
        <v>81</v>
      </c>
      <c r="B484">
        <v>6.7000000000000004E-7</v>
      </c>
    </row>
    <row r="485" spans="1:2">
      <c r="A485" t="s">
        <v>591</v>
      </c>
      <c r="B485">
        <v>5.0000000000000002E-11</v>
      </c>
    </row>
    <row r="486" spans="1:2">
      <c r="A486" t="s">
        <v>592</v>
      </c>
      <c r="B486">
        <v>5.4000000000000001E-11</v>
      </c>
    </row>
    <row r="487" spans="1:2">
      <c r="A487" t="s">
        <v>593</v>
      </c>
      <c r="B487">
        <v>9.6999999999999995E-12</v>
      </c>
    </row>
    <row r="488" spans="1:2">
      <c r="A488" t="s">
        <v>594</v>
      </c>
      <c r="B488">
        <v>1.2999999999999999E-10</v>
      </c>
    </row>
    <row r="489" spans="1:2">
      <c r="A489" t="s">
        <v>595</v>
      </c>
      <c r="B489">
        <v>1.9000000000000001E-9</v>
      </c>
    </row>
    <row r="490" spans="1:2">
      <c r="A490" t="s">
        <v>596</v>
      </c>
      <c r="B490">
        <v>2.7999999999999998E-9</v>
      </c>
    </row>
    <row r="491" spans="1:2">
      <c r="A491" t="s">
        <v>19</v>
      </c>
      <c r="B491">
        <v>2.7999999999999998E-9</v>
      </c>
    </row>
    <row r="492" spans="1:2">
      <c r="A492" t="s">
        <v>597</v>
      </c>
      <c r="B492">
        <v>1.5E-9</v>
      </c>
    </row>
    <row r="493" spans="1:2">
      <c r="A493" t="s">
        <v>598</v>
      </c>
      <c r="B493">
        <v>8.9999999999999999E-11</v>
      </c>
    </row>
    <row r="494" spans="1:2">
      <c r="A494" t="s">
        <v>599</v>
      </c>
      <c r="B494">
        <v>4.6999999999999999E-11</v>
      </c>
    </row>
    <row r="495" spans="1:2">
      <c r="A495" t="s">
        <v>600</v>
      </c>
      <c r="B495">
        <v>2.2000000000000002E-11</v>
      </c>
    </row>
    <row r="496" spans="1:2">
      <c r="A496" t="s">
        <v>601</v>
      </c>
      <c r="B496">
        <v>2.5000000000000001E-11</v>
      </c>
    </row>
    <row r="497" spans="1:2">
      <c r="A497" t="s">
        <v>602</v>
      </c>
      <c r="B497">
        <v>4.2E-10</v>
      </c>
    </row>
    <row r="498" spans="1:2">
      <c r="A498" t="s">
        <v>603</v>
      </c>
      <c r="B498">
        <v>1.3999999999999999E-9</v>
      </c>
    </row>
    <row r="499" spans="1:2">
      <c r="A499" t="s">
        <v>604</v>
      </c>
      <c r="B499">
        <v>2.7E-10</v>
      </c>
    </row>
    <row r="500" spans="1:2">
      <c r="A500" t="s">
        <v>605</v>
      </c>
      <c r="B500">
        <v>1.0000000000000001E-9</v>
      </c>
    </row>
    <row r="501" spans="1:2">
      <c r="A501" t="s">
        <v>606</v>
      </c>
      <c r="B501">
        <v>1.5E-9</v>
      </c>
    </row>
    <row r="502" spans="1:2">
      <c r="A502" t="s">
        <v>607</v>
      </c>
      <c r="B502">
        <v>1.5E-9</v>
      </c>
    </row>
    <row r="503" spans="1:2">
      <c r="A503" t="s">
        <v>608</v>
      </c>
      <c r="B503">
        <v>2.1999999999999998E-9</v>
      </c>
    </row>
    <row r="504" spans="1:2">
      <c r="A504" t="s">
        <v>609</v>
      </c>
      <c r="B504">
        <v>5.0999999999999997E-12</v>
      </c>
    </row>
    <row r="505" spans="1:2">
      <c r="A505" t="s">
        <v>610</v>
      </c>
      <c r="B505">
        <v>1.3999999999999999E-9</v>
      </c>
    </row>
    <row r="506" spans="1:2">
      <c r="A506" t="s">
        <v>611</v>
      </c>
      <c r="B506">
        <v>3E-11</v>
      </c>
    </row>
    <row r="507" spans="1:2">
      <c r="A507" t="s">
        <v>612</v>
      </c>
      <c r="B507">
        <v>7.7999999999999999E-10</v>
      </c>
    </row>
    <row r="508" spans="1:2">
      <c r="A508" t="s">
        <v>613</v>
      </c>
      <c r="B508">
        <v>7.1000000000000003E-10</v>
      </c>
    </row>
    <row r="509" spans="1:2">
      <c r="A509" t="s">
        <v>614</v>
      </c>
      <c r="B509">
        <v>5.4999999999999996E-10</v>
      </c>
    </row>
    <row r="510" spans="1:2">
      <c r="A510" t="s">
        <v>615</v>
      </c>
      <c r="B510">
        <v>2.1999999999999999E-10</v>
      </c>
    </row>
    <row r="511" spans="1:2">
      <c r="A511" t="s">
        <v>616</v>
      </c>
      <c r="B511">
        <v>1.2E-9</v>
      </c>
    </row>
    <row r="512" spans="1:2">
      <c r="A512" t="s">
        <v>617</v>
      </c>
      <c r="B512">
        <v>2.6000000000000001E-9</v>
      </c>
    </row>
    <row r="513" spans="1:2">
      <c r="A513" t="s">
        <v>618</v>
      </c>
      <c r="B513">
        <v>3.8E-12</v>
      </c>
    </row>
    <row r="514" spans="1:2">
      <c r="A514" t="s">
        <v>619</v>
      </c>
      <c r="B514">
        <v>3.7000000000000001E-10</v>
      </c>
    </row>
    <row r="515" spans="1:2">
      <c r="A515" t="s">
        <v>620</v>
      </c>
      <c r="B515">
        <v>1.5999999999999999E-10</v>
      </c>
    </row>
    <row r="516" spans="1:2">
      <c r="A516" t="s">
        <v>621</v>
      </c>
      <c r="B516">
        <v>2.4000000000000001E-11</v>
      </c>
    </row>
    <row r="517" spans="1:2">
      <c r="A517" t="s">
        <v>24</v>
      </c>
      <c r="B517">
        <v>5.1E-10</v>
      </c>
    </row>
    <row r="518" spans="1:2">
      <c r="A518" t="s">
        <v>622</v>
      </c>
      <c r="B518">
        <v>6.6000000000000005E-11</v>
      </c>
    </row>
    <row r="519" spans="1:2">
      <c r="A519" t="s">
        <v>623</v>
      </c>
      <c r="B519">
        <v>7.2999999999999996E-10</v>
      </c>
    </row>
    <row r="520" spans="1:2">
      <c r="A520" t="s">
        <v>624</v>
      </c>
      <c r="B520">
        <v>2.5999999999999998E-10</v>
      </c>
    </row>
    <row r="521" spans="1:2">
      <c r="A521" t="s">
        <v>112</v>
      </c>
      <c r="B521">
        <v>6.9999999999999998E-9</v>
      </c>
    </row>
    <row r="522" spans="1:2">
      <c r="A522" t="s">
        <v>625</v>
      </c>
      <c r="B522">
        <v>9.3999999999999999E-11</v>
      </c>
    </row>
    <row r="523" spans="1:2">
      <c r="A523" t="s">
        <v>626</v>
      </c>
      <c r="B523">
        <v>1.5E-10</v>
      </c>
    </row>
    <row r="524" spans="1:2">
      <c r="A524" t="s">
        <v>6</v>
      </c>
      <c r="B524">
        <v>7.7000000000000003E-10</v>
      </c>
    </row>
    <row r="525" spans="1:2">
      <c r="A525" t="s">
        <v>627</v>
      </c>
      <c r="B525">
        <v>2.4000000000000001E-11</v>
      </c>
    </row>
    <row r="526" spans="1:2">
      <c r="A526" t="s">
        <v>628</v>
      </c>
      <c r="B526">
        <v>2.6000000000000001E-11</v>
      </c>
    </row>
    <row r="527" spans="1:2">
      <c r="A527" t="s">
        <v>629</v>
      </c>
      <c r="B527">
        <v>6.7000000000000001E-11</v>
      </c>
    </row>
    <row r="528" spans="1:2">
      <c r="A528" t="s">
        <v>630</v>
      </c>
      <c r="B528">
        <v>1.7999999999999999E-11</v>
      </c>
    </row>
    <row r="529" spans="1:2">
      <c r="A529" t="s">
        <v>631</v>
      </c>
      <c r="B529">
        <v>2.1E-10</v>
      </c>
    </row>
    <row r="530" spans="1:2">
      <c r="A530" t="s">
        <v>632</v>
      </c>
      <c r="B530">
        <v>8.1000000000000005E-11</v>
      </c>
    </row>
    <row r="531" spans="1:2">
      <c r="A531" t="s">
        <v>633</v>
      </c>
      <c r="B531">
        <v>1.4E-11</v>
      </c>
    </row>
    <row r="532" spans="1:2">
      <c r="A532" t="s">
        <v>634</v>
      </c>
      <c r="B532">
        <v>1.2E-9</v>
      </c>
    </row>
    <row r="533" spans="1:2">
      <c r="A533" t="s">
        <v>635</v>
      </c>
      <c r="B533">
        <v>1.6999999999999999E-9</v>
      </c>
    </row>
    <row r="534" spans="1:2">
      <c r="A534" t="s">
        <v>636</v>
      </c>
      <c r="B534">
        <v>2.5000000000000001E-9</v>
      </c>
    </row>
    <row r="535" spans="1:2">
      <c r="A535" t="s">
        <v>637</v>
      </c>
      <c r="B535">
        <v>7.9999999999999998E-12</v>
      </c>
    </row>
    <row r="536" spans="1:2">
      <c r="A536" t="s">
        <v>117</v>
      </c>
      <c r="B536">
        <v>1.0999999999999999E-9</v>
      </c>
    </row>
    <row r="537" spans="1:2">
      <c r="A537" t="s">
        <v>121</v>
      </c>
      <c r="B537">
        <v>2.4E-9</v>
      </c>
    </row>
    <row r="538" spans="1:2">
      <c r="A538" t="s">
        <v>120</v>
      </c>
      <c r="B538">
        <v>3.5999999999999998E-11</v>
      </c>
    </row>
    <row r="539" spans="1:2">
      <c r="A539" t="s">
        <v>638</v>
      </c>
      <c r="B539">
        <v>1.6999999999999999E-9</v>
      </c>
    </row>
    <row r="540" spans="1:2">
      <c r="A540" t="s">
        <v>639</v>
      </c>
      <c r="B540">
        <v>7.5999999999999996E-10</v>
      </c>
    </row>
    <row r="541" spans="1:2">
      <c r="A541" t="s">
        <v>640</v>
      </c>
      <c r="B541">
        <v>3.3000000000000002E-11</v>
      </c>
    </row>
    <row r="542" spans="1:2">
      <c r="A542" t="s">
        <v>641</v>
      </c>
      <c r="B542">
        <v>4.2E-10</v>
      </c>
    </row>
    <row r="543" spans="1:2">
      <c r="A543" t="s">
        <v>642</v>
      </c>
      <c r="B543">
        <v>9.0999999999999996E-11</v>
      </c>
    </row>
    <row r="544" spans="1:2">
      <c r="A544" t="s">
        <v>643</v>
      </c>
      <c r="B544">
        <v>1E-10</v>
      </c>
    </row>
    <row r="545" spans="1:2">
      <c r="A545" t="s">
        <v>644</v>
      </c>
      <c r="B545">
        <v>1.8999999999999999E-10</v>
      </c>
    </row>
    <row r="546" spans="1:2">
      <c r="A546" t="s">
        <v>645</v>
      </c>
      <c r="B546">
        <v>3.4999999999999998E-10</v>
      </c>
    </row>
    <row r="547" spans="1:2">
      <c r="A547" t="s">
        <v>646</v>
      </c>
      <c r="B547">
        <v>2.4E-9</v>
      </c>
    </row>
    <row r="548" spans="1:2">
      <c r="A548" t="s">
        <v>647</v>
      </c>
      <c r="B548">
        <v>1.5E-9</v>
      </c>
    </row>
    <row r="549" spans="1:2">
      <c r="A549" t="s">
        <v>648</v>
      </c>
      <c r="B549">
        <v>5.4E-10</v>
      </c>
    </row>
    <row r="550" spans="1:2">
      <c r="A550" t="s">
        <v>649</v>
      </c>
      <c r="B550">
        <v>1.6999999999999999E-9</v>
      </c>
    </row>
    <row r="551" spans="1:2">
      <c r="A551" t="s">
        <v>650</v>
      </c>
      <c r="B551">
        <v>8.2000000000000001E-11</v>
      </c>
    </row>
    <row r="552" spans="1:2">
      <c r="A552" t="s">
        <v>651</v>
      </c>
      <c r="B552">
        <v>1.4000000000000001E-10</v>
      </c>
    </row>
    <row r="553" spans="1:2">
      <c r="A553" t="s">
        <v>652</v>
      </c>
      <c r="B553">
        <v>3.9E-10</v>
      </c>
    </row>
    <row r="554" spans="1:2">
      <c r="A554" t="s">
        <v>653</v>
      </c>
      <c r="B554">
        <v>4.1000000000000001E-11</v>
      </c>
    </row>
    <row r="555" spans="1:2">
      <c r="A555" t="s">
        <v>654</v>
      </c>
      <c r="B555">
        <v>2.6000000000000001E-9</v>
      </c>
    </row>
    <row r="556" spans="1:2">
      <c r="A556" t="s">
        <v>109</v>
      </c>
      <c r="B556">
        <v>2.8999999999999999E-9</v>
      </c>
    </row>
    <row r="557" spans="1:2">
      <c r="A557" t="s">
        <v>655</v>
      </c>
      <c r="B557">
        <v>2.7E-11</v>
      </c>
    </row>
    <row r="558" spans="1:2">
      <c r="A558" t="s">
        <v>656</v>
      </c>
      <c r="B558">
        <v>5.9000000000000003E-11</v>
      </c>
    </row>
    <row r="559" spans="1:2">
      <c r="A559" t="s">
        <v>657</v>
      </c>
      <c r="B559">
        <v>5.0999999999999998E-11</v>
      </c>
    </row>
    <row r="560" spans="1:2">
      <c r="A560" t="s">
        <v>658</v>
      </c>
      <c r="B560">
        <v>1.5999999999999999E-10</v>
      </c>
    </row>
    <row r="561" spans="1:2">
      <c r="A561" t="s">
        <v>659</v>
      </c>
      <c r="B561">
        <v>5.6000000000000003E-10</v>
      </c>
    </row>
    <row r="562" spans="1:2">
      <c r="A562" t="s">
        <v>660</v>
      </c>
      <c r="B562">
        <v>3.9000000000000001E-11</v>
      </c>
    </row>
    <row r="563" spans="1:2">
      <c r="A563" t="s">
        <v>661</v>
      </c>
      <c r="B563">
        <v>6.4999999999999995E-11</v>
      </c>
    </row>
    <row r="564" spans="1:2">
      <c r="A564" t="s">
        <v>662</v>
      </c>
      <c r="B564">
        <v>1.8999999999999999E-10</v>
      </c>
    </row>
    <row r="565" spans="1:2">
      <c r="A565" t="s">
        <v>663</v>
      </c>
      <c r="B565">
        <v>2.1E-10</v>
      </c>
    </row>
    <row r="566" spans="1:2">
      <c r="A566" t="s">
        <v>147</v>
      </c>
      <c r="B566">
        <v>5.4E-8</v>
      </c>
    </row>
    <row r="567" spans="1:2">
      <c r="A567" t="s">
        <v>148</v>
      </c>
      <c r="B567">
        <v>4.9000000000000002E-8</v>
      </c>
    </row>
    <row r="568" spans="1:2">
      <c r="A568" t="s">
        <v>128</v>
      </c>
      <c r="B568">
        <v>9.7999999999999998E-11</v>
      </c>
    </row>
    <row r="569" spans="1:2">
      <c r="A569" t="s">
        <v>664</v>
      </c>
      <c r="B569">
        <v>7.4000000000000003E-10</v>
      </c>
    </row>
    <row r="570" spans="1:2">
      <c r="A570" t="s">
        <v>665</v>
      </c>
      <c r="B570">
        <v>2.9E-11</v>
      </c>
    </row>
    <row r="571" spans="1:2">
      <c r="A571" t="s">
        <v>666</v>
      </c>
      <c r="B571">
        <v>2.5000000000000002E-10</v>
      </c>
    </row>
    <row r="572" spans="1:2">
      <c r="A572" t="s">
        <v>667</v>
      </c>
      <c r="B572">
        <v>3.4999999999999998E-10</v>
      </c>
    </row>
    <row r="573" spans="1:2">
      <c r="A573" t="s">
        <v>668</v>
      </c>
      <c r="B573">
        <v>2.3000000000000001E-11</v>
      </c>
    </row>
    <row r="574" spans="1:2">
      <c r="A574" t="s">
        <v>669</v>
      </c>
      <c r="B574">
        <v>7.2999999999999996E-10</v>
      </c>
    </row>
    <row r="575" spans="1:2">
      <c r="A575" t="s">
        <v>670</v>
      </c>
      <c r="B575">
        <v>7.1000000000000003E-10</v>
      </c>
    </row>
    <row r="576" spans="1:2">
      <c r="A576" t="s">
        <v>671</v>
      </c>
      <c r="B576">
        <v>3.4000000000000001E-10</v>
      </c>
    </row>
    <row r="577" spans="1:2">
      <c r="A577" t="s">
        <v>146</v>
      </c>
      <c r="B577">
        <v>2.3000000000000001E-10</v>
      </c>
    </row>
    <row r="578" spans="1:2">
      <c r="A578" t="s">
        <v>116</v>
      </c>
      <c r="B578">
        <v>3.7999999999999998E-10</v>
      </c>
    </row>
    <row r="579" spans="1:2">
      <c r="A579" t="s">
        <v>672</v>
      </c>
      <c r="B579">
        <v>2.1000000000000002E-9</v>
      </c>
    </row>
    <row r="580" spans="1:2">
      <c r="A580" t="s">
        <v>673</v>
      </c>
      <c r="B580">
        <v>3.7999999999999998E-11</v>
      </c>
    </row>
    <row r="581" spans="1:2">
      <c r="A581" t="s">
        <v>674</v>
      </c>
      <c r="B581">
        <v>3.1E-9</v>
      </c>
    </row>
    <row r="582" spans="1:2">
      <c r="A582" t="s">
        <v>119</v>
      </c>
      <c r="B582">
        <v>4.6999999999999999E-9</v>
      </c>
    </row>
    <row r="583" spans="1:2">
      <c r="A583" t="s">
        <v>675</v>
      </c>
      <c r="B583">
        <v>2.0000000000000001E-10</v>
      </c>
    </row>
    <row r="584" spans="1:2">
      <c r="A584" t="s">
        <v>676</v>
      </c>
      <c r="B584">
        <v>1.5E-10</v>
      </c>
    </row>
    <row r="585" spans="1:2">
      <c r="A585" t="s">
        <v>677</v>
      </c>
      <c r="B585">
        <v>3.4999999999999998E-10</v>
      </c>
    </row>
    <row r="586" spans="1:2">
      <c r="A586" t="s">
        <v>678</v>
      </c>
      <c r="B586">
        <v>7.8000000000000002E-11</v>
      </c>
    </row>
    <row r="587" spans="1:2">
      <c r="A587" t="s">
        <v>679</v>
      </c>
      <c r="B587">
        <v>6.1E-9</v>
      </c>
    </row>
    <row r="588" spans="1:2">
      <c r="A588" t="s">
        <v>680</v>
      </c>
      <c r="B588">
        <v>5.7999999999999996E-10</v>
      </c>
    </row>
    <row r="589" spans="1:2">
      <c r="A589" t="s">
        <v>681</v>
      </c>
      <c r="B589">
        <v>5.6000000000000003E-10</v>
      </c>
    </row>
    <row r="590" spans="1:2">
      <c r="A590" t="s">
        <v>682</v>
      </c>
      <c r="B590">
        <v>6.1000000000000003E-12</v>
      </c>
    </row>
    <row r="591" spans="1:2">
      <c r="A591" t="s">
        <v>683</v>
      </c>
      <c r="B591">
        <v>3.3000000000000002E-11</v>
      </c>
    </row>
    <row r="592" spans="1:2">
      <c r="A592" t="s">
        <v>684</v>
      </c>
      <c r="B592">
        <v>2.6000000000000001E-9</v>
      </c>
    </row>
    <row r="593" spans="1:2">
      <c r="A593" t="s">
        <v>21</v>
      </c>
      <c r="B593">
        <v>2.7999999999999999E-8</v>
      </c>
    </row>
    <row r="594" spans="1:2">
      <c r="A594" t="s">
        <v>685</v>
      </c>
      <c r="B594">
        <v>7.5999999999999996E-10</v>
      </c>
    </row>
    <row r="595" spans="1:2">
      <c r="A595" t="s">
        <v>686</v>
      </c>
      <c r="B595">
        <v>4.8999999999999996E-10</v>
      </c>
    </row>
    <row r="596" spans="1:2">
      <c r="A596" t="s">
        <v>687</v>
      </c>
      <c r="B596">
        <v>5.2999999999999998E-11</v>
      </c>
    </row>
    <row r="597" spans="1:2">
      <c r="A597" t="s">
        <v>688</v>
      </c>
      <c r="B597">
        <v>1.8999999999999999E-10</v>
      </c>
    </row>
    <row r="598" spans="1:2">
      <c r="A598" t="s">
        <v>689</v>
      </c>
      <c r="B598">
        <v>5.6999999999999997E-11</v>
      </c>
    </row>
    <row r="599" spans="1:2">
      <c r="A599" t="s">
        <v>690</v>
      </c>
      <c r="B599">
        <v>2.1E-10</v>
      </c>
    </row>
    <row r="600" spans="1:2">
      <c r="A600" t="s">
        <v>691</v>
      </c>
      <c r="B600">
        <v>3.1000000000000002E-10</v>
      </c>
    </row>
    <row r="601" spans="1:2">
      <c r="A601" t="s">
        <v>692</v>
      </c>
      <c r="B601">
        <v>1.0999999999999999E-10</v>
      </c>
    </row>
    <row r="602" spans="1:2">
      <c r="A602" t="s">
        <v>693</v>
      </c>
      <c r="B602">
        <v>7.8000000000000002E-11</v>
      </c>
    </row>
    <row r="603" spans="1:2">
      <c r="A603" t="s">
        <v>694</v>
      </c>
      <c r="B603">
        <v>6.4999999999999995E-11</v>
      </c>
    </row>
    <row r="604" spans="1:2">
      <c r="A604" t="s">
        <v>695</v>
      </c>
      <c r="B604">
        <v>5.4000000000000001E-11</v>
      </c>
    </row>
    <row r="605" spans="1:2">
      <c r="A605" t="s">
        <v>696</v>
      </c>
      <c r="B605">
        <v>1.5E-9</v>
      </c>
    </row>
    <row r="606" spans="1:2">
      <c r="A606" t="s">
        <v>697</v>
      </c>
      <c r="B606">
        <v>1.3000000000000001E-9</v>
      </c>
    </row>
    <row r="607" spans="1:2">
      <c r="A607" t="s">
        <v>698</v>
      </c>
      <c r="B607">
        <v>6.8000000000000003E-10</v>
      </c>
    </row>
    <row r="608" spans="1:2">
      <c r="A608" t="s">
        <v>699</v>
      </c>
      <c r="B608">
        <v>6.7999999999999998E-11</v>
      </c>
    </row>
    <row r="609" spans="1:2">
      <c r="A609" t="s">
        <v>700</v>
      </c>
      <c r="B609">
        <v>3.3000000000000002E-11</v>
      </c>
    </row>
    <row r="610" spans="1:2">
      <c r="A610" t="s">
        <v>701</v>
      </c>
      <c r="B610">
        <v>1.5999999999999999E-10</v>
      </c>
    </row>
    <row r="611" spans="1:2">
      <c r="A611" t="s">
        <v>702</v>
      </c>
      <c r="B611">
        <v>2.5000000000000002E-10</v>
      </c>
    </row>
    <row r="612" spans="1:2">
      <c r="A612" t="s">
        <v>703</v>
      </c>
      <c r="B612">
        <v>2.5000000000000002E-10</v>
      </c>
    </row>
    <row r="613" spans="1:2">
      <c r="A613" t="s">
        <v>704</v>
      </c>
      <c r="B613">
        <v>3.4000000000000001E-10</v>
      </c>
    </row>
    <row r="614" spans="1:2">
      <c r="A614" t="s">
        <v>705</v>
      </c>
      <c r="B614">
        <v>2.5000000000000002E-10</v>
      </c>
    </row>
    <row r="615" spans="1:2">
      <c r="A615" t="s">
        <v>706</v>
      </c>
      <c r="B615">
        <v>6.5000000000000003E-10</v>
      </c>
    </row>
    <row r="616" spans="1:2">
      <c r="A616" t="s">
        <v>707</v>
      </c>
      <c r="B616">
        <v>2.1E-10</v>
      </c>
    </row>
    <row r="617" spans="1:2">
      <c r="A617" t="s">
        <v>708</v>
      </c>
      <c r="B617">
        <v>1.2E-9</v>
      </c>
    </row>
    <row r="618" spans="1:2">
      <c r="A618" t="s">
        <v>709</v>
      </c>
      <c r="B618">
        <v>1.7000000000000001E-10</v>
      </c>
    </row>
    <row r="619" spans="1:2">
      <c r="A619" t="s">
        <v>710</v>
      </c>
      <c r="B619">
        <v>8.1000000000000005E-11</v>
      </c>
    </row>
    <row r="620" spans="1:2">
      <c r="A620" t="s">
        <v>711</v>
      </c>
      <c r="B620">
        <v>3.3999999999999999E-11</v>
      </c>
    </row>
    <row r="621" spans="1:2">
      <c r="A621" t="s">
        <v>712</v>
      </c>
      <c r="B621">
        <v>1.0999999999999999E-9</v>
      </c>
    </row>
    <row r="622" spans="1:2">
      <c r="A622" t="s">
        <v>713</v>
      </c>
      <c r="B622">
        <v>1.6000000000000001E-9</v>
      </c>
    </row>
    <row r="623" spans="1:2">
      <c r="A623" t="s">
        <v>714</v>
      </c>
      <c r="B623">
        <v>7.2E-10</v>
      </c>
    </row>
    <row r="624" spans="1:2">
      <c r="A624" t="s">
        <v>715</v>
      </c>
      <c r="B624">
        <v>1.8999999999999999E-11</v>
      </c>
    </row>
    <row r="625" spans="1:2">
      <c r="A625" t="s">
        <v>716</v>
      </c>
      <c r="B625">
        <v>8.1000000000000005E-11</v>
      </c>
    </row>
    <row r="626" spans="1:2">
      <c r="A626" t="s">
        <v>717</v>
      </c>
      <c r="B626">
        <v>4.8999999999999999E-11</v>
      </c>
    </row>
    <row r="627" spans="1:2">
      <c r="A627" t="s">
        <v>718</v>
      </c>
      <c r="B627">
        <v>2.4000000000000001E-11</v>
      </c>
    </row>
    <row r="628" spans="1:2">
      <c r="A628" t="s">
        <v>719</v>
      </c>
      <c r="B628">
        <v>1.8E-10</v>
      </c>
    </row>
    <row r="629" spans="1:2">
      <c r="A629" t="s">
        <v>720</v>
      </c>
      <c r="B629">
        <v>1.0999999999999999E-10</v>
      </c>
    </row>
    <row r="630" spans="1:2">
      <c r="A630" t="s">
        <v>721</v>
      </c>
      <c r="B630">
        <v>1.5999999999999999E-10</v>
      </c>
    </row>
    <row r="631" spans="1:2">
      <c r="A631" t="s">
        <v>722</v>
      </c>
      <c r="B631">
        <v>6.2000000000000003E-10</v>
      </c>
    </row>
    <row r="632" spans="1:2">
      <c r="A632" t="s">
        <v>723</v>
      </c>
      <c r="B632">
        <v>1.0999999999999999E-9</v>
      </c>
    </row>
    <row r="633" spans="1:2">
      <c r="A633" t="s">
        <v>724</v>
      </c>
      <c r="B633">
        <v>1.3E-11</v>
      </c>
    </row>
    <row r="634" spans="1:2">
      <c r="A634" t="s">
        <v>725</v>
      </c>
      <c r="B634">
        <v>8.2999999999999998E-11</v>
      </c>
    </row>
    <row r="635" spans="1:2">
      <c r="A635" t="s">
        <v>726</v>
      </c>
      <c r="B635">
        <v>6.6E-10</v>
      </c>
    </row>
    <row r="636" spans="1:2">
      <c r="A636" t="s">
        <v>727</v>
      </c>
      <c r="B636">
        <v>2.2999999999999999E-9</v>
      </c>
    </row>
    <row r="637" spans="1:2">
      <c r="A637" t="s">
        <v>22</v>
      </c>
      <c r="B637">
        <v>7.7999999999999999E-10</v>
      </c>
    </row>
    <row r="638" spans="1:2">
      <c r="A638" t="s">
        <v>23</v>
      </c>
      <c r="B638">
        <v>2.2000000000000002E-11</v>
      </c>
    </row>
    <row r="639" spans="1:2">
      <c r="A639" t="s">
        <v>728</v>
      </c>
      <c r="B639">
        <v>1.7000000000000001E-10</v>
      </c>
    </row>
    <row r="640" spans="1:2">
      <c r="A640" t="s">
        <v>729</v>
      </c>
      <c r="B640">
        <v>4.3000000000000001E-10</v>
      </c>
    </row>
    <row r="641" spans="1:2">
      <c r="A641" t="s">
        <v>730</v>
      </c>
      <c r="B641">
        <v>2.2999999999999999E-9</v>
      </c>
    </row>
    <row r="642" spans="1:2">
      <c r="A642" t="s">
        <v>731</v>
      </c>
      <c r="B642">
        <v>4.3999999999999997E-9</v>
      </c>
    </row>
    <row r="643" spans="1:2">
      <c r="A643" t="s">
        <v>732</v>
      </c>
      <c r="B643">
        <v>1.3999999999999999E-9</v>
      </c>
    </row>
    <row r="644" spans="1:2">
      <c r="A644" t="s">
        <v>118</v>
      </c>
      <c r="B644">
        <v>8.6999999999999999E-10</v>
      </c>
    </row>
    <row r="645" spans="1:2">
      <c r="A645" t="s">
        <v>733</v>
      </c>
      <c r="B645">
        <v>1.7000000000000001E-10</v>
      </c>
    </row>
    <row r="646" spans="1:2">
      <c r="A646" t="s">
        <v>734</v>
      </c>
      <c r="B646">
        <v>2.2999999999999999E-9</v>
      </c>
    </row>
    <row r="647" spans="1:2">
      <c r="A647" t="s">
        <v>735</v>
      </c>
      <c r="B647">
        <v>6.3000000000000002E-11</v>
      </c>
    </row>
    <row r="648" spans="1:2">
      <c r="A648" t="s">
        <v>736</v>
      </c>
      <c r="B648">
        <v>3E-9</v>
      </c>
    </row>
    <row r="649" spans="1:2">
      <c r="A649" t="s">
        <v>737</v>
      </c>
      <c r="B649">
        <v>8.6999999999999997E-11</v>
      </c>
    </row>
    <row r="650" spans="1:2">
      <c r="A650" t="s">
        <v>738</v>
      </c>
      <c r="B650">
        <v>1.9000000000000001E-9</v>
      </c>
    </row>
    <row r="651" spans="1:2">
      <c r="A651" t="s">
        <v>739</v>
      </c>
      <c r="B651">
        <v>3.7E-9</v>
      </c>
    </row>
    <row r="652" spans="1:2">
      <c r="A652" t="s">
        <v>740</v>
      </c>
      <c r="B652">
        <v>7.1999999999999997E-11</v>
      </c>
    </row>
    <row r="653" spans="1:2">
      <c r="A653" t="s">
        <v>741</v>
      </c>
      <c r="B653">
        <v>2.8000000000000002E-10</v>
      </c>
    </row>
    <row r="654" spans="1:2">
      <c r="A654" t="s">
        <v>742</v>
      </c>
      <c r="B654">
        <v>1.0999999999999999E-10</v>
      </c>
    </row>
    <row r="655" spans="1:2">
      <c r="A655" t="s">
        <v>743</v>
      </c>
      <c r="B655">
        <v>3.6E-10</v>
      </c>
    </row>
    <row r="656" spans="1:2">
      <c r="A656" t="s">
        <v>77</v>
      </c>
      <c r="B656">
        <v>8.9000000000000003E-9</v>
      </c>
    </row>
    <row r="657" spans="1:2">
      <c r="A657" t="s">
        <v>79</v>
      </c>
      <c r="B657">
        <v>7.1999999999999996E-8</v>
      </c>
    </row>
    <row r="658" spans="1:2">
      <c r="A658" t="s">
        <v>82</v>
      </c>
      <c r="B658">
        <v>4.7999999999999996E-7</v>
      </c>
    </row>
    <row r="659" spans="1:2">
      <c r="A659" t="s">
        <v>83</v>
      </c>
      <c r="B659">
        <v>2.1E-7</v>
      </c>
    </row>
    <row r="660" spans="1:2">
      <c r="A660" t="s">
        <v>85</v>
      </c>
      <c r="B660">
        <v>3.4000000000000001E-10</v>
      </c>
    </row>
    <row r="661" spans="1:2">
      <c r="A661" t="s">
        <v>86</v>
      </c>
      <c r="B661">
        <v>2.2000000000000001E-7</v>
      </c>
    </row>
    <row r="662" spans="1:2">
      <c r="A662" t="s">
        <v>92</v>
      </c>
      <c r="B662">
        <v>3.3999999999999998E-9</v>
      </c>
    </row>
    <row r="663" spans="1:2">
      <c r="A663" t="s">
        <v>744</v>
      </c>
      <c r="B663">
        <v>5.7999999999999998E-9</v>
      </c>
    </row>
    <row r="664" spans="1:2">
      <c r="A664" t="s">
        <v>745</v>
      </c>
      <c r="B664">
        <v>1.5E-10</v>
      </c>
    </row>
    <row r="665" spans="1:2">
      <c r="A665" t="s">
        <v>746</v>
      </c>
      <c r="B665">
        <v>8.0999999999999998E-12</v>
      </c>
    </row>
    <row r="666" spans="1:2">
      <c r="A666" t="s">
        <v>747</v>
      </c>
      <c r="B666">
        <v>3.9999999999999998E-11</v>
      </c>
    </row>
    <row r="667" spans="1:2">
      <c r="A667" t="s">
        <v>748</v>
      </c>
      <c r="B667">
        <v>2.7E-11</v>
      </c>
    </row>
    <row r="668" spans="1:2">
      <c r="A668" t="s">
        <v>749</v>
      </c>
      <c r="B668">
        <v>2.3000000000000001E-11</v>
      </c>
    </row>
    <row r="669" spans="1:2">
      <c r="A669" t="s">
        <v>750</v>
      </c>
      <c r="B669">
        <v>7.3000000000000006E-11</v>
      </c>
    </row>
    <row r="670" spans="1:2">
      <c r="A670" t="s">
        <v>751</v>
      </c>
      <c r="B670">
        <v>5.4000000000000001E-11</v>
      </c>
    </row>
    <row r="671" spans="1:2">
      <c r="A671" t="s">
        <v>752</v>
      </c>
      <c r="B671">
        <v>2.6000000000000001E-11</v>
      </c>
    </row>
    <row r="672" spans="1:2">
      <c r="A672" t="s">
        <v>753</v>
      </c>
      <c r="B672">
        <v>2.0000000000000001E-10</v>
      </c>
    </row>
    <row r="673" spans="1:2">
      <c r="A673" t="s">
        <v>754</v>
      </c>
      <c r="B673">
        <v>9.4999999999999995E-11</v>
      </c>
    </row>
    <row r="674" spans="1:2">
      <c r="A674" t="s">
        <v>755</v>
      </c>
      <c r="B674">
        <v>4.5E-10</v>
      </c>
    </row>
    <row r="675" spans="1:2">
      <c r="A675" t="s">
        <v>756</v>
      </c>
      <c r="B675">
        <v>1.3000000000000001E-9</v>
      </c>
    </row>
    <row r="676" spans="1:2">
      <c r="A676" t="s">
        <v>757</v>
      </c>
      <c r="B676">
        <v>2.9E-11</v>
      </c>
    </row>
    <row r="677" spans="1:2">
      <c r="A677" t="s">
        <v>758</v>
      </c>
      <c r="B677">
        <v>2.8000000000000002E-10</v>
      </c>
    </row>
    <row r="678" spans="1:2">
      <c r="A678" t="s">
        <v>759</v>
      </c>
      <c r="B678">
        <v>5.6000000000000003E-10</v>
      </c>
    </row>
    <row r="679" spans="1:2">
      <c r="A679" t="s">
        <v>760</v>
      </c>
      <c r="B679">
        <v>1.3000000000000001E-9</v>
      </c>
    </row>
    <row r="680" spans="1:2">
      <c r="A680" t="s">
        <v>761</v>
      </c>
      <c r="B680">
        <v>1.0999999999999999E-10</v>
      </c>
    </row>
    <row r="681" spans="1:2">
      <c r="A681" t="s">
        <v>762</v>
      </c>
      <c r="B681">
        <v>1.6999999999999999E-9</v>
      </c>
    </row>
    <row r="682" spans="1:2">
      <c r="A682" t="s">
        <v>763</v>
      </c>
      <c r="B682">
        <v>3.1000000000000002E-10</v>
      </c>
    </row>
    <row r="683" spans="1:2">
      <c r="A683" t="s">
        <v>764</v>
      </c>
      <c r="B683">
        <v>2.7E-11</v>
      </c>
    </row>
    <row r="684" spans="1:2">
      <c r="A684" t="s">
        <v>176</v>
      </c>
      <c r="B684">
        <v>5.5000000000000003E-8</v>
      </c>
    </row>
    <row r="685" spans="1:2">
      <c r="A685" t="s">
        <v>175</v>
      </c>
      <c r="B685">
        <v>2.8000000000000002E-10</v>
      </c>
    </row>
    <row r="686" spans="1:2">
      <c r="A686" t="s">
        <v>107</v>
      </c>
      <c r="B686">
        <v>3.7E-8</v>
      </c>
    </row>
    <row r="687" spans="1:2">
      <c r="A687" t="s">
        <v>87</v>
      </c>
      <c r="B687">
        <v>4.9999999999999998E-8</v>
      </c>
    </row>
    <row r="688" spans="1:2">
      <c r="A688" t="s">
        <v>89</v>
      </c>
      <c r="B688">
        <v>4.9000000000000002E-8</v>
      </c>
    </row>
    <row r="689" spans="1:2">
      <c r="A689" t="s">
        <v>93</v>
      </c>
      <c r="B689">
        <v>4.6000000000000002E-8</v>
      </c>
    </row>
    <row r="690" spans="1:2">
      <c r="A690" t="s">
        <v>94</v>
      </c>
      <c r="B690">
        <v>4.6000000000000002E-8</v>
      </c>
    </row>
    <row r="691" spans="1:2">
      <c r="A691" t="s">
        <v>96</v>
      </c>
      <c r="B691">
        <v>7.7000000000000003E-10</v>
      </c>
    </row>
    <row r="692" spans="1:2">
      <c r="A692" t="s">
        <v>98</v>
      </c>
      <c r="B692">
        <v>4.3999999999999997E-8</v>
      </c>
    </row>
    <row r="693" spans="1:2">
      <c r="A693" t="s">
        <v>174</v>
      </c>
      <c r="B693">
        <v>2.8E-11</v>
      </c>
    </row>
    <row r="694" spans="1:2">
      <c r="A694" t="s">
        <v>173</v>
      </c>
      <c r="B694">
        <v>1.0999999999999999E-9</v>
      </c>
    </row>
    <row r="695" spans="1:2">
      <c r="A695" t="s">
        <v>172</v>
      </c>
      <c r="B695">
        <v>6.3000000000000002E-11</v>
      </c>
    </row>
    <row r="696" spans="1:2">
      <c r="A696" t="s">
        <v>171</v>
      </c>
      <c r="B696">
        <v>2.0000000000000001E-9</v>
      </c>
    </row>
    <row r="697" spans="1:2">
      <c r="A697" t="s">
        <v>170</v>
      </c>
      <c r="B697">
        <v>1.7999999999999999E-11</v>
      </c>
    </row>
    <row r="698" spans="1:2">
      <c r="A698" t="s">
        <v>169</v>
      </c>
      <c r="B698">
        <v>1.0999999999999999E-10</v>
      </c>
    </row>
    <row r="699" spans="1:2">
      <c r="A699" t="s">
        <v>168</v>
      </c>
      <c r="B699">
        <v>6.0999999999999996E-11</v>
      </c>
    </row>
    <row r="700" spans="1:2">
      <c r="A700" t="s">
        <v>167</v>
      </c>
      <c r="B700">
        <v>2.5000000000000002E-10</v>
      </c>
    </row>
    <row r="701" spans="1:2">
      <c r="A701" t="s">
        <v>166</v>
      </c>
      <c r="B701">
        <v>3.3000000000000001E-12</v>
      </c>
    </row>
    <row r="702" spans="1:2">
      <c r="A702" t="s">
        <v>165</v>
      </c>
      <c r="B702">
        <v>8.2000000000000001E-11</v>
      </c>
    </row>
    <row r="703" spans="1:2">
      <c r="A703" t="s">
        <v>164</v>
      </c>
      <c r="B703">
        <v>5.0000000000000003E-10</v>
      </c>
    </row>
    <row r="704" spans="1:2">
      <c r="A704" t="s">
        <v>163</v>
      </c>
      <c r="B704">
        <v>7.1000000000000003E-10</v>
      </c>
    </row>
    <row r="705" spans="1:2">
      <c r="A705" t="s">
        <v>162</v>
      </c>
      <c r="B705">
        <v>2.2999999999999999E-9</v>
      </c>
    </row>
    <row r="706" spans="1:2">
      <c r="A706" t="s">
        <v>161</v>
      </c>
      <c r="B706">
        <v>9.5999999999999999E-10</v>
      </c>
    </row>
    <row r="707" spans="1:2">
      <c r="A707" t="s">
        <v>765</v>
      </c>
      <c r="B707">
        <v>5.6E-11</v>
      </c>
    </row>
    <row r="708" spans="1:2">
      <c r="A708" t="s">
        <v>160</v>
      </c>
      <c r="B708">
        <v>5.4999999999999996E-10</v>
      </c>
    </row>
    <row r="709" spans="1:2">
      <c r="A709" t="s">
        <v>159</v>
      </c>
      <c r="B709">
        <v>1.3000000000000001E-9</v>
      </c>
    </row>
    <row r="710" spans="1:2">
      <c r="A710" t="s">
        <v>20</v>
      </c>
      <c r="B710">
        <v>2.7000000000000002E-9</v>
      </c>
    </row>
    <row r="711" spans="1:2">
      <c r="A711" t="s">
        <v>766</v>
      </c>
      <c r="B711">
        <v>1.7000000000000001E-10</v>
      </c>
    </row>
    <row r="712" spans="1:2">
      <c r="A712" t="s">
        <v>158</v>
      </c>
      <c r="B712">
        <v>2.4E-9</v>
      </c>
    </row>
    <row r="713" spans="1:2">
      <c r="A713" t="s">
        <v>767</v>
      </c>
      <c r="B713">
        <v>1.1000000000000001E-11</v>
      </c>
    </row>
    <row r="714" spans="1:2">
      <c r="A714" t="s">
        <v>157</v>
      </c>
      <c r="B714">
        <v>4.8999999999999996E-10</v>
      </c>
    </row>
    <row r="715" spans="1:2">
      <c r="A715" t="s">
        <v>156</v>
      </c>
      <c r="B715">
        <v>1.2E-9</v>
      </c>
    </row>
    <row r="716" spans="1:2">
      <c r="A716" t="s">
        <v>155</v>
      </c>
      <c r="B716">
        <v>8.1000000000000005E-11</v>
      </c>
    </row>
    <row r="717" spans="1:2">
      <c r="A717" t="s">
        <v>154</v>
      </c>
      <c r="B717">
        <v>4.6000000000000003E-11</v>
      </c>
    </row>
    <row r="718" spans="1:2">
      <c r="A718" t="s">
        <v>768</v>
      </c>
      <c r="B718">
        <v>2.3000000000000001E-11</v>
      </c>
    </row>
    <row r="719" spans="1:2">
      <c r="A719" t="s">
        <v>769</v>
      </c>
      <c r="B719">
        <v>9.5000000000000003E-10</v>
      </c>
    </row>
    <row r="720" spans="1:2">
      <c r="A720" t="s">
        <v>770</v>
      </c>
      <c r="B720">
        <v>6.7000000000000001E-12</v>
      </c>
    </row>
    <row r="721" spans="1:2">
      <c r="A721" t="s">
        <v>771</v>
      </c>
      <c r="B721">
        <v>7.1000000000000003E-10</v>
      </c>
    </row>
    <row r="722" spans="1:2">
      <c r="A722" t="s">
        <v>772</v>
      </c>
      <c r="B722">
        <v>4.3999999999999998E-10</v>
      </c>
    </row>
    <row r="723" spans="1:2">
      <c r="A723" t="s">
        <v>773</v>
      </c>
      <c r="B723">
        <v>9.7000000000000001E-11</v>
      </c>
    </row>
    <row r="724" spans="1:2">
      <c r="A724" t="s">
        <v>774</v>
      </c>
      <c r="B724">
        <v>1.2E-10</v>
      </c>
    </row>
    <row r="725" spans="1:2">
      <c r="A725" t="s">
        <v>775</v>
      </c>
      <c r="B725">
        <v>9.4000000000000006E-10</v>
      </c>
    </row>
    <row r="726" spans="1:2">
      <c r="A726" t="s">
        <v>776</v>
      </c>
      <c r="B726">
        <v>7.8999999999999999E-11</v>
      </c>
    </row>
    <row r="727" spans="1:2">
      <c r="A727" t="s">
        <v>17</v>
      </c>
      <c r="B727">
        <v>3.9000000000000002E-9</v>
      </c>
    </row>
    <row r="728" spans="1:2">
      <c r="A728" t="s">
        <v>777</v>
      </c>
      <c r="B728">
        <v>3.1000000000000003E-11</v>
      </c>
    </row>
    <row r="729" spans="1:2">
      <c r="A729" t="s">
        <v>778</v>
      </c>
      <c r="B729">
        <v>3.3E-10</v>
      </c>
    </row>
    <row r="730" spans="1:2">
      <c r="A730" t="s">
        <v>779</v>
      </c>
      <c r="B730">
        <v>2.4E-10</v>
      </c>
    </row>
    <row r="731" spans="1:2">
      <c r="A731" t="s">
        <v>780</v>
      </c>
      <c r="B731">
        <v>1.3999999999999999E-9</v>
      </c>
    </row>
    <row r="732" spans="1:2">
      <c r="A732" t="s">
        <v>781</v>
      </c>
      <c r="B732">
        <v>8.6000000000000003E-10</v>
      </c>
    </row>
    <row r="733" spans="1:2">
      <c r="A733" t="s">
        <v>782</v>
      </c>
      <c r="B733">
        <v>3.3E-10</v>
      </c>
    </row>
    <row r="734" spans="1:2">
      <c r="A734" t="s">
        <v>783</v>
      </c>
      <c r="B734">
        <v>7.8999999999999996E-10</v>
      </c>
    </row>
    <row r="735" spans="1:2">
      <c r="A735" t="s">
        <v>110</v>
      </c>
      <c r="B735">
        <v>2.8000000000000002E-10</v>
      </c>
    </row>
    <row r="736" spans="1:2">
      <c r="A736" t="s">
        <v>784</v>
      </c>
      <c r="B736">
        <v>8.7999999999999996E-10</v>
      </c>
    </row>
    <row r="737" spans="1:2">
      <c r="A737" t="s">
        <v>785</v>
      </c>
      <c r="B737">
        <v>2.1000000000000002E-9</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B738"/>
  <sheetViews>
    <sheetView workbookViewId="0">
      <selection activeCell="C1" sqref="C1:C1048576"/>
    </sheetView>
  </sheetViews>
  <sheetFormatPr defaultRowHeight="15"/>
  <cols>
    <col min="1" max="1" width="9.42578125" bestFit="1" customWidth="1"/>
    <col min="2" max="2" width="7.5703125" customWidth="1"/>
  </cols>
  <sheetData>
    <row r="1" spans="1:2">
      <c r="A1" t="s">
        <v>153</v>
      </c>
      <c r="B1" t="s">
        <v>200</v>
      </c>
    </row>
    <row r="2" spans="1:2">
      <c r="A2" t="s">
        <v>201</v>
      </c>
      <c r="B2">
        <v>6.9999999999999996E-10</v>
      </c>
    </row>
    <row r="3" spans="1:2">
      <c r="A3" t="s">
        <v>74</v>
      </c>
      <c r="B3">
        <v>2.4E-8</v>
      </c>
    </row>
    <row r="4" spans="1:2">
      <c r="A4" t="s">
        <v>202</v>
      </c>
      <c r="B4">
        <v>1E-8</v>
      </c>
    </row>
    <row r="5" spans="1:2">
      <c r="A5" t="s">
        <v>78</v>
      </c>
      <c r="B5">
        <v>1.1000000000000001E-6</v>
      </c>
    </row>
    <row r="6" spans="1:2">
      <c r="A6" t="s">
        <v>80</v>
      </c>
      <c r="B6">
        <v>4.3000000000000001E-10</v>
      </c>
    </row>
    <row r="7" spans="1:2">
      <c r="A7" t="s">
        <v>203</v>
      </c>
      <c r="B7">
        <v>3.9999999999999998E-11</v>
      </c>
    </row>
    <row r="8" spans="1:2">
      <c r="A8" t="s">
        <v>204</v>
      </c>
      <c r="B8">
        <v>4.3E-11</v>
      </c>
    </row>
    <row r="9" spans="1:2">
      <c r="A9" t="s">
        <v>205</v>
      </c>
      <c r="B9">
        <v>6E-11</v>
      </c>
    </row>
    <row r="10" spans="1:2">
      <c r="A10" t="s">
        <v>206</v>
      </c>
      <c r="B10">
        <v>5.4000000000000001E-11</v>
      </c>
    </row>
    <row r="11" spans="1:2">
      <c r="A11" t="s">
        <v>207</v>
      </c>
      <c r="B11">
        <v>4.7000000000000003E-10</v>
      </c>
    </row>
    <row r="12" spans="1:2">
      <c r="A12" t="s">
        <v>208</v>
      </c>
      <c r="B12">
        <v>3.1999999999999999E-11</v>
      </c>
    </row>
    <row r="13" spans="1:2">
      <c r="A13" t="s">
        <v>209</v>
      </c>
      <c r="B13">
        <v>1.5E-9</v>
      </c>
    </row>
    <row r="14" spans="1:2">
      <c r="A14" t="s">
        <v>210</v>
      </c>
      <c r="B14">
        <v>2.2999999999999999E-9</v>
      </c>
    </row>
    <row r="15" spans="1:2">
      <c r="A15" t="s">
        <v>211</v>
      </c>
      <c r="B15">
        <v>2.7999999999999998E-9</v>
      </c>
    </row>
    <row r="16" spans="1:2">
      <c r="A16" t="s">
        <v>212</v>
      </c>
      <c r="B16">
        <v>1.3000000000000001E-9</v>
      </c>
    </row>
    <row r="17" spans="1:2">
      <c r="A17" t="s">
        <v>213</v>
      </c>
      <c r="B17">
        <v>4.3000000000000001E-10</v>
      </c>
    </row>
    <row r="18" spans="1:2">
      <c r="A18" t="s">
        <v>214</v>
      </c>
      <c r="B18">
        <v>6E-11</v>
      </c>
    </row>
    <row r="19" spans="1:2">
      <c r="A19" t="s">
        <v>215</v>
      </c>
      <c r="B19">
        <v>3.4999999999999999E-9</v>
      </c>
    </row>
    <row r="20" spans="1:2">
      <c r="A20" t="s">
        <v>216</v>
      </c>
      <c r="B20">
        <v>1.7999999999999999E-11</v>
      </c>
    </row>
    <row r="21" spans="1:2">
      <c r="A21" t="s">
        <v>217</v>
      </c>
      <c r="B21">
        <v>3.1999999999999999E-11</v>
      </c>
    </row>
    <row r="22" spans="1:2">
      <c r="A22" t="s">
        <v>218</v>
      </c>
      <c r="B22">
        <v>2.4E-10</v>
      </c>
    </row>
    <row r="23" spans="1:2">
      <c r="A23" t="s">
        <v>219</v>
      </c>
      <c r="B23">
        <v>5.7999999999999996E-10</v>
      </c>
    </row>
    <row r="24" spans="1:2">
      <c r="A24" t="s">
        <v>102</v>
      </c>
      <c r="B24">
        <v>1.9999999999999999E-7</v>
      </c>
    </row>
    <row r="25" spans="1:2">
      <c r="A25" t="s">
        <v>134</v>
      </c>
      <c r="B25">
        <v>3E-10</v>
      </c>
    </row>
    <row r="26" spans="1:2">
      <c r="A26" t="s">
        <v>135</v>
      </c>
      <c r="B26">
        <v>1.9000000000000001E-7</v>
      </c>
    </row>
    <row r="27" spans="1:2">
      <c r="A27" t="s">
        <v>104</v>
      </c>
      <c r="B27">
        <v>1.9999999999999999E-7</v>
      </c>
    </row>
    <row r="28" spans="1:2">
      <c r="A28" t="s">
        <v>220</v>
      </c>
      <c r="B28">
        <v>4.6000000000000001E-10</v>
      </c>
    </row>
    <row r="29" spans="1:2">
      <c r="A29" t="s">
        <v>221</v>
      </c>
      <c r="B29">
        <v>2.9E-11</v>
      </c>
    </row>
    <row r="30" spans="1:2">
      <c r="A30" t="s">
        <v>222</v>
      </c>
      <c r="B30">
        <v>6.2000000000000006E-11</v>
      </c>
    </row>
    <row r="31" spans="1:2">
      <c r="A31" t="s">
        <v>223</v>
      </c>
      <c r="B31">
        <v>5.8E-11</v>
      </c>
    </row>
    <row r="32" spans="1:2">
      <c r="A32" t="s">
        <v>224</v>
      </c>
      <c r="B32">
        <v>3.3999999999999999E-11</v>
      </c>
    </row>
    <row r="33" spans="1:2">
      <c r="A33" t="s">
        <v>225</v>
      </c>
      <c r="B33">
        <v>5.6999999999999997E-11</v>
      </c>
    </row>
    <row r="34" spans="1:2">
      <c r="A34" t="s">
        <v>226</v>
      </c>
      <c r="B34">
        <v>1.2999999999999999E-10</v>
      </c>
    </row>
    <row r="35" spans="1:2">
      <c r="A35" t="s">
        <v>227</v>
      </c>
      <c r="B35">
        <v>4.6000000000000001E-10</v>
      </c>
    </row>
    <row r="36" spans="1:2">
      <c r="A36" t="s">
        <v>228</v>
      </c>
      <c r="B36">
        <v>1.8E-9</v>
      </c>
    </row>
    <row r="37" spans="1:2">
      <c r="A37" t="s">
        <v>229</v>
      </c>
      <c r="B37">
        <v>2.5999999999999998E-10</v>
      </c>
    </row>
    <row r="38" spans="1:2">
      <c r="A38" t="s">
        <v>230</v>
      </c>
      <c r="B38">
        <v>1.3000000000000001E-9</v>
      </c>
    </row>
    <row r="39" spans="1:2">
      <c r="A39" t="s">
        <v>231</v>
      </c>
      <c r="B39">
        <v>1.6000000000000001E-9</v>
      </c>
    </row>
    <row r="40" spans="1:2">
      <c r="A40" t="s">
        <v>232</v>
      </c>
      <c r="B40">
        <v>4.0000000000000001E-10</v>
      </c>
    </row>
    <row r="41" spans="1:2">
      <c r="A41" t="s">
        <v>233</v>
      </c>
      <c r="B41">
        <v>2.1E-10</v>
      </c>
    </row>
    <row r="42" spans="1:2">
      <c r="A42" t="s">
        <v>234</v>
      </c>
      <c r="B42">
        <v>2.4E-10</v>
      </c>
    </row>
    <row r="43" spans="1:2">
      <c r="A43" t="s">
        <v>235</v>
      </c>
      <c r="B43">
        <v>1.0999999999999999E-8</v>
      </c>
    </row>
    <row r="44" spans="1:2">
      <c r="A44" t="s">
        <v>236</v>
      </c>
      <c r="B44">
        <v>1.2999999999999999E-10</v>
      </c>
    </row>
    <row r="45" spans="1:2">
      <c r="A45" t="s">
        <v>237</v>
      </c>
      <c r="B45">
        <v>4.2E-10</v>
      </c>
    </row>
    <row r="46" spans="1:2">
      <c r="A46" t="s">
        <v>238</v>
      </c>
      <c r="B46">
        <v>2.5000000000000002E-10</v>
      </c>
    </row>
    <row r="47" spans="1:2">
      <c r="A47" t="s">
        <v>239</v>
      </c>
      <c r="B47">
        <v>1.0000000000000001E-9</v>
      </c>
    </row>
    <row r="48" spans="1:2">
      <c r="A48" t="s">
        <v>240</v>
      </c>
      <c r="B48">
        <v>1.3000000000000001E-9</v>
      </c>
    </row>
    <row r="49" spans="1:2">
      <c r="A49" t="s">
        <v>241</v>
      </c>
      <c r="B49">
        <v>4.3999999999999998E-10</v>
      </c>
    </row>
    <row r="50" spans="1:2">
      <c r="A50" t="s">
        <v>242</v>
      </c>
      <c r="B50">
        <v>6.7999999999999998E-11</v>
      </c>
    </row>
    <row r="51" spans="1:2">
      <c r="A51" t="s">
        <v>243</v>
      </c>
      <c r="B51">
        <v>1.0999999999999999E-9</v>
      </c>
    </row>
    <row r="52" spans="1:2">
      <c r="A52" t="s">
        <v>244</v>
      </c>
      <c r="B52">
        <v>2.4000000000000001E-11</v>
      </c>
    </row>
    <row r="53" spans="1:2">
      <c r="A53" t="s">
        <v>245</v>
      </c>
      <c r="B53">
        <v>2.5999999999999998E-10</v>
      </c>
    </row>
    <row r="54" spans="1:2">
      <c r="A54" t="s">
        <v>246</v>
      </c>
      <c r="B54">
        <v>2.7000000000000002E-9</v>
      </c>
    </row>
    <row r="55" spans="1:2">
      <c r="A55" t="s">
        <v>247</v>
      </c>
      <c r="B55">
        <v>4.5E-10</v>
      </c>
    </row>
    <row r="56" spans="1:2">
      <c r="A56" t="s">
        <v>248</v>
      </c>
      <c r="B56">
        <v>4.8999999999999997E-12</v>
      </c>
    </row>
    <row r="57" spans="1:2">
      <c r="A57" t="s">
        <v>249</v>
      </c>
      <c r="B57">
        <v>1.5E-9</v>
      </c>
    </row>
    <row r="58" spans="1:2">
      <c r="A58" t="s">
        <v>250</v>
      </c>
      <c r="B58">
        <v>5.4E-10</v>
      </c>
    </row>
    <row r="59" spans="1:2">
      <c r="A59" t="s">
        <v>251</v>
      </c>
      <c r="B59">
        <v>4.3000000000000001E-10</v>
      </c>
    </row>
    <row r="60" spans="1:2">
      <c r="A60" t="s">
        <v>252</v>
      </c>
      <c r="B60">
        <v>1.2E-10</v>
      </c>
    </row>
    <row r="61" spans="1:2">
      <c r="A61" t="s">
        <v>253</v>
      </c>
      <c r="B61">
        <v>2.6000000000000001E-9</v>
      </c>
    </row>
    <row r="62" spans="1:2">
      <c r="A62" t="s">
        <v>254</v>
      </c>
      <c r="B62">
        <v>7.0000000000000004E-11</v>
      </c>
    </row>
    <row r="63" spans="1:2">
      <c r="A63" t="s">
        <v>255</v>
      </c>
      <c r="B63">
        <v>3.5000000000000002E-11</v>
      </c>
    </row>
    <row r="64" spans="1:2">
      <c r="A64" t="s">
        <v>256</v>
      </c>
      <c r="B64">
        <v>1.0999999999999999E-9</v>
      </c>
    </row>
    <row r="65" spans="1:2">
      <c r="A65" t="s">
        <v>257</v>
      </c>
      <c r="B65">
        <v>2.8E-11</v>
      </c>
    </row>
    <row r="66" spans="1:2">
      <c r="A66" t="s">
        <v>258</v>
      </c>
      <c r="B66">
        <v>5.0999999999999998E-11</v>
      </c>
    </row>
    <row r="67" spans="1:2">
      <c r="A67" t="s">
        <v>259</v>
      </c>
      <c r="B67">
        <v>1.2E-10</v>
      </c>
    </row>
    <row r="68" spans="1:2">
      <c r="A68" t="s">
        <v>260</v>
      </c>
      <c r="B68">
        <v>8.9000000000000003E-11</v>
      </c>
    </row>
    <row r="69" spans="1:2">
      <c r="A69" t="s">
        <v>261</v>
      </c>
      <c r="B69">
        <v>4.8E-10</v>
      </c>
    </row>
    <row r="70" spans="1:2">
      <c r="A70" t="s">
        <v>262</v>
      </c>
      <c r="B70">
        <v>8.9999999999999999E-10</v>
      </c>
    </row>
    <row r="71" spans="1:2">
      <c r="A71" t="s">
        <v>263</v>
      </c>
      <c r="B71">
        <v>1.9000000000000001E-9</v>
      </c>
    </row>
    <row r="72" spans="1:2">
      <c r="A72" t="s">
        <v>264</v>
      </c>
      <c r="B72">
        <v>1.3000000000000001E-9</v>
      </c>
    </row>
    <row r="73" spans="1:2">
      <c r="A73" t="s">
        <v>43</v>
      </c>
      <c r="B73">
        <v>1.3000000000000001E-9</v>
      </c>
    </row>
    <row r="74" spans="1:2">
      <c r="A74" t="s">
        <v>265</v>
      </c>
      <c r="B74">
        <v>1.4999999999999999E-8</v>
      </c>
    </row>
    <row r="75" spans="1:2">
      <c r="A75" t="s">
        <v>50</v>
      </c>
      <c r="B75">
        <v>2.5999999999999998E-10</v>
      </c>
    </row>
    <row r="76" spans="1:2">
      <c r="A76" t="s">
        <v>53</v>
      </c>
      <c r="B76">
        <v>2.0000000000000001E-10</v>
      </c>
    </row>
    <row r="77" spans="1:2">
      <c r="A77" t="s">
        <v>55</v>
      </c>
      <c r="B77">
        <v>1.0999999999999999E-10</v>
      </c>
    </row>
    <row r="78" spans="1:2">
      <c r="A78" t="s">
        <v>266</v>
      </c>
      <c r="B78">
        <v>5.7E-10</v>
      </c>
    </row>
    <row r="79" spans="1:2">
      <c r="A79" t="s">
        <v>267</v>
      </c>
      <c r="B79">
        <v>4.8E-10</v>
      </c>
    </row>
    <row r="80" spans="1:2">
      <c r="A80" t="s">
        <v>268</v>
      </c>
      <c r="B80">
        <v>3.4999999999999998E-7</v>
      </c>
    </row>
    <row r="81" spans="1:2">
      <c r="A81" t="s">
        <v>269</v>
      </c>
      <c r="B81">
        <v>9.6999999999999996E-10</v>
      </c>
    </row>
    <row r="82" spans="1:2">
      <c r="A82" t="s">
        <v>270</v>
      </c>
      <c r="B82">
        <v>1.4000000000000001E-10</v>
      </c>
    </row>
    <row r="83" spans="1:2">
      <c r="A83" t="s">
        <v>271</v>
      </c>
      <c r="B83">
        <v>8.3999999999999994E-11</v>
      </c>
    </row>
    <row r="84" spans="1:2">
      <c r="A84" t="s">
        <v>272</v>
      </c>
      <c r="B84">
        <v>1.4000000000000001E-10</v>
      </c>
    </row>
    <row r="85" spans="1:2">
      <c r="A85" t="s">
        <v>273</v>
      </c>
      <c r="B85">
        <v>7.8999999999999999E-11</v>
      </c>
    </row>
    <row r="86" spans="1:2">
      <c r="A86" t="s">
        <v>274</v>
      </c>
      <c r="B86">
        <v>4.6000000000000001E-10</v>
      </c>
    </row>
    <row r="87" spans="1:2">
      <c r="A87" t="s">
        <v>275</v>
      </c>
      <c r="B87">
        <v>9.6000000000000005E-11</v>
      </c>
    </row>
    <row r="88" spans="1:2">
      <c r="A88" t="s">
        <v>276</v>
      </c>
      <c r="B88">
        <v>3.1000000000000003E-11</v>
      </c>
    </row>
    <row r="89" spans="1:2">
      <c r="A89" t="s">
        <v>277</v>
      </c>
      <c r="B89">
        <v>1.0999999999999999E-10</v>
      </c>
    </row>
    <row r="90" spans="1:2">
      <c r="A90" t="s">
        <v>278</v>
      </c>
      <c r="B90">
        <v>5.4E-10</v>
      </c>
    </row>
    <row r="91" spans="1:2">
      <c r="A91" t="s">
        <v>279</v>
      </c>
      <c r="B91">
        <v>4.3E-11</v>
      </c>
    </row>
    <row r="92" spans="1:2">
      <c r="A92" t="s">
        <v>280</v>
      </c>
      <c r="B92">
        <v>8.8000000000000006E-11</v>
      </c>
    </row>
    <row r="93" spans="1:2">
      <c r="A93" t="s">
        <v>198</v>
      </c>
      <c r="B93">
        <v>2.4000000000000001E-11</v>
      </c>
    </row>
    <row r="94" spans="1:2">
      <c r="A94" t="s">
        <v>2</v>
      </c>
      <c r="B94">
        <v>5.7999999999999996E-10</v>
      </c>
    </row>
    <row r="95" spans="1:2">
      <c r="A95" t="s">
        <v>281</v>
      </c>
      <c r="B95">
        <v>1.8999999999999999E-10</v>
      </c>
    </row>
    <row r="96" spans="1:2">
      <c r="A96" t="s">
        <v>8</v>
      </c>
      <c r="B96">
        <v>7.1000000000000003E-10</v>
      </c>
    </row>
    <row r="97" spans="1:2">
      <c r="A97" t="s">
        <v>282</v>
      </c>
      <c r="B97">
        <v>1.6000000000000001E-9</v>
      </c>
    </row>
    <row r="98" spans="1:2">
      <c r="A98" t="s">
        <v>283</v>
      </c>
      <c r="B98">
        <v>5.4000000000000001E-11</v>
      </c>
    </row>
    <row r="99" spans="1:2">
      <c r="A99" t="s">
        <v>284</v>
      </c>
      <c r="B99">
        <v>6.2000000000000006E-11</v>
      </c>
    </row>
    <row r="100" spans="1:2">
      <c r="A100" t="s">
        <v>285</v>
      </c>
      <c r="B100">
        <v>2.0000000000000001E-9</v>
      </c>
    </row>
    <row r="101" spans="1:2">
      <c r="A101" t="s">
        <v>145</v>
      </c>
      <c r="B101">
        <v>2.4999999999999999E-8</v>
      </c>
    </row>
    <row r="102" spans="1:2">
      <c r="A102" t="s">
        <v>115</v>
      </c>
      <c r="B102">
        <v>2.3000000000000001E-8</v>
      </c>
    </row>
    <row r="103" spans="1:2">
      <c r="A103" t="s">
        <v>286</v>
      </c>
      <c r="B103">
        <v>1.3999999999999999E-9</v>
      </c>
    </row>
    <row r="104" spans="1:2">
      <c r="A104" t="s">
        <v>287</v>
      </c>
      <c r="B104">
        <v>3.3000000000000002E-9</v>
      </c>
    </row>
    <row r="105" spans="1:2">
      <c r="A105" t="s">
        <v>288</v>
      </c>
      <c r="B105">
        <v>2.8000000000000002E-10</v>
      </c>
    </row>
    <row r="106" spans="1:2">
      <c r="A106" t="s">
        <v>289</v>
      </c>
      <c r="B106">
        <v>2.8000000000000002E-10</v>
      </c>
    </row>
    <row r="107" spans="1:2">
      <c r="A107" t="s">
        <v>290</v>
      </c>
      <c r="B107">
        <v>2.5000000000000001E-9</v>
      </c>
    </row>
    <row r="108" spans="1:2">
      <c r="A108" t="s">
        <v>291</v>
      </c>
      <c r="B108">
        <v>7.8999999999999996E-10</v>
      </c>
    </row>
    <row r="109" spans="1:2">
      <c r="A109" t="s">
        <v>292</v>
      </c>
      <c r="B109">
        <v>2.5000000000000001E-11</v>
      </c>
    </row>
    <row r="110" spans="1:2">
      <c r="A110" t="s">
        <v>293</v>
      </c>
      <c r="B110">
        <v>5.4E-10</v>
      </c>
    </row>
    <row r="111" spans="1:2">
      <c r="A111" t="s">
        <v>294</v>
      </c>
      <c r="B111">
        <v>2.5999999999999998E-10</v>
      </c>
    </row>
    <row r="112" spans="1:2">
      <c r="A112" t="s">
        <v>295</v>
      </c>
      <c r="B112">
        <v>7.1000000000000003E-10</v>
      </c>
    </row>
    <row r="113" spans="1:2">
      <c r="A113" t="s">
        <v>296</v>
      </c>
      <c r="B113">
        <v>1.0999999999999999E-9</v>
      </c>
    </row>
    <row r="114" spans="1:2">
      <c r="A114" t="s">
        <v>124</v>
      </c>
      <c r="B114">
        <v>5.2000000000000002E-9</v>
      </c>
    </row>
    <row r="115" spans="1:2">
      <c r="A115" t="s">
        <v>297</v>
      </c>
      <c r="B115">
        <v>7.0000000000000004E-11</v>
      </c>
    </row>
    <row r="116" spans="1:2">
      <c r="A116" t="s">
        <v>298</v>
      </c>
      <c r="B116">
        <v>3.3000000000000002E-9</v>
      </c>
    </row>
    <row r="117" spans="1:2">
      <c r="A117" t="s">
        <v>299</v>
      </c>
      <c r="B117">
        <v>2.7999999999999999E-8</v>
      </c>
    </row>
    <row r="118" spans="1:2">
      <c r="A118" t="s">
        <v>300</v>
      </c>
      <c r="B118">
        <v>3.4999999999999998E-7</v>
      </c>
    </row>
    <row r="119" spans="1:2">
      <c r="A119" t="s">
        <v>301</v>
      </c>
      <c r="B119">
        <v>1.6E-7</v>
      </c>
    </row>
    <row r="120" spans="1:2">
      <c r="A120" t="s">
        <v>302</v>
      </c>
      <c r="B120">
        <v>3.5999999999999999E-7</v>
      </c>
    </row>
    <row r="121" spans="1:2">
      <c r="A121" t="s">
        <v>303</v>
      </c>
      <c r="B121">
        <v>8.9999999999999999E-8</v>
      </c>
    </row>
    <row r="122" spans="1:2">
      <c r="A122" t="s">
        <v>304</v>
      </c>
      <c r="B122">
        <v>1.3999999999999999E-9</v>
      </c>
    </row>
    <row r="123" spans="1:2">
      <c r="A123" t="s">
        <v>305</v>
      </c>
      <c r="B123">
        <v>3.9999999999999998E-7</v>
      </c>
    </row>
    <row r="124" spans="1:2">
      <c r="A124" t="s">
        <v>7</v>
      </c>
      <c r="B124">
        <v>9.2999999999999999E-10</v>
      </c>
    </row>
    <row r="125" spans="1:2">
      <c r="A125" t="s">
        <v>306</v>
      </c>
      <c r="B125">
        <v>1.2E-10</v>
      </c>
    </row>
    <row r="126" spans="1:2">
      <c r="A126" t="s">
        <v>307</v>
      </c>
      <c r="B126">
        <v>8.5000000000000004E-11</v>
      </c>
    </row>
    <row r="127" spans="1:2">
      <c r="A127" t="s">
        <v>308</v>
      </c>
      <c r="B127">
        <v>7.9999999999999995E-11</v>
      </c>
    </row>
    <row r="128" spans="1:2">
      <c r="A128" t="s">
        <v>309</v>
      </c>
      <c r="B128">
        <v>7.6000000000000002E-9</v>
      </c>
    </row>
    <row r="129" spans="1:2">
      <c r="A129" t="s">
        <v>310</v>
      </c>
      <c r="B129">
        <v>9.0999999999999996E-10</v>
      </c>
    </row>
    <row r="130" spans="1:2">
      <c r="A130" t="s">
        <v>136</v>
      </c>
      <c r="B130">
        <v>1.2E-8</v>
      </c>
    </row>
    <row r="131" spans="1:2">
      <c r="A131" t="s">
        <v>105</v>
      </c>
      <c r="B131">
        <v>1.4999999999999999E-7</v>
      </c>
    </row>
    <row r="132" spans="1:2">
      <c r="A132" t="s">
        <v>106</v>
      </c>
      <c r="B132">
        <v>1.1999999999999999E-7</v>
      </c>
    </row>
    <row r="133" spans="1:2">
      <c r="A133" t="s">
        <v>137</v>
      </c>
      <c r="B133">
        <v>2.1E-7</v>
      </c>
    </row>
    <row r="134" spans="1:2">
      <c r="A134" t="s">
        <v>138</v>
      </c>
      <c r="B134">
        <v>2.1E-7</v>
      </c>
    </row>
    <row r="135" spans="1:2">
      <c r="A135" t="s">
        <v>311</v>
      </c>
      <c r="B135">
        <v>1.9000000000000001E-7</v>
      </c>
    </row>
    <row r="136" spans="1:2">
      <c r="A136" t="s">
        <v>312</v>
      </c>
      <c r="B136">
        <v>7.7000000000000004E-7</v>
      </c>
    </row>
    <row r="137" spans="1:2">
      <c r="A137" t="s">
        <v>313</v>
      </c>
      <c r="B137">
        <v>3.1000000000000003E-11</v>
      </c>
    </row>
    <row r="138" spans="1:2">
      <c r="A138" t="s">
        <v>314</v>
      </c>
      <c r="B138">
        <v>4.4000000000000002E-6</v>
      </c>
    </row>
    <row r="139" spans="1:2">
      <c r="A139" t="s">
        <v>315</v>
      </c>
      <c r="B139">
        <v>1.0000000000000001E-9</v>
      </c>
    </row>
    <row r="140" spans="1:2">
      <c r="A140" t="s">
        <v>316</v>
      </c>
      <c r="B140">
        <v>2.5000000000000001E-9</v>
      </c>
    </row>
    <row r="141" spans="1:2">
      <c r="A141" t="s">
        <v>12</v>
      </c>
      <c r="B141">
        <v>2.1E-10</v>
      </c>
    </row>
    <row r="142" spans="1:2">
      <c r="A142" t="s">
        <v>317</v>
      </c>
      <c r="B142">
        <v>7.4000000000000003E-10</v>
      </c>
    </row>
    <row r="143" spans="1:2">
      <c r="A143" t="s">
        <v>318</v>
      </c>
      <c r="B143">
        <v>2.4000000000000001E-11</v>
      </c>
    </row>
    <row r="144" spans="1:2">
      <c r="A144" t="s">
        <v>14</v>
      </c>
      <c r="B144">
        <v>3.3999999999999998E-9</v>
      </c>
    </row>
    <row r="145" spans="1:2">
      <c r="A145" t="s">
        <v>319</v>
      </c>
      <c r="B145">
        <v>1.7E-12</v>
      </c>
    </row>
    <row r="146" spans="1:2">
      <c r="A146" t="s">
        <v>320</v>
      </c>
      <c r="B146">
        <v>7.4000000000000003E-11</v>
      </c>
    </row>
    <row r="147" spans="1:2">
      <c r="A147" t="s">
        <v>321</v>
      </c>
      <c r="B147">
        <v>4.6999999999999999E-11</v>
      </c>
    </row>
    <row r="148" spans="1:2">
      <c r="A148" t="s">
        <v>322</v>
      </c>
      <c r="B148">
        <v>2.0000000000000001E-10</v>
      </c>
    </row>
    <row r="149" spans="1:2">
      <c r="A149" t="s">
        <v>323</v>
      </c>
      <c r="B149">
        <v>6.0999999999999996E-11</v>
      </c>
    </row>
    <row r="150" spans="1:2">
      <c r="A150" t="s">
        <v>9</v>
      </c>
      <c r="B150">
        <v>3.7999999999999998E-11</v>
      </c>
    </row>
    <row r="151" spans="1:2">
      <c r="A151" t="s">
        <v>324</v>
      </c>
      <c r="B151">
        <v>3.5000000000000002E-11</v>
      </c>
    </row>
    <row r="152" spans="1:2">
      <c r="A152" t="s">
        <v>325</v>
      </c>
      <c r="B152">
        <v>2.4000000000000001E-11</v>
      </c>
    </row>
    <row r="153" spans="1:2">
      <c r="A153" t="s">
        <v>326</v>
      </c>
      <c r="B153">
        <v>6E-11</v>
      </c>
    </row>
    <row r="154" spans="1:2">
      <c r="A154" t="s">
        <v>327</v>
      </c>
      <c r="B154">
        <v>2.8E-11</v>
      </c>
    </row>
    <row r="155" spans="1:2">
      <c r="A155" t="s">
        <v>328</v>
      </c>
      <c r="B155">
        <v>5.8E-11</v>
      </c>
    </row>
    <row r="156" spans="1:2">
      <c r="A156" t="s">
        <v>329</v>
      </c>
      <c r="B156">
        <v>5.0000000000000003E-10</v>
      </c>
    </row>
    <row r="157" spans="1:2">
      <c r="A157" t="s">
        <v>122</v>
      </c>
      <c r="B157">
        <v>1.9000000000000001E-8</v>
      </c>
    </row>
    <row r="158" spans="1:2">
      <c r="A158" t="s">
        <v>330</v>
      </c>
      <c r="B158">
        <v>1.9999999999999999E-11</v>
      </c>
    </row>
    <row r="159" spans="1:2">
      <c r="A159" t="s">
        <v>123</v>
      </c>
      <c r="B159">
        <v>2.0000000000000001E-9</v>
      </c>
    </row>
    <row r="160" spans="1:2">
      <c r="A160" t="s">
        <v>331</v>
      </c>
      <c r="B160">
        <v>1.8999999999999999E-11</v>
      </c>
    </row>
    <row r="161" spans="1:2">
      <c r="A161" t="s">
        <v>332</v>
      </c>
      <c r="B161">
        <v>3E-9</v>
      </c>
    </row>
    <row r="162" spans="1:2">
      <c r="A162" t="s">
        <v>31</v>
      </c>
      <c r="B162">
        <v>1.3000000000000001E-8</v>
      </c>
    </row>
    <row r="163" spans="1:2">
      <c r="A163" t="s">
        <v>333</v>
      </c>
      <c r="B163">
        <v>9.2000000000000005E-11</v>
      </c>
    </row>
    <row r="164" spans="1:2">
      <c r="A164" t="s">
        <v>334</v>
      </c>
      <c r="B164">
        <v>7.0000000000000004E-11</v>
      </c>
    </row>
    <row r="165" spans="1:2">
      <c r="A165" t="s">
        <v>335</v>
      </c>
      <c r="B165">
        <v>1.2E-10</v>
      </c>
    </row>
    <row r="166" spans="1:2">
      <c r="A166" t="s">
        <v>16</v>
      </c>
      <c r="B166">
        <v>1.2E-10</v>
      </c>
    </row>
    <row r="167" spans="1:2">
      <c r="A167" t="s">
        <v>336</v>
      </c>
      <c r="B167">
        <v>3.4000000000000001E-10</v>
      </c>
    </row>
    <row r="168" spans="1:2">
      <c r="A168" t="s">
        <v>337</v>
      </c>
      <c r="B168">
        <v>1.2999999999999999E-10</v>
      </c>
    </row>
    <row r="169" spans="1:2">
      <c r="A169" t="s">
        <v>338</v>
      </c>
      <c r="B169">
        <v>6.0999999999999996E-11</v>
      </c>
    </row>
    <row r="170" spans="1:2">
      <c r="A170" t="s">
        <v>339</v>
      </c>
      <c r="B170">
        <v>1E-10</v>
      </c>
    </row>
    <row r="171" spans="1:2">
      <c r="A171" t="s">
        <v>340</v>
      </c>
      <c r="B171">
        <v>1.0999999999999999E-10</v>
      </c>
    </row>
    <row r="172" spans="1:2">
      <c r="A172" t="s">
        <v>341</v>
      </c>
      <c r="B172">
        <v>1.6000000000000001E-9</v>
      </c>
    </row>
    <row r="173" spans="1:2">
      <c r="A173" t="s">
        <v>342</v>
      </c>
      <c r="B173">
        <v>7.9999999999999995E-11</v>
      </c>
    </row>
    <row r="174" spans="1:2">
      <c r="A174" t="s">
        <v>343</v>
      </c>
      <c r="B174">
        <v>1.8999999999999999E-11</v>
      </c>
    </row>
    <row r="175" spans="1:2">
      <c r="A175" t="s">
        <v>344</v>
      </c>
      <c r="B175">
        <v>3.7000000000000001E-10</v>
      </c>
    </row>
    <row r="176" spans="1:2">
      <c r="A176" t="s">
        <v>345</v>
      </c>
      <c r="B176">
        <v>3.6E-10</v>
      </c>
    </row>
    <row r="177" spans="1:2">
      <c r="A177" t="s">
        <v>346</v>
      </c>
      <c r="B177">
        <v>1.0000000000000001E-9</v>
      </c>
    </row>
    <row r="178" spans="1:2">
      <c r="A178" t="s">
        <v>347</v>
      </c>
      <c r="B178">
        <v>2.0999999999999999E-11</v>
      </c>
    </row>
    <row r="179" spans="1:2">
      <c r="A179" t="s">
        <v>348</v>
      </c>
      <c r="B179">
        <v>1.7000000000000001E-10</v>
      </c>
    </row>
    <row r="180" spans="1:2">
      <c r="A180" t="s">
        <v>349</v>
      </c>
      <c r="B180">
        <v>6.1E-9</v>
      </c>
    </row>
    <row r="181" spans="1:2">
      <c r="A181" t="s">
        <v>350</v>
      </c>
      <c r="B181">
        <v>2.7999999999999999E-8</v>
      </c>
    </row>
    <row r="182" spans="1:2">
      <c r="A182" t="s">
        <v>351</v>
      </c>
      <c r="B182">
        <v>4.2000000000000004E-9</v>
      </c>
    </row>
    <row r="183" spans="1:2">
      <c r="A183" t="s">
        <v>352</v>
      </c>
      <c r="B183">
        <v>7.5E-10</v>
      </c>
    </row>
    <row r="184" spans="1:2">
      <c r="A184" t="s">
        <v>353</v>
      </c>
      <c r="B184">
        <v>1.3000000000000001E-9</v>
      </c>
    </row>
    <row r="185" spans="1:2">
      <c r="A185" t="s">
        <v>354</v>
      </c>
      <c r="B185">
        <v>4.3999999999999998E-10</v>
      </c>
    </row>
    <row r="186" spans="1:2">
      <c r="A186" t="s">
        <v>355</v>
      </c>
      <c r="B186">
        <v>1.3000000000000001E-9</v>
      </c>
    </row>
    <row r="187" spans="1:2">
      <c r="A187" t="s">
        <v>356</v>
      </c>
      <c r="B187">
        <v>1E-10</v>
      </c>
    </row>
    <row r="188" spans="1:2">
      <c r="A188" t="s">
        <v>357</v>
      </c>
      <c r="B188">
        <v>1.3000000000000001E-9</v>
      </c>
    </row>
    <row r="189" spans="1:2">
      <c r="A189" t="s">
        <v>358</v>
      </c>
      <c r="B189">
        <v>3.7999999999999998E-10</v>
      </c>
    </row>
    <row r="190" spans="1:2">
      <c r="A190" t="s">
        <v>36</v>
      </c>
      <c r="B190">
        <v>1.3999999999999999E-9</v>
      </c>
    </row>
    <row r="191" spans="1:2">
      <c r="A191" t="s">
        <v>359</v>
      </c>
      <c r="B191">
        <v>5.0000000000000003E-10</v>
      </c>
    </row>
    <row r="192" spans="1:2">
      <c r="A192" t="s">
        <v>129</v>
      </c>
      <c r="B192">
        <v>2.0000000000000001E-9</v>
      </c>
    </row>
    <row r="193" spans="1:2">
      <c r="A193" t="s">
        <v>130</v>
      </c>
      <c r="B193">
        <v>3.1999999999999998E-10</v>
      </c>
    </row>
    <row r="194" spans="1:2">
      <c r="A194" t="s">
        <v>360</v>
      </c>
      <c r="B194">
        <v>2.1999999999999998E-9</v>
      </c>
    </row>
    <row r="195" spans="1:2">
      <c r="A195" t="s">
        <v>361</v>
      </c>
      <c r="B195">
        <v>6E-10</v>
      </c>
    </row>
    <row r="196" spans="1:2">
      <c r="A196" t="s">
        <v>362</v>
      </c>
      <c r="B196">
        <v>9.3999999999999999E-11</v>
      </c>
    </row>
    <row r="197" spans="1:2">
      <c r="A197" t="s">
        <v>191</v>
      </c>
      <c r="B197">
        <v>4.8999999999999999E-11</v>
      </c>
    </row>
    <row r="198" spans="1:2">
      <c r="A198" t="s">
        <v>363</v>
      </c>
      <c r="B198">
        <v>1.3999999999999999E-9</v>
      </c>
    </row>
    <row r="199" spans="1:2">
      <c r="A199" t="s">
        <v>11</v>
      </c>
      <c r="B199">
        <v>3.3E-10</v>
      </c>
    </row>
    <row r="200" spans="1:2">
      <c r="A200" t="s">
        <v>13</v>
      </c>
      <c r="B200">
        <v>1.8E-9</v>
      </c>
    </row>
    <row r="201" spans="1:2">
      <c r="A201" t="s">
        <v>364</v>
      </c>
      <c r="B201">
        <v>1.1000000000000001E-7</v>
      </c>
    </row>
    <row r="202" spans="1:2">
      <c r="A202" t="s">
        <v>365</v>
      </c>
      <c r="B202">
        <v>2.7000000000000002E-9</v>
      </c>
    </row>
    <row r="203" spans="1:2">
      <c r="A203" t="s">
        <v>366</v>
      </c>
      <c r="B203">
        <v>9.0999999999999996E-10</v>
      </c>
    </row>
    <row r="204" spans="1:2">
      <c r="A204" t="s">
        <v>367</v>
      </c>
      <c r="B204">
        <v>4.3999999999999998E-10</v>
      </c>
    </row>
    <row r="205" spans="1:2">
      <c r="A205" t="s">
        <v>368</v>
      </c>
      <c r="B205">
        <v>2.5000000000000001E-9</v>
      </c>
    </row>
    <row r="206" spans="1:2">
      <c r="A206" t="s">
        <v>369</v>
      </c>
      <c r="B206">
        <v>1.4999999999999999E-8</v>
      </c>
    </row>
    <row r="207" spans="1:2">
      <c r="A207" t="s">
        <v>370</v>
      </c>
      <c r="B207">
        <v>7.2E-10</v>
      </c>
    </row>
    <row r="208" spans="1:2">
      <c r="A208" t="s">
        <v>72</v>
      </c>
      <c r="B208">
        <v>2.4E-9</v>
      </c>
    </row>
    <row r="209" spans="1:2">
      <c r="A209" t="s">
        <v>371</v>
      </c>
      <c r="B209">
        <v>3.7000000000000001E-11</v>
      </c>
    </row>
    <row r="210" spans="1:2">
      <c r="A210" t="s">
        <v>372</v>
      </c>
      <c r="B210">
        <v>1.2E-9</v>
      </c>
    </row>
    <row r="211" spans="1:2">
      <c r="A211" t="s">
        <v>373</v>
      </c>
      <c r="B211">
        <v>1.8999999999999999E-10</v>
      </c>
    </row>
    <row r="212" spans="1:2">
      <c r="A212" t="s">
        <v>374</v>
      </c>
      <c r="B212">
        <v>1E-10</v>
      </c>
    </row>
    <row r="213" spans="1:2">
      <c r="A213" t="s">
        <v>375</v>
      </c>
      <c r="B213">
        <v>3.1000000000000003E-11</v>
      </c>
    </row>
    <row r="214" spans="1:2">
      <c r="A214" t="s">
        <v>376</v>
      </c>
      <c r="B214">
        <v>1.0999999999999999E-9</v>
      </c>
    </row>
    <row r="215" spans="1:2">
      <c r="A215" t="s">
        <v>377</v>
      </c>
      <c r="B215">
        <v>2.5999999999999998E-10</v>
      </c>
    </row>
    <row r="216" spans="1:2">
      <c r="A216" t="s">
        <v>378</v>
      </c>
      <c r="B216">
        <v>4.4000000000000003E-11</v>
      </c>
    </row>
    <row r="217" spans="1:2">
      <c r="A217" t="s">
        <v>379</v>
      </c>
      <c r="B217">
        <v>9.5999999999999999E-10</v>
      </c>
    </row>
    <row r="218" spans="1:2">
      <c r="A218" t="s">
        <v>380</v>
      </c>
      <c r="B218">
        <v>6.0999999999999996E-10</v>
      </c>
    </row>
    <row r="219" spans="1:2">
      <c r="A219" t="s">
        <v>381</v>
      </c>
      <c r="B219">
        <v>5.5999999999999999E-8</v>
      </c>
    </row>
    <row r="220" spans="1:2">
      <c r="A220" t="s">
        <v>382</v>
      </c>
      <c r="B220">
        <v>4.5E-10</v>
      </c>
    </row>
    <row r="221" spans="1:2">
      <c r="A221" t="s">
        <v>383</v>
      </c>
      <c r="B221">
        <v>2.0000000000000001E-10</v>
      </c>
    </row>
    <row r="222" spans="1:2">
      <c r="A222" t="s">
        <v>35</v>
      </c>
      <c r="B222">
        <v>4.1000000000000003E-8</v>
      </c>
    </row>
    <row r="223" spans="1:2">
      <c r="A223" t="s">
        <v>384</v>
      </c>
      <c r="B223">
        <v>2.7E-10</v>
      </c>
    </row>
    <row r="224" spans="1:2">
      <c r="A224" t="s">
        <v>385</v>
      </c>
      <c r="B224">
        <v>4.8999999999999996E-10</v>
      </c>
    </row>
    <row r="225" spans="1:2">
      <c r="A225" t="s">
        <v>386</v>
      </c>
      <c r="B225">
        <v>1E-10</v>
      </c>
    </row>
    <row r="226" spans="1:2">
      <c r="A226" t="s">
        <v>387</v>
      </c>
      <c r="B226">
        <v>6.4999999999999995E-11</v>
      </c>
    </row>
    <row r="227" spans="1:2">
      <c r="A227" t="s">
        <v>388</v>
      </c>
      <c r="B227">
        <v>1.3000000000000001E-9</v>
      </c>
    </row>
    <row r="228" spans="1:2">
      <c r="A228" t="s">
        <v>389</v>
      </c>
      <c r="B228">
        <v>2.4E-10</v>
      </c>
    </row>
    <row r="229" spans="1:2">
      <c r="A229" t="s">
        <v>390</v>
      </c>
      <c r="B229">
        <v>1.2000000000000001E-11</v>
      </c>
    </row>
    <row r="230" spans="1:2">
      <c r="A230" t="s">
        <v>391</v>
      </c>
      <c r="B230">
        <v>4.6000000000000003E-11</v>
      </c>
    </row>
    <row r="231" spans="1:2">
      <c r="A231" t="s">
        <v>392</v>
      </c>
      <c r="B231">
        <v>3.3E-10</v>
      </c>
    </row>
    <row r="232" spans="1:2">
      <c r="A232" t="s">
        <v>393</v>
      </c>
      <c r="B232">
        <v>1.2E-10</v>
      </c>
    </row>
    <row r="233" spans="1:2">
      <c r="A233" t="s">
        <v>1</v>
      </c>
      <c r="B233">
        <v>4.1999999999999997E-11</v>
      </c>
    </row>
    <row r="234" spans="1:2">
      <c r="A234" t="s">
        <v>394</v>
      </c>
      <c r="B234">
        <v>4.8E-10</v>
      </c>
    </row>
    <row r="235" spans="1:2">
      <c r="A235" t="s">
        <v>395</v>
      </c>
      <c r="B235">
        <v>1.0000000000000001E-9</v>
      </c>
    </row>
    <row r="236" spans="1:2">
      <c r="A236" t="s">
        <v>396</v>
      </c>
      <c r="B236">
        <v>2.3000000000000001E-10</v>
      </c>
    </row>
    <row r="237" spans="1:2">
      <c r="A237" t="s">
        <v>397</v>
      </c>
      <c r="B237">
        <v>4.0999999999999998E-10</v>
      </c>
    </row>
    <row r="238" spans="1:2">
      <c r="A238" t="s">
        <v>398</v>
      </c>
      <c r="B238">
        <v>8.1000000000000005E-11</v>
      </c>
    </row>
    <row r="239" spans="1:2">
      <c r="A239" t="s">
        <v>399</v>
      </c>
      <c r="B239">
        <v>4.6999999999999999E-9</v>
      </c>
    </row>
    <row r="240" spans="1:2">
      <c r="A240" t="s">
        <v>400</v>
      </c>
      <c r="B240">
        <v>1.2E-9</v>
      </c>
    </row>
    <row r="241" spans="1:2">
      <c r="A241" t="s">
        <v>401</v>
      </c>
      <c r="B241">
        <v>1.7000000000000001E-10</v>
      </c>
    </row>
    <row r="242" spans="1:2">
      <c r="A242" t="s">
        <v>402</v>
      </c>
      <c r="B242">
        <v>1.0999999999999999E-9</v>
      </c>
    </row>
    <row r="243" spans="1:2">
      <c r="A243" t="s">
        <v>403</v>
      </c>
      <c r="B243">
        <v>3E-9</v>
      </c>
    </row>
    <row r="244" spans="1:2">
      <c r="A244" t="s">
        <v>404</v>
      </c>
      <c r="B244">
        <v>4.1999999999999997E-11</v>
      </c>
    </row>
    <row r="245" spans="1:2">
      <c r="A245" t="s">
        <v>405</v>
      </c>
      <c r="B245">
        <v>7.3000000000000006E-11</v>
      </c>
    </row>
    <row r="246" spans="1:2">
      <c r="A246" t="s">
        <v>406</v>
      </c>
      <c r="B246">
        <v>5.1999999999999996E-10</v>
      </c>
    </row>
    <row r="247" spans="1:2">
      <c r="A247" t="s">
        <v>407</v>
      </c>
      <c r="B247">
        <v>8.2000000000000001E-11</v>
      </c>
    </row>
    <row r="248" spans="1:2">
      <c r="A248" t="s">
        <v>408</v>
      </c>
      <c r="B248">
        <v>4.0000000000000001E-10</v>
      </c>
    </row>
    <row r="249" spans="1:2">
      <c r="A249" t="s">
        <v>409</v>
      </c>
      <c r="B249">
        <v>5.1E-8</v>
      </c>
    </row>
    <row r="250" spans="1:2">
      <c r="A250" t="s">
        <v>410</v>
      </c>
      <c r="B250">
        <v>9.7000000000000001E-11</v>
      </c>
    </row>
    <row r="251" spans="1:2">
      <c r="A251" t="s">
        <v>411</v>
      </c>
      <c r="B251">
        <v>5.6000000000000003E-10</v>
      </c>
    </row>
    <row r="252" spans="1:2">
      <c r="A252" t="s">
        <v>412</v>
      </c>
      <c r="B252">
        <v>2.3000000000000001E-10</v>
      </c>
    </row>
    <row r="253" spans="1:2">
      <c r="A253" t="s">
        <v>413</v>
      </c>
      <c r="B253">
        <v>4.7000000000000003E-10</v>
      </c>
    </row>
    <row r="254" spans="1:2">
      <c r="A254" t="s">
        <v>414</v>
      </c>
      <c r="B254">
        <v>3.1000000000000003E-11</v>
      </c>
    </row>
    <row r="255" spans="1:2">
      <c r="A255" t="s">
        <v>415</v>
      </c>
      <c r="B255">
        <v>1.9000000000000001E-9</v>
      </c>
    </row>
    <row r="256" spans="1:2">
      <c r="A256" t="s">
        <v>416</v>
      </c>
      <c r="B256">
        <v>3.7000000000000001E-11</v>
      </c>
    </row>
    <row r="257" spans="1:2">
      <c r="A257" t="s">
        <v>417</v>
      </c>
      <c r="B257">
        <v>6.5000000000000002E-12</v>
      </c>
    </row>
    <row r="258" spans="1:2">
      <c r="A258" t="s">
        <v>418</v>
      </c>
      <c r="B258">
        <v>7.8999999999999999E-12</v>
      </c>
    </row>
    <row r="259" spans="1:2">
      <c r="A259" t="s">
        <v>419</v>
      </c>
      <c r="B259">
        <v>1.3E-11</v>
      </c>
    </row>
    <row r="260" spans="1:2">
      <c r="A260" t="s">
        <v>420</v>
      </c>
      <c r="B260">
        <v>3.3000000000000001E-12</v>
      </c>
    </row>
    <row r="261" spans="1:2">
      <c r="A261" t="s">
        <v>421</v>
      </c>
      <c r="B261">
        <v>2.6000000000000001E-11</v>
      </c>
    </row>
    <row r="262" spans="1:2">
      <c r="A262" t="s">
        <v>422</v>
      </c>
      <c r="B262">
        <v>9.4999999999999995E-12</v>
      </c>
    </row>
    <row r="263" spans="1:2">
      <c r="A263" t="s">
        <v>423</v>
      </c>
      <c r="B263">
        <v>1.6E-11</v>
      </c>
    </row>
    <row r="264" spans="1:2">
      <c r="A264" t="s">
        <v>424</v>
      </c>
      <c r="B264">
        <v>1.3999999999999999E-9</v>
      </c>
    </row>
    <row r="265" spans="1:2">
      <c r="A265" t="s">
        <v>425</v>
      </c>
      <c r="B265">
        <v>2.0000000000000001E-9</v>
      </c>
    </row>
    <row r="266" spans="1:2">
      <c r="A266" t="s">
        <v>426</v>
      </c>
      <c r="B266">
        <v>8.2999999999999998E-11</v>
      </c>
    </row>
    <row r="267" spans="1:2">
      <c r="A267" t="s">
        <v>190</v>
      </c>
      <c r="B267">
        <v>3.4000000000000001E-10</v>
      </c>
    </row>
    <row r="268" spans="1:2">
      <c r="A268" t="s">
        <v>427</v>
      </c>
      <c r="B268">
        <v>2.1E-10</v>
      </c>
    </row>
    <row r="269" spans="1:2">
      <c r="A269" t="s">
        <v>189</v>
      </c>
      <c r="B269">
        <v>8.2000000000000001E-11</v>
      </c>
    </row>
    <row r="270" spans="1:2">
      <c r="A270" t="s">
        <v>25</v>
      </c>
      <c r="B270">
        <v>2.1E-10</v>
      </c>
    </row>
    <row r="271" spans="1:2">
      <c r="A271" t="s">
        <v>26</v>
      </c>
      <c r="B271">
        <v>1.3000000000000001E-8</v>
      </c>
    </row>
    <row r="272" spans="1:2">
      <c r="A272" t="s">
        <v>27</v>
      </c>
      <c r="B272">
        <v>1.4999999999999999E-8</v>
      </c>
    </row>
    <row r="273" spans="1:2">
      <c r="A273" t="s">
        <v>188</v>
      </c>
      <c r="B273">
        <v>2.9000000000000002E-8</v>
      </c>
    </row>
    <row r="274" spans="1:2">
      <c r="A274" t="s">
        <v>187</v>
      </c>
      <c r="B274">
        <v>4.6000000000000003E-11</v>
      </c>
    </row>
    <row r="275" spans="1:2">
      <c r="A275" t="s">
        <v>28</v>
      </c>
      <c r="B275">
        <v>1.1000000000000001E-7</v>
      </c>
    </row>
    <row r="276" spans="1:2">
      <c r="A276" t="s">
        <v>186</v>
      </c>
      <c r="B276">
        <v>2.0000000000000001E-9</v>
      </c>
    </row>
    <row r="277" spans="1:2">
      <c r="A277" t="s">
        <v>30</v>
      </c>
      <c r="B277">
        <v>2.1999999999999998E-8</v>
      </c>
    </row>
    <row r="278" spans="1:2">
      <c r="A278" t="s">
        <v>185</v>
      </c>
      <c r="B278">
        <v>2.8999999999999998E-10</v>
      </c>
    </row>
    <row r="279" spans="1:2">
      <c r="A279" t="s">
        <v>428</v>
      </c>
      <c r="B279">
        <v>2.1999999999999999E-10</v>
      </c>
    </row>
    <row r="280" spans="1:2">
      <c r="A280" t="s">
        <v>184</v>
      </c>
      <c r="B280">
        <v>4.2999999999999996E-9</v>
      </c>
    </row>
    <row r="281" spans="1:2">
      <c r="A281" t="s">
        <v>183</v>
      </c>
      <c r="B281">
        <v>1.0999999999999999E-10</v>
      </c>
    </row>
    <row r="282" spans="1:2">
      <c r="A282" t="s">
        <v>182</v>
      </c>
      <c r="B282">
        <v>9.2999999999999999E-10</v>
      </c>
    </row>
    <row r="283" spans="1:2">
      <c r="A283" t="s">
        <v>429</v>
      </c>
      <c r="B283">
        <v>6.6000000000000005E-11</v>
      </c>
    </row>
    <row r="284" spans="1:2">
      <c r="A284" t="s">
        <v>430</v>
      </c>
      <c r="B284">
        <v>2.4E-10</v>
      </c>
    </row>
    <row r="285" spans="1:2">
      <c r="A285" t="s">
        <v>431</v>
      </c>
      <c r="B285">
        <v>1E-10</v>
      </c>
    </row>
    <row r="286" spans="1:2">
      <c r="A286" t="s">
        <v>432</v>
      </c>
      <c r="B286">
        <v>2.8999999999999998E-10</v>
      </c>
    </row>
    <row r="287" spans="1:2">
      <c r="A287" t="s">
        <v>433</v>
      </c>
      <c r="B287">
        <v>9.9999999999999994E-12</v>
      </c>
    </row>
    <row r="288" spans="1:2">
      <c r="A288" t="s">
        <v>434</v>
      </c>
      <c r="B288">
        <v>2.8E-11</v>
      </c>
    </row>
    <row r="289" spans="1:2">
      <c r="A289" t="s">
        <v>435</v>
      </c>
      <c r="B289">
        <v>4.1000000000000003E-9</v>
      </c>
    </row>
    <row r="290" spans="1:2">
      <c r="A290" t="s">
        <v>436</v>
      </c>
      <c r="B290">
        <v>3.2000000000000002E-8</v>
      </c>
    </row>
    <row r="291" spans="1:2">
      <c r="A291" t="s">
        <v>437</v>
      </c>
      <c r="B291">
        <v>8.6E-11</v>
      </c>
    </row>
    <row r="292" spans="1:2">
      <c r="A292" t="s">
        <v>438</v>
      </c>
      <c r="B292">
        <v>6.3999999999999999E-11</v>
      </c>
    </row>
    <row r="293" spans="1:2">
      <c r="A293" t="s">
        <v>439</v>
      </c>
      <c r="B293">
        <v>3.1000000000000003E-11</v>
      </c>
    </row>
    <row r="294" spans="1:2">
      <c r="A294" t="s">
        <v>440</v>
      </c>
      <c r="B294">
        <v>1.2E-10</v>
      </c>
    </row>
    <row r="295" spans="1:2">
      <c r="A295" t="s">
        <v>441</v>
      </c>
      <c r="B295">
        <v>4.6999999999999999E-11</v>
      </c>
    </row>
    <row r="296" spans="1:2">
      <c r="A296" t="s">
        <v>442</v>
      </c>
      <c r="B296">
        <v>4.8000000000000002E-11</v>
      </c>
    </row>
    <row r="297" spans="1:2">
      <c r="A297" t="s">
        <v>443</v>
      </c>
      <c r="B297">
        <v>1.7000000000000001E-10</v>
      </c>
    </row>
    <row r="298" spans="1:2">
      <c r="A298" t="s">
        <v>444</v>
      </c>
      <c r="B298">
        <v>2.5999999999999998E-10</v>
      </c>
    </row>
    <row r="299" spans="1:2">
      <c r="A299" t="s">
        <v>445</v>
      </c>
      <c r="B299">
        <v>4.8999999999999996E-10</v>
      </c>
    </row>
    <row r="300" spans="1:2">
      <c r="A300" t="s">
        <v>446</v>
      </c>
      <c r="B300">
        <v>6.0999999999999996E-11</v>
      </c>
    </row>
    <row r="301" spans="1:2">
      <c r="A301" t="s">
        <v>447</v>
      </c>
      <c r="B301">
        <v>1.2E-10</v>
      </c>
    </row>
    <row r="302" spans="1:2">
      <c r="A302" t="s">
        <v>448</v>
      </c>
      <c r="B302">
        <v>6.3E-10</v>
      </c>
    </row>
    <row r="303" spans="1:2">
      <c r="A303" t="s">
        <v>449</v>
      </c>
      <c r="B303">
        <v>2.4E-10</v>
      </c>
    </row>
    <row r="304" spans="1:2">
      <c r="A304" t="s">
        <v>450</v>
      </c>
      <c r="B304">
        <v>1.2E-9</v>
      </c>
    </row>
    <row r="305" spans="1:2">
      <c r="A305" t="s">
        <v>451</v>
      </c>
      <c r="B305">
        <v>7.9999999999999998E-12</v>
      </c>
    </row>
    <row r="306" spans="1:2">
      <c r="A306" t="s">
        <v>452</v>
      </c>
      <c r="B306">
        <v>1.2E-10</v>
      </c>
    </row>
    <row r="307" spans="1:2">
      <c r="A307" t="s">
        <v>453</v>
      </c>
      <c r="B307">
        <v>1.3999999999999999E-9</v>
      </c>
    </row>
    <row r="308" spans="1:2">
      <c r="A308" t="s">
        <v>454</v>
      </c>
      <c r="B308">
        <v>3.1000000000000002E-10</v>
      </c>
    </row>
    <row r="309" spans="1:2">
      <c r="A309" t="s">
        <v>455</v>
      </c>
      <c r="B309">
        <v>2.7E-10</v>
      </c>
    </row>
    <row r="310" spans="1:2">
      <c r="A310" t="s">
        <v>456</v>
      </c>
      <c r="B310">
        <v>1.3000000000000001E-9</v>
      </c>
    </row>
    <row r="311" spans="1:2">
      <c r="A311" t="s">
        <v>457</v>
      </c>
      <c r="B311">
        <v>2.1000000000000002E-9</v>
      </c>
    </row>
    <row r="312" spans="1:2">
      <c r="A312" t="s">
        <v>458</v>
      </c>
      <c r="B312">
        <v>1E-10</v>
      </c>
    </row>
    <row r="313" spans="1:2">
      <c r="A313" t="s">
        <v>459</v>
      </c>
      <c r="B313">
        <v>2.1E-10</v>
      </c>
    </row>
    <row r="314" spans="1:2">
      <c r="A314" t="s">
        <v>181</v>
      </c>
      <c r="B314">
        <v>6.2000000000000001E-9</v>
      </c>
    </row>
    <row r="315" spans="1:2">
      <c r="A315" t="s">
        <v>180</v>
      </c>
      <c r="B315">
        <v>4.3000000000000001E-10</v>
      </c>
    </row>
    <row r="316" spans="1:2">
      <c r="A316" t="s">
        <v>179</v>
      </c>
      <c r="B316">
        <v>2.5000000000000002E-10</v>
      </c>
    </row>
    <row r="317" spans="1:2">
      <c r="A317" t="s">
        <v>178</v>
      </c>
      <c r="B317">
        <v>8.3999999999999994E-11</v>
      </c>
    </row>
    <row r="318" spans="1:2">
      <c r="A318" t="s">
        <v>177</v>
      </c>
      <c r="B318">
        <v>5.4000000000000001E-11</v>
      </c>
    </row>
    <row r="319" spans="1:2">
      <c r="A319" t="s">
        <v>460</v>
      </c>
      <c r="B319">
        <v>3.5000000000000002E-11</v>
      </c>
    </row>
    <row r="320" spans="1:2">
      <c r="A320" t="s">
        <v>461</v>
      </c>
      <c r="B320">
        <v>3.9E-10</v>
      </c>
    </row>
    <row r="321" spans="1:2">
      <c r="A321" t="s">
        <v>462</v>
      </c>
      <c r="B321">
        <v>3E-11</v>
      </c>
    </row>
    <row r="322" spans="1:2">
      <c r="A322" t="s">
        <v>463</v>
      </c>
      <c r="B322">
        <v>8.1000000000000005E-11</v>
      </c>
    </row>
    <row r="323" spans="1:2">
      <c r="A323" t="s">
        <v>464</v>
      </c>
      <c r="B323">
        <v>1.0999999999999999E-9</v>
      </c>
    </row>
    <row r="324" spans="1:2">
      <c r="A324" t="s">
        <v>465</v>
      </c>
      <c r="B324">
        <v>2.0000000000000001E-9</v>
      </c>
    </row>
    <row r="325" spans="1:2">
      <c r="A325" t="s">
        <v>466</v>
      </c>
      <c r="B325">
        <v>3.6E-10</v>
      </c>
    </row>
    <row r="326" spans="1:2">
      <c r="A326" t="s">
        <v>467</v>
      </c>
      <c r="B326">
        <v>1.8E-10</v>
      </c>
    </row>
    <row r="327" spans="1:2">
      <c r="A327" t="s">
        <v>468</v>
      </c>
      <c r="B327">
        <v>5.6E-11</v>
      </c>
    </row>
    <row r="328" spans="1:2">
      <c r="A328" t="s">
        <v>469</v>
      </c>
      <c r="B328">
        <v>4.6000000000000001E-10</v>
      </c>
    </row>
    <row r="329" spans="1:2">
      <c r="A329" t="s">
        <v>470</v>
      </c>
      <c r="B329">
        <v>9.900000000000001E-10</v>
      </c>
    </row>
    <row r="330" spans="1:2">
      <c r="A330" t="s">
        <v>471</v>
      </c>
      <c r="B330">
        <v>6.6999999999999996E-10</v>
      </c>
    </row>
    <row r="331" spans="1:2">
      <c r="A331" t="s">
        <v>472</v>
      </c>
      <c r="B331">
        <v>1.3000000000000001E-9</v>
      </c>
    </row>
    <row r="332" spans="1:2">
      <c r="A332" t="s">
        <v>473</v>
      </c>
      <c r="B332">
        <v>2.5999999999999998E-10</v>
      </c>
    </row>
    <row r="333" spans="1:2">
      <c r="A333" t="s">
        <v>474</v>
      </c>
      <c r="B333">
        <v>2.7E-10</v>
      </c>
    </row>
    <row r="334" spans="1:2">
      <c r="A334" t="s">
        <v>475</v>
      </c>
      <c r="B334">
        <v>5.3000000000000003E-10</v>
      </c>
    </row>
    <row r="335" spans="1:2">
      <c r="A335" t="s">
        <v>476</v>
      </c>
      <c r="B335">
        <v>1.8E-9</v>
      </c>
    </row>
    <row r="336" spans="1:2">
      <c r="A336" t="s">
        <v>477</v>
      </c>
      <c r="B336">
        <v>1.7000000000000001E-10</v>
      </c>
    </row>
    <row r="337" spans="1:2">
      <c r="A337" t="s">
        <v>478</v>
      </c>
      <c r="B337">
        <v>5.3000000000000003E-10</v>
      </c>
    </row>
    <row r="338" spans="1:2">
      <c r="A338" t="s">
        <v>479</v>
      </c>
      <c r="B338">
        <v>1.6999999999999999E-9</v>
      </c>
    </row>
    <row r="339" spans="1:2">
      <c r="A339" t="s">
        <v>480</v>
      </c>
      <c r="B339">
        <v>4.6999999999999999E-11</v>
      </c>
    </row>
    <row r="340" spans="1:2">
      <c r="A340" t="s">
        <v>481</v>
      </c>
      <c r="B340">
        <v>3.7999999999999998E-11</v>
      </c>
    </row>
    <row r="341" spans="1:2">
      <c r="A341" t="s">
        <v>482</v>
      </c>
      <c r="B341">
        <v>2.1E-10</v>
      </c>
    </row>
    <row r="342" spans="1:2">
      <c r="A342" t="s">
        <v>483</v>
      </c>
      <c r="B342">
        <v>1.2E-10</v>
      </c>
    </row>
    <row r="343" spans="1:2">
      <c r="A343" t="s">
        <v>484</v>
      </c>
      <c r="B343">
        <v>1.3000000000000001E-8</v>
      </c>
    </row>
    <row r="344" spans="1:2">
      <c r="A344" t="s">
        <v>485</v>
      </c>
      <c r="B344">
        <v>2.1999999999999998E-9</v>
      </c>
    </row>
    <row r="345" spans="1:2">
      <c r="A345" t="s">
        <v>486</v>
      </c>
      <c r="B345">
        <v>9.3000000000000002E-11</v>
      </c>
    </row>
    <row r="346" spans="1:2">
      <c r="A346" t="s">
        <v>487</v>
      </c>
      <c r="B346">
        <v>1.8E-9</v>
      </c>
    </row>
    <row r="347" spans="1:2">
      <c r="A347" t="s">
        <v>488</v>
      </c>
      <c r="B347">
        <v>6.8999999999999994E-11</v>
      </c>
    </row>
    <row r="348" spans="1:2">
      <c r="A348" t="s">
        <v>489</v>
      </c>
      <c r="B348">
        <v>3E-11</v>
      </c>
    </row>
    <row r="349" spans="1:2">
      <c r="A349" t="s">
        <v>10</v>
      </c>
      <c r="B349">
        <v>7.1000000000000003E-10</v>
      </c>
    </row>
    <row r="350" spans="1:2">
      <c r="A350" t="s">
        <v>490</v>
      </c>
      <c r="B350">
        <v>2.5000000000000002E-10</v>
      </c>
    </row>
    <row r="351" spans="1:2">
      <c r="A351" t="s">
        <v>491</v>
      </c>
      <c r="B351">
        <v>4.1000000000000001E-11</v>
      </c>
    </row>
    <row r="352" spans="1:2">
      <c r="A352" t="s">
        <v>492</v>
      </c>
      <c r="B352">
        <v>2.1999999999999999E-10</v>
      </c>
    </row>
    <row r="353" spans="1:2">
      <c r="A353" t="s">
        <v>493</v>
      </c>
      <c r="B353">
        <v>3.1E-9</v>
      </c>
    </row>
    <row r="354" spans="1:2">
      <c r="A354" t="s">
        <v>494</v>
      </c>
      <c r="B354">
        <v>1.0999999999999999E-10</v>
      </c>
    </row>
    <row r="355" spans="1:2">
      <c r="A355" t="s">
        <v>495</v>
      </c>
      <c r="B355">
        <v>6E-10</v>
      </c>
    </row>
    <row r="356" spans="1:2">
      <c r="A356" t="s">
        <v>3</v>
      </c>
      <c r="B356">
        <v>3.2000000000000001E-9</v>
      </c>
    </row>
    <row r="357" spans="1:2">
      <c r="A357" t="s">
        <v>496</v>
      </c>
      <c r="B357">
        <v>4.3000000000000001E-10</v>
      </c>
    </row>
    <row r="358" spans="1:2">
      <c r="A358" t="s">
        <v>497</v>
      </c>
      <c r="B358">
        <v>6.3000000000000002E-11</v>
      </c>
    </row>
    <row r="359" spans="1:2">
      <c r="A359" t="s">
        <v>498</v>
      </c>
      <c r="B359">
        <v>2.7E-10</v>
      </c>
    </row>
    <row r="360" spans="1:2">
      <c r="A360" t="s">
        <v>499</v>
      </c>
      <c r="B360">
        <v>1.4000000000000001E-10</v>
      </c>
    </row>
    <row r="361" spans="1:2">
      <c r="A361" t="s">
        <v>500</v>
      </c>
      <c r="B361">
        <v>1.2E-9</v>
      </c>
    </row>
    <row r="362" spans="1:2">
      <c r="A362" t="s">
        <v>111</v>
      </c>
      <c r="B362">
        <v>1.2E-10</v>
      </c>
    </row>
    <row r="363" spans="1:2">
      <c r="A363" t="s">
        <v>501</v>
      </c>
      <c r="B363">
        <v>1.6999999999999999E-9</v>
      </c>
    </row>
    <row r="364" spans="1:2">
      <c r="A364" t="s">
        <v>502</v>
      </c>
      <c r="B364">
        <v>5.7999999999999996E-10</v>
      </c>
    </row>
    <row r="365" spans="1:2">
      <c r="A365" t="s">
        <v>503</v>
      </c>
      <c r="B365">
        <v>5.6000000000000003E-10</v>
      </c>
    </row>
    <row r="366" spans="1:2">
      <c r="A366" t="s">
        <v>504</v>
      </c>
      <c r="B366">
        <v>1.0999999999999999E-9</v>
      </c>
    </row>
    <row r="367" spans="1:2">
      <c r="A367" t="s">
        <v>505</v>
      </c>
      <c r="B367">
        <v>6.7999999999999998E-11</v>
      </c>
    </row>
    <row r="368" spans="1:2">
      <c r="A368" t="s">
        <v>506</v>
      </c>
      <c r="B368">
        <v>1.0999999999999999E-10</v>
      </c>
    </row>
    <row r="369" spans="1:2">
      <c r="A369" t="s">
        <v>507</v>
      </c>
      <c r="B369">
        <v>9.8999999999999994E-11</v>
      </c>
    </row>
    <row r="370" spans="1:2">
      <c r="A370" t="s">
        <v>508</v>
      </c>
      <c r="B370">
        <v>6.3999999999999996E-10</v>
      </c>
    </row>
    <row r="371" spans="1:2">
      <c r="A371" t="s">
        <v>509</v>
      </c>
      <c r="B371">
        <v>1.9999999999999999E-11</v>
      </c>
    </row>
    <row r="372" spans="1:2">
      <c r="A372" t="s">
        <v>510</v>
      </c>
      <c r="B372">
        <v>2.5000000000000002E-10</v>
      </c>
    </row>
    <row r="373" spans="1:2">
      <c r="A373" t="s">
        <v>511</v>
      </c>
      <c r="B373">
        <v>8.2999999999999998E-12</v>
      </c>
    </row>
    <row r="374" spans="1:2">
      <c r="A374" t="s">
        <v>512</v>
      </c>
      <c r="B374">
        <v>1.0999999999999999E-9</v>
      </c>
    </row>
    <row r="375" spans="1:2">
      <c r="A375" t="s">
        <v>513</v>
      </c>
      <c r="B375">
        <v>1.2E-10</v>
      </c>
    </row>
    <row r="376" spans="1:2">
      <c r="A376" t="s">
        <v>514</v>
      </c>
      <c r="B376">
        <v>3E-11</v>
      </c>
    </row>
    <row r="377" spans="1:2">
      <c r="A377" t="s">
        <v>515</v>
      </c>
      <c r="B377">
        <v>8.6000000000000003E-10</v>
      </c>
    </row>
    <row r="378" spans="1:2">
      <c r="A378" t="s">
        <v>516</v>
      </c>
      <c r="B378">
        <v>8.6999999999999999E-10</v>
      </c>
    </row>
    <row r="379" spans="1:2">
      <c r="A379" t="s">
        <v>108</v>
      </c>
      <c r="B379">
        <v>6.3000000000000002E-11</v>
      </c>
    </row>
    <row r="380" spans="1:2">
      <c r="A380" t="s">
        <v>15</v>
      </c>
      <c r="B380">
        <v>1.5E-10</v>
      </c>
    </row>
    <row r="381" spans="1:2">
      <c r="A381" t="s">
        <v>517</v>
      </c>
      <c r="B381">
        <v>1.8E-10</v>
      </c>
    </row>
    <row r="382" spans="1:2">
      <c r="A382" t="s">
        <v>518</v>
      </c>
      <c r="B382">
        <v>3E-9</v>
      </c>
    </row>
    <row r="383" spans="1:2">
      <c r="A383" t="s">
        <v>519</v>
      </c>
      <c r="B383">
        <v>9.6999999999999995E-12</v>
      </c>
    </row>
    <row r="384" spans="1:2">
      <c r="A384" t="s">
        <v>520</v>
      </c>
      <c r="B384">
        <v>2.1999999999999999E-12</v>
      </c>
    </row>
    <row r="385" spans="1:2">
      <c r="A385" t="s">
        <v>521</v>
      </c>
      <c r="B385">
        <v>8.0999999999999999E-10</v>
      </c>
    </row>
    <row r="386" spans="1:2">
      <c r="A386" t="s">
        <v>522</v>
      </c>
      <c r="B386">
        <v>5.2999999999999998E-11</v>
      </c>
    </row>
    <row r="387" spans="1:2">
      <c r="A387" t="s">
        <v>131</v>
      </c>
      <c r="B387">
        <v>1.7E-8</v>
      </c>
    </row>
    <row r="388" spans="1:2">
      <c r="A388" t="s">
        <v>523</v>
      </c>
      <c r="B388">
        <v>1.8999999999999999E-10</v>
      </c>
    </row>
    <row r="389" spans="1:2">
      <c r="A389" t="s">
        <v>95</v>
      </c>
      <c r="B389">
        <v>1.1000000000000001E-7</v>
      </c>
    </row>
    <row r="390" spans="1:2">
      <c r="A390" t="s">
        <v>149</v>
      </c>
      <c r="B390">
        <v>9.0999999999999996E-10</v>
      </c>
    </row>
    <row r="391" spans="1:2">
      <c r="A391" t="s">
        <v>100</v>
      </c>
      <c r="B391">
        <v>8.0000000000000003E-10</v>
      </c>
    </row>
    <row r="392" spans="1:2">
      <c r="A392" t="s">
        <v>524</v>
      </c>
      <c r="B392">
        <v>8.2000000000000001E-11</v>
      </c>
    </row>
    <row r="393" spans="1:2">
      <c r="A393" t="s">
        <v>525</v>
      </c>
      <c r="B393">
        <v>1.6999999999999999E-11</v>
      </c>
    </row>
    <row r="394" spans="1:2">
      <c r="A394" t="s">
        <v>526</v>
      </c>
      <c r="B394">
        <v>8.9000000000000003E-11</v>
      </c>
    </row>
    <row r="395" spans="1:2">
      <c r="A395" t="s">
        <v>527</v>
      </c>
      <c r="B395">
        <v>5.6000000000000003E-10</v>
      </c>
    </row>
    <row r="396" spans="1:2">
      <c r="A396" t="s">
        <v>528</v>
      </c>
      <c r="B396">
        <v>5.1E-10</v>
      </c>
    </row>
    <row r="397" spans="1:2">
      <c r="A397" t="s">
        <v>529</v>
      </c>
      <c r="B397">
        <v>1.7999999999999999E-11</v>
      </c>
    </row>
    <row r="398" spans="1:2">
      <c r="A398" t="s">
        <v>530</v>
      </c>
      <c r="B398">
        <v>5.7E-10</v>
      </c>
    </row>
    <row r="399" spans="1:2">
      <c r="A399" t="s">
        <v>531</v>
      </c>
      <c r="B399">
        <v>9.6000000000000005E-11</v>
      </c>
    </row>
    <row r="400" spans="1:2">
      <c r="A400" t="s">
        <v>532</v>
      </c>
      <c r="B400">
        <v>8.0999999999999999E-10</v>
      </c>
    </row>
    <row r="401" spans="1:2">
      <c r="A401" t="s">
        <v>533</v>
      </c>
      <c r="B401">
        <v>2.4E-9</v>
      </c>
    </row>
    <row r="402" spans="1:2">
      <c r="A402" t="s">
        <v>4</v>
      </c>
      <c r="B402">
        <v>2.4E-9</v>
      </c>
    </row>
    <row r="403" spans="1:2">
      <c r="A403" t="s">
        <v>5</v>
      </c>
      <c r="B403">
        <v>2.4E-10</v>
      </c>
    </row>
    <row r="404" spans="1:2">
      <c r="A404" t="s">
        <v>534</v>
      </c>
      <c r="B404">
        <v>4.5E-10</v>
      </c>
    </row>
    <row r="405" spans="1:2">
      <c r="A405" t="s">
        <v>535</v>
      </c>
      <c r="B405">
        <v>7.7999999999999999E-10</v>
      </c>
    </row>
    <row r="406" spans="1:2">
      <c r="A406" t="s">
        <v>536</v>
      </c>
      <c r="B406">
        <v>9.2000000000000003E-10</v>
      </c>
    </row>
    <row r="407" spans="1:2">
      <c r="A407" t="s">
        <v>84</v>
      </c>
      <c r="B407">
        <v>7.0999999999999998E-7</v>
      </c>
    </row>
    <row r="408" spans="1:2">
      <c r="A408" t="s">
        <v>537</v>
      </c>
      <c r="B408">
        <v>7.2E-10</v>
      </c>
    </row>
    <row r="409" spans="1:2">
      <c r="A409" t="s">
        <v>88</v>
      </c>
      <c r="B409">
        <v>8.6999999999999999E-10</v>
      </c>
    </row>
    <row r="410" spans="1:2">
      <c r="A410" t="s">
        <v>90</v>
      </c>
      <c r="B410">
        <v>5.1E-10</v>
      </c>
    </row>
    <row r="411" spans="1:2">
      <c r="A411" t="s">
        <v>538</v>
      </c>
      <c r="B411">
        <v>2.9E-11</v>
      </c>
    </row>
    <row r="412" spans="1:2">
      <c r="A412" t="s">
        <v>539</v>
      </c>
      <c r="B412">
        <v>1E-10</v>
      </c>
    </row>
    <row r="413" spans="1:2">
      <c r="A413" t="s">
        <v>540</v>
      </c>
      <c r="B413">
        <v>5.4000000000000001E-11</v>
      </c>
    </row>
    <row r="414" spans="1:2">
      <c r="A414" t="s">
        <v>541</v>
      </c>
      <c r="B414">
        <v>4.0000000000000001E-10</v>
      </c>
    </row>
    <row r="415" spans="1:2">
      <c r="A415" t="s">
        <v>542</v>
      </c>
      <c r="B415">
        <v>1.5999999999999999E-10</v>
      </c>
    </row>
    <row r="416" spans="1:2">
      <c r="A416" t="s">
        <v>543</v>
      </c>
      <c r="B416">
        <v>8.7999999999999994E-9</v>
      </c>
    </row>
    <row r="417" spans="1:2">
      <c r="A417" t="s">
        <v>544</v>
      </c>
      <c r="B417">
        <v>1.2999999999999999E-10</v>
      </c>
    </row>
    <row r="418" spans="1:2">
      <c r="A418" t="s">
        <v>545</v>
      </c>
      <c r="B418">
        <v>2.4E-10</v>
      </c>
    </row>
    <row r="419" spans="1:2">
      <c r="A419" t="s">
        <v>546</v>
      </c>
      <c r="B419">
        <v>2.8000000000000002E-10</v>
      </c>
    </row>
    <row r="420" spans="1:2">
      <c r="A420" t="s">
        <v>40</v>
      </c>
      <c r="B420">
        <v>5.6999999999999997E-11</v>
      </c>
    </row>
    <row r="421" spans="1:2">
      <c r="A421" t="s">
        <v>44</v>
      </c>
      <c r="B421">
        <v>6.8999999999999996E-7</v>
      </c>
    </row>
    <row r="422" spans="1:2">
      <c r="A422" t="s">
        <v>48</v>
      </c>
      <c r="B422">
        <v>1.8E-10</v>
      </c>
    </row>
    <row r="423" spans="1:2">
      <c r="A423" t="s">
        <v>51</v>
      </c>
      <c r="B423">
        <v>6E-9</v>
      </c>
    </row>
    <row r="424" spans="1:2">
      <c r="A424" t="s">
        <v>56</v>
      </c>
      <c r="B424">
        <v>1.4000000000000001E-10</v>
      </c>
    </row>
    <row r="425" spans="1:2">
      <c r="A425" t="s">
        <v>547</v>
      </c>
      <c r="B425">
        <v>9.4000000000000006E-10</v>
      </c>
    </row>
    <row r="426" spans="1:2">
      <c r="A426" t="s">
        <v>548</v>
      </c>
      <c r="B426">
        <v>9.3999999999999999E-11</v>
      </c>
    </row>
    <row r="427" spans="1:2">
      <c r="A427" t="s">
        <v>549</v>
      </c>
      <c r="B427">
        <v>1.8999999999999999E-10</v>
      </c>
    </row>
    <row r="428" spans="1:2">
      <c r="A428" t="s">
        <v>114</v>
      </c>
      <c r="B428">
        <v>3.7000000000000001E-11</v>
      </c>
    </row>
    <row r="429" spans="1:2">
      <c r="A429" t="s">
        <v>550</v>
      </c>
      <c r="B429">
        <v>5.4999999999999996E-10</v>
      </c>
    </row>
    <row r="430" spans="1:2">
      <c r="A430" t="s">
        <v>551</v>
      </c>
      <c r="B430">
        <v>3.5999999999999998E-11</v>
      </c>
    </row>
    <row r="431" spans="1:2">
      <c r="A431" t="s">
        <v>552</v>
      </c>
      <c r="B431">
        <v>2.3000000000000001E-10</v>
      </c>
    </row>
    <row r="432" spans="1:2">
      <c r="A432" t="s">
        <v>553</v>
      </c>
      <c r="B432">
        <v>9.6999999999999996E-10</v>
      </c>
    </row>
    <row r="433" spans="1:2">
      <c r="A433" t="s">
        <v>554</v>
      </c>
      <c r="B433">
        <v>1.0999999999999999E-10</v>
      </c>
    </row>
    <row r="434" spans="1:2">
      <c r="A434" t="s">
        <v>126</v>
      </c>
      <c r="B434">
        <v>8.9999999999999999E-10</v>
      </c>
    </row>
    <row r="435" spans="1:2">
      <c r="A435" t="s">
        <v>127</v>
      </c>
      <c r="B435">
        <v>2.5999999999999998E-10</v>
      </c>
    </row>
    <row r="436" spans="1:2">
      <c r="A436" t="s">
        <v>555</v>
      </c>
      <c r="B436">
        <v>2.7000000000000002E-9</v>
      </c>
    </row>
    <row r="437" spans="1:2">
      <c r="A437" t="s">
        <v>556</v>
      </c>
      <c r="B437">
        <v>1.6999999999999999E-9</v>
      </c>
    </row>
    <row r="438" spans="1:2">
      <c r="A438" t="s">
        <v>557</v>
      </c>
      <c r="B438">
        <v>9.900000000000001E-10</v>
      </c>
    </row>
    <row r="439" spans="1:2">
      <c r="A439" t="s">
        <v>558</v>
      </c>
      <c r="B439">
        <v>2.5999999999999998E-10</v>
      </c>
    </row>
    <row r="440" spans="1:2">
      <c r="A440" t="s">
        <v>559</v>
      </c>
      <c r="B440">
        <v>7.2999999999999996E-10</v>
      </c>
    </row>
    <row r="441" spans="1:2">
      <c r="A441" t="s">
        <v>560</v>
      </c>
      <c r="B441">
        <v>4.6000000000000003E-11</v>
      </c>
    </row>
    <row r="442" spans="1:2">
      <c r="A442" t="s">
        <v>561</v>
      </c>
      <c r="B442">
        <v>5.8E-11</v>
      </c>
    </row>
    <row r="443" spans="1:2">
      <c r="A443" t="s">
        <v>562</v>
      </c>
      <c r="B443">
        <v>1.0999999999999999E-10</v>
      </c>
    </row>
    <row r="444" spans="1:2">
      <c r="A444" t="s">
        <v>42</v>
      </c>
      <c r="B444">
        <v>1.1999999999999999E-6</v>
      </c>
    </row>
    <row r="445" spans="1:2">
      <c r="A445" t="s">
        <v>563</v>
      </c>
      <c r="B445">
        <v>3.3000000000000002E-11</v>
      </c>
    </row>
    <row r="446" spans="1:2">
      <c r="A446" t="s">
        <v>564</v>
      </c>
      <c r="B446">
        <v>3.9999999999999998E-11</v>
      </c>
    </row>
    <row r="447" spans="1:2">
      <c r="A447" t="s">
        <v>565</v>
      </c>
      <c r="B447">
        <v>1.2999999999999999E-10</v>
      </c>
    </row>
    <row r="448" spans="1:2">
      <c r="A448" t="s">
        <v>566</v>
      </c>
      <c r="B448">
        <v>3.1000000000000003E-11</v>
      </c>
    </row>
    <row r="449" spans="1:2">
      <c r="A449" t="s">
        <v>567</v>
      </c>
      <c r="B449">
        <v>1.3000000000000001E-9</v>
      </c>
    </row>
    <row r="450" spans="1:2">
      <c r="A450" t="s">
        <v>568</v>
      </c>
      <c r="B450">
        <v>1.6999999999999999E-11</v>
      </c>
    </row>
    <row r="451" spans="1:2">
      <c r="A451" t="s">
        <v>569</v>
      </c>
      <c r="B451">
        <v>1.2E-9</v>
      </c>
    </row>
    <row r="452" spans="1:2">
      <c r="A452" t="s">
        <v>125</v>
      </c>
      <c r="B452">
        <v>5.0000000000000002E-11</v>
      </c>
    </row>
    <row r="453" spans="1:2">
      <c r="A453" t="s">
        <v>570</v>
      </c>
      <c r="B453">
        <v>3.9E-10</v>
      </c>
    </row>
    <row r="454" spans="1:2">
      <c r="A454" t="s">
        <v>571</v>
      </c>
      <c r="B454">
        <v>3.3000000000000002E-11</v>
      </c>
    </row>
    <row r="455" spans="1:2">
      <c r="A455" t="s">
        <v>572</v>
      </c>
      <c r="B455">
        <v>9.3000000000000002E-11</v>
      </c>
    </row>
    <row r="456" spans="1:2">
      <c r="A456" t="s">
        <v>573</v>
      </c>
      <c r="B456">
        <v>7.5999999999999996E-10</v>
      </c>
    </row>
    <row r="457" spans="1:2">
      <c r="A457" t="s">
        <v>574</v>
      </c>
      <c r="B457">
        <v>1.2E-10</v>
      </c>
    </row>
    <row r="458" spans="1:2">
      <c r="A458" t="s">
        <v>575</v>
      </c>
      <c r="B458">
        <v>3.4000000000000001E-10</v>
      </c>
    </row>
    <row r="459" spans="1:2">
      <c r="A459" t="s">
        <v>576</v>
      </c>
      <c r="B459">
        <v>3.1000000000000003E-11</v>
      </c>
    </row>
    <row r="460" spans="1:2">
      <c r="A460" t="s">
        <v>577</v>
      </c>
      <c r="B460">
        <v>4.5E-10</v>
      </c>
    </row>
    <row r="461" spans="1:2">
      <c r="A461" t="s">
        <v>578</v>
      </c>
      <c r="B461">
        <v>6.3E-10</v>
      </c>
    </row>
    <row r="462" spans="1:2">
      <c r="A462" t="s">
        <v>579</v>
      </c>
      <c r="B462">
        <v>4.0000000000000001E-10</v>
      </c>
    </row>
    <row r="463" spans="1:2">
      <c r="A463" t="s">
        <v>580</v>
      </c>
      <c r="B463">
        <v>8.3999999999999994E-11</v>
      </c>
    </row>
    <row r="464" spans="1:2">
      <c r="A464" t="s">
        <v>581</v>
      </c>
      <c r="B464">
        <v>3.9000000000000001E-11</v>
      </c>
    </row>
    <row r="465" spans="1:2">
      <c r="A465" t="s">
        <v>582</v>
      </c>
      <c r="B465">
        <v>1.2E-9</v>
      </c>
    </row>
    <row r="466" spans="1:2">
      <c r="A466" t="s">
        <v>583</v>
      </c>
      <c r="B466">
        <v>1.5999999999999999E-10</v>
      </c>
    </row>
    <row r="467" spans="1:2">
      <c r="A467" t="s">
        <v>584</v>
      </c>
      <c r="B467">
        <v>2.0999999999999999E-12</v>
      </c>
    </row>
    <row r="468" spans="1:2">
      <c r="A468" t="s">
        <v>132</v>
      </c>
      <c r="B468">
        <v>8.6999999999999998E-8</v>
      </c>
    </row>
    <row r="469" spans="1:2">
      <c r="A469" t="s">
        <v>585</v>
      </c>
      <c r="B469">
        <v>1E-10</v>
      </c>
    </row>
    <row r="470" spans="1:2">
      <c r="A470" t="s">
        <v>97</v>
      </c>
      <c r="B470">
        <v>2.2999999999999999E-7</v>
      </c>
    </row>
    <row r="471" spans="1:2">
      <c r="A471" t="s">
        <v>99</v>
      </c>
      <c r="B471">
        <v>2.4999999999999999E-7</v>
      </c>
    </row>
    <row r="472" spans="1:2">
      <c r="A472" t="s">
        <v>101</v>
      </c>
      <c r="B472">
        <v>2.4999999999999999E-7</v>
      </c>
    </row>
    <row r="473" spans="1:2">
      <c r="A473" t="s">
        <v>103</v>
      </c>
      <c r="B473">
        <v>4.8E-9</v>
      </c>
    </row>
    <row r="474" spans="1:2">
      <c r="A474" t="s">
        <v>133</v>
      </c>
      <c r="B474">
        <v>2.3999999999999998E-7</v>
      </c>
    </row>
    <row r="475" spans="1:2">
      <c r="A475" t="s">
        <v>586</v>
      </c>
      <c r="B475">
        <v>8.5000000000000004E-11</v>
      </c>
    </row>
    <row r="476" spans="1:2">
      <c r="A476" t="s">
        <v>587</v>
      </c>
      <c r="B476">
        <v>2.3999999999999998E-7</v>
      </c>
    </row>
    <row r="477" spans="1:2">
      <c r="A477" t="s">
        <v>588</v>
      </c>
      <c r="B477">
        <v>7.2E-10</v>
      </c>
    </row>
    <row r="478" spans="1:2">
      <c r="A478" t="s">
        <v>589</v>
      </c>
      <c r="B478">
        <v>3.3000000000000002E-9</v>
      </c>
    </row>
    <row r="479" spans="1:2">
      <c r="A479" t="s">
        <v>71</v>
      </c>
      <c r="B479">
        <v>9.9999999999999995E-8</v>
      </c>
    </row>
    <row r="480" spans="1:2">
      <c r="A480" t="s">
        <v>73</v>
      </c>
      <c r="B480">
        <v>6.5E-8</v>
      </c>
    </row>
    <row r="481" spans="1:2">
      <c r="A481" t="s">
        <v>75</v>
      </c>
      <c r="B481">
        <v>9.9E-8</v>
      </c>
    </row>
    <row r="482" spans="1:2">
      <c r="A482" t="s">
        <v>76</v>
      </c>
      <c r="B482">
        <v>2.8000000000000002E-7</v>
      </c>
    </row>
    <row r="483" spans="1:2">
      <c r="A483" t="s">
        <v>590</v>
      </c>
      <c r="B483">
        <v>8.1000000000000005E-11</v>
      </c>
    </row>
    <row r="484" spans="1:2">
      <c r="A484" t="s">
        <v>81</v>
      </c>
      <c r="B484">
        <v>6.8999999999999996E-7</v>
      </c>
    </row>
    <row r="485" spans="1:2">
      <c r="A485" t="s">
        <v>591</v>
      </c>
      <c r="B485">
        <v>5.0000000000000002E-11</v>
      </c>
    </row>
    <row r="486" spans="1:2">
      <c r="A486" t="s">
        <v>592</v>
      </c>
      <c r="B486">
        <v>5.4000000000000001E-11</v>
      </c>
    </row>
    <row r="487" spans="1:2">
      <c r="A487" t="s">
        <v>593</v>
      </c>
      <c r="B487">
        <v>9.6999999999999995E-12</v>
      </c>
    </row>
    <row r="488" spans="1:2">
      <c r="A488" t="s">
        <v>594</v>
      </c>
      <c r="B488">
        <v>1.2999999999999999E-10</v>
      </c>
    </row>
    <row r="489" spans="1:2">
      <c r="A489" t="s">
        <v>595</v>
      </c>
      <c r="B489">
        <v>1.9000000000000001E-9</v>
      </c>
    </row>
    <row r="490" spans="1:2">
      <c r="A490" t="s">
        <v>596</v>
      </c>
      <c r="B490">
        <v>2.7999999999999998E-9</v>
      </c>
    </row>
    <row r="491" spans="1:2">
      <c r="A491" t="s">
        <v>19</v>
      </c>
      <c r="B491">
        <v>2.7999999999999998E-9</v>
      </c>
    </row>
    <row r="492" spans="1:2">
      <c r="A492" t="s">
        <v>597</v>
      </c>
      <c r="B492">
        <v>1.5E-9</v>
      </c>
    </row>
    <row r="493" spans="1:2">
      <c r="A493" t="s">
        <v>598</v>
      </c>
      <c r="B493">
        <v>8.9999999999999999E-11</v>
      </c>
    </row>
    <row r="494" spans="1:2">
      <c r="A494" t="s">
        <v>599</v>
      </c>
      <c r="B494">
        <v>4.6999999999999999E-11</v>
      </c>
    </row>
    <row r="495" spans="1:2">
      <c r="A495" t="s">
        <v>600</v>
      </c>
      <c r="B495">
        <v>2.2000000000000002E-11</v>
      </c>
    </row>
    <row r="496" spans="1:2">
      <c r="A496" t="s">
        <v>601</v>
      </c>
      <c r="B496">
        <v>2.5000000000000001E-11</v>
      </c>
    </row>
    <row r="497" spans="1:2">
      <c r="A497" t="s">
        <v>602</v>
      </c>
      <c r="B497">
        <v>4.2E-10</v>
      </c>
    </row>
    <row r="498" spans="1:2">
      <c r="A498" t="s">
        <v>603</v>
      </c>
      <c r="B498">
        <v>1.3999999999999999E-9</v>
      </c>
    </row>
    <row r="499" spans="1:2">
      <c r="A499" t="s">
        <v>604</v>
      </c>
      <c r="B499">
        <v>2.7E-10</v>
      </c>
    </row>
    <row r="500" spans="1:2">
      <c r="A500" t="s">
        <v>605</v>
      </c>
      <c r="B500">
        <v>1.0000000000000001E-9</v>
      </c>
    </row>
    <row r="501" spans="1:2">
      <c r="A501" t="s">
        <v>606</v>
      </c>
      <c r="B501">
        <v>1.5E-9</v>
      </c>
    </row>
    <row r="502" spans="1:2">
      <c r="A502" t="s">
        <v>607</v>
      </c>
      <c r="B502">
        <v>1.5E-9</v>
      </c>
    </row>
    <row r="503" spans="1:2">
      <c r="A503" t="s">
        <v>608</v>
      </c>
      <c r="B503">
        <v>2.1999999999999998E-9</v>
      </c>
    </row>
    <row r="504" spans="1:2">
      <c r="A504" t="s">
        <v>609</v>
      </c>
      <c r="B504">
        <v>5.0999999999999997E-12</v>
      </c>
    </row>
    <row r="505" spans="1:2">
      <c r="A505" t="s">
        <v>610</v>
      </c>
      <c r="B505">
        <v>1.3999999999999999E-9</v>
      </c>
    </row>
    <row r="506" spans="1:2">
      <c r="A506" t="s">
        <v>611</v>
      </c>
      <c r="B506">
        <v>3E-11</v>
      </c>
    </row>
    <row r="507" spans="1:2">
      <c r="A507" t="s">
        <v>612</v>
      </c>
      <c r="B507">
        <v>7.7999999999999999E-10</v>
      </c>
    </row>
    <row r="508" spans="1:2">
      <c r="A508" t="s">
        <v>613</v>
      </c>
      <c r="B508">
        <v>7.1000000000000003E-10</v>
      </c>
    </row>
    <row r="509" spans="1:2">
      <c r="A509" t="s">
        <v>614</v>
      </c>
      <c r="B509">
        <v>5.4999999999999996E-10</v>
      </c>
    </row>
    <row r="510" spans="1:2">
      <c r="A510" t="s">
        <v>615</v>
      </c>
      <c r="B510">
        <v>2.1999999999999999E-10</v>
      </c>
    </row>
    <row r="511" spans="1:2">
      <c r="A511" t="s">
        <v>616</v>
      </c>
      <c r="B511">
        <v>1.2E-9</v>
      </c>
    </row>
    <row r="512" spans="1:2">
      <c r="A512" t="s">
        <v>617</v>
      </c>
      <c r="B512">
        <v>2.6000000000000001E-9</v>
      </c>
    </row>
    <row r="513" spans="1:2">
      <c r="A513" t="s">
        <v>618</v>
      </c>
      <c r="B513">
        <v>3.8E-12</v>
      </c>
    </row>
    <row r="514" spans="1:2">
      <c r="A514" t="s">
        <v>619</v>
      </c>
      <c r="B514">
        <v>3.7000000000000001E-10</v>
      </c>
    </row>
    <row r="515" spans="1:2">
      <c r="A515" t="s">
        <v>620</v>
      </c>
      <c r="B515">
        <v>1.5999999999999999E-10</v>
      </c>
    </row>
    <row r="516" spans="1:2">
      <c r="A516" t="s">
        <v>621</v>
      </c>
      <c r="B516">
        <v>2.4000000000000001E-11</v>
      </c>
    </row>
    <row r="517" spans="1:2">
      <c r="A517" t="s">
        <v>24</v>
      </c>
      <c r="B517">
        <v>5.1E-10</v>
      </c>
    </row>
    <row r="518" spans="1:2">
      <c r="A518" t="s">
        <v>622</v>
      </c>
      <c r="B518">
        <v>6.6000000000000005E-11</v>
      </c>
    </row>
    <row r="519" spans="1:2">
      <c r="A519" t="s">
        <v>623</v>
      </c>
      <c r="B519">
        <v>7.2999999999999996E-10</v>
      </c>
    </row>
    <row r="520" spans="1:2">
      <c r="A520" t="s">
        <v>624</v>
      </c>
      <c r="B520">
        <v>2.5999999999999998E-10</v>
      </c>
    </row>
    <row r="521" spans="1:2">
      <c r="A521" t="s">
        <v>112</v>
      </c>
      <c r="B521">
        <v>6.9999999999999998E-9</v>
      </c>
    </row>
    <row r="522" spans="1:2">
      <c r="A522" t="s">
        <v>625</v>
      </c>
      <c r="B522">
        <v>9.3999999999999999E-11</v>
      </c>
    </row>
    <row r="523" spans="1:2">
      <c r="A523" t="s">
        <v>626</v>
      </c>
      <c r="B523">
        <v>1.5E-10</v>
      </c>
    </row>
    <row r="524" spans="1:2">
      <c r="A524" t="s">
        <v>6</v>
      </c>
      <c r="B524">
        <v>7.7000000000000003E-10</v>
      </c>
    </row>
    <row r="525" spans="1:2">
      <c r="A525" t="s">
        <v>627</v>
      </c>
      <c r="B525">
        <v>2.4000000000000001E-11</v>
      </c>
    </row>
    <row r="526" spans="1:2">
      <c r="A526" t="s">
        <v>628</v>
      </c>
      <c r="B526">
        <v>2.6000000000000001E-11</v>
      </c>
    </row>
    <row r="527" spans="1:2">
      <c r="A527" t="s">
        <v>629</v>
      </c>
      <c r="B527">
        <v>6.7000000000000001E-11</v>
      </c>
    </row>
    <row r="528" spans="1:2">
      <c r="A528" t="s">
        <v>630</v>
      </c>
      <c r="B528">
        <v>1.7999999999999999E-11</v>
      </c>
    </row>
    <row r="529" spans="1:2">
      <c r="A529" t="s">
        <v>631</v>
      </c>
      <c r="B529">
        <v>2.1E-10</v>
      </c>
    </row>
    <row r="530" spans="1:2">
      <c r="A530" t="s">
        <v>632</v>
      </c>
      <c r="B530">
        <v>7.9999999999999995E-11</v>
      </c>
    </row>
    <row r="531" spans="1:2">
      <c r="A531" t="s">
        <v>633</v>
      </c>
      <c r="B531">
        <v>1.4E-11</v>
      </c>
    </row>
    <row r="532" spans="1:2">
      <c r="A532" t="s">
        <v>634</v>
      </c>
      <c r="B532">
        <v>1.2E-9</v>
      </c>
    </row>
    <row r="533" spans="1:2">
      <c r="A533" t="s">
        <v>635</v>
      </c>
      <c r="B533">
        <v>1.6999999999999999E-9</v>
      </c>
    </row>
    <row r="534" spans="1:2">
      <c r="A534" t="s">
        <v>636</v>
      </c>
      <c r="B534">
        <v>2.5000000000000001E-9</v>
      </c>
    </row>
    <row r="535" spans="1:2">
      <c r="A535" t="s">
        <v>637</v>
      </c>
      <c r="B535">
        <v>7.9999999999999998E-12</v>
      </c>
    </row>
    <row r="536" spans="1:2">
      <c r="A536" t="s">
        <v>117</v>
      </c>
      <c r="B536">
        <v>1.0999999999999999E-9</v>
      </c>
    </row>
    <row r="537" spans="1:2">
      <c r="A537" t="s">
        <v>121</v>
      </c>
      <c r="B537">
        <v>2.4E-9</v>
      </c>
    </row>
    <row r="538" spans="1:2">
      <c r="A538" t="s">
        <v>120</v>
      </c>
      <c r="B538">
        <v>3.5999999999999998E-11</v>
      </c>
    </row>
    <row r="539" spans="1:2">
      <c r="A539" t="s">
        <v>638</v>
      </c>
      <c r="B539">
        <v>1.6999999999999999E-9</v>
      </c>
    </row>
    <row r="540" spans="1:2">
      <c r="A540" t="s">
        <v>639</v>
      </c>
      <c r="B540">
        <v>7.5999999999999996E-10</v>
      </c>
    </row>
    <row r="541" spans="1:2">
      <c r="A541" t="s">
        <v>640</v>
      </c>
      <c r="B541">
        <v>3.3000000000000002E-11</v>
      </c>
    </row>
    <row r="542" spans="1:2">
      <c r="A542" t="s">
        <v>641</v>
      </c>
      <c r="B542">
        <v>4.2E-10</v>
      </c>
    </row>
    <row r="543" spans="1:2">
      <c r="A543" t="s">
        <v>642</v>
      </c>
      <c r="B543">
        <v>9.0999999999999996E-11</v>
      </c>
    </row>
    <row r="544" spans="1:2">
      <c r="A544" t="s">
        <v>643</v>
      </c>
      <c r="B544">
        <v>1E-10</v>
      </c>
    </row>
    <row r="545" spans="1:2">
      <c r="A545" t="s">
        <v>644</v>
      </c>
      <c r="B545">
        <v>1.8999999999999999E-10</v>
      </c>
    </row>
    <row r="546" spans="1:2">
      <c r="A546" t="s">
        <v>645</v>
      </c>
      <c r="B546">
        <v>3.4999999999999998E-10</v>
      </c>
    </row>
    <row r="547" spans="1:2">
      <c r="A547" t="s">
        <v>646</v>
      </c>
      <c r="B547">
        <v>2.4E-9</v>
      </c>
    </row>
    <row r="548" spans="1:2">
      <c r="A548" t="s">
        <v>647</v>
      </c>
      <c r="B548">
        <v>1.5E-9</v>
      </c>
    </row>
    <row r="549" spans="1:2">
      <c r="A549" t="s">
        <v>648</v>
      </c>
      <c r="B549">
        <v>5.4E-10</v>
      </c>
    </row>
    <row r="550" spans="1:2">
      <c r="A550" t="s">
        <v>649</v>
      </c>
      <c r="B550">
        <v>1.6999999999999999E-9</v>
      </c>
    </row>
    <row r="551" spans="1:2">
      <c r="A551" t="s">
        <v>650</v>
      </c>
      <c r="B551">
        <v>8.2000000000000001E-11</v>
      </c>
    </row>
    <row r="552" spans="1:2">
      <c r="A552" t="s">
        <v>651</v>
      </c>
      <c r="B552">
        <v>1.2E-10</v>
      </c>
    </row>
    <row r="553" spans="1:2">
      <c r="A553" t="s">
        <v>652</v>
      </c>
      <c r="B553">
        <v>2.1E-10</v>
      </c>
    </row>
    <row r="554" spans="1:2">
      <c r="A554" t="s">
        <v>653</v>
      </c>
      <c r="B554">
        <v>2.8E-11</v>
      </c>
    </row>
    <row r="555" spans="1:2">
      <c r="A555" t="s">
        <v>654</v>
      </c>
      <c r="B555">
        <v>2.6000000000000001E-9</v>
      </c>
    </row>
    <row r="556" spans="1:2">
      <c r="A556" t="s">
        <v>109</v>
      </c>
      <c r="B556">
        <v>2.8999999999999999E-9</v>
      </c>
    </row>
    <row r="557" spans="1:2">
      <c r="A557" t="s">
        <v>655</v>
      </c>
      <c r="B557">
        <v>2.7E-11</v>
      </c>
    </row>
    <row r="558" spans="1:2">
      <c r="A558" t="s">
        <v>656</v>
      </c>
      <c r="B558">
        <v>5.2999999999999998E-11</v>
      </c>
    </row>
    <row r="559" spans="1:2">
      <c r="A559" t="s">
        <v>657</v>
      </c>
      <c r="B559">
        <v>4.6999999999999999E-11</v>
      </c>
    </row>
    <row r="560" spans="1:2">
      <c r="A560" t="s">
        <v>658</v>
      </c>
      <c r="B560">
        <v>1.5999999999999999E-10</v>
      </c>
    </row>
    <row r="561" spans="1:2">
      <c r="A561" t="s">
        <v>659</v>
      </c>
      <c r="B561">
        <v>5.6000000000000003E-10</v>
      </c>
    </row>
    <row r="562" spans="1:2">
      <c r="A562" t="s">
        <v>660</v>
      </c>
      <c r="B562">
        <v>3.9000000000000001E-11</v>
      </c>
    </row>
    <row r="563" spans="1:2">
      <c r="A563" t="s">
        <v>661</v>
      </c>
      <c r="B563">
        <v>6.4999999999999995E-11</v>
      </c>
    </row>
    <row r="564" spans="1:2">
      <c r="A564" t="s">
        <v>662</v>
      </c>
      <c r="B564">
        <v>1.8999999999999999E-10</v>
      </c>
    </row>
    <row r="565" spans="1:2">
      <c r="A565" t="s">
        <v>663</v>
      </c>
      <c r="B565">
        <v>2.1E-10</v>
      </c>
    </row>
    <row r="566" spans="1:2">
      <c r="A566" t="s">
        <v>147</v>
      </c>
      <c r="B566">
        <v>5.4E-8</v>
      </c>
    </row>
    <row r="567" spans="1:2">
      <c r="A567" t="s">
        <v>148</v>
      </c>
      <c r="B567">
        <v>4.9000000000000002E-8</v>
      </c>
    </row>
    <row r="568" spans="1:2">
      <c r="A568" t="s">
        <v>128</v>
      </c>
      <c r="B568">
        <v>9.7999999999999998E-11</v>
      </c>
    </row>
    <row r="569" spans="1:2">
      <c r="A569" t="s">
        <v>664</v>
      </c>
      <c r="B569">
        <v>7.4000000000000003E-10</v>
      </c>
    </row>
    <row r="570" spans="1:2">
      <c r="A570" t="s">
        <v>665</v>
      </c>
      <c r="B570">
        <v>2.9E-11</v>
      </c>
    </row>
    <row r="571" spans="1:2">
      <c r="A571" t="s">
        <v>666</v>
      </c>
      <c r="B571">
        <v>2.5000000000000002E-10</v>
      </c>
    </row>
    <row r="572" spans="1:2">
      <c r="A572" t="s">
        <v>667</v>
      </c>
      <c r="B572">
        <v>3.4999999999999998E-10</v>
      </c>
    </row>
    <row r="573" spans="1:2">
      <c r="A573" t="s">
        <v>668</v>
      </c>
      <c r="B573">
        <v>2.3000000000000001E-11</v>
      </c>
    </row>
    <row r="574" spans="1:2">
      <c r="A574" t="s">
        <v>669</v>
      </c>
      <c r="B574">
        <v>7.2999999999999996E-10</v>
      </c>
    </row>
    <row r="575" spans="1:2">
      <c r="A575" t="s">
        <v>670</v>
      </c>
      <c r="B575">
        <v>7.1000000000000003E-10</v>
      </c>
    </row>
    <row r="576" spans="1:2">
      <c r="A576" t="s">
        <v>671</v>
      </c>
      <c r="B576">
        <v>3.4000000000000001E-10</v>
      </c>
    </row>
    <row r="577" spans="1:2">
      <c r="A577" t="s">
        <v>146</v>
      </c>
      <c r="B577">
        <v>2.3000000000000001E-10</v>
      </c>
    </row>
    <row r="578" spans="1:2">
      <c r="A578" t="s">
        <v>116</v>
      </c>
      <c r="B578">
        <v>3.7999999999999998E-10</v>
      </c>
    </row>
    <row r="579" spans="1:2">
      <c r="A579" t="s">
        <v>672</v>
      </c>
      <c r="B579">
        <v>2.1000000000000002E-9</v>
      </c>
    </row>
    <row r="580" spans="1:2">
      <c r="A580" t="s">
        <v>673</v>
      </c>
      <c r="B580">
        <v>3.7999999999999998E-11</v>
      </c>
    </row>
    <row r="581" spans="1:2">
      <c r="A581" t="s">
        <v>674</v>
      </c>
      <c r="B581">
        <v>3.1E-9</v>
      </c>
    </row>
    <row r="582" spans="1:2">
      <c r="A582" t="s">
        <v>119</v>
      </c>
      <c r="B582">
        <v>4.6999999999999999E-9</v>
      </c>
    </row>
    <row r="583" spans="1:2">
      <c r="A583" t="s">
        <v>675</v>
      </c>
      <c r="B583">
        <v>2.0000000000000001E-10</v>
      </c>
    </row>
    <row r="584" spans="1:2">
      <c r="A584" t="s">
        <v>676</v>
      </c>
      <c r="B584">
        <v>1.5E-10</v>
      </c>
    </row>
    <row r="585" spans="1:2">
      <c r="A585" t="s">
        <v>677</v>
      </c>
      <c r="B585">
        <v>3.4000000000000001E-10</v>
      </c>
    </row>
    <row r="586" spans="1:2">
      <c r="A586" t="s">
        <v>678</v>
      </c>
      <c r="B586">
        <v>7.7000000000000006E-11</v>
      </c>
    </row>
    <row r="587" spans="1:2">
      <c r="A587" t="s">
        <v>679</v>
      </c>
      <c r="B587">
        <v>6.1E-9</v>
      </c>
    </row>
    <row r="588" spans="1:2">
      <c r="A588" t="s">
        <v>680</v>
      </c>
      <c r="B588">
        <v>4.8999999999999996E-10</v>
      </c>
    </row>
    <row r="589" spans="1:2">
      <c r="A589" t="s">
        <v>681</v>
      </c>
      <c r="B589">
        <v>5.6000000000000003E-10</v>
      </c>
    </row>
    <row r="590" spans="1:2">
      <c r="A590" t="s">
        <v>682</v>
      </c>
      <c r="B590">
        <v>6.1000000000000003E-12</v>
      </c>
    </row>
    <row r="591" spans="1:2">
      <c r="A591" t="s">
        <v>683</v>
      </c>
      <c r="B591">
        <v>3E-11</v>
      </c>
    </row>
    <row r="592" spans="1:2">
      <c r="A592" t="s">
        <v>684</v>
      </c>
      <c r="B592">
        <v>2.6000000000000001E-9</v>
      </c>
    </row>
    <row r="593" spans="1:2">
      <c r="A593" t="s">
        <v>21</v>
      </c>
      <c r="B593">
        <v>2.7999999999999999E-8</v>
      </c>
    </row>
    <row r="594" spans="1:2">
      <c r="A594" t="s">
        <v>685</v>
      </c>
      <c r="B594">
        <v>6.5000000000000003E-10</v>
      </c>
    </row>
    <row r="595" spans="1:2">
      <c r="A595" t="s">
        <v>686</v>
      </c>
      <c r="B595">
        <v>4.3000000000000001E-10</v>
      </c>
    </row>
    <row r="596" spans="1:2">
      <c r="A596" t="s">
        <v>687</v>
      </c>
      <c r="B596">
        <v>5.2999999999999998E-11</v>
      </c>
    </row>
    <row r="597" spans="1:2">
      <c r="A597" t="s">
        <v>688</v>
      </c>
      <c r="B597">
        <v>1.8999999999999999E-10</v>
      </c>
    </row>
    <row r="598" spans="1:2">
      <c r="A598" t="s">
        <v>689</v>
      </c>
      <c r="B598">
        <v>5.6999999999999997E-11</v>
      </c>
    </row>
    <row r="599" spans="1:2">
      <c r="A599" t="s">
        <v>690</v>
      </c>
      <c r="B599">
        <v>2.1E-10</v>
      </c>
    </row>
    <row r="600" spans="1:2">
      <c r="A600" t="s">
        <v>691</v>
      </c>
      <c r="B600">
        <v>3.1000000000000002E-10</v>
      </c>
    </row>
    <row r="601" spans="1:2">
      <c r="A601" t="s">
        <v>692</v>
      </c>
      <c r="B601">
        <v>1.0999999999999999E-10</v>
      </c>
    </row>
    <row r="602" spans="1:2">
      <c r="A602" t="s">
        <v>693</v>
      </c>
      <c r="B602">
        <v>7.1999999999999997E-11</v>
      </c>
    </row>
    <row r="603" spans="1:2">
      <c r="A603" t="s">
        <v>694</v>
      </c>
      <c r="B603">
        <v>6.4999999999999995E-11</v>
      </c>
    </row>
    <row r="604" spans="1:2">
      <c r="A604" t="s">
        <v>695</v>
      </c>
      <c r="B604">
        <v>5.4000000000000001E-11</v>
      </c>
    </row>
    <row r="605" spans="1:2">
      <c r="A605" t="s">
        <v>696</v>
      </c>
      <c r="B605">
        <v>1.5E-9</v>
      </c>
    </row>
    <row r="606" spans="1:2">
      <c r="A606" t="s">
        <v>786</v>
      </c>
      <c r="B606">
        <v>1.2000000000000001E-11</v>
      </c>
    </row>
    <row r="607" spans="1:2">
      <c r="A607" t="s">
        <v>697</v>
      </c>
      <c r="B607">
        <v>1.3000000000000001E-9</v>
      </c>
    </row>
    <row r="608" spans="1:2">
      <c r="A608" t="s">
        <v>698</v>
      </c>
      <c r="B608">
        <v>6.8000000000000003E-10</v>
      </c>
    </row>
    <row r="609" spans="1:2">
      <c r="A609" t="s">
        <v>699</v>
      </c>
      <c r="B609">
        <v>6.7999999999999998E-11</v>
      </c>
    </row>
    <row r="610" spans="1:2">
      <c r="A610" t="s">
        <v>700</v>
      </c>
      <c r="B610">
        <v>3.3000000000000002E-11</v>
      </c>
    </row>
    <row r="611" spans="1:2">
      <c r="A611" t="s">
        <v>701</v>
      </c>
      <c r="B611">
        <v>1.5999999999999999E-10</v>
      </c>
    </row>
    <row r="612" spans="1:2">
      <c r="A612" t="s">
        <v>702</v>
      </c>
      <c r="B612">
        <v>2.5000000000000002E-10</v>
      </c>
    </row>
    <row r="613" spans="1:2">
      <c r="A613" t="s">
        <v>703</v>
      </c>
      <c r="B613">
        <v>2.5000000000000002E-10</v>
      </c>
    </row>
    <row r="614" spans="1:2">
      <c r="A614" t="s">
        <v>704</v>
      </c>
      <c r="B614">
        <v>3.4000000000000001E-10</v>
      </c>
    </row>
    <row r="615" spans="1:2">
      <c r="A615" t="s">
        <v>705</v>
      </c>
      <c r="B615">
        <v>2.5000000000000002E-10</v>
      </c>
    </row>
    <row r="616" spans="1:2">
      <c r="A616" t="s">
        <v>706</v>
      </c>
      <c r="B616">
        <v>6.5000000000000003E-10</v>
      </c>
    </row>
    <row r="617" spans="1:2">
      <c r="A617" t="s">
        <v>707</v>
      </c>
      <c r="B617">
        <v>2.1E-10</v>
      </c>
    </row>
    <row r="618" spans="1:2">
      <c r="A618" t="s">
        <v>708</v>
      </c>
      <c r="B618">
        <v>1.2E-9</v>
      </c>
    </row>
    <row r="619" spans="1:2">
      <c r="A619" t="s">
        <v>709</v>
      </c>
      <c r="B619">
        <v>1.7000000000000001E-10</v>
      </c>
    </row>
    <row r="620" spans="1:2">
      <c r="A620" t="s">
        <v>710</v>
      </c>
      <c r="B620">
        <v>8.1000000000000005E-11</v>
      </c>
    </row>
    <row r="621" spans="1:2">
      <c r="A621" t="s">
        <v>711</v>
      </c>
      <c r="B621">
        <v>3.3999999999999999E-11</v>
      </c>
    </row>
    <row r="622" spans="1:2">
      <c r="A622" t="s">
        <v>712</v>
      </c>
      <c r="B622">
        <v>1.0999999999999999E-9</v>
      </c>
    </row>
    <row r="623" spans="1:2">
      <c r="A623" t="s">
        <v>713</v>
      </c>
      <c r="B623">
        <v>1.6000000000000001E-9</v>
      </c>
    </row>
    <row r="624" spans="1:2">
      <c r="A624" t="s">
        <v>714</v>
      </c>
      <c r="B624">
        <v>7.2E-10</v>
      </c>
    </row>
    <row r="625" spans="1:2">
      <c r="A625" t="s">
        <v>715</v>
      </c>
      <c r="B625">
        <v>1.8999999999999999E-11</v>
      </c>
    </row>
    <row r="626" spans="1:2">
      <c r="A626" t="s">
        <v>716</v>
      </c>
      <c r="B626">
        <v>7.9999999999999995E-11</v>
      </c>
    </row>
    <row r="627" spans="1:2">
      <c r="A627" t="s">
        <v>717</v>
      </c>
      <c r="B627">
        <v>5.4999999999999997E-11</v>
      </c>
    </row>
    <row r="628" spans="1:2">
      <c r="A628" t="s">
        <v>718</v>
      </c>
      <c r="B628">
        <v>2.5000000000000001E-11</v>
      </c>
    </row>
    <row r="629" spans="1:2">
      <c r="A629" t="s">
        <v>719</v>
      </c>
      <c r="B629">
        <v>2.0000000000000001E-10</v>
      </c>
    </row>
    <row r="630" spans="1:2">
      <c r="A630" t="s">
        <v>720</v>
      </c>
      <c r="B630">
        <v>1E-10</v>
      </c>
    </row>
    <row r="631" spans="1:2">
      <c r="A631" t="s">
        <v>721</v>
      </c>
      <c r="B631">
        <v>1.8E-10</v>
      </c>
    </row>
    <row r="632" spans="1:2">
      <c r="A632" t="s">
        <v>722</v>
      </c>
      <c r="B632">
        <v>5.6000000000000003E-10</v>
      </c>
    </row>
    <row r="633" spans="1:2">
      <c r="A633" t="s">
        <v>723</v>
      </c>
      <c r="B633">
        <v>1.0999999999999999E-9</v>
      </c>
    </row>
    <row r="634" spans="1:2">
      <c r="A634" t="s">
        <v>724</v>
      </c>
      <c r="B634">
        <v>1.2000000000000001E-11</v>
      </c>
    </row>
    <row r="635" spans="1:2">
      <c r="A635" t="s">
        <v>725</v>
      </c>
      <c r="B635">
        <v>6.7999999999999998E-11</v>
      </c>
    </row>
    <row r="636" spans="1:2">
      <c r="A636" t="s">
        <v>726</v>
      </c>
      <c r="B636">
        <v>5.4999999999999996E-10</v>
      </c>
    </row>
    <row r="637" spans="1:2">
      <c r="A637" t="s">
        <v>727</v>
      </c>
      <c r="B637">
        <v>2.0000000000000001E-9</v>
      </c>
    </row>
    <row r="638" spans="1:2">
      <c r="A638" t="s">
        <v>22</v>
      </c>
      <c r="B638">
        <v>6.3999999999999996E-10</v>
      </c>
    </row>
    <row r="639" spans="1:2">
      <c r="A639" t="s">
        <v>23</v>
      </c>
      <c r="B639">
        <v>2.2000000000000002E-11</v>
      </c>
    </row>
    <row r="640" spans="1:2">
      <c r="A640" t="s">
        <v>728</v>
      </c>
      <c r="B640">
        <v>1.7000000000000001E-10</v>
      </c>
    </row>
    <row r="641" spans="1:2">
      <c r="A641" t="s">
        <v>729</v>
      </c>
      <c r="B641">
        <v>4.3000000000000001E-10</v>
      </c>
    </row>
    <row r="642" spans="1:2">
      <c r="A642" t="s">
        <v>730</v>
      </c>
      <c r="B642">
        <v>2.2999999999999999E-9</v>
      </c>
    </row>
    <row r="643" spans="1:2">
      <c r="A643" t="s">
        <v>731</v>
      </c>
      <c r="B643">
        <v>4.3999999999999997E-9</v>
      </c>
    </row>
    <row r="644" spans="1:2">
      <c r="A644" t="s">
        <v>732</v>
      </c>
      <c r="B644">
        <v>1.3999999999999999E-9</v>
      </c>
    </row>
    <row r="645" spans="1:2">
      <c r="A645" t="s">
        <v>118</v>
      </c>
      <c r="B645">
        <v>8.6999999999999999E-10</v>
      </c>
    </row>
    <row r="646" spans="1:2">
      <c r="A646" t="s">
        <v>733</v>
      </c>
      <c r="B646">
        <v>1.7000000000000001E-10</v>
      </c>
    </row>
    <row r="647" spans="1:2">
      <c r="A647" t="s">
        <v>734</v>
      </c>
      <c r="B647">
        <v>2.2999999999999999E-9</v>
      </c>
    </row>
    <row r="648" spans="1:2">
      <c r="A648" t="s">
        <v>735</v>
      </c>
      <c r="B648">
        <v>6.3000000000000002E-11</v>
      </c>
    </row>
    <row r="649" spans="1:2">
      <c r="A649" t="s">
        <v>736</v>
      </c>
      <c r="B649">
        <v>3E-9</v>
      </c>
    </row>
    <row r="650" spans="1:2">
      <c r="A650" t="s">
        <v>737</v>
      </c>
      <c r="B650">
        <v>8.6999999999999997E-11</v>
      </c>
    </row>
    <row r="651" spans="1:2">
      <c r="A651" t="s">
        <v>738</v>
      </c>
      <c r="B651">
        <v>1.9000000000000001E-9</v>
      </c>
    </row>
    <row r="652" spans="1:2">
      <c r="A652" t="s">
        <v>739</v>
      </c>
      <c r="B652">
        <v>3.8000000000000001E-9</v>
      </c>
    </row>
    <row r="653" spans="1:2">
      <c r="A653" t="s">
        <v>740</v>
      </c>
      <c r="B653">
        <v>7.1999999999999997E-11</v>
      </c>
    </row>
    <row r="654" spans="1:2">
      <c r="A654" t="s">
        <v>741</v>
      </c>
      <c r="B654">
        <v>2.8000000000000002E-10</v>
      </c>
    </row>
    <row r="655" spans="1:2">
      <c r="A655" t="s">
        <v>742</v>
      </c>
      <c r="B655">
        <v>1.0999999999999999E-10</v>
      </c>
    </row>
    <row r="656" spans="1:2">
      <c r="A656" t="s">
        <v>743</v>
      </c>
      <c r="B656">
        <v>3.4999999999999998E-10</v>
      </c>
    </row>
    <row r="657" spans="1:2">
      <c r="A657" t="s">
        <v>77</v>
      </c>
      <c r="B657">
        <v>8.7999999999999994E-9</v>
      </c>
    </row>
    <row r="658" spans="1:2">
      <c r="A658" t="s">
        <v>79</v>
      </c>
      <c r="B658">
        <v>7.1999999999999996E-8</v>
      </c>
    </row>
    <row r="659" spans="1:2">
      <c r="A659" t="s">
        <v>82</v>
      </c>
      <c r="B659">
        <v>4.8999999999999997E-7</v>
      </c>
    </row>
    <row r="660" spans="1:2">
      <c r="A660" t="s">
        <v>83</v>
      </c>
      <c r="B660">
        <v>2.1E-7</v>
      </c>
    </row>
    <row r="661" spans="1:2">
      <c r="A661" t="s">
        <v>85</v>
      </c>
      <c r="B661">
        <v>3.4000000000000001E-10</v>
      </c>
    </row>
    <row r="662" spans="1:2">
      <c r="A662" t="s">
        <v>86</v>
      </c>
      <c r="B662">
        <v>2.2999999999999999E-7</v>
      </c>
    </row>
    <row r="663" spans="1:2">
      <c r="A663" t="s">
        <v>92</v>
      </c>
      <c r="B663">
        <v>3.3999999999999998E-9</v>
      </c>
    </row>
    <row r="664" spans="1:2">
      <c r="A664" t="s">
        <v>744</v>
      </c>
      <c r="B664">
        <v>5.7999999999999998E-9</v>
      </c>
    </row>
    <row r="665" spans="1:2">
      <c r="A665" t="s">
        <v>745</v>
      </c>
      <c r="B665">
        <v>1.5E-10</v>
      </c>
    </row>
    <row r="666" spans="1:2">
      <c r="A666" t="s">
        <v>746</v>
      </c>
      <c r="B666">
        <v>8.0999999999999998E-12</v>
      </c>
    </row>
    <row r="667" spans="1:2">
      <c r="A667" t="s">
        <v>747</v>
      </c>
      <c r="B667">
        <v>3.9999999999999998E-11</v>
      </c>
    </row>
    <row r="668" spans="1:2">
      <c r="A668" t="s">
        <v>748</v>
      </c>
      <c r="B668">
        <v>2.7E-11</v>
      </c>
    </row>
    <row r="669" spans="1:2">
      <c r="A669" t="s">
        <v>749</v>
      </c>
      <c r="B669">
        <v>2.3000000000000001E-11</v>
      </c>
    </row>
    <row r="670" spans="1:2">
      <c r="A670" t="s">
        <v>750</v>
      </c>
      <c r="B670">
        <v>7.3000000000000006E-11</v>
      </c>
    </row>
    <row r="671" spans="1:2">
      <c r="A671" t="s">
        <v>751</v>
      </c>
      <c r="B671">
        <v>5.4000000000000001E-11</v>
      </c>
    </row>
    <row r="672" spans="1:2">
      <c r="A672" t="s">
        <v>752</v>
      </c>
      <c r="B672">
        <v>2.6000000000000001E-11</v>
      </c>
    </row>
    <row r="673" spans="1:2">
      <c r="A673" t="s">
        <v>753</v>
      </c>
      <c r="B673">
        <v>2.0000000000000001E-10</v>
      </c>
    </row>
    <row r="674" spans="1:2">
      <c r="A674" t="s">
        <v>754</v>
      </c>
      <c r="B674">
        <v>9.4999999999999995E-11</v>
      </c>
    </row>
    <row r="675" spans="1:2">
      <c r="A675" t="s">
        <v>755</v>
      </c>
      <c r="B675">
        <v>4.5E-10</v>
      </c>
    </row>
    <row r="676" spans="1:2">
      <c r="A676" t="s">
        <v>756</v>
      </c>
      <c r="B676">
        <v>1.2E-9</v>
      </c>
    </row>
    <row r="677" spans="1:2">
      <c r="A677" t="s">
        <v>757</v>
      </c>
      <c r="B677">
        <v>2.9E-11</v>
      </c>
    </row>
    <row r="678" spans="1:2">
      <c r="A678" t="s">
        <v>758</v>
      </c>
      <c r="B678">
        <v>2.8000000000000002E-10</v>
      </c>
    </row>
    <row r="679" spans="1:2">
      <c r="A679" t="s">
        <v>759</v>
      </c>
      <c r="B679">
        <v>5.6000000000000003E-10</v>
      </c>
    </row>
    <row r="680" spans="1:2">
      <c r="A680" t="s">
        <v>760</v>
      </c>
      <c r="B680">
        <v>1.3000000000000001E-9</v>
      </c>
    </row>
    <row r="681" spans="1:2">
      <c r="A681" t="s">
        <v>761</v>
      </c>
      <c r="B681">
        <v>1.0999999999999999E-10</v>
      </c>
    </row>
    <row r="682" spans="1:2">
      <c r="A682" t="s">
        <v>762</v>
      </c>
      <c r="B682">
        <v>1.6999999999999999E-9</v>
      </c>
    </row>
    <row r="683" spans="1:2">
      <c r="A683" t="s">
        <v>763</v>
      </c>
      <c r="B683">
        <v>3.1000000000000002E-10</v>
      </c>
    </row>
    <row r="684" spans="1:2">
      <c r="A684" t="s">
        <v>764</v>
      </c>
      <c r="B684">
        <v>2.7E-11</v>
      </c>
    </row>
    <row r="685" spans="1:2">
      <c r="A685" t="s">
        <v>176</v>
      </c>
      <c r="B685">
        <v>5.5999999999999999E-8</v>
      </c>
    </row>
    <row r="686" spans="1:2">
      <c r="A686" t="s">
        <v>175</v>
      </c>
      <c r="B686">
        <v>2.8000000000000002E-10</v>
      </c>
    </row>
    <row r="687" spans="1:2">
      <c r="A687" t="s">
        <v>107</v>
      </c>
      <c r="B687">
        <v>3.3000000000000002E-7</v>
      </c>
    </row>
    <row r="688" spans="1:2">
      <c r="A688" t="s">
        <v>87</v>
      </c>
      <c r="B688">
        <v>5.1E-8</v>
      </c>
    </row>
    <row r="689" spans="1:2">
      <c r="A689" t="s">
        <v>89</v>
      </c>
      <c r="B689">
        <v>4.9000000000000002E-8</v>
      </c>
    </row>
    <row r="690" spans="1:2">
      <c r="A690" t="s">
        <v>93</v>
      </c>
      <c r="B690">
        <v>4.6999999999999997E-8</v>
      </c>
    </row>
    <row r="691" spans="1:2">
      <c r="A691" t="s">
        <v>94</v>
      </c>
      <c r="B691">
        <v>4.6999999999999997E-8</v>
      </c>
    </row>
    <row r="692" spans="1:2">
      <c r="A692" t="s">
        <v>96</v>
      </c>
      <c r="B692">
        <v>7.5999999999999996E-10</v>
      </c>
    </row>
    <row r="693" spans="1:2">
      <c r="A693" t="s">
        <v>98</v>
      </c>
      <c r="B693">
        <v>4.4999999999999999E-8</v>
      </c>
    </row>
    <row r="694" spans="1:2">
      <c r="A694" t="s">
        <v>174</v>
      </c>
      <c r="B694">
        <v>2.7E-11</v>
      </c>
    </row>
    <row r="695" spans="1:2">
      <c r="A695" t="s">
        <v>173</v>
      </c>
      <c r="B695">
        <v>1.0999999999999999E-9</v>
      </c>
    </row>
    <row r="696" spans="1:2">
      <c r="A696" t="s">
        <v>172</v>
      </c>
      <c r="B696">
        <v>6.3000000000000002E-11</v>
      </c>
    </row>
    <row r="697" spans="1:2">
      <c r="A697" t="s">
        <v>171</v>
      </c>
      <c r="B697">
        <v>2.0000000000000001E-9</v>
      </c>
    </row>
    <row r="698" spans="1:2">
      <c r="A698" t="s">
        <v>170</v>
      </c>
      <c r="B698">
        <v>1.7999999999999999E-11</v>
      </c>
    </row>
    <row r="699" spans="1:2">
      <c r="A699" t="s">
        <v>169</v>
      </c>
      <c r="B699">
        <v>1E-10</v>
      </c>
    </row>
    <row r="700" spans="1:2">
      <c r="A700" t="s">
        <v>168</v>
      </c>
      <c r="B700">
        <v>5.8E-11</v>
      </c>
    </row>
    <row r="701" spans="1:2">
      <c r="A701" t="s">
        <v>167</v>
      </c>
      <c r="B701">
        <v>2.1999999999999999E-10</v>
      </c>
    </row>
    <row r="702" spans="1:2">
      <c r="A702" t="s">
        <v>166</v>
      </c>
      <c r="B702">
        <v>3.3000000000000001E-12</v>
      </c>
    </row>
    <row r="703" spans="1:2">
      <c r="A703" t="s">
        <v>165</v>
      </c>
      <c r="B703">
        <v>7.5999999999999996E-11</v>
      </c>
    </row>
    <row r="704" spans="1:2">
      <c r="A704" t="s">
        <v>164</v>
      </c>
      <c r="B704">
        <v>4.3999999999999998E-10</v>
      </c>
    </row>
    <row r="705" spans="1:2">
      <c r="A705" t="s">
        <v>163</v>
      </c>
      <c r="B705">
        <v>6.3E-10</v>
      </c>
    </row>
    <row r="706" spans="1:2">
      <c r="A706" t="s">
        <v>162</v>
      </c>
      <c r="B706">
        <v>2.1000000000000002E-9</v>
      </c>
    </row>
    <row r="707" spans="1:2">
      <c r="A707" t="s">
        <v>161</v>
      </c>
      <c r="B707">
        <v>9.5999999999999999E-10</v>
      </c>
    </row>
    <row r="708" spans="1:2">
      <c r="A708" t="s">
        <v>765</v>
      </c>
      <c r="B708">
        <v>5.6E-11</v>
      </c>
    </row>
    <row r="709" spans="1:2">
      <c r="A709" t="s">
        <v>160</v>
      </c>
      <c r="B709">
        <v>5.4999999999999996E-10</v>
      </c>
    </row>
    <row r="710" spans="1:2">
      <c r="A710" t="s">
        <v>159</v>
      </c>
      <c r="B710">
        <v>1.3000000000000001E-9</v>
      </c>
    </row>
    <row r="711" spans="1:2">
      <c r="A711" t="s">
        <v>20</v>
      </c>
      <c r="B711">
        <v>2.7000000000000002E-9</v>
      </c>
    </row>
    <row r="712" spans="1:2">
      <c r="A712" t="s">
        <v>766</v>
      </c>
      <c r="B712">
        <v>1.7000000000000001E-10</v>
      </c>
    </row>
    <row r="713" spans="1:2">
      <c r="A713" t="s">
        <v>158</v>
      </c>
      <c r="B713">
        <v>2.4E-9</v>
      </c>
    </row>
    <row r="714" spans="1:2">
      <c r="A714" t="s">
        <v>767</v>
      </c>
      <c r="B714">
        <v>1.1000000000000001E-11</v>
      </c>
    </row>
    <row r="715" spans="1:2">
      <c r="A715" t="s">
        <v>157</v>
      </c>
      <c r="B715">
        <v>4.8999999999999996E-10</v>
      </c>
    </row>
    <row r="716" spans="1:2">
      <c r="A716" t="s">
        <v>156</v>
      </c>
      <c r="B716">
        <v>1.2E-9</v>
      </c>
    </row>
    <row r="717" spans="1:2">
      <c r="A717" t="s">
        <v>155</v>
      </c>
      <c r="B717">
        <v>8.1000000000000005E-11</v>
      </c>
    </row>
    <row r="718" spans="1:2">
      <c r="A718" t="s">
        <v>154</v>
      </c>
      <c r="B718">
        <v>4.6000000000000003E-11</v>
      </c>
    </row>
    <row r="719" spans="1:2">
      <c r="A719" t="s">
        <v>768</v>
      </c>
      <c r="B719">
        <v>2.3000000000000001E-11</v>
      </c>
    </row>
    <row r="720" spans="1:2">
      <c r="A720" t="s">
        <v>769</v>
      </c>
      <c r="B720">
        <v>9.5000000000000003E-10</v>
      </c>
    </row>
    <row r="721" spans="1:2">
      <c r="A721" t="s">
        <v>770</v>
      </c>
      <c r="B721">
        <v>6.7000000000000001E-12</v>
      </c>
    </row>
    <row r="722" spans="1:2">
      <c r="A722" t="s">
        <v>771</v>
      </c>
      <c r="B722">
        <v>7.1000000000000003E-10</v>
      </c>
    </row>
    <row r="723" spans="1:2">
      <c r="A723" t="s">
        <v>772</v>
      </c>
      <c r="B723">
        <v>4.3999999999999998E-10</v>
      </c>
    </row>
    <row r="724" spans="1:2">
      <c r="A724" t="s">
        <v>773</v>
      </c>
      <c r="B724">
        <v>8.8000000000000006E-11</v>
      </c>
    </row>
    <row r="725" spans="1:2">
      <c r="A725" t="s">
        <v>774</v>
      </c>
      <c r="B725">
        <v>1.2E-10</v>
      </c>
    </row>
    <row r="726" spans="1:2">
      <c r="A726" t="s">
        <v>775</v>
      </c>
      <c r="B726">
        <v>9.4000000000000006E-10</v>
      </c>
    </row>
    <row r="727" spans="1:2">
      <c r="A727" t="s">
        <v>776</v>
      </c>
      <c r="B727">
        <v>7.8999999999999999E-11</v>
      </c>
    </row>
    <row r="728" spans="1:2">
      <c r="A728" t="s">
        <v>17</v>
      </c>
      <c r="B728">
        <v>3.9000000000000002E-9</v>
      </c>
    </row>
    <row r="729" spans="1:2">
      <c r="A729" t="s">
        <v>777</v>
      </c>
      <c r="B729">
        <v>3.1000000000000003E-11</v>
      </c>
    </row>
    <row r="730" spans="1:2">
      <c r="A730" t="s">
        <v>778</v>
      </c>
      <c r="B730">
        <v>3.3E-10</v>
      </c>
    </row>
    <row r="731" spans="1:2">
      <c r="A731" t="s">
        <v>779</v>
      </c>
      <c r="B731">
        <v>2.4E-10</v>
      </c>
    </row>
    <row r="732" spans="1:2">
      <c r="A732" t="s">
        <v>780</v>
      </c>
      <c r="B732">
        <v>1.3999999999999999E-9</v>
      </c>
    </row>
    <row r="733" spans="1:2">
      <c r="A733" t="s">
        <v>781</v>
      </c>
      <c r="B733">
        <v>8.6000000000000003E-10</v>
      </c>
    </row>
    <row r="734" spans="1:2">
      <c r="A734" t="s">
        <v>782</v>
      </c>
      <c r="B734">
        <v>4.5E-10</v>
      </c>
    </row>
    <row r="735" spans="1:2">
      <c r="A735" t="s">
        <v>783</v>
      </c>
      <c r="B735">
        <v>7.8999999999999996E-10</v>
      </c>
    </row>
    <row r="736" spans="1:2">
      <c r="A736" t="s">
        <v>110</v>
      </c>
      <c r="B736">
        <v>1.0999999999999999E-9</v>
      </c>
    </row>
    <row r="737" spans="1:2">
      <c r="A737" t="s">
        <v>784</v>
      </c>
      <c r="B737">
        <v>9.5000000000000003E-10</v>
      </c>
    </row>
    <row r="738" spans="1:2">
      <c r="A738" t="s">
        <v>785</v>
      </c>
      <c r="B738">
        <v>2.1000000000000002E-9</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D738"/>
  <sheetViews>
    <sheetView workbookViewId="0">
      <selection activeCell="B134" sqref="B134"/>
    </sheetView>
  </sheetViews>
  <sheetFormatPr defaultRowHeight="15"/>
  <cols>
    <col min="1" max="1" width="12" bestFit="1" customWidth="1"/>
    <col min="2" max="4" width="11.28515625" style="2" bestFit="1" customWidth="1"/>
  </cols>
  <sheetData>
    <row r="1" spans="1:4">
      <c r="A1" t="s">
        <v>153</v>
      </c>
      <c r="B1" s="2" t="s">
        <v>197</v>
      </c>
      <c r="C1" s="2" t="s">
        <v>195</v>
      </c>
      <c r="D1" s="2" t="s">
        <v>193</v>
      </c>
    </row>
    <row r="2" spans="1:4">
      <c r="A2" t="s">
        <v>201</v>
      </c>
      <c r="B2" s="2">
        <v>1.0999999999999999E-8</v>
      </c>
      <c r="C2" s="2">
        <v>1.1000000000000001E-7</v>
      </c>
      <c r="D2" s="2">
        <v>1.3E-7</v>
      </c>
    </row>
    <row r="3" spans="1:4">
      <c r="A3" t="s">
        <v>74</v>
      </c>
      <c r="B3" s="2">
        <v>8.8000000000000004E-7</v>
      </c>
      <c r="C3" s="2">
        <v>7.4000000000000003E-6</v>
      </c>
      <c r="D3" s="2">
        <v>8.4999999999999999E-6</v>
      </c>
    </row>
    <row r="4" spans="1:4">
      <c r="A4" t="s">
        <v>202</v>
      </c>
      <c r="B4" s="2">
        <v>9.5999999999999999E-8</v>
      </c>
      <c r="C4" s="2">
        <v>1.1999999999999999E-6</v>
      </c>
      <c r="D4" s="2">
        <v>1.3E-6</v>
      </c>
    </row>
    <row r="5" spans="1:4">
      <c r="A5" t="s">
        <v>78</v>
      </c>
      <c r="B5" s="2">
        <v>5.5000000000000003E-4</v>
      </c>
      <c r="C5" s="2">
        <v>2.2000000000000001E-4</v>
      </c>
      <c r="D5" s="2">
        <v>7.2000000000000002E-5</v>
      </c>
    </row>
    <row r="6" spans="1:4">
      <c r="A6" t="s">
        <v>80</v>
      </c>
      <c r="B6" s="2">
        <v>2.4999999999999999E-8</v>
      </c>
      <c r="C6" s="2">
        <v>1.7E-8</v>
      </c>
      <c r="D6" s="2">
        <v>1.6000000000000001E-8</v>
      </c>
    </row>
    <row r="7" spans="1:4">
      <c r="A7" t="s">
        <v>203</v>
      </c>
      <c r="B7" s="2">
        <v>1.3E-11</v>
      </c>
      <c r="C7" s="2">
        <v>1.6999999999999999E-11</v>
      </c>
      <c r="D7" s="2">
        <v>1.7999999999999999E-11</v>
      </c>
    </row>
    <row r="8" spans="1:4">
      <c r="A8" t="s">
        <v>204</v>
      </c>
      <c r="B8" s="2">
        <v>1.4E-11</v>
      </c>
      <c r="C8" s="2">
        <v>2.6000000000000001E-11</v>
      </c>
      <c r="D8" s="2">
        <v>2.7E-11</v>
      </c>
    </row>
    <row r="9" spans="1:4">
      <c r="A9" t="s">
        <v>205</v>
      </c>
      <c r="B9" s="2">
        <v>2.8E-11</v>
      </c>
      <c r="C9" s="2">
        <v>3.5999999999999998E-11</v>
      </c>
      <c r="D9" s="2">
        <v>3.7000000000000001E-11</v>
      </c>
    </row>
    <row r="10" spans="1:4">
      <c r="A10" t="s">
        <v>206</v>
      </c>
      <c r="B10" s="2">
        <v>1.6E-11</v>
      </c>
      <c r="C10" s="2">
        <v>2.5000000000000001E-11</v>
      </c>
      <c r="D10" s="2">
        <v>2.6000000000000001E-11</v>
      </c>
    </row>
    <row r="11" spans="1:4">
      <c r="A11" t="s">
        <v>207</v>
      </c>
      <c r="B11" s="2">
        <v>5.4E-10</v>
      </c>
      <c r="C11" s="2">
        <v>7.2999999999999996E-10</v>
      </c>
      <c r="D11" s="2">
        <v>8.0999999999999999E-10</v>
      </c>
    </row>
    <row r="12" spans="1:4">
      <c r="A12" t="s">
        <v>208</v>
      </c>
      <c r="B12" s="2">
        <v>9.0999999999999996E-12</v>
      </c>
      <c r="C12" s="2">
        <v>1.5E-11</v>
      </c>
      <c r="D12" s="2">
        <v>1.6E-11</v>
      </c>
    </row>
    <row r="13" spans="1:4">
      <c r="A13" t="s">
        <v>209</v>
      </c>
      <c r="B13" s="2">
        <v>1.0999999999999999E-9</v>
      </c>
      <c r="C13" s="2">
        <v>1.0999999999999999E-9</v>
      </c>
      <c r="D13" s="2">
        <v>1.0999999999999999E-9</v>
      </c>
    </row>
    <row r="14" spans="1:4">
      <c r="A14" t="s">
        <v>210</v>
      </c>
      <c r="B14" s="2">
        <v>6.1E-9</v>
      </c>
      <c r="C14" s="2">
        <v>7.4000000000000001E-9</v>
      </c>
      <c r="D14" s="2">
        <v>3.7E-8</v>
      </c>
    </row>
    <row r="15" spans="1:4">
      <c r="A15" t="s">
        <v>211</v>
      </c>
      <c r="B15" s="2">
        <v>5.4999999999999996E-9</v>
      </c>
      <c r="C15" s="2">
        <v>7.6000000000000002E-9</v>
      </c>
      <c r="D15" s="2">
        <v>1.2E-8</v>
      </c>
    </row>
    <row r="16" spans="1:4">
      <c r="A16" t="s">
        <v>212</v>
      </c>
      <c r="B16" s="2">
        <v>4.0000000000000001E-10</v>
      </c>
      <c r="C16" s="2">
        <v>1.5E-9</v>
      </c>
      <c r="D16" s="2">
        <v>1.6999999999999999E-9</v>
      </c>
    </row>
    <row r="17" spans="1:4">
      <c r="A17" t="s">
        <v>213</v>
      </c>
      <c r="B17" s="2">
        <v>7.5999999999999996E-11</v>
      </c>
      <c r="C17" s="2">
        <v>1.5999999999999999E-10</v>
      </c>
      <c r="D17" s="2">
        <v>1.7000000000000001E-10</v>
      </c>
    </row>
    <row r="18" spans="1:4">
      <c r="A18" t="s">
        <v>214</v>
      </c>
      <c r="B18" s="2">
        <v>1.5E-11</v>
      </c>
      <c r="C18" s="2">
        <v>2.7E-11</v>
      </c>
      <c r="D18" s="2">
        <v>2.9E-11</v>
      </c>
    </row>
    <row r="19" spans="1:4">
      <c r="A19" t="s">
        <v>215</v>
      </c>
      <c r="B19" s="2">
        <v>1.0999999999999999E-8</v>
      </c>
      <c r="C19" s="2">
        <v>2E-8</v>
      </c>
      <c r="D19" s="2">
        <v>-1</v>
      </c>
    </row>
    <row r="20" spans="1:4">
      <c r="A20" t="s">
        <v>216</v>
      </c>
      <c r="B20" s="2">
        <v>1.1000000000000001E-11</v>
      </c>
      <c r="C20" s="2">
        <v>2.5000000000000001E-11</v>
      </c>
      <c r="D20" s="2">
        <v>2.6000000000000001E-11</v>
      </c>
    </row>
    <row r="21" spans="1:4">
      <c r="A21" t="s">
        <v>217</v>
      </c>
      <c r="B21" s="2">
        <v>1.8999999999999999E-10</v>
      </c>
      <c r="C21" s="2">
        <v>8.9999999999999999E-11</v>
      </c>
      <c r="D21" s="2">
        <v>5.4000000000000001E-11</v>
      </c>
    </row>
    <row r="22" spans="1:4">
      <c r="A22" t="s">
        <v>218</v>
      </c>
      <c r="B22" s="2">
        <v>7.5999999999999996E-11</v>
      </c>
      <c r="C22" s="2">
        <v>2.1999999999999999E-10</v>
      </c>
      <c r="D22" s="2">
        <v>2.4E-10</v>
      </c>
    </row>
    <row r="23" spans="1:4">
      <c r="A23" t="s">
        <v>219</v>
      </c>
      <c r="B23" s="2">
        <v>2.3000000000000001E-10</v>
      </c>
      <c r="C23" s="2">
        <v>4.3000000000000001E-10</v>
      </c>
      <c r="D23" s="2">
        <v>4.3000000000000001E-10</v>
      </c>
    </row>
    <row r="24" spans="1:4">
      <c r="A24" t="s">
        <v>102</v>
      </c>
      <c r="B24" s="2">
        <v>9.6000000000000002E-5</v>
      </c>
      <c r="C24" s="2">
        <v>4.1999999999999998E-5</v>
      </c>
      <c r="D24" s="2">
        <v>1.5999999999999999E-5</v>
      </c>
    </row>
    <row r="25" spans="1:4">
      <c r="A25" t="s">
        <v>134</v>
      </c>
      <c r="B25" s="2">
        <v>1.0999999999999999E-8</v>
      </c>
      <c r="C25" s="2">
        <v>1.7E-8</v>
      </c>
      <c r="D25" s="2">
        <v>2E-8</v>
      </c>
    </row>
    <row r="26" spans="1:4">
      <c r="A26" t="s">
        <v>135</v>
      </c>
      <c r="B26" s="2">
        <v>9.2E-5</v>
      </c>
      <c r="C26" s="2">
        <v>3.6999999999999998E-5</v>
      </c>
      <c r="D26" s="2">
        <v>1.1E-5</v>
      </c>
    </row>
    <row r="27" spans="1:4">
      <c r="A27" t="s">
        <v>104</v>
      </c>
      <c r="B27" s="2">
        <v>9.6000000000000002E-5</v>
      </c>
      <c r="C27" s="2">
        <v>4.1E-5</v>
      </c>
      <c r="D27" s="2">
        <v>1.5E-5</v>
      </c>
    </row>
    <row r="28" spans="1:4">
      <c r="A28" t="s">
        <v>220</v>
      </c>
      <c r="B28" s="2">
        <v>3.7E-9</v>
      </c>
      <c r="C28" s="2">
        <v>2.0000000000000001E-9</v>
      </c>
      <c r="D28" s="2">
        <v>1.2E-9</v>
      </c>
    </row>
    <row r="29" spans="1:4">
      <c r="A29" t="s">
        <v>221</v>
      </c>
      <c r="B29" s="2">
        <v>1.5999999999999999E-10</v>
      </c>
      <c r="C29" s="2">
        <v>8.3999999999999994E-11</v>
      </c>
      <c r="D29" s="2">
        <v>5.6999999999999997E-11</v>
      </c>
    </row>
    <row r="30" spans="1:4">
      <c r="A30" t="s">
        <v>222</v>
      </c>
      <c r="B30" s="2">
        <v>2.0999999999999999E-11</v>
      </c>
      <c r="C30" s="2">
        <v>5.2999999999999998E-11</v>
      </c>
      <c r="D30" s="2">
        <v>5.6E-11</v>
      </c>
    </row>
    <row r="31" spans="1:4">
      <c r="A31" t="s">
        <v>223</v>
      </c>
      <c r="B31" s="2">
        <v>3.3000000000000002E-11</v>
      </c>
      <c r="C31" s="2">
        <v>6.6000000000000005E-11</v>
      </c>
      <c r="D31" s="2">
        <v>6.8999999999999994E-11</v>
      </c>
    </row>
    <row r="32" spans="1:4">
      <c r="A32" t="s">
        <v>224</v>
      </c>
      <c r="B32" s="2">
        <v>1.4E-11</v>
      </c>
      <c r="C32" s="2">
        <v>2.2000000000000002E-11</v>
      </c>
      <c r="D32" s="2">
        <v>2.3000000000000001E-11</v>
      </c>
    </row>
    <row r="33" spans="1:4">
      <c r="A33" t="s">
        <v>225</v>
      </c>
      <c r="B33" s="2">
        <v>-1</v>
      </c>
      <c r="C33" s="2">
        <v>2.0999999999999999E-11</v>
      </c>
      <c r="D33" s="2">
        <v>-1</v>
      </c>
    </row>
    <row r="34" spans="1:4">
      <c r="A34" t="s">
        <v>226</v>
      </c>
      <c r="B34" s="2">
        <v>-1</v>
      </c>
      <c r="C34" s="2">
        <v>6.7000000000000001E-11</v>
      </c>
      <c r="D34" s="2">
        <v>-1</v>
      </c>
    </row>
    <row r="35" spans="1:4">
      <c r="A35" t="s">
        <v>227</v>
      </c>
      <c r="B35" s="2">
        <v>-1</v>
      </c>
      <c r="C35" s="2">
        <v>4.0000000000000001E-10</v>
      </c>
      <c r="D35" s="2">
        <v>-1</v>
      </c>
    </row>
    <row r="36" spans="1:4">
      <c r="A36" t="s">
        <v>228</v>
      </c>
      <c r="B36" s="2">
        <v>-1</v>
      </c>
      <c r="C36" s="2">
        <v>8.9999999999999999E-10</v>
      </c>
      <c r="D36" s="2">
        <v>-1</v>
      </c>
    </row>
    <row r="37" spans="1:4">
      <c r="A37" t="s">
        <v>229</v>
      </c>
      <c r="B37" s="2">
        <v>-1</v>
      </c>
      <c r="C37" s="2">
        <v>1.0000000000000001E-9</v>
      </c>
      <c r="D37" s="2">
        <v>-1</v>
      </c>
    </row>
    <row r="38" spans="1:4">
      <c r="A38" t="s">
        <v>230</v>
      </c>
      <c r="B38" s="2">
        <v>-1</v>
      </c>
      <c r="C38" s="2">
        <v>2.1000000000000002E-9</v>
      </c>
      <c r="D38" s="2">
        <v>-1</v>
      </c>
    </row>
    <row r="39" spans="1:4">
      <c r="A39" t="s">
        <v>231</v>
      </c>
      <c r="B39" s="2">
        <v>-1</v>
      </c>
      <c r="C39" s="2">
        <v>7.4000000000000003E-10</v>
      </c>
      <c r="D39" s="2">
        <v>-1</v>
      </c>
    </row>
    <row r="40" spans="1:4">
      <c r="A40" t="s">
        <v>232</v>
      </c>
      <c r="B40" s="2">
        <v>-1</v>
      </c>
      <c r="C40" s="2">
        <v>3.9E-10</v>
      </c>
      <c r="D40" s="2">
        <v>-1</v>
      </c>
    </row>
    <row r="41" spans="1:4">
      <c r="A41" t="s">
        <v>233</v>
      </c>
      <c r="B41" s="2">
        <v>-1</v>
      </c>
      <c r="C41" s="2">
        <v>8.9000000000000003E-11</v>
      </c>
      <c r="D41" s="2">
        <v>-1</v>
      </c>
    </row>
    <row r="42" spans="1:4">
      <c r="A42" t="s">
        <v>234</v>
      </c>
      <c r="B42" s="2">
        <v>3.3E-10</v>
      </c>
      <c r="C42" s="2">
        <v>2.2999999999999999E-9</v>
      </c>
      <c r="D42" s="2">
        <v>-1</v>
      </c>
    </row>
    <row r="43" spans="1:4">
      <c r="A43" t="s">
        <v>235</v>
      </c>
      <c r="B43" s="2">
        <v>1.6000000000000001E-8</v>
      </c>
      <c r="C43" s="2">
        <v>1.1000000000000001E-7</v>
      </c>
      <c r="D43" s="2">
        <v>-1</v>
      </c>
    </row>
    <row r="44" spans="1:4">
      <c r="A44" t="s">
        <v>236</v>
      </c>
      <c r="B44" s="2">
        <v>3.5999999999999998E-11</v>
      </c>
      <c r="C44" s="2">
        <v>1.0999999999999999E-10</v>
      </c>
      <c r="D44" s="2">
        <v>1.2E-10</v>
      </c>
    </row>
    <row r="45" spans="1:4">
      <c r="A45" t="s">
        <v>237</v>
      </c>
      <c r="B45" s="2">
        <v>1.4000000000000001E-10</v>
      </c>
      <c r="C45" s="2">
        <v>2.3000000000000001E-10</v>
      </c>
      <c r="D45" s="2">
        <v>2.4E-10</v>
      </c>
    </row>
    <row r="46" spans="1:4">
      <c r="A46" t="s">
        <v>238</v>
      </c>
      <c r="B46" s="2">
        <v>6.6000000000000005E-11</v>
      </c>
      <c r="C46" s="2">
        <v>1.0999999999999999E-9</v>
      </c>
      <c r="D46" s="2">
        <v>1.6999999999999999E-9</v>
      </c>
    </row>
    <row r="47" spans="1:4">
      <c r="A47" t="s">
        <v>239</v>
      </c>
      <c r="B47" s="2">
        <v>2.1E-10</v>
      </c>
      <c r="C47" s="2">
        <v>7.7999999999999999E-10</v>
      </c>
      <c r="D47" s="2">
        <v>8.6000000000000003E-10</v>
      </c>
    </row>
    <row r="48" spans="1:4">
      <c r="A48" t="s">
        <v>240</v>
      </c>
      <c r="B48" s="2">
        <v>3.1999999999999998E-10</v>
      </c>
      <c r="C48" s="2">
        <v>1.8E-9</v>
      </c>
      <c r="D48" s="2">
        <v>2.0000000000000001E-9</v>
      </c>
    </row>
    <row r="49" spans="1:4">
      <c r="A49" t="s">
        <v>241</v>
      </c>
      <c r="B49" s="2">
        <v>9.7999999999999998E-11</v>
      </c>
      <c r="C49" s="2">
        <v>7.1000000000000003E-10</v>
      </c>
      <c r="D49" s="2">
        <v>7.8999999999999996E-10</v>
      </c>
    </row>
    <row r="50" spans="1:4">
      <c r="A50" t="s">
        <v>242</v>
      </c>
      <c r="B50" s="2">
        <v>1.6E-11</v>
      </c>
      <c r="C50" s="2">
        <v>3.3000000000000002E-11</v>
      </c>
      <c r="D50" s="2">
        <v>3.5000000000000002E-11</v>
      </c>
    </row>
    <row r="51" spans="1:4">
      <c r="A51" t="s">
        <v>243</v>
      </c>
      <c r="B51" s="2">
        <v>2.8999999999999998E-10</v>
      </c>
      <c r="C51" s="2">
        <v>6.8000000000000003E-10</v>
      </c>
      <c r="D51" s="2">
        <v>7.2E-10</v>
      </c>
    </row>
    <row r="52" spans="1:4">
      <c r="A52" t="s">
        <v>244</v>
      </c>
      <c r="B52" s="2">
        <v>8.6999999999999997E-12</v>
      </c>
      <c r="C52" s="2">
        <v>1.6999999999999999E-11</v>
      </c>
      <c r="D52" s="2">
        <v>1.6999999999999999E-11</v>
      </c>
    </row>
    <row r="53" spans="1:4">
      <c r="A53" t="s">
        <v>245</v>
      </c>
      <c r="B53" s="2">
        <v>7.4000000000000003E-11</v>
      </c>
      <c r="C53" s="2">
        <v>1E-10</v>
      </c>
      <c r="D53" s="2">
        <v>1.0999999999999999E-10</v>
      </c>
    </row>
    <row r="54" spans="1:4">
      <c r="A54" t="s">
        <v>246</v>
      </c>
      <c r="B54" s="2">
        <v>7.5999999999999996E-10</v>
      </c>
      <c r="C54" s="2">
        <v>1.3000000000000001E-9</v>
      </c>
      <c r="D54" s="2">
        <v>1.3999999999999999E-9</v>
      </c>
    </row>
    <row r="55" spans="1:4">
      <c r="A55" t="s">
        <v>247</v>
      </c>
      <c r="B55" s="2">
        <v>2.1999999999999999E-10</v>
      </c>
      <c r="C55" s="2">
        <v>7.5999999999999996E-10</v>
      </c>
      <c r="D55" s="2">
        <v>8.6999999999999999E-10</v>
      </c>
    </row>
    <row r="56" spans="1:4">
      <c r="A56" t="s">
        <v>248</v>
      </c>
      <c r="B56" s="2">
        <v>3.9999999999999999E-12</v>
      </c>
      <c r="C56" s="2">
        <v>7.4E-12</v>
      </c>
      <c r="D56" s="2">
        <v>7.7999999999999999E-12</v>
      </c>
    </row>
    <row r="57" spans="1:4">
      <c r="A57" t="s">
        <v>249</v>
      </c>
      <c r="B57" s="2">
        <v>1.5E-9</v>
      </c>
      <c r="C57" s="2">
        <v>3.1E-9</v>
      </c>
      <c r="D57" s="2">
        <v>1E-8</v>
      </c>
    </row>
    <row r="58" spans="1:4">
      <c r="A58" t="s">
        <v>250</v>
      </c>
      <c r="B58" s="2">
        <v>1.8E-10</v>
      </c>
      <c r="C58" s="2">
        <v>4.2E-10</v>
      </c>
      <c r="D58" s="2">
        <v>4.6000000000000001E-10</v>
      </c>
    </row>
    <row r="59" spans="1:4">
      <c r="A59" t="s">
        <v>251</v>
      </c>
      <c r="B59" s="2">
        <v>1.4000000000000001E-10</v>
      </c>
      <c r="C59" s="2">
        <v>3.3E-10</v>
      </c>
      <c r="D59" s="2">
        <v>3.6E-10</v>
      </c>
    </row>
    <row r="60" spans="1:4">
      <c r="A60" t="s">
        <v>252</v>
      </c>
      <c r="B60" s="2">
        <v>3.3999999999999999E-11</v>
      </c>
      <c r="C60" s="2">
        <v>5.6E-11</v>
      </c>
      <c r="D60" s="2">
        <v>5.9000000000000003E-11</v>
      </c>
    </row>
    <row r="61" spans="1:4">
      <c r="A61" t="s">
        <v>253</v>
      </c>
      <c r="B61" s="2">
        <v>1.0000000000000001E-9</v>
      </c>
      <c r="C61" s="2">
        <v>5.1000000000000002E-9</v>
      </c>
      <c r="D61" s="2">
        <v>5.7999999999999998E-9</v>
      </c>
    </row>
    <row r="62" spans="1:4">
      <c r="A62" t="s">
        <v>254</v>
      </c>
      <c r="B62" s="2">
        <v>2.0999999999999999E-11</v>
      </c>
      <c r="C62" s="2">
        <v>3.1999999999999999E-11</v>
      </c>
      <c r="D62" s="2">
        <v>3.3999999999999999E-11</v>
      </c>
    </row>
    <row r="63" spans="1:4">
      <c r="A63" t="s">
        <v>255</v>
      </c>
      <c r="B63" s="2">
        <v>1.5E-11</v>
      </c>
      <c r="C63" s="2">
        <v>2.0999999999999999E-11</v>
      </c>
      <c r="D63" s="2">
        <v>2.2000000000000002E-11</v>
      </c>
    </row>
    <row r="64" spans="1:4">
      <c r="A64" t="s">
        <v>256</v>
      </c>
      <c r="B64" s="2">
        <v>-1</v>
      </c>
      <c r="C64" s="2">
        <v>9.5999999999999999E-9</v>
      </c>
      <c r="D64" s="2">
        <v>3.5000000000000002E-8</v>
      </c>
    </row>
    <row r="65" spans="1:4">
      <c r="A65" t="s">
        <v>257</v>
      </c>
      <c r="B65" s="2">
        <v>-1</v>
      </c>
      <c r="C65" s="2">
        <v>5.0000000000000002E-11</v>
      </c>
      <c r="D65" s="2">
        <v>5.4999999999999997E-11</v>
      </c>
    </row>
    <row r="66" spans="1:4">
      <c r="A66" t="s">
        <v>258</v>
      </c>
      <c r="B66" s="2">
        <v>2.2000000000000002E-11</v>
      </c>
      <c r="C66" s="2">
        <v>3.3000000000000002E-11</v>
      </c>
      <c r="D66" s="2">
        <v>-1</v>
      </c>
    </row>
    <row r="67" spans="1:4">
      <c r="A67" t="s">
        <v>259</v>
      </c>
      <c r="B67" s="2">
        <v>4.4000000000000003E-11</v>
      </c>
      <c r="C67" s="2">
        <v>6.6000000000000005E-11</v>
      </c>
      <c r="D67" s="2">
        <v>-1</v>
      </c>
    </row>
    <row r="68" spans="1:4">
      <c r="A68" t="s">
        <v>260</v>
      </c>
      <c r="B68" s="2">
        <v>4.3E-11</v>
      </c>
      <c r="C68" s="2">
        <v>5.4999999999999997E-11</v>
      </c>
      <c r="D68" s="2">
        <v>-1</v>
      </c>
    </row>
    <row r="69" spans="1:4">
      <c r="A69" t="s">
        <v>261</v>
      </c>
      <c r="B69" s="2">
        <v>1.8999999999999999E-10</v>
      </c>
      <c r="C69" s="2">
        <v>2.5999999999999998E-10</v>
      </c>
      <c r="D69" s="2">
        <v>-1</v>
      </c>
    </row>
    <row r="70" spans="1:4">
      <c r="A70" t="s">
        <v>262</v>
      </c>
      <c r="B70" s="2">
        <v>3.7999999999999998E-10</v>
      </c>
      <c r="C70" s="2">
        <v>9.2999999999999999E-10</v>
      </c>
      <c r="D70" s="2">
        <v>-1</v>
      </c>
    </row>
    <row r="71" spans="1:4">
      <c r="A71" t="s">
        <v>263</v>
      </c>
      <c r="B71" s="2">
        <v>7.4000000000000003E-10</v>
      </c>
      <c r="C71" s="2">
        <v>1.6999999999999999E-9</v>
      </c>
      <c r="D71" s="2">
        <v>-1</v>
      </c>
    </row>
    <row r="72" spans="1:4">
      <c r="A72" t="s">
        <v>264</v>
      </c>
      <c r="B72" s="2">
        <v>4.8999999999999996E-10</v>
      </c>
      <c r="C72" s="2">
        <v>5.5999999999999997E-9</v>
      </c>
      <c r="D72" s="2">
        <v>-1</v>
      </c>
    </row>
    <row r="73" spans="1:4">
      <c r="A73" t="s">
        <v>43</v>
      </c>
      <c r="B73" s="2">
        <v>1.0999999999999999E-9</v>
      </c>
      <c r="C73" s="2">
        <v>9.2999999999999999E-8</v>
      </c>
      <c r="D73" s="2">
        <v>-1</v>
      </c>
    </row>
    <row r="74" spans="1:4">
      <c r="A74" t="s">
        <v>265</v>
      </c>
      <c r="B74" s="2">
        <v>4.6000000000000002E-8</v>
      </c>
      <c r="C74" s="2">
        <v>3.4000000000000001E-6</v>
      </c>
      <c r="D74" s="2">
        <v>-1</v>
      </c>
    </row>
    <row r="75" spans="1:4">
      <c r="A75" t="s">
        <v>50</v>
      </c>
      <c r="B75" s="2">
        <v>9.1000000000000004E-9</v>
      </c>
      <c r="C75" s="2">
        <v>3.1E-8</v>
      </c>
      <c r="D75" s="2">
        <v>-1</v>
      </c>
    </row>
    <row r="76" spans="1:4">
      <c r="A76" t="s">
        <v>53</v>
      </c>
      <c r="B76" s="2">
        <v>1E-8</v>
      </c>
      <c r="C76" s="2">
        <v>2.9999999999999997E-8</v>
      </c>
      <c r="D76" s="2">
        <v>-1</v>
      </c>
    </row>
    <row r="77" spans="1:4">
      <c r="A77" t="s">
        <v>55</v>
      </c>
      <c r="B77" s="2">
        <v>7.0999999999999999E-9</v>
      </c>
      <c r="C77" s="2">
        <v>1.4E-8</v>
      </c>
      <c r="D77" s="2">
        <v>-1</v>
      </c>
    </row>
    <row r="78" spans="1:4">
      <c r="A78" t="s">
        <v>266</v>
      </c>
      <c r="B78" s="2">
        <v>-1</v>
      </c>
      <c r="C78" s="2">
        <v>2.1000000000000002E-9</v>
      </c>
      <c r="D78" s="2">
        <v>-1</v>
      </c>
    </row>
    <row r="79" spans="1:4">
      <c r="A79" t="s">
        <v>267</v>
      </c>
      <c r="B79" s="2">
        <v>-1</v>
      </c>
      <c r="C79" s="2">
        <v>3.3E-10</v>
      </c>
      <c r="D79" s="2">
        <v>-1</v>
      </c>
    </row>
    <row r="80" spans="1:4">
      <c r="A80" t="s">
        <v>268</v>
      </c>
      <c r="B80" s="2">
        <v>-1</v>
      </c>
      <c r="C80" s="2">
        <v>6.8999999999999997E-5</v>
      </c>
      <c r="D80" s="2">
        <v>-1</v>
      </c>
    </row>
    <row r="81" spans="1:4">
      <c r="A81" t="s">
        <v>269</v>
      </c>
      <c r="B81" s="2">
        <v>-1</v>
      </c>
      <c r="C81" s="2">
        <v>1.6E-7</v>
      </c>
      <c r="D81" s="2">
        <v>-1</v>
      </c>
    </row>
    <row r="82" spans="1:4">
      <c r="A82" t="s">
        <v>270</v>
      </c>
      <c r="B82" s="2">
        <v>-1</v>
      </c>
      <c r="C82" s="2">
        <v>1.0000000000000001E-9</v>
      </c>
      <c r="D82" s="2">
        <v>-1</v>
      </c>
    </row>
    <row r="83" spans="1:4">
      <c r="A83" t="s">
        <v>271</v>
      </c>
      <c r="B83" s="2">
        <v>2.6000000000000001E-11</v>
      </c>
      <c r="C83" s="2">
        <v>3.7999999999999998E-11</v>
      </c>
      <c r="D83" s="2">
        <v>-1</v>
      </c>
    </row>
    <row r="84" spans="1:4">
      <c r="A84" t="s">
        <v>272</v>
      </c>
      <c r="B84" s="2">
        <v>3.9000000000000001E-11</v>
      </c>
      <c r="C84" s="2">
        <v>6.2000000000000006E-11</v>
      </c>
      <c r="D84" s="2">
        <v>-1</v>
      </c>
    </row>
    <row r="85" spans="1:4">
      <c r="A85" t="s">
        <v>273</v>
      </c>
      <c r="B85" s="2">
        <v>2.9E-11</v>
      </c>
      <c r="C85" s="2">
        <v>5.2999999999999998E-11</v>
      </c>
      <c r="D85" s="2">
        <v>-1</v>
      </c>
    </row>
    <row r="86" spans="1:4">
      <c r="A86" t="s">
        <v>274</v>
      </c>
      <c r="B86" s="2">
        <v>2.4E-10</v>
      </c>
      <c r="C86" s="2">
        <v>4.0999999999999998E-10</v>
      </c>
      <c r="D86" s="2">
        <v>-1</v>
      </c>
    </row>
    <row r="87" spans="1:4">
      <c r="A87" t="s">
        <v>275</v>
      </c>
      <c r="B87" s="2">
        <v>6.2000000000000006E-11</v>
      </c>
      <c r="C87" s="2">
        <v>8.3999999999999994E-11</v>
      </c>
      <c r="D87" s="2">
        <v>-1</v>
      </c>
    </row>
    <row r="88" spans="1:4">
      <c r="A88" t="s">
        <v>276</v>
      </c>
      <c r="B88" s="2">
        <v>5.9000000000000003E-12</v>
      </c>
      <c r="C88" s="2">
        <v>9.3999999999999995E-12</v>
      </c>
      <c r="D88" s="2">
        <v>-1</v>
      </c>
    </row>
    <row r="89" spans="1:4">
      <c r="A89" t="s">
        <v>277</v>
      </c>
      <c r="B89" s="2">
        <v>3.3000000000000002E-11</v>
      </c>
      <c r="C89" s="2">
        <v>7.5999999999999996E-11</v>
      </c>
      <c r="D89" s="2">
        <v>-1</v>
      </c>
    </row>
    <row r="90" spans="1:4">
      <c r="A90" t="s">
        <v>278</v>
      </c>
      <c r="B90" s="2">
        <v>3.4999999999999998E-10</v>
      </c>
      <c r="C90" s="2">
        <v>6.3E-10</v>
      </c>
      <c r="D90" s="2">
        <v>-1</v>
      </c>
    </row>
    <row r="91" spans="1:4">
      <c r="A91" t="s">
        <v>279</v>
      </c>
      <c r="B91" s="2">
        <v>1.6E-11</v>
      </c>
      <c r="C91" s="2">
        <v>4.8000000000000002E-11</v>
      </c>
      <c r="D91" s="2">
        <v>-1</v>
      </c>
    </row>
    <row r="92" spans="1:4">
      <c r="A92" t="s">
        <v>280</v>
      </c>
      <c r="B92" s="2">
        <v>2.2000000000000002E-11</v>
      </c>
      <c r="C92" s="2">
        <v>3.7000000000000001E-11</v>
      </c>
      <c r="D92" s="2">
        <v>-1</v>
      </c>
    </row>
    <row r="93" spans="1:4">
      <c r="A93" t="s">
        <v>198</v>
      </c>
      <c r="B93" s="2">
        <v>1.1000000000000001E-11</v>
      </c>
      <c r="C93" s="2">
        <v>1.7999999999999999E-11</v>
      </c>
      <c r="D93" s="2">
        <v>1.7999999999999999E-11</v>
      </c>
    </row>
    <row r="94" spans="1:4">
      <c r="A94" t="s">
        <v>2</v>
      </c>
      <c r="B94" s="2">
        <v>2.0000000000000001E-10</v>
      </c>
      <c r="C94" s="2">
        <v>2.0000000000000001E-9</v>
      </c>
      <c r="D94" s="2">
        <v>5.7999999999999998E-9</v>
      </c>
    </row>
    <row r="95" spans="1:4">
      <c r="A95" t="s">
        <v>281</v>
      </c>
      <c r="B95" s="2">
        <v>1.7000000000000001E-10</v>
      </c>
      <c r="C95" s="2">
        <v>9.4999999999999995E-11</v>
      </c>
      <c r="D95" s="2">
        <v>1.8E-10</v>
      </c>
    </row>
    <row r="96" spans="1:4">
      <c r="A96" t="s">
        <v>8</v>
      </c>
      <c r="B96" s="2">
        <v>4.6000000000000001E-10</v>
      </c>
      <c r="C96" s="2">
        <v>2.7000000000000002E-9</v>
      </c>
      <c r="D96" s="2">
        <v>3.7E-9</v>
      </c>
    </row>
    <row r="97" spans="1:4">
      <c r="A97" t="s">
        <v>282</v>
      </c>
      <c r="B97" s="2">
        <v>5.4999999999999996E-10</v>
      </c>
      <c r="C97" s="2">
        <v>1.9000000000000001E-9</v>
      </c>
      <c r="D97" s="2">
        <v>2.1000000000000002E-9</v>
      </c>
    </row>
    <row r="98" spans="1:4">
      <c r="A98" t="s">
        <v>283</v>
      </c>
      <c r="B98" s="2">
        <v>2.4000000000000001E-11</v>
      </c>
      <c r="C98" s="2">
        <v>3.3999999999999999E-11</v>
      </c>
      <c r="D98" s="2">
        <v>3.5000000000000002E-11</v>
      </c>
    </row>
    <row r="99" spans="1:4">
      <c r="A99" t="s">
        <v>284</v>
      </c>
      <c r="B99" s="2">
        <v>2.0999999999999999E-11</v>
      </c>
      <c r="C99" s="2">
        <v>8.2999999999999998E-11</v>
      </c>
      <c r="D99" s="2">
        <v>7.7000000000000006E-11</v>
      </c>
    </row>
    <row r="100" spans="1:4">
      <c r="A100" t="s">
        <v>285</v>
      </c>
      <c r="B100" s="2">
        <v>8.0999999999999997E-9</v>
      </c>
      <c r="C100" s="2">
        <v>6.6000000000000004E-9</v>
      </c>
      <c r="D100" s="2">
        <v>6.2000000000000001E-9</v>
      </c>
    </row>
    <row r="101" spans="1:4">
      <c r="A101" t="s">
        <v>145</v>
      </c>
      <c r="B101" s="2">
        <v>1.1999999999999999E-7</v>
      </c>
      <c r="C101" s="2">
        <v>5.5000000000000003E-8</v>
      </c>
      <c r="D101" s="2">
        <v>2.6000000000000001E-8</v>
      </c>
    </row>
    <row r="102" spans="1:4">
      <c r="A102" t="s">
        <v>115</v>
      </c>
      <c r="B102" s="2">
        <v>1.1000000000000001E-7</v>
      </c>
      <c r="C102" s="2">
        <v>5.2000000000000002E-8</v>
      </c>
      <c r="D102" s="2">
        <v>3.1E-8</v>
      </c>
    </row>
    <row r="103" spans="1:4">
      <c r="A103" t="s">
        <v>286</v>
      </c>
      <c r="B103" s="2">
        <v>3.4999999999999998E-10</v>
      </c>
      <c r="C103" s="2">
        <v>9.7999999999999992E-10</v>
      </c>
      <c r="D103" s="2">
        <v>1.0999999999999999E-9</v>
      </c>
    </row>
    <row r="104" spans="1:4">
      <c r="A104" t="s">
        <v>287</v>
      </c>
      <c r="B104" s="2">
        <v>5.3000000000000003E-9</v>
      </c>
      <c r="C104" s="2">
        <v>6.2000000000000001E-9</v>
      </c>
      <c r="D104" s="2">
        <v>7.6999999999999995E-9</v>
      </c>
    </row>
    <row r="105" spans="1:4">
      <c r="A105" t="s">
        <v>288</v>
      </c>
      <c r="B105" s="2">
        <v>6.7000000000000001E-11</v>
      </c>
      <c r="C105" s="2">
        <v>1.5999999999999999E-10</v>
      </c>
      <c r="D105" s="2">
        <v>1.7000000000000001E-10</v>
      </c>
    </row>
    <row r="106" spans="1:4">
      <c r="A106" t="s">
        <v>289</v>
      </c>
      <c r="B106" s="2">
        <v>9.3999999999999999E-11</v>
      </c>
      <c r="C106" s="2">
        <v>2.0000000000000001E-10</v>
      </c>
      <c r="D106" s="2">
        <v>2.1E-10</v>
      </c>
    </row>
    <row r="107" spans="1:4">
      <c r="A107" t="s">
        <v>290</v>
      </c>
      <c r="B107" s="2">
        <v>5.7E-10</v>
      </c>
      <c r="C107" s="2">
        <v>1.3000000000000001E-9</v>
      </c>
      <c r="D107" s="2">
        <v>1.3000000000000001E-9</v>
      </c>
    </row>
    <row r="108" spans="1:4">
      <c r="A108" t="s">
        <v>291</v>
      </c>
      <c r="B108" s="2">
        <v>2.4E-10</v>
      </c>
      <c r="C108" s="2">
        <v>4.8E-10</v>
      </c>
      <c r="D108" s="2">
        <v>5.0000000000000003E-10</v>
      </c>
    </row>
    <row r="109" spans="1:4">
      <c r="A109" t="s">
        <v>292</v>
      </c>
      <c r="B109" s="2">
        <v>7.0000000000000001E-12</v>
      </c>
      <c r="C109" s="2">
        <v>9.7999999999999994E-12</v>
      </c>
      <c r="D109" s="2">
        <v>9.9999999999999994E-12</v>
      </c>
    </row>
    <row r="110" spans="1:4">
      <c r="A110" t="s">
        <v>293</v>
      </c>
      <c r="B110" s="2">
        <v>1.2E-10</v>
      </c>
      <c r="C110" s="2">
        <v>4.0999999999999998E-10</v>
      </c>
      <c r="D110" s="2">
        <v>4.3999999999999998E-10</v>
      </c>
    </row>
    <row r="111" spans="1:4">
      <c r="A111" t="s">
        <v>294</v>
      </c>
      <c r="B111" s="2">
        <v>1.5E-9</v>
      </c>
      <c r="C111" s="2">
        <v>1.6999999999999999E-9</v>
      </c>
      <c r="D111" s="2">
        <v>1.9000000000000001E-9</v>
      </c>
    </row>
    <row r="112" spans="1:4">
      <c r="A112" t="s">
        <v>295</v>
      </c>
      <c r="B112" s="2">
        <v>9.2999999999999999E-10</v>
      </c>
      <c r="C112" s="2">
        <v>3.2000000000000001E-9</v>
      </c>
      <c r="D112" s="2">
        <v>3.8000000000000001E-9</v>
      </c>
    </row>
    <row r="113" spans="1:4">
      <c r="A113" t="s">
        <v>296</v>
      </c>
      <c r="B113" s="2">
        <v>2.7E-10</v>
      </c>
      <c r="C113" s="2">
        <v>7.5E-10</v>
      </c>
      <c r="D113" s="2">
        <v>8.3000000000000003E-10</v>
      </c>
    </row>
    <row r="114" spans="1:4">
      <c r="A114" t="s">
        <v>124</v>
      </c>
      <c r="B114" s="2">
        <v>4.0000000000000001E-8</v>
      </c>
      <c r="C114" s="2">
        <v>3.5999999999999998E-8</v>
      </c>
      <c r="D114" s="2">
        <v>5.2999999999999998E-8</v>
      </c>
    </row>
    <row r="115" spans="1:4">
      <c r="A115" t="s">
        <v>297</v>
      </c>
      <c r="B115" s="2">
        <v>-1</v>
      </c>
      <c r="C115" s="2">
        <v>1.4E-8</v>
      </c>
      <c r="D115" s="2">
        <v>-1</v>
      </c>
    </row>
    <row r="116" spans="1:4">
      <c r="A116" t="s">
        <v>298</v>
      </c>
      <c r="B116" s="2">
        <v>-1</v>
      </c>
      <c r="C116" s="2">
        <v>4.4999999999999998E-7</v>
      </c>
      <c r="D116" s="2">
        <v>-1</v>
      </c>
    </row>
    <row r="117" spans="1:4">
      <c r="A117" t="s">
        <v>299</v>
      </c>
      <c r="B117" s="2">
        <v>-1</v>
      </c>
      <c r="C117" s="2">
        <v>8.8000000000000004E-6</v>
      </c>
      <c r="D117" s="2">
        <v>-1</v>
      </c>
    </row>
    <row r="118" spans="1:4">
      <c r="A118" t="s">
        <v>300</v>
      </c>
      <c r="B118" s="2">
        <v>-1</v>
      </c>
      <c r="C118" s="2">
        <v>6.9999999999999994E-5</v>
      </c>
      <c r="D118" s="2">
        <v>-1</v>
      </c>
    </row>
    <row r="119" spans="1:4">
      <c r="A119" t="s">
        <v>301</v>
      </c>
      <c r="B119" s="2">
        <v>-1</v>
      </c>
      <c r="C119" s="2">
        <v>3.4E-5</v>
      </c>
      <c r="D119" s="2">
        <v>-1</v>
      </c>
    </row>
    <row r="120" spans="1:4">
      <c r="A120" t="s">
        <v>302</v>
      </c>
      <c r="B120" s="2">
        <v>-1</v>
      </c>
      <c r="C120" s="2">
        <v>7.1000000000000005E-5</v>
      </c>
      <c r="D120" s="2">
        <v>-1</v>
      </c>
    </row>
    <row r="121" spans="1:4">
      <c r="A121" t="s">
        <v>303</v>
      </c>
      <c r="B121" s="2">
        <v>-1</v>
      </c>
      <c r="C121" s="2">
        <v>2.0000000000000002E-5</v>
      </c>
      <c r="D121" s="2">
        <v>-1</v>
      </c>
    </row>
    <row r="122" spans="1:4">
      <c r="A122" t="s">
        <v>304</v>
      </c>
      <c r="B122" s="2">
        <v>-1</v>
      </c>
      <c r="C122" s="2">
        <v>1.3E-6</v>
      </c>
      <c r="D122" s="2">
        <v>-1</v>
      </c>
    </row>
    <row r="123" spans="1:4">
      <c r="A123" t="s">
        <v>305</v>
      </c>
      <c r="B123" s="2">
        <v>-1</v>
      </c>
      <c r="C123" s="2">
        <v>4.1E-5</v>
      </c>
      <c r="D123" s="2">
        <v>-1</v>
      </c>
    </row>
    <row r="124" spans="1:4">
      <c r="A124" t="s">
        <v>7</v>
      </c>
      <c r="B124" s="2">
        <v>3.3E-10</v>
      </c>
      <c r="C124" s="2">
        <v>7.3E-9</v>
      </c>
      <c r="D124" s="2">
        <v>-1</v>
      </c>
    </row>
    <row r="125" spans="1:4">
      <c r="A125" t="s">
        <v>306</v>
      </c>
      <c r="B125" s="2">
        <v>2.5000000000000001E-11</v>
      </c>
      <c r="C125" s="2">
        <v>4.5E-11</v>
      </c>
      <c r="D125" s="2">
        <v>-1</v>
      </c>
    </row>
    <row r="126" spans="1:4">
      <c r="A126" t="s">
        <v>307</v>
      </c>
      <c r="B126" s="2">
        <v>2.5000000000000001E-11</v>
      </c>
      <c r="C126" s="2">
        <v>4.6000000000000003E-11</v>
      </c>
      <c r="D126" s="2">
        <v>-1</v>
      </c>
    </row>
    <row r="127" spans="1:4">
      <c r="A127" t="s">
        <v>308</v>
      </c>
      <c r="B127" s="2">
        <v>7.7999999999999999E-10</v>
      </c>
      <c r="C127" s="2">
        <v>4.4999999999999998E-9</v>
      </c>
      <c r="D127" s="2">
        <v>4.9E-9</v>
      </c>
    </row>
    <row r="128" spans="1:4">
      <c r="A128" t="s">
        <v>309</v>
      </c>
      <c r="B128" s="2">
        <v>1.3E-6</v>
      </c>
      <c r="C128" s="2">
        <v>3.1999999999999999E-6</v>
      </c>
      <c r="D128" s="2">
        <v>3.4999999999999999E-6</v>
      </c>
    </row>
    <row r="129" spans="1:4">
      <c r="A129" t="s">
        <v>310</v>
      </c>
      <c r="B129" s="2">
        <v>2.7E-8</v>
      </c>
      <c r="C129" s="2">
        <v>3.7E-8</v>
      </c>
      <c r="D129" s="2">
        <v>3.7E-8</v>
      </c>
    </row>
    <row r="130" spans="1:4">
      <c r="A130" t="s">
        <v>136</v>
      </c>
      <c r="B130" s="2">
        <v>3.3000000000000002E-6</v>
      </c>
      <c r="C130" s="2">
        <v>5.2000000000000002E-6</v>
      </c>
      <c r="D130" s="2">
        <v>5.9000000000000003E-6</v>
      </c>
    </row>
    <row r="131" spans="1:4">
      <c r="A131" t="s">
        <v>105</v>
      </c>
      <c r="B131" s="2">
        <v>6.8999999999999997E-5</v>
      </c>
      <c r="C131" s="2">
        <v>3.1000000000000001E-5</v>
      </c>
      <c r="D131" s="2">
        <v>1.5E-5</v>
      </c>
    </row>
    <row r="132" spans="1:4">
      <c r="A132" t="s">
        <v>106</v>
      </c>
      <c r="B132" s="2">
        <v>5.7000000000000003E-5</v>
      </c>
      <c r="C132" s="2">
        <v>2.6999999999999999E-5</v>
      </c>
      <c r="D132" s="2">
        <v>1.2999999999999999E-5</v>
      </c>
    </row>
    <row r="133" spans="1:4">
      <c r="A133" t="s">
        <v>137</v>
      </c>
      <c r="B133" s="2">
        <v>9.8999999999999994E-5</v>
      </c>
      <c r="C133" s="2">
        <v>4.1999999999999998E-5</v>
      </c>
      <c r="D133" s="2">
        <v>1.5999999999999999E-5</v>
      </c>
    </row>
    <row r="134" spans="1:4">
      <c r="A134" t="s">
        <v>138</v>
      </c>
      <c r="B134" s="2">
        <v>9.7999999999999997E-5</v>
      </c>
      <c r="C134" s="2">
        <v>4.1999999999999998E-5</v>
      </c>
      <c r="D134" s="2">
        <v>1.5999999999999999E-5</v>
      </c>
    </row>
    <row r="135" spans="1:4">
      <c r="A135" t="s">
        <v>311</v>
      </c>
      <c r="B135" s="2">
        <v>9.0000000000000006E-5</v>
      </c>
      <c r="C135" s="2">
        <v>3.8999999999999999E-5</v>
      </c>
      <c r="D135" s="2">
        <v>1.4E-5</v>
      </c>
    </row>
    <row r="136" spans="1:4">
      <c r="A136" t="s">
        <v>312</v>
      </c>
      <c r="B136" s="2">
        <v>3.6000000000000002E-4</v>
      </c>
      <c r="C136" s="2">
        <v>1.4999999999999999E-4</v>
      </c>
      <c r="D136" s="2">
        <v>4.8000000000000001E-5</v>
      </c>
    </row>
    <row r="137" spans="1:4">
      <c r="A137" t="s">
        <v>313</v>
      </c>
      <c r="B137" s="2">
        <v>3.9999999999999998E-11</v>
      </c>
      <c r="C137" s="2">
        <v>3.3000000000000002E-11</v>
      </c>
      <c r="D137" s="2">
        <v>3.3000000000000002E-11</v>
      </c>
    </row>
    <row r="138" spans="1:4">
      <c r="A138" t="s">
        <v>314</v>
      </c>
      <c r="B138" s="2">
        <v>2.0999999999999999E-3</v>
      </c>
      <c r="C138" s="2">
        <v>8.4000000000000003E-4</v>
      </c>
      <c r="D138" s="2">
        <v>2.5999999999999998E-4</v>
      </c>
    </row>
    <row r="139" spans="1:4">
      <c r="A139" t="s">
        <v>315</v>
      </c>
      <c r="B139" s="2">
        <v>2.7E-10</v>
      </c>
      <c r="C139" s="2">
        <v>5.0000000000000003E-10</v>
      </c>
      <c r="D139" s="2">
        <v>5.3000000000000003E-10</v>
      </c>
    </row>
    <row r="140" spans="1:4">
      <c r="A140" t="s">
        <v>316</v>
      </c>
      <c r="B140" s="2">
        <v>1.8E-9</v>
      </c>
      <c r="C140" s="2">
        <v>4.8E-9</v>
      </c>
      <c r="D140" s="2">
        <v>6.6999999999999996E-9</v>
      </c>
    </row>
    <row r="141" spans="1:4">
      <c r="A141" t="s">
        <v>12</v>
      </c>
      <c r="B141" s="2">
        <v>1.8999999999999999E-10</v>
      </c>
      <c r="C141" s="2">
        <v>5.4999999999999996E-10</v>
      </c>
      <c r="D141" s="2">
        <v>1.0000000000000001E-9</v>
      </c>
    </row>
    <row r="142" spans="1:4">
      <c r="A142" t="s">
        <v>317</v>
      </c>
      <c r="B142" s="2">
        <v>5.3000000000000003E-10</v>
      </c>
      <c r="C142" s="2">
        <v>1.6000000000000001E-9</v>
      </c>
      <c r="D142" s="2">
        <v>2.1000000000000002E-9</v>
      </c>
    </row>
    <row r="143" spans="1:4">
      <c r="A143" t="s">
        <v>318</v>
      </c>
      <c r="B143" s="2">
        <v>5.1999999999999997E-12</v>
      </c>
      <c r="C143" s="2">
        <v>1.3E-11</v>
      </c>
      <c r="D143" s="2">
        <v>1.6999999999999999E-11</v>
      </c>
    </row>
    <row r="144" spans="1:4">
      <c r="A144" t="s">
        <v>14</v>
      </c>
      <c r="B144" s="2">
        <v>5.2000000000000002E-9</v>
      </c>
      <c r="C144" s="2">
        <v>1E-8</v>
      </c>
      <c r="D144" s="2">
        <v>3.1E-8</v>
      </c>
    </row>
    <row r="145" spans="1:4">
      <c r="A145" t="s">
        <v>319</v>
      </c>
      <c r="B145" s="2">
        <v>6.8999999999999999E-13</v>
      </c>
      <c r="C145" s="2">
        <v>1.1999999999999999E-12</v>
      </c>
      <c r="D145" s="2">
        <v>1.4000000000000001E-12</v>
      </c>
    </row>
    <row r="146" spans="1:4">
      <c r="A146" t="s">
        <v>320</v>
      </c>
      <c r="B146" s="2">
        <v>1.8999999999999999E-11</v>
      </c>
      <c r="C146" s="2">
        <v>4.6999999999999999E-11</v>
      </c>
      <c r="D146" s="2">
        <v>5.0999999999999998E-11</v>
      </c>
    </row>
    <row r="147" spans="1:4">
      <c r="A147" t="s">
        <v>321</v>
      </c>
      <c r="B147" s="2">
        <v>1.4E-11</v>
      </c>
      <c r="C147" s="2">
        <v>1.9999999999999999E-11</v>
      </c>
      <c r="D147" s="2">
        <v>2.0999999999999999E-11</v>
      </c>
    </row>
    <row r="148" spans="1:4">
      <c r="A148" t="s">
        <v>322</v>
      </c>
      <c r="B148" s="2">
        <v>9.8999999999999994E-11</v>
      </c>
      <c r="C148" s="2">
        <v>2.0000000000000001E-10</v>
      </c>
      <c r="D148" s="2">
        <v>2.1999999999999999E-10</v>
      </c>
    </row>
    <row r="149" spans="1:4">
      <c r="A149" t="s">
        <v>323</v>
      </c>
      <c r="B149" s="2">
        <v>1.8999999999999999E-11</v>
      </c>
      <c r="C149" s="2">
        <v>3.3000000000000002E-11</v>
      </c>
      <c r="D149" s="2">
        <v>3.5000000000000002E-11</v>
      </c>
    </row>
    <row r="150" spans="1:4">
      <c r="A150" t="s">
        <v>9</v>
      </c>
      <c r="B150" s="2">
        <v>1.9999999999999999E-11</v>
      </c>
      <c r="C150" s="2">
        <v>3.1999999999999999E-11</v>
      </c>
      <c r="D150" s="2">
        <v>3.7000000000000001E-11</v>
      </c>
    </row>
    <row r="151" spans="1:4">
      <c r="A151" t="s">
        <v>324</v>
      </c>
      <c r="B151" s="2">
        <v>1.2000000000000001E-11</v>
      </c>
      <c r="C151" s="2">
        <v>2.2000000000000002E-11</v>
      </c>
      <c r="D151" s="2">
        <v>2.3000000000000001E-11</v>
      </c>
    </row>
    <row r="152" spans="1:4">
      <c r="A152" t="s">
        <v>325</v>
      </c>
      <c r="B152" s="2">
        <v>1.9999999999999999E-11</v>
      </c>
      <c r="C152" s="2">
        <v>3.5999999999999998E-11</v>
      </c>
      <c r="D152" s="2">
        <v>3.7999999999999998E-11</v>
      </c>
    </row>
    <row r="153" spans="1:4">
      <c r="A153" t="s">
        <v>326</v>
      </c>
      <c r="B153" s="2">
        <v>4.1999999999999997E-11</v>
      </c>
      <c r="C153" s="2">
        <v>7.3000000000000006E-11</v>
      </c>
      <c r="D153" s="2">
        <v>7.7000000000000006E-11</v>
      </c>
    </row>
    <row r="154" spans="1:4">
      <c r="A154" t="s">
        <v>327</v>
      </c>
      <c r="B154" s="2">
        <v>7.7999999999999999E-12</v>
      </c>
      <c r="C154" s="2">
        <v>1.4E-11</v>
      </c>
      <c r="D154" s="2">
        <v>1.4E-11</v>
      </c>
    </row>
    <row r="155" spans="1:4">
      <c r="A155" t="s">
        <v>328</v>
      </c>
      <c r="B155" s="2">
        <v>2.7E-11</v>
      </c>
      <c r="C155" s="2">
        <v>4.4000000000000003E-11</v>
      </c>
      <c r="D155" s="2">
        <v>4.6999999999999999E-11</v>
      </c>
    </row>
    <row r="156" spans="1:4">
      <c r="A156" t="s">
        <v>329</v>
      </c>
      <c r="B156" s="2">
        <v>2.3000000000000001E-10</v>
      </c>
      <c r="C156" s="2">
        <v>2.8999999999999998E-10</v>
      </c>
      <c r="D156" s="2">
        <v>3E-10</v>
      </c>
    </row>
    <row r="157" spans="1:4">
      <c r="A157" t="s">
        <v>122</v>
      </c>
      <c r="B157" s="2">
        <v>6.6000000000000004E-9</v>
      </c>
      <c r="C157" s="2">
        <v>9.1000000000000004E-9</v>
      </c>
      <c r="D157" s="2">
        <v>2E-8</v>
      </c>
    </row>
    <row r="158" spans="1:4">
      <c r="A158" t="s">
        <v>330</v>
      </c>
      <c r="B158" s="2">
        <v>1.4E-11</v>
      </c>
      <c r="C158" s="2">
        <v>5.4000000000000001E-11</v>
      </c>
      <c r="D158" s="2">
        <v>6E-11</v>
      </c>
    </row>
    <row r="159" spans="1:4">
      <c r="A159" t="s">
        <v>123</v>
      </c>
      <c r="B159" s="2">
        <v>6.9E-10</v>
      </c>
      <c r="C159" s="2">
        <v>3.1E-9</v>
      </c>
      <c r="D159" s="2">
        <v>8.5999999999999993E-9</v>
      </c>
    </row>
    <row r="160" spans="1:4">
      <c r="A160" t="s">
        <v>331</v>
      </c>
      <c r="B160" s="2">
        <v>1.2000000000000001E-11</v>
      </c>
      <c r="C160" s="2">
        <v>1.5E-11</v>
      </c>
      <c r="D160" s="2">
        <v>1.6E-11</v>
      </c>
    </row>
    <row r="161" spans="1:4">
      <c r="A161" t="s">
        <v>332</v>
      </c>
      <c r="B161" s="2">
        <v>1.2E-9</v>
      </c>
      <c r="C161" s="2">
        <v>2.5000000000000001E-9</v>
      </c>
      <c r="D161" s="2">
        <v>2.7999999999999998E-9</v>
      </c>
    </row>
    <row r="162" spans="1:4">
      <c r="A162" t="s">
        <v>31</v>
      </c>
      <c r="B162" s="2">
        <v>4.5999999999999998E-9</v>
      </c>
      <c r="C162" s="2">
        <v>9.6999999999999992E-9</v>
      </c>
      <c r="D162" s="2">
        <v>3.8999999999999998E-8</v>
      </c>
    </row>
    <row r="163" spans="1:4">
      <c r="A163" t="s">
        <v>333</v>
      </c>
      <c r="B163" s="2">
        <v>2.4000000000000001E-11</v>
      </c>
      <c r="C163" s="2">
        <v>4.1000000000000001E-11</v>
      </c>
      <c r="D163" s="2">
        <v>4.3E-11</v>
      </c>
    </row>
    <row r="164" spans="1:4">
      <c r="A164" t="s">
        <v>334</v>
      </c>
      <c r="B164" s="2">
        <v>2.3000000000000001E-11</v>
      </c>
      <c r="C164" s="2">
        <v>3.3000000000000002E-11</v>
      </c>
      <c r="D164" s="2">
        <v>3.3999999999999999E-11</v>
      </c>
    </row>
    <row r="165" spans="1:4">
      <c r="A165" t="s">
        <v>335</v>
      </c>
      <c r="B165" s="2">
        <v>3.7000000000000001E-11</v>
      </c>
      <c r="C165" s="2">
        <v>7.4000000000000003E-11</v>
      </c>
      <c r="D165" s="2">
        <v>7.8000000000000002E-11</v>
      </c>
    </row>
    <row r="166" spans="1:4">
      <c r="A166" t="s">
        <v>16</v>
      </c>
      <c r="B166" s="2">
        <v>3.5000000000000002E-11</v>
      </c>
      <c r="C166" s="2">
        <v>1.0999999999999999E-10</v>
      </c>
      <c r="D166" s="2">
        <v>1.2E-10</v>
      </c>
    </row>
    <row r="167" spans="1:4">
      <c r="A167" t="s">
        <v>336</v>
      </c>
      <c r="B167" s="2">
        <v>1E-10</v>
      </c>
      <c r="C167" s="2">
        <v>5.4999999999999996E-10</v>
      </c>
      <c r="D167" s="2">
        <v>6.0999999999999996E-10</v>
      </c>
    </row>
    <row r="168" spans="1:4">
      <c r="A168" t="s">
        <v>337</v>
      </c>
      <c r="B168" s="2">
        <v>-1</v>
      </c>
      <c r="C168" s="2">
        <v>7.7000000000000006E-11</v>
      </c>
      <c r="D168" s="2">
        <v>-1</v>
      </c>
    </row>
    <row r="169" spans="1:4">
      <c r="A169" t="s">
        <v>338</v>
      </c>
      <c r="B169" s="2">
        <v>-1</v>
      </c>
      <c r="C169" s="2">
        <v>3E-11</v>
      </c>
      <c r="D169" s="2">
        <v>-1</v>
      </c>
    </row>
    <row r="170" spans="1:4">
      <c r="A170" t="s">
        <v>339</v>
      </c>
      <c r="B170" s="2">
        <v>-1</v>
      </c>
      <c r="C170" s="2">
        <v>3.7000000000000001E-10</v>
      </c>
      <c r="D170" s="2">
        <v>-1</v>
      </c>
    </row>
    <row r="171" spans="1:4">
      <c r="A171" t="s">
        <v>340</v>
      </c>
      <c r="B171" s="2">
        <v>-1</v>
      </c>
      <c r="C171" s="2">
        <v>6E-11</v>
      </c>
      <c r="D171" s="2">
        <v>-1</v>
      </c>
    </row>
    <row r="172" spans="1:4">
      <c r="A172" t="s">
        <v>341</v>
      </c>
      <c r="B172" s="2">
        <v>-1</v>
      </c>
      <c r="C172" s="2">
        <v>1.9000000000000001E-9</v>
      </c>
      <c r="D172" s="2">
        <v>-1</v>
      </c>
    </row>
    <row r="173" spans="1:4">
      <c r="A173" t="s">
        <v>342</v>
      </c>
      <c r="B173" s="2">
        <v>-1</v>
      </c>
      <c r="C173" s="2">
        <v>4.8000000000000002E-11</v>
      </c>
      <c r="D173" s="2">
        <v>-1</v>
      </c>
    </row>
    <row r="174" spans="1:4">
      <c r="A174" t="s">
        <v>343</v>
      </c>
      <c r="B174" s="2">
        <v>-1</v>
      </c>
      <c r="C174" s="2">
        <v>7.8999999999999999E-12</v>
      </c>
      <c r="D174" s="2">
        <v>-1</v>
      </c>
    </row>
    <row r="175" spans="1:4">
      <c r="A175" t="s">
        <v>344</v>
      </c>
      <c r="B175" s="2">
        <v>-1</v>
      </c>
      <c r="C175" s="2">
        <v>1.0000000000000001E-9</v>
      </c>
      <c r="D175" s="2">
        <v>-1</v>
      </c>
    </row>
    <row r="176" spans="1:4">
      <c r="A176" t="s">
        <v>345</v>
      </c>
      <c r="B176" s="2">
        <v>-1</v>
      </c>
      <c r="C176" s="2">
        <v>2.1999999999999999E-10</v>
      </c>
      <c r="D176" s="2">
        <v>-1</v>
      </c>
    </row>
    <row r="177" spans="1:4">
      <c r="A177" t="s">
        <v>346</v>
      </c>
      <c r="B177" s="2">
        <v>-1</v>
      </c>
      <c r="C177" s="2">
        <v>1.0999999999999999E-9</v>
      </c>
      <c r="D177" s="2">
        <v>-1</v>
      </c>
    </row>
    <row r="178" spans="1:4">
      <c r="A178" t="s">
        <v>347</v>
      </c>
      <c r="B178" s="2">
        <v>-1</v>
      </c>
      <c r="C178" s="2">
        <v>6.3E-10</v>
      </c>
      <c r="D178" s="2">
        <v>-1</v>
      </c>
    </row>
    <row r="179" spans="1:4">
      <c r="A179" t="s">
        <v>348</v>
      </c>
      <c r="B179" s="2">
        <v>-1</v>
      </c>
      <c r="C179" s="2">
        <v>2.1000000000000002E-9</v>
      </c>
      <c r="D179" s="2">
        <v>-1</v>
      </c>
    </row>
    <row r="180" spans="1:4">
      <c r="A180" t="s">
        <v>349</v>
      </c>
      <c r="B180" s="2">
        <v>-1</v>
      </c>
      <c r="C180" s="2">
        <v>2.7E-6</v>
      </c>
      <c r="D180" s="2">
        <v>-1</v>
      </c>
    </row>
    <row r="181" spans="1:4">
      <c r="A181" t="s">
        <v>350</v>
      </c>
      <c r="B181" s="2">
        <v>-1</v>
      </c>
      <c r="C181" s="2">
        <v>8.6000000000000007E-6</v>
      </c>
      <c r="D181" s="2">
        <v>-1</v>
      </c>
    </row>
    <row r="182" spans="1:4">
      <c r="A182" t="s">
        <v>351</v>
      </c>
      <c r="B182" s="2">
        <v>-1</v>
      </c>
      <c r="C182" s="2">
        <v>4.7E-7</v>
      </c>
      <c r="D182" s="2">
        <v>-1</v>
      </c>
    </row>
    <row r="183" spans="1:4">
      <c r="A183" t="s">
        <v>352</v>
      </c>
      <c r="B183" s="2">
        <v>-1</v>
      </c>
      <c r="C183" s="2">
        <v>5.4999999999999996E-10</v>
      </c>
      <c r="D183" s="2">
        <v>-1</v>
      </c>
    </row>
    <row r="184" spans="1:4">
      <c r="A184" t="s">
        <v>353</v>
      </c>
      <c r="B184" s="2">
        <v>-1</v>
      </c>
      <c r="C184" s="2">
        <v>8.0000000000000003E-10</v>
      </c>
      <c r="D184" s="2">
        <v>-1</v>
      </c>
    </row>
    <row r="185" spans="1:4">
      <c r="A185" t="s">
        <v>354</v>
      </c>
      <c r="B185" s="2">
        <v>-1</v>
      </c>
      <c r="C185" s="2">
        <v>1.0999999999999999E-9</v>
      </c>
      <c r="D185" s="2">
        <v>-1</v>
      </c>
    </row>
    <row r="186" spans="1:4">
      <c r="A186" t="s">
        <v>355</v>
      </c>
      <c r="B186" s="2">
        <v>-1</v>
      </c>
      <c r="C186" s="2">
        <v>2.6000000000000001E-9</v>
      </c>
      <c r="D186" s="2">
        <v>-1</v>
      </c>
    </row>
    <row r="187" spans="1:4">
      <c r="A187" t="s">
        <v>356</v>
      </c>
      <c r="B187" s="2">
        <v>-1</v>
      </c>
      <c r="C187" s="2">
        <v>2.8999999999999998E-10</v>
      </c>
      <c r="D187" s="2">
        <v>-1</v>
      </c>
    </row>
    <row r="188" spans="1:4">
      <c r="A188" t="s">
        <v>357</v>
      </c>
      <c r="B188" s="2">
        <v>-1</v>
      </c>
      <c r="C188" s="2">
        <v>5.2999999999999998E-8</v>
      </c>
      <c r="D188" s="2">
        <v>-1</v>
      </c>
    </row>
    <row r="189" spans="1:4">
      <c r="A189" t="s">
        <v>358</v>
      </c>
      <c r="B189" s="2">
        <v>-1</v>
      </c>
      <c r="C189" s="2">
        <v>1.8999999999999999E-10</v>
      </c>
      <c r="D189" s="2">
        <v>-1</v>
      </c>
    </row>
    <row r="190" spans="1:4">
      <c r="A190" t="s">
        <v>36</v>
      </c>
      <c r="B190" s="2">
        <v>-1</v>
      </c>
      <c r="C190" s="2">
        <v>4.1999999999999999E-8</v>
      </c>
      <c r="D190" s="2">
        <v>-1</v>
      </c>
    </row>
    <row r="191" spans="1:4">
      <c r="A191" t="s">
        <v>359</v>
      </c>
      <c r="B191" s="2">
        <v>-1</v>
      </c>
      <c r="C191" s="2">
        <v>2.1999999999999999E-10</v>
      </c>
      <c r="D191" s="2">
        <v>-1</v>
      </c>
    </row>
    <row r="192" spans="1:4">
      <c r="A192" t="s">
        <v>129</v>
      </c>
      <c r="B192" s="2">
        <v>-1</v>
      </c>
      <c r="C192" s="2">
        <v>5.2999999999999998E-8</v>
      </c>
      <c r="D192" s="2">
        <v>-1</v>
      </c>
    </row>
    <row r="193" spans="1:4">
      <c r="A193" t="s">
        <v>130</v>
      </c>
      <c r="B193" s="2">
        <v>-1</v>
      </c>
      <c r="C193" s="2">
        <v>6.8999999999999997E-9</v>
      </c>
      <c r="D193" s="2">
        <v>-1</v>
      </c>
    </row>
    <row r="194" spans="1:4">
      <c r="A194" t="s">
        <v>360</v>
      </c>
      <c r="B194" s="2">
        <v>-1</v>
      </c>
      <c r="C194" s="2">
        <v>3.3999999999999998E-9</v>
      </c>
      <c r="D194" s="2">
        <v>-1</v>
      </c>
    </row>
    <row r="195" spans="1:4">
      <c r="A195" t="s">
        <v>361</v>
      </c>
      <c r="B195" s="2">
        <v>-1</v>
      </c>
      <c r="C195" s="2">
        <v>2.8000000000000002E-10</v>
      </c>
      <c r="D195" s="2">
        <v>-1</v>
      </c>
    </row>
    <row r="196" spans="1:4">
      <c r="A196" t="s">
        <v>362</v>
      </c>
      <c r="B196" s="2">
        <v>-1</v>
      </c>
      <c r="C196" s="2">
        <v>4.6999999999999999E-11</v>
      </c>
      <c r="D196" s="2">
        <v>-1</v>
      </c>
    </row>
    <row r="197" spans="1:4">
      <c r="A197" t="s">
        <v>191</v>
      </c>
      <c r="B197" s="2">
        <v>2.8E-11</v>
      </c>
      <c r="C197" s="2">
        <v>5.6E-11</v>
      </c>
      <c r="D197" s="2">
        <v>5.9000000000000003E-11</v>
      </c>
    </row>
    <row r="198" spans="1:4">
      <c r="A198" t="s">
        <v>363</v>
      </c>
      <c r="B198" s="2">
        <v>3.9E-10</v>
      </c>
      <c r="C198" s="2">
        <v>6E-10</v>
      </c>
      <c r="D198" s="2">
        <v>6.3E-10</v>
      </c>
    </row>
    <row r="199" spans="1:4">
      <c r="A199" t="s">
        <v>11</v>
      </c>
      <c r="B199" s="2">
        <v>7.7000000000000003E-10</v>
      </c>
      <c r="C199" s="2">
        <v>3.7999999999999998E-10</v>
      </c>
      <c r="D199" s="2">
        <v>1.8E-10</v>
      </c>
    </row>
    <row r="200" spans="1:4">
      <c r="A200" t="s">
        <v>13</v>
      </c>
      <c r="B200" s="2">
        <v>2.1999999999999998E-9</v>
      </c>
      <c r="C200" s="2">
        <v>3.7E-9</v>
      </c>
      <c r="D200" s="2">
        <v>4.0000000000000002E-9</v>
      </c>
    </row>
    <row r="201" spans="1:4">
      <c r="A201" t="s">
        <v>364</v>
      </c>
      <c r="B201" s="2">
        <v>2.8000000000000002E-7</v>
      </c>
      <c r="C201" s="2">
        <v>1.4000000000000001E-7</v>
      </c>
      <c r="D201" s="2">
        <v>4.9000000000000002E-8</v>
      </c>
    </row>
    <row r="202" spans="1:4">
      <c r="A202" t="s">
        <v>365</v>
      </c>
      <c r="B202" s="2">
        <v>-1</v>
      </c>
      <c r="C202" s="2">
        <v>3.2000000000000001E-7</v>
      </c>
      <c r="D202" s="2">
        <v>-1</v>
      </c>
    </row>
    <row r="203" spans="1:4">
      <c r="A203" t="s">
        <v>366</v>
      </c>
      <c r="B203" s="2">
        <v>-1</v>
      </c>
      <c r="C203" s="2">
        <v>3.9999999999999998E-7</v>
      </c>
      <c r="D203" s="2">
        <v>-1</v>
      </c>
    </row>
    <row r="204" spans="1:4">
      <c r="A204" t="s">
        <v>367</v>
      </c>
      <c r="B204" s="2">
        <v>-1</v>
      </c>
      <c r="C204" s="2">
        <v>6.1000000000000004E-8</v>
      </c>
      <c r="D204" s="2">
        <v>-1</v>
      </c>
    </row>
    <row r="205" spans="1:4">
      <c r="A205" t="s">
        <v>368</v>
      </c>
      <c r="B205" s="2">
        <v>-1</v>
      </c>
      <c r="C205" s="2">
        <v>2.7000000000000001E-7</v>
      </c>
      <c r="D205" s="2">
        <v>-1</v>
      </c>
    </row>
    <row r="206" spans="1:4">
      <c r="A206" t="s">
        <v>369</v>
      </c>
      <c r="B206" s="2">
        <v>-1</v>
      </c>
      <c r="C206" s="2">
        <v>7.0999999999999998E-6</v>
      </c>
      <c r="D206" s="2">
        <v>-1</v>
      </c>
    </row>
    <row r="207" spans="1:4">
      <c r="A207" t="s">
        <v>370</v>
      </c>
      <c r="B207" s="2">
        <v>1.4E-8</v>
      </c>
      <c r="C207" s="2">
        <v>-1</v>
      </c>
      <c r="D207" s="2">
        <v>-1</v>
      </c>
    </row>
    <row r="208" spans="1:4">
      <c r="A208" t="s">
        <v>72</v>
      </c>
      <c r="B208" s="2">
        <v>8.9000000000000003E-10</v>
      </c>
      <c r="C208" s="2">
        <v>-1</v>
      </c>
      <c r="D208" s="2">
        <v>-1</v>
      </c>
    </row>
    <row r="209" spans="1:4">
      <c r="A209" t="s">
        <v>371</v>
      </c>
      <c r="B209" s="2">
        <v>1.1000000000000001E-11</v>
      </c>
      <c r="C209" s="2">
        <v>1.6999999999999999E-11</v>
      </c>
      <c r="D209" s="2">
        <v>-1</v>
      </c>
    </row>
    <row r="210" spans="1:4">
      <c r="A210" t="s">
        <v>372</v>
      </c>
      <c r="B210" s="2">
        <v>2.5000000000000002E-10</v>
      </c>
      <c r="C210" s="2">
        <v>4.3999999999999998E-10</v>
      </c>
      <c r="D210" s="2">
        <v>-1</v>
      </c>
    </row>
    <row r="211" spans="1:4">
      <c r="A211" t="s">
        <v>373</v>
      </c>
      <c r="B211" s="2">
        <v>6.3999999999999999E-11</v>
      </c>
      <c r="C211" s="2">
        <v>2.4E-10</v>
      </c>
      <c r="D211" s="2">
        <v>-1</v>
      </c>
    </row>
    <row r="212" spans="1:4">
      <c r="A212" t="s">
        <v>374</v>
      </c>
      <c r="B212" s="2">
        <v>2.6000000000000001E-11</v>
      </c>
      <c r="C212" s="2">
        <v>4.8999999999999999E-11</v>
      </c>
      <c r="D212" s="2">
        <v>-1</v>
      </c>
    </row>
    <row r="213" spans="1:4">
      <c r="A213" t="s">
        <v>375</v>
      </c>
      <c r="B213" s="2">
        <v>8.7999999999999997E-12</v>
      </c>
      <c r="C213" s="2">
        <v>1.6E-11</v>
      </c>
      <c r="D213" s="2">
        <v>-1</v>
      </c>
    </row>
    <row r="214" spans="1:4">
      <c r="A214" t="s">
        <v>376</v>
      </c>
      <c r="B214" s="2">
        <v>2.8999999999999998E-10</v>
      </c>
      <c r="C214" s="2">
        <v>5.3000000000000003E-10</v>
      </c>
      <c r="D214" s="2">
        <v>-1</v>
      </c>
    </row>
    <row r="215" spans="1:4">
      <c r="A215" t="s">
        <v>377</v>
      </c>
      <c r="B215" s="2">
        <v>5.4000000000000001E-11</v>
      </c>
      <c r="C215" s="2">
        <v>1.4000000000000001E-10</v>
      </c>
      <c r="D215" s="2">
        <v>-1</v>
      </c>
    </row>
    <row r="216" spans="1:4">
      <c r="A216" t="s">
        <v>378</v>
      </c>
      <c r="B216" s="2">
        <v>1.4E-11</v>
      </c>
      <c r="C216" s="2">
        <v>1.9999999999999999E-11</v>
      </c>
      <c r="D216" s="2">
        <v>-1</v>
      </c>
    </row>
    <row r="217" spans="1:4">
      <c r="A217" t="s">
        <v>379</v>
      </c>
      <c r="B217" s="2">
        <v>4.3999999999999997E-9</v>
      </c>
      <c r="C217" s="2">
        <v>6.4000000000000002E-9</v>
      </c>
      <c r="D217" s="2">
        <v>-1</v>
      </c>
    </row>
    <row r="218" spans="1:4">
      <c r="A218" t="s">
        <v>380</v>
      </c>
      <c r="B218" s="2">
        <v>2.5999999999999998E-10</v>
      </c>
      <c r="C218" s="2">
        <v>4.0000000000000001E-10</v>
      </c>
      <c r="D218" s="2">
        <v>-1</v>
      </c>
    </row>
    <row r="219" spans="1:4">
      <c r="A219" t="s">
        <v>381</v>
      </c>
      <c r="B219" s="2">
        <v>2.5999999999999998E-5</v>
      </c>
      <c r="C219" s="2">
        <v>1.1E-5</v>
      </c>
      <c r="D219" s="2">
        <v>-1</v>
      </c>
    </row>
    <row r="220" spans="1:4">
      <c r="A220" t="s">
        <v>382</v>
      </c>
      <c r="B220" s="2">
        <v>2.5999999999999998E-10</v>
      </c>
      <c r="C220" s="2">
        <v>7.2999999999999996E-10</v>
      </c>
      <c r="D220" s="2">
        <v>-1</v>
      </c>
    </row>
    <row r="221" spans="1:4">
      <c r="A221" t="s">
        <v>383</v>
      </c>
      <c r="B221" s="2">
        <v>7.7999999999999999E-10</v>
      </c>
      <c r="C221" s="2">
        <v>8.6000000000000003E-10</v>
      </c>
      <c r="D221" s="2">
        <v>-1</v>
      </c>
    </row>
    <row r="222" spans="1:4">
      <c r="A222" t="s">
        <v>35</v>
      </c>
      <c r="B222" s="2">
        <v>1.9000000000000001E-5</v>
      </c>
      <c r="C222" s="2">
        <v>7.9999999999999996E-6</v>
      </c>
      <c r="D222" s="2">
        <v>-1</v>
      </c>
    </row>
    <row r="223" spans="1:4">
      <c r="A223" t="s">
        <v>384</v>
      </c>
      <c r="B223" s="2">
        <v>2.1000000000000002E-9</v>
      </c>
      <c r="C223" s="2">
        <v>2.1000000000000002E-9</v>
      </c>
      <c r="D223" s="2">
        <v>-1</v>
      </c>
    </row>
    <row r="224" spans="1:4">
      <c r="A224" t="s">
        <v>385</v>
      </c>
      <c r="B224" s="2">
        <v>1E-10</v>
      </c>
      <c r="C224" s="2">
        <v>2.7E-10</v>
      </c>
      <c r="D224" s="2">
        <v>-1</v>
      </c>
    </row>
    <row r="225" spans="1:4">
      <c r="A225" t="s">
        <v>386</v>
      </c>
      <c r="B225" s="2">
        <v>5.4000000000000001E-11</v>
      </c>
      <c r="C225" s="2">
        <v>9.0999999999999996E-11</v>
      </c>
      <c r="D225" s="2">
        <v>-1</v>
      </c>
    </row>
    <row r="226" spans="1:4">
      <c r="A226" t="s">
        <v>387</v>
      </c>
      <c r="B226" s="2">
        <v>1.5E-11</v>
      </c>
      <c r="C226" s="2">
        <v>2.5000000000000001E-11</v>
      </c>
      <c r="D226" s="2">
        <v>-1</v>
      </c>
    </row>
    <row r="227" spans="1:4">
      <c r="A227" t="s">
        <v>388</v>
      </c>
      <c r="B227" s="2">
        <v>5.1999999999999996E-10</v>
      </c>
      <c r="C227" s="2">
        <v>1.4E-8</v>
      </c>
      <c r="D227" s="2">
        <v>-1</v>
      </c>
    </row>
    <row r="228" spans="1:4">
      <c r="A228" t="s">
        <v>389</v>
      </c>
      <c r="B228" s="2">
        <v>1.2999999999999999E-10</v>
      </c>
      <c r="C228" s="2">
        <v>2.8999999999999998E-10</v>
      </c>
      <c r="D228" s="2">
        <v>-1</v>
      </c>
    </row>
    <row r="229" spans="1:4">
      <c r="A229" t="s">
        <v>390</v>
      </c>
      <c r="B229" s="2">
        <v>4.7999999999999997E-12</v>
      </c>
      <c r="C229" s="2">
        <v>1.1000000000000001E-11</v>
      </c>
      <c r="D229" s="2">
        <v>-1</v>
      </c>
    </row>
    <row r="230" spans="1:4">
      <c r="A230" t="s">
        <v>391</v>
      </c>
      <c r="B230" s="2">
        <v>1.5E-11</v>
      </c>
      <c r="C230" s="2">
        <v>3.5999999999999998E-11</v>
      </c>
      <c r="D230" s="2">
        <v>-1</v>
      </c>
    </row>
    <row r="231" spans="1:4">
      <c r="A231" t="s">
        <v>392</v>
      </c>
      <c r="B231" s="2">
        <v>1.4000000000000001E-10</v>
      </c>
      <c r="C231" s="2">
        <v>3.7000000000000001E-10</v>
      </c>
      <c r="D231" s="2">
        <v>-1</v>
      </c>
    </row>
    <row r="232" spans="1:4">
      <c r="A232" t="s">
        <v>393</v>
      </c>
      <c r="B232" s="2">
        <v>4.5E-11</v>
      </c>
      <c r="C232" s="2">
        <v>9.4999999999999995E-11</v>
      </c>
      <c r="D232" s="2">
        <v>-1</v>
      </c>
    </row>
    <row r="233" spans="1:4">
      <c r="A233" t="s">
        <v>1</v>
      </c>
      <c r="B233" s="2">
        <v>6.2000000000000002E-12</v>
      </c>
      <c r="C233" s="2">
        <v>4.5E-11</v>
      </c>
      <c r="D233" s="2">
        <v>2.5999999999999998E-10</v>
      </c>
    </row>
    <row r="234" spans="1:4">
      <c r="A234" t="s">
        <v>394</v>
      </c>
      <c r="B234" s="2">
        <v>1.5999999999999999E-10</v>
      </c>
      <c r="C234" s="2">
        <v>3.1999999999999998E-10</v>
      </c>
      <c r="D234" s="2">
        <v>-1</v>
      </c>
    </row>
    <row r="235" spans="1:4">
      <c r="A235" t="s">
        <v>395</v>
      </c>
      <c r="B235" s="2">
        <v>3.2000000000000002E-8</v>
      </c>
      <c r="C235" s="2">
        <v>2E-8</v>
      </c>
      <c r="D235" s="2">
        <v>-1</v>
      </c>
    </row>
    <row r="236" spans="1:4">
      <c r="A236" t="s">
        <v>396</v>
      </c>
      <c r="B236" s="2">
        <v>7.4000000000000003E-11</v>
      </c>
      <c r="C236" s="2">
        <v>1.5999999999999999E-10</v>
      </c>
      <c r="D236" s="2">
        <v>-1</v>
      </c>
    </row>
    <row r="237" spans="1:4">
      <c r="A237" t="s">
        <v>397</v>
      </c>
      <c r="B237" s="2">
        <v>7.2E-10</v>
      </c>
      <c r="C237" s="2">
        <v>1.2E-9</v>
      </c>
      <c r="D237" s="2">
        <v>-1</v>
      </c>
    </row>
    <row r="238" spans="1:4">
      <c r="A238" t="s">
        <v>398</v>
      </c>
      <c r="B238" s="2">
        <v>4.4000000000000003E-11</v>
      </c>
      <c r="C238" s="2">
        <v>8.9999999999999999E-11</v>
      </c>
      <c r="D238" s="2">
        <v>-1</v>
      </c>
    </row>
    <row r="239" spans="1:4">
      <c r="A239" t="s">
        <v>399</v>
      </c>
      <c r="B239" s="2">
        <v>2.6E-7</v>
      </c>
      <c r="C239" s="2">
        <v>1.1999999999999999E-7</v>
      </c>
      <c r="D239" s="2">
        <v>-1</v>
      </c>
    </row>
    <row r="240" spans="1:4">
      <c r="A240" t="s">
        <v>400</v>
      </c>
      <c r="B240" s="2">
        <v>1.0999999999999999E-9</v>
      </c>
      <c r="C240" s="2">
        <v>3.8000000000000001E-9</v>
      </c>
      <c r="D240" s="2">
        <v>-1</v>
      </c>
    </row>
    <row r="241" spans="1:4">
      <c r="A241" t="s">
        <v>401</v>
      </c>
      <c r="B241" s="2">
        <v>5.9000000000000003E-11</v>
      </c>
      <c r="C241" s="2">
        <v>1.2999999999999999E-10</v>
      </c>
      <c r="D241" s="2">
        <v>-1</v>
      </c>
    </row>
    <row r="242" spans="1:4">
      <c r="A242" t="s">
        <v>402</v>
      </c>
      <c r="B242" s="2">
        <v>1.3999999999999999E-9</v>
      </c>
      <c r="C242" s="2">
        <v>5.0000000000000001E-9</v>
      </c>
      <c r="D242" s="2">
        <v>-1</v>
      </c>
    </row>
    <row r="243" spans="1:4">
      <c r="A243" t="s">
        <v>403</v>
      </c>
      <c r="B243" s="2">
        <v>3.1E-7</v>
      </c>
      <c r="C243" s="2">
        <v>1.3E-7</v>
      </c>
      <c r="D243" s="2">
        <v>-1</v>
      </c>
    </row>
    <row r="244" spans="1:4">
      <c r="A244" t="s">
        <v>404</v>
      </c>
      <c r="B244" s="2">
        <v>2.0999999999999999E-11</v>
      </c>
      <c r="C244" s="2">
        <v>4.6000000000000003E-11</v>
      </c>
      <c r="D244" s="2">
        <v>-1</v>
      </c>
    </row>
    <row r="245" spans="1:4">
      <c r="A245" t="s">
        <v>405</v>
      </c>
      <c r="B245" s="2">
        <v>2.4000000000000001E-11</v>
      </c>
      <c r="C245" s="2">
        <v>5.6999999999999997E-11</v>
      </c>
      <c r="D245" s="2">
        <v>-1</v>
      </c>
    </row>
    <row r="246" spans="1:4">
      <c r="A246" t="s">
        <v>406</v>
      </c>
      <c r="B246" s="2">
        <v>1.2E-10</v>
      </c>
      <c r="C246" s="2">
        <v>3.3E-10</v>
      </c>
      <c r="D246" s="2">
        <v>-1</v>
      </c>
    </row>
    <row r="247" spans="1:4">
      <c r="A247" t="s">
        <v>407</v>
      </c>
      <c r="B247" s="2">
        <v>2.4000000000000001E-11</v>
      </c>
      <c r="C247" s="2">
        <v>7.5E-11</v>
      </c>
      <c r="D247" s="2">
        <v>-1</v>
      </c>
    </row>
    <row r="248" spans="1:4">
      <c r="A248" t="s">
        <v>408</v>
      </c>
      <c r="B248" s="2">
        <v>1E-10</v>
      </c>
      <c r="C248" s="2">
        <v>2.5999999999999998E-10</v>
      </c>
      <c r="D248" s="2">
        <v>-1</v>
      </c>
    </row>
    <row r="249" spans="1:4">
      <c r="A249" t="s">
        <v>409</v>
      </c>
      <c r="B249" s="2">
        <v>1.4E-8</v>
      </c>
      <c r="C249" s="2">
        <v>8.2999999999999999E-9</v>
      </c>
      <c r="D249" s="2">
        <v>-1</v>
      </c>
    </row>
    <row r="250" spans="1:4">
      <c r="A250" t="s">
        <v>410</v>
      </c>
      <c r="B250" s="2">
        <v>2.3000000000000001E-11</v>
      </c>
      <c r="C250" s="2">
        <v>7.3000000000000006E-11</v>
      </c>
      <c r="D250" s="2">
        <v>-1</v>
      </c>
    </row>
    <row r="251" spans="1:4">
      <c r="A251" t="s">
        <v>411</v>
      </c>
      <c r="B251" s="2">
        <v>1.2E-10</v>
      </c>
      <c r="C251" s="2">
        <v>5.3000000000000003E-10</v>
      </c>
      <c r="D251" s="2">
        <v>-1</v>
      </c>
    </row>
    <row r="252" spans="1:4">
      <c r="A252" t="s">
        <v>412</v>
      </c>
      <c r="B252" s="2">
        <v>4.6999999999999999E-11</v>
      </c>
      <c r="C252" s="2">
        <v>3E-10</v>
      </c>
      <c r="D252" s="2">
        <v>-1</v>
      </c>
    </row>
    <row r="253" spans="1:4">
      <c r="A253" t="s">
        <v>413</v>
      </c>
      <c r="B253" s="2">
        <v>9.6000000000000005E-11</v>
      </c>
      <c r="C253" s="2">
        <v>5.3000000000000003E-10</v>
      </c>
      <c r="D253" s="2">
        <v>-1</v>
      </c>
    </row>
    <row r="254" spans="1:4">
      <c r="A254" t="s">
        <v>414</v>
      </c>
      <c r="B254" s="2">
        <v>1.5E-11</v>
      </c>
      <c r="C254" s="2">
        <v>3.1999999999999999E-11</v>
      </c>
      <c r="D254" s="2">
        <v>-1</v>
      </c>
    </row>
    <row r="255" spans="1:4">
      <c r="A255" t="s">
        <v>415</v>
      </c>
      <c r="B255" s="2">
        <v>5.6000000000000003E-10</v>
      </c>
      <c r="C255" s="2">
        <v>2.4E-9</v>
      </c>
      <c r="D255" s="2">
        <v>-1</v>
      </c>
    </row>
    <row r="256" spans="1:4">
      <c r="A256" t="s">
        <v>416</v>
      </c>
      <c r="B256" s="2">
        <v>-1</v>
      </c>
      <c r="C256" s="2">
        <v>1.9999999999999999E-11</v>
      </c>
      <c r="D256" s="2">
        <v>-1</v>
      </c>
    </row>
    <row r="257" spans="1:4">
      <c r="A257" t="s">
        <v>417</v>
      </c>
      <c r="B257" s="2">
        <v>-1</v>
      </c>
      <c r="C257" s="2">
        <v>4.1999999999999999E-12</v>
      </c>
      <c r="D257" s="2">
        <v>-1</v>
      </c>
    </row>
    <row r="258" spans="1:4">
      <c r="A258" t="s">
        <v>418</v>
      </c>
      <c r="B258" s="2">
        <v>-1</v>
      </c>
      <c r="C258" s="2">
        <v>6.1000000000000003E-12</v>
      </c>
      <c r="D258" s="2">
        <v>-1</v>
      </c>
    </row>
    <row r="259" spans="1:4">
      <c r="A259" t="s">
        <v>419</v>
      </c>
      <c r="B259" s="2">
        <v>-1</v>
      </c>
      <c r="C259" s="2">
        <v>6.0000000000000003E-12</v>
      </c>
      <c r="D259" s="2">
        <v>-1</v>
      </c>
    </row>
    <row r="260" spans="1:4">
      <c r="A260" t="s">
        <v>420</v>
      </c>
      <c r="B260" s="2">
        <v>-1</v>
      </c>
      <c r="C260" s="2">
        <v>2.8000000000000002E-12</v>
      </c>
      <c r="D260" s="2">
        <v>-1</v>
      </c>
    </row>
    <row r="261" spans="1:4">
      <c r="A261" t="s">
        <v>421</v>
      </c>
      <c r="B261" s="2">
        <v>-1</v>
      </c>
      <c r="C261" s="2">
        <v>2.0999999999999999E-11</v>
      </c>
      <c r="D261" s="2">
        <v>-1</v>
      </c>
    </row>
    <row r="262" spans="1:4">
      <c r="A262" t="s">
        <v>422</v>
      </c>
      <c r="B262" s="2">
        <v>-1</v>
      </c>
      <c r="C262" s="2">
        <v>8.3999999999999998E-12</v>
      </c>
      <c r="D262" s="2">
        <v>-1</v>
      </c>
    </row>
    <row r="263" spans="1:4">
      <c r="A263" t="s">
        <v>423</v>
      </c>
      <c r="B263" s="2">
        <v>-1</v>
      </c>
      <c r="C263" s="2">
        <v>1.2000000000000001E-11</v>
      </c>
      <c r="D263" s="2">
        <v>-1</v>
      </c>
    </row>
    <row r="264" spans="1:4">
      <c r="A264" t="s">
        <v>424</v>
      </c>
      <c r="B264" s="2">
        <v>-1</v>
      </c>
      <c r="C264" s="2">
        <v>6.5000000000000003E-10</v>
      </c>
      <c r="D264" s="2">
        <v>-1</v>
      </c>
    </row>
    <row r="265" spans="1:4">
      <c r="A265" t="s">
        <v>425</v>
      </c>
      <c r="B265" s="2">
        <v>-1</v>
      </c>
      <c r="C265" s="2">
        <v>1.1999999999999999E-7</v>
      </c>
      <c r="D265" s="2">
        <v>-1</v>
      </c>
    </row>
    <row r="266" spans="1:4">
      <c r="A266" t="s">
        <v>426</v>
      </c>
      <c r="B266" s="2">
        <v>-1</v>
      </c>
      <c r="C266" s="2">
        <v>7.1E-11</v>
      </c>
      <c r="D266" s="2">
        <v>-1</v>
      </c>
    </row>
    <row r="267" spans="1:4">
      <c r="A267" t="s">
        <v>190</v>
      </c>
      <c r="B267" s="2">
        <v>1E-10</v>
      </c>
      <c r="C267" s="2">
        <v>1E-10</v>
      </c>
      <c r="D267" s="2">
        <v>1E-10</v>
      </c>
    </row>
    <row r="268" spans="1:4">
      <c r="A268" t="s">
        <v>427</v>
      </c>
      <c r="B268" s="2">
        <v>8.2000000000000001E-11</v>
      </c>
      <c r="C268" s="2">
        <v>8.6999999999999997E-11</v>
      </c>
      <c r="D268" s="2">
        <v>8.8000000000000006E-11</v>
      </c>
    </row>
    <row r="269" spans="1:4">
      <c r="A269" t="s">
        <v>189</v>
      </c>
      <c r="B269" s="2">
        <v>2.7E-11</v>
      </c>
      <c r="C269" s="2">
        <v>2.5000000000000001E-11</v>
      </c>
      <c r="D269" s="2">
        <v>2.4000000000000001E-11</v>
      </c>
    </row>
    <row r="270" spans="1:4">
      <c r="A270" t="s">
        <v>25</v>
      </c>
      <c r="B270" s="2">
        <v>7.4000000000000003E-11</v>
      </c>
      <c r="C270" s="2">
        <v>6.3999999999999999E-11</v>
      </c>
      <c r="D270" s="2">
        <v>6E-11</v>
      </c>
    </row>
    <row r="271" spans="1:4">
      <c r="A271" t="s">
        <v>26</v>
      </c>
      <c r="B271" s="2">
        <v>4.3999999999999997E-9</v>
      </c>
      <c r="C271" s="2">
        <v>1.2E-9</v>
      </c>
      <c r="D271" s="2">
        <v>7.7000000000000003E-10</v>
      </c>
    </row>
    <row r="272" spans="1:4">
      <c r="A272" t="s">
        <v>27</v>
      </c>
      <c r="B272" s="2">
        <v>5.1000000000000002E-9</v>
      </c>
      <c r="C272" s="2">
        <v>1.3999999999999999E-9</v>
      </c>
      <c r="D272" s="2">
        <v>3.7999999999999998E-10</v>
      </c>
    </row>
    <row r="273" spans="1:4">
      <c r="A273" t="s">
        <v>188</v>
      </c>
      <c r="B273" s="2">
        <v>9.8000000000000001E-9</v>
      </c>
      <c r="C273" s="2">
        <v>2.7000000000000002E-9</v>
      </c>
      <c r="D273" s="2">
        <v>1.3999999999999999E-9</v>
      </c>
    </row>
    <row r="274" spans="1:4">
      <c r="A274" t="s">
        <v>187</v>
      </c>
      <c r="B274" s="2">
        <v>1.3E-11</v>
      </c>
      <c r="C274" s="2">
        <v>1.8999999999999999E-11</v>
      </c>
      <c r="D274" s="2">
        <v>1.9999999999999999E-11</v>
      </c>
    </row>
    <row r="275" spans="1:4">
      <c r="A275" t="s">
        <v>28</v>
      </c>
      <c r="B275" s="2">
        <v>3.5999999999999998E-8</v>
      </c>
      <c r="C275" s="2">
        <v>1.4999999999999999E-8</v>
      </c>
      <c r="D275" s="2">
        <v>9.8000000000000001E-9</v>
      </c>
    </row>
    <row r="276" spans="1:4">
      <c r="A276" t="s">
        <v>186</v>
      </c>
      <c r="B276" s="2">
        <v>6.6999999999999996E-10</v>
      </c>
      <c r="C276" s="2">
        <v>4.5E-10</v>
      </c>
      <c r="D276" s="2">
        <v>4.0999999999999998E-10</v>
      </c>
    </row>
    <row r="277" spans="1:4">
      <c r="A277" t="s">
        <v>30</v>
      </c>
      <c r="B277" s="2">
        <v>7.4000000000000001E-9</v>
      </c>
      <c r="C277" s="2">
        <v>2.4E-9</v>
      </c>
      <c r="D277" s="2">
        <v>1.6000000000000001E-9</v>
      </c>
    </row>
    <row r="278" spans="1:4">
      <c r="A278" t="s">
        <v>185</v>
      </c>
      <c r="B278" s="2">
        <v>9.3999999999999999E-11</v>
      </c>
      <c r="C278" s="2">
        <v>1.0999999999999999E-10</v>
      </c>
      <c r="D278" s="2">
        <v>1.0999999999999999E-10</v>
      </c>
    </row>
    <row r="279" spans="1:4">
      <c r="A279" t="s">
        <v>428</v>
      </c>
      <c r="B279" s="2">
        <v>7.8999999999999999E-11</v>
      </c>
      <c r="C279" s="2">
        <v>8.6999999999999997E-11</v>
      </c>
      <c r="D279" s="2">
        <v>8.5000000000000004E-11</v>
      </c>
    </row>
    <row r="280" spans="1:4">
      <c r="A280" t="s">
        <v>184</v>
      </c>
      <c r="B280" s="2">
        <v>1.5E-9</v>
      </c>
      <c r="C280" s="2">
        <v>5.4999999999999996E-10</v>
      </c>
      <c r="D280" s="2">
        <v>4.3000000000000001E-10</v>
      </c>
    </row>
    <row r="281" spans="1:4">
      <c r="A281" t="s">
        <v>183</v>
      </c>
      <c r="B281" s="2">
        <v>4.5E-11</v>
      </c>
      <c r="C281" s="2">
        <v>5.4000000000000001E-11</v>
      </c>
      <c r="D281" s="2">
        <v>5.4999999999999997E-11</v>
      </c>
    </row>
    <row r="282" spans="1:4">
      <c r="A282" t="s">
        <v>182</v>
      </c>
      <c r="B282" s="2">
        <v>3.1999999999999998E-10</v>
      </c>
      <c r="C282" s="2">
        <v>2.4E-10</v>
      </c>
      <c r="D282" s="2">
        <v>2.1999999999999999E-10</v>
      </c>
    </row>
    <row r="283" spans="1:4">
      <c r="A283" t="s">
        <v>429</v>
      </c>
      <c r="B283" s="2">
        <v>2.9E-11</v>
      </c>
      <c r="C283" s="2">
        <v>4.1999999999999997E-11</v>
      </c>
      <c r="D283" s="2">
        <v>-1</v>
      </c>
    </row>
    <row r="284" spans="1:4">
      <c r="A284" t="s">
        <v>430</v>
      </c>
      <c r="B284" s="2">
        <v>1.0999999999999999E-10</v>
      </c>
      <c r="C284" s="2">
        <v>1.2999999999999999E-10</v>
      </c>
      <c r="D284" s="2">
        <v>-1</v>
      </c>
    </row>
    <row r="285" spans="1:4">
      <c r="A285" t="s">
        <v>431</v>
      </c>
      <c r="B285" s="2">
        <v>2.8E-11</v>
      </c>
      <c r="C285" s="2">
        <v>4.6999999999999999E-11</v>
      </c>
      <c r="D285" s="2">
        <v>-1</v>
      </c>
    </row>
    <row r="286" spans="1:4">
      <c r="A286" t="s">
        <v>432</v>
      </c>
      <c r="B286" s="2">
        <v>1.2999999999999999E-10</v>
      </c>
      <c r="C286" s="2">
        <v>2.3000000000000001E-10</v>
      </c>
      <c r="D286" s="2">
        <v>-1</v>
      </c>
    </row>
    <row r="287" spans="1:4">
      <c r="A287" t="s">
        <v>433</v>
      </c>
      <c r="B287" s="2">
        <v>4.6999999999999998E-12</v>
      </c>
      <c r="C287" s="2">
        <v>7.4E-12</v>
      </c>
      <c r="D287" s="2">
        <v>-1</v>
      </c>
    </row>
    <row r="288" spans="1:4">
      <c r="A288" t="s">
        <v>434</v>
      </c>
      <c r="B288" s="2">
        <v>9.6999999999999995E-12</v>
      </c>
      <c r="C288" s="2">
        <v>1.9999999999999999E-11</v>
      </c>
      <c r="D288" s="2">
        <v>-1</v>
      </c>
    </row>
    <row r="289" spans="1:4">
      <c r="A289" t="s">
        <v>435</v>
      </c>
      <c r="B289" s="2">
        <v>9.3000000000000006E-9</v>
      </c>
      <c r="C289" s="2">
        <v>6.1E-9</v>
      </c>
      <c r="D289" s="2">
        <v>-1</v>
      </c>
    </row>
    <row r="290" spans="1:4">
      <c r="A290" t="s">
        <v>436</v>
      </c>
      <c r="B290" s="2">
        <v>3.9000000000000002E-7</v>
      </c>
      <c r="C290" s="2">
        <v>1.6E-7</v>
      </c>
      <c r="D290" s="2">
        <v>-1</v>
      </c>
    </row>
    <row r="291" spans="1:4">
      <c r="A291" t="s">
        <v>437</v>
      </c>
      <c r="B291" s="2">
        <v>2.4000000000000001E-11</v>
      </c>
      <c r="C291" s="2">
        <v>5.9000000000000003E-11</v>
      </c>
      <c r="D291" s="2">
        <v>-1</v>
      </c>
    </row>
    <row r="292" spans="1:4">
      <c r="A292" t="s">
        <v>438</v>
      </c>
      <c r="B292" s="2">
        <v>2.8E-11</v>
      </c>
      <c r="C292" s="2">
        <v>4.5E-11</v>
      </c>
      <c r="D292" s="2">
        <v>-1</v>
      </c>
    </row>
    <row r="293" spans="1:4">
      <c r="A293" t="s">
        <v>439</v>
      </c>
      <c r="B293" s="2">
        <v>1.5E-11</v>
      </c>
      <c r="C293" s="2">
        <v>2.9E-11</v>
      </c>
      <c r="D293" s="2">
        <v>-1</v>
      </c>
    </row>
    <row r="294" spans="1:4">
      <c r="A294" t="s">
        <v>440</v>
      </c>
      <c r="B294" s="2">
        <v>2.9E-11</v>
      </c>
      <c r="C294" s="2">
        <v>7.1999999999999997E-11</v>
      </c>
      <c r="D294" s="2">
        <v>-1</v>
      </c>
    </row>
    <row r="295" spans="1:4">
      <c r="A295" t="s">
        <v>441</v>
      </c>
      <c r="B295" s="2">
        <v>9.9999999999999994E-12</v>
      </c>
      <c r="C295" s="2">
        <v>1.6999999999999999E-11</v>
      </c>
      <c r="D295" s="2">
        <v>-1</v>
      </c>
    </row>
    <row r="296" spans="1:4">
      <c r="A296" t="s">
        <v>442</v>
      </c>
      <c r="B296" s="2">
        <v>1.4E-11</v>
      </c>
      <c r="C296" s="2">
        <v>2.3000000000000001E-11</v>
      </c>
      <c r="D296" s="2">
        <v>2.4000000000000001E-11</v>
      </c>
    </row>
    <row r="297" spans="1:4">
      <c r="A297" t="s">
        <v>443</v>
      </c>
      <c r="B297" s="2">
        <v>6.2000000000000006E-11</v>
      </c>
      <c r="C297" s="2">
        <v>1.0999999999999999E-10</v>
      </c>
      <c r="D297" s="2">
        <v>1.2E-10</v>
      </c>
    </row>
    <row r="298" spans="1:4">
      <c r="A298" t="s">
        <v>444</v>
      </c>
      <c r="B298" s="2">
        <v>8.2000000000000001E-11</v>
      </c>
      <c r="C298" s="2">
        <v>1.8E-10</v>
      </c>
      <c r="D298" s="2">
        <v>1.8999999999999999E-10</v>
      </c>
    </row>
    <row r="299" spans="1:4">
      <c r="A299" t="s">
        <v>445</v>
      </c>
      <c r="B299" s="2">
        <v>1.7000000000000001E-10</v>
      </c>
      <c r="C299" s="2">
        <v>3.1000000000000002E-10</v>
      </c>
      <c r="D299" s="2">
        <v>3.1999999999999998E-10</v>
      </c>
    </row>
    <row r="300" spans="1:4">
      <c r="A300" t="s">
        <v>446</v>
      </c>
      <c r="B300" s="2">
        <v>2.3000000000000001E-11</v>
      </c>
      <c r="C300" s="2">
        <v>4.1999999999999997E-11</v>
      </c>
      <c r="D300" s="2">
        <v>4.4000000000000003E-11</v>
      </c>
    </row>
    <row r="301" spans="1:4">
      <c r="A301" t="s">
        <v>447</v>
      </c>
      <c r="B301" s="2">
        <v>3.7000000000000001E-11</v>
      </c>
      <c r="C301" s="2">
        <v>7.4000000000000003E-11</v>
      </c>
      <c r="D301" s="2">
        <v>7.8999999999999999E-11</v>
      </c>
    </row>
    <row r="302" spans="1:4">
      <c r="A302" t="s">
        <v>448</v>
      </c>
      <c r="B302" s="2">
        <v>2.4E-10</v>
      </c>
      <c r="C302" s="2">
        <v>4.0000000000000001E-10</v>
      </c>
      <c r="D302" s="2">
        <v>4.2E-10</v>
      </c>
    </row>
    <row r="303" spans="1:4">
      <c r="A303" t="s">
        <v>449</v>
      </c>
      <c r="B303" s="2">
        <v>1.0999999999999999E-10</v>
      </c>
      <c r="C303" s="2">
        <v>5.1999999999999996E-10</v>
      </c>
      <c r="D303" s="2">
        <v>6E-10</v>
      </c>
    </row>
    <row r="304" spans="1:4">
      <c r="A304" t="s">
        <v>450</v>
      </c>
      <c r="B304" s="2">
        <v>7.7000000000000003E-10</v>
      </c>
      <c r="C304" s="2">
        <v>2.1000000000000002E-9</v>
      </c>
      <c r="D304" s="2">
        <v>2.4E-9</v>
      </c>
    </row>
    <row r="305" spans="1:4">
      <c r="A305" t="s">
        <v>451</v>
      </c>
      <c r="B305" s="2">
        <v>3.6E-12</v>
      </c>
      <c r="C305" s="2">
        <v>9.2999999999999996E-12</v>
      </c>
      <c r="D305" s="2">
        <v>9.9999999999999994E-12</v>
      </c>
    </row>
    <row r="306" spans="1:4">
      <c r="A306" t="s">
        <v>452</v>
      </c>
      <c r="B306" s="2">
        <v>4.8999999999999999E-11</v>
      </c>
      <c r="C306" s="2">
        <v>7.8999999999999999E-11</v>
      </c>
      <c r="D306" s="2">
        <v>8.2999999999999998E-11</v>
      </c>
    </row>
    <row r="307" spans="1:4">
      <c r="A307" t="s">
        <v>453</v>
      </c>
      <c r="B307" s="2">
        <v>1.8E-9</v>
      </c>
      <c r="C307" s="2">
        <v>5.2000000000000002E-9</v>
      </c>
      <c r="D307" s="2">
        <v>6.6000000000000004E-9</v>
      </c>
    </row>
    <row r="308" spans="1:4">
      <c r="A308" t="s">
        <v>454</v>
      </c>
      <c r="B308" s="2">
        <v>4.8E-9</v>
      </c>
      <c r="C308" s="2">
        <v>5.7999999999999998E-9</v>
      </c>
      <c r="D308" s="2">
        <v>3.8999999999999998E-8</v>
      </c>
    </row>
    <row r="309" spans="1:4">
      <c r="A309" t="s">
        <v>455</v>
      </c>
      <c r="B309" s="2">
        <v>1E-10</v>
      </c>
      <c r="C309" s="2">
        <v>1.0999999999999999E-9</v>
      </c>
      <c r="D309" s="2">
        <v>1.3000000000000001E-9</v>
      </c>
    </row>
    <row r="310" spans="1:4">
      <c r="A310" t="s">
        <v>456</v>
      </c>
      <c r="B310" s="2">
        <v>2.1E-10</v>
      </c>
      <c r="C310" s="2">
        <v>5.1999999999999996E-10</v>
      </c>
      <c r="D310" s="2">
        <v>5.6000000000000003E-10</v>
      </c>
    </row>
    <row r="311" spans="1:4">
      <c r="A311" t="s">
        <v>457</v>
      </c>
      <c r="B311" s="2">
        <v>5.4000000000000004E-9</v>
      </c>
      <c r="C311" s="2">
        <v>8.9999999999999995E-9</v>
      </c>
      <c r="D311" s="2">
        <v>1.3000000000000001E-8</v>
      </c>
    </row>
    <row r="312" spans="1:4">
      <c r="A312" t="s">
        <v>458</v>
      </c>
      <c r="B312" s="2">
        <v>2.4000000000000001E-11</v>
      </c>
      <c r="C312" s="2">
        <v>6.7000000000000001E-11</v>
      </c>
      <c r="D312" s="2">
        <v>7.1E-11</v>
      </c>
    </row>
    <row r="313" spans="1:4">
      <c r="A313" t="s">
        <v>459</v>
      </c>
      <c r="B313" s="2">
        <v>6E-11</v>
      </c>
      <c r="C313" s="2">
        <v>1.5999999999999999E-10</v>
      </c>
      <c r="D313" s="2">
        <v>1.7000000000000001E-10</v>
      </c>
    </row>
    <row r="314" spans="1:4">
      <c r="A314" t="s">
        <v>181</v>
      </c>
      <c r="B314" s="2">
        <v>2.1000000000000002E-9</v>
      </c>
      <c r="C314" s="2">
        <v>-1</v>
      </c>
      <c r="D314" s="2">
        <v>-1</v>
      </c>
    </row>
    <row r="315" spans="1:4">
      <c r="A315" t="s">
        <v>180</v>
      </c>
      <c r="B315" s="2">
        <v>1.2E-10</v>
      </c>
      <c r="C315" s="2">
        <v>-1</v>
      </c>
      <c r="D315" s="2">
        <v>-1</v>
      </c>
    </row>
    <row r="316" spans="1:4">
      <c r="A316" t="s">
        <v>179</v>
      </c>
      <c r="B316" s="2">
        <v>1.4000000000000001E-10</v>
      </c>
      <c r="C316" s="2">
        <v>-1</v>
      </c>
      <c r="D316" s="2">
        <v>-1</v>
      </c>
    </row>
    <row r="317" spans="1:4">
      <c r="A317" t="s">
        <v>178</v>
      </c>
      <c r="B317" s="2">
        <v>1.9999999999999999E-11</v>
      </c>
      <c r="C317" s="2">
        <v>-1</v>
      </c>
      <c r="D317" s="2">
        <v>-1</v>
      </c>
    </row>
    <row r="318" spans="1:4">
      <c r="A318" t="s">
        <v>177</v>
      </c>
      <c r="B318" s="2">
        <v>1.5E-11</v>
      </c>
      <c r="C318" s="2">
        <v>-1</v>
      </c>
      <c r="D318" s="2">
        <v>-1</v>
      </c>
    </row>
    <row r="319" spans="1:4">
      <c r="A319" t="s">
        <v>460</v>
      </c>
      <c r="B319" s="2">
        <v>1.3E-11</v>
      </c>
      <c r="C319" s="2">
        <v>2.3000000000000001E-11</v>
      </c>
      <c r="D319" s="2">
        <v>-1</v>
      </c>
    </row>
    <row r="320" spans="1:4">
      <c r="A320" t="s">
        <v>461</v>
      </c>
      <c r="B320" s="2">
        <v>1E-10</v>
      </c>
      <c r="C320" s="2">
        <v>1.5999999999999999E-10</v>
      </c>
      <c r="D320" s="2">
        <v>-1</v>
      </c>
    </row>
    <row r="321" spans="1:4">
      <c r="A321" t="s">
        <v>462</v>
      </c>
      <c r="B321" s="2">
        <v>9.9999999999999994E-12</v>
      </c>
      <c r="C321" s="2">
        <v>1.4E-11</v>
      </c>
      <c r="D321" s="2">
        <v>-1</v>
      </c>
    </row>
    <row r="322" spans="1:4">
      <c r="A322" t="s">
        <v>463</v>
      </c>
      <c r="B322" s="2">
        <v>8.7000000000000001E-9</v>
      </c>
      <c r="C322" s="2">
        <v>3.6E-9</v>
      </c>
      <c r="D322" s="2">
        <v>-1</v>
      </c>
    </row>
    <row r="323" spans="1:4">
      <c r="A323" t="s">
        <v>464</v>
      </c>
      <c r="B323" s="2">
        <v>1.4999999999999999E-7</v>
      </c>
      <c r="C323" s="2">
        <v>6.4000000000000004E-8</v>
      </c>
      <c r="D323" s="2">
        <v>-1</v>
      </c>
    </row>
    <row r="324" spans="1:4">
      <c r="A324" t="s">
        <v>465</v>
      </c>
      <c r="B324" s="2">
        <v>5.7E-10</v>
      </c>
      <c r="C324" s="2">
        <v>1.0999999999999999E-9</v>
      </c>
      <c r="D324" s="2">
        <v>-1</v>
      </c>
    </row>
    <row r="325" spans="1:4">
      <c r="A325" t="s">
        <v>466</v>
      </c>
      <c r="B325" s="2">
        <v>6.3000000000000002E-11</v>
      </c>
      <c r="C325" s="2">
        <v>1.5E-10</v>
      </c>
      <c r="D325" s="2">
        <v>-1</v>
      </c>
    </row>
    <row r="326" spans="1:4">
      <c r="A326" t="s">
        <v>467</v>
      </c>
      <c r="B326" s="2">
        <v>5.2000000000000001E-11</v>
      </c>
      <c r="C326" s="2">
        <v>8.9000000000000003E-11</v>
      </c>
      <c r="D326" s="2">
        <v>-1</v>
      </c>
    </row>
    <row r="327" spans="1:4">
      <c r="A327" t="s">
        <v>468</v>
      </c>
      <c r="B327" s="2">
        <v>1.2000000000000001E-11</v>
      </c>
      <c r="C327" s="2">
        <v>2.0999999999999999E-11</v>
      </c>
      <c r="D327" s="2">
        <v>-1</v>
      </c>
    </row>
    <row r="328" spans="1:4">
      <c r="A328" t="s">
        <v>469</v>
      </c>
      <c r="B328" s="2">
        <v>-1</v>
      </c>
      <c r="C328" s="2">
        <v>3.4999999999999998E-10</v>
      </c>
      <c r="D328" s="2">
        <v>3.7999999999999998E-10</v>
      </c>
    </row>
    <row r="329" spans="1:4">
      <c r="A329" t="s">
        <v>470</v>
      </c>
      <c r="B329" s="2">
        <v>-1</v>
      </c>
      <c r="C329" s="2">
        <v>6.3E-10</v>
      </c>
      <c r="D329" s="2">
        <v>6.6E-10</v>
      </c>
    </row>
    <row r="330" spans="1:4">
      <c r="A330" t="s">
        <v>471</v>
      </c>
      <c r="B330" s="2">
        <v>-1</v>
      </c>
      <c r="C330" s="2">
        <v>8.0000000000000003E-10</v>
      </c>
      <c r="D330" s="2">
        <v>8.7999999999999996E-10</v>
      </c>
    </row>
    <row r="331" spans="1:4">
      <c r="A331" t="s">
        <v>472</v>
      </c>
      <c r="B331" s="2">
        <v>-1</v>
      </c>
      <c r="C331" s="2">
        <v>1.3999999999999999E-9</v>
      </c>
      <c r="D331" s="2">
        <v>1.6000000000000001E-9</v>
      </c>
    </row>
    <row r="332" spans="1:4">
      <c r="A332" t="s">
        <v>473</v>
      </c>
      <c r="B332" s="2">
        <v>-1</v>
      </c>
      <c r="C332" s="2">
        <v>2.1999999999999998E-9</v>
      </c>
      <c r="D332" s="2">
        <v>2.4E-9</v>
      </c>
    </row>
    <row r="333" spans="1:4">
      <c r="A333" t="s">
        <v>474</v>
      </c>
      <c r="B333" s="2">
        <v>-1</v>
      </c>
      <c r="C333" s="2">
        <v>4.2000000000000004E-9</v>
      </c>
      <c r="D333" s="2">
        <v>4.2000000000000004E-9</v>
      </c>
    </row>
    <row r="334" spans="1:4">
      <c r="A334" t="s">
        <v>475</v>
      </c>
      <c r="B334" s="2">
        <v>-1</v>
      </c>
      <c r="C334" s="2">
        <v>3.7E-9</v>
      </c>
      <c r="D334" s="2">
        <v>4.2000000000000004E-9</v>
      </c>
    </row>
    <row r="335" spans="1:4">
      <c r="A335" t="s">
        <v>476</v>
      </c>
      <c r="B335" s="2">
        <v>-1</v>
      </c>
      <c r="C335" s="2">
        <v>7.0000000000000005E-8</v>
      </c>
      <c r="D335" s="2">
        <v>5.5999999999999999E-8</v>
      </c>
    </row>
    <row r="336" spans="1:4">
      <c r="A336" t="s">
        <v>477</v>
      </c>
      <c r="B336" s="2">
        <v>-1</v>
      </c>
      <c r="C336" s="2">
        <v>1.0999999999999999E-10</v>
      </c>
      <c r="D336" s="2">
        <v>1.2E-10</v>
      </c>
    </row>
    <row r="337" spans="1:4">
      <c r="A337" t="s">
        <v>478</v>
      </c>
      <c r="B337" s="2">
        <v>-1</v>
      </c>
      <c r="C337" s="2">
        <v>1.0999999999999999E-9</v>
      </c>
      <c r="D337" s="2">
        <v>1.2E-9</v>
      </c>
    </row>
    <row r="338" spans="1:4">
      <c r="A338" t="s">
        <v>479</v>
      </c>
      <c r="B338" s="2">
        <v>-1</v>
      </c>
      <c r="C338" s="2">
        <v>1.3000000000000001E-8</v>
      </c>
      <c r="D338" s="2">
        <v>1.6000000000000001E-8</v>
      </c>
    </row>
    <row r="339" spans="1:4">
      <c r="A339" t="s">
        <v>480</v>
      </c>
      <c r="B339" s="2">
        <v>-1</v>
      </c>
      <c r="C339" s="2">
        <v>2.4000000000000001E-11</v>
      </c>
      <c r="D339" s="2">
        <v>2.6000000000000001E-11</v>
      </c>
    </row>
    <row r="340" spans="1:4">
      <c r="A340" t="s">
        <v>481</v>
      </c>
      <c r="B340" s="2">
        <v>-1</v>
      </c>
      <c r="C340" s="2">
        <v>3.1999999999999999E-11</v>
      </c>
      <c r="D340" s="2">
        <v>3.3000000000000002E-11</v>
      </c>
    </row>
    <row r="341" spans="1:4">
      <c r="A341" t="s">
        <v>482</v>
      </c>
      <c r="B341" s="2">
        <v>-1</v>
      </c>
      <c r="C341" s="2">
        <v>1.0999999999999999E-10</v>
      </c>
      <c r="D341" s="2">
        <v>1.2E-10</v>
      </c>
    </row>
    <row r="342" spans="1:4">
      <c r="A342" t="s">
        <v>483</v>
      </c>
      <c r="B342" s="2">
        <v>-1</v>
      </c>
      <c r="C342" s="2">
        <v>2.4999999999999999E-8</v>
      </c>
      <c r="D342" s="2">
        <v>-1</v>
      </c>
    </row>
    <row r="343" spans="1:4">
      <c r="A343" t="s">
        <v>484</v>
      </c>
      <c r="B343" s="2">
        <v>-1</v>
      </c>
      <c r="C343" s="2">
        <v>5.9000000000000003E-6</v>
      </c>
      <c r="D343" s="2">
        <v>-1</v>
      </c>
    </row>
    <row r="344" spans="1:4">
      <c r="A344" t="s">
        <v>485</v>
      </c>
      <c r="B344" s="2">
        <v>6E-10</v>
      </c>
      <c r="C344" s="2">
        <v>1.2E-9</v>
      </c>
      <c r="D344" s="2">
        <v>-1</v>
      </c>
    </row>
    <row r="345" spans="1:4">
      <c r="A345" t="s">
        <v>486</v>
      </c>
      <c r="B345" s="2">
        <v>2.3000000000000001E-11</v>
      </c>
      <c r="C345" s="2">
        <v>4.1000000000000001E-11</v>
      </c>
      <c r="D345" s="2">
        <v>-1</v>
      </c>
    </row>
    <row r="346" spans="1:4">
      <c r="A346" t="s">
        <v>487</v>
      </c>
      <c r="B346" s="2">
        <v>9.4000000000000006E-10</v>
      </c>
      <c r="C346" s="2">
        <v>1.3999999999999999E-9</v>
      </c>
      <c r="D346" s="2">
        <v>-1</v>
      </c>
    </row>
    <row r="347" spans="1:4">
      <c r="A347" t="s">
        <v>488</v>
      </c>
      <c r="B347" s="2">
        <v>1.8999999999999999E-11</v>
      </c>
      <c r="C347" s="2">
        <v>2.9E-11</v>
      </c>
      <c r="D347" s="2">
        <v>-1</v>
      </c>
    </row>
    <row r="348" spans="1:4">
      <c r="A348" t="s">
        <v>489</v>
      </c>
      <c r="B348" s="2">
        <v>2.9E-11</v>
      </c>
      <c r="C348" s="2">
        <v>5.4000000000000001E-11</v>
      </c>
      <c r="D348" s="2">
        <v>-1</v>
      </c>
    </row>
    <row r="349" spans="1:4">
      <c r="A349" t="s">
        <v>10</v>
      </c>
      <c r="B349" s="2">
        <v>8.4999999999999996E-10</v>
      </c>
      <c r="C349" s="2">
        <v>1.5E-9</v>
      </c>
      <c r="D349" s="2">
        <v>-1</v>
      </c>
    </row>
    <row r="350" spans="1:4">
      <c r="A350" t="s">
        <v>490</v>
      </c>
      <c r="B350" s="2">
        <v>6.3999999999999999E-11</v>
      </c>
      <c r="C350" s="2">
        <v>1.2E-10</v>
      </c>
      <c r="D350" s="2">
        <v>-1</v>
      </c>
    </row>
    <row r="351" spans="1:4">
      <c r="A351" t="s">
        <v>491</v>
      </c>
      <c r="B351" s="2">
        <v>1.4E-11</v>
      </c>
      <c r="C351" s="2">
        <v>2.5000000000000001E-11</v>
      </c>
      <c r="D351" s="2">
        <v>2.6000000000000001E-11</v>
      </c>
    </row>
    <row r="352" spans="1:4">
      <c r="A352" t="s">
        <v>492</v>
      </c>
      <c r="B352" s="2">
        <v>1.5E-10</v>
      </c>
      <c r="C352" s="2">
        <v>3.4000000000000001E-10</v>
      </c>
      <c r="D352" s="2">
        <v>3.6E-10</v>
      </c>
    </row>
    <row r="353" spans="1:4">
      <c r="A353" t="s">
        <v>493</v>
      </c>
      <c r="B353" s="2">
        <v>1.0000000000000001E-9</v>
      </c>
      <c r="C353" s="2">
        <v>5.9000000000000003E-10</v>
      </c>
      <c r="D353" s="2">
        <v>2.2999999999999999E-9</v>
      </c>
    </row>
    <row r="354" spans="1:4">
      <c r="A354" t="s">
        <v>494</v>
      </c>
      <c r="B354" s="2">
        <v>9.6000000000000005E-11</v>
      </c>
      <c r="C354" s="2">
        <v>1.5999999999999999E-10</v>
      </c>
      <c r="D354" s="2">
        <v>1.7000000000000001E-10</v>
      </c>
    </row>
    <row r="355" spans="1:4">
      <c r="A355" t="s">
        <v>495</v>
      </c>
      <c r="B355" s="2">
        <v>2.1999999999999999E-10</v>
      </c>
      <c r="C355" s="2">
        <v>8.9000000000000003E-10</v>
      </c>
      <c r="D355" s="2">
        <v>9.900000000000001E-10</v>
      </c>
    </row>
    <row r="356" spans="1:4">
      <c r="A356" t="s">
        <v>3</v>
      </c>
      <c r="B356" s="2">
        <v>1.3000000000000001E-9</v>
      </c>
      <c r="C356" s="2">
        <v>-1</v>
      </c>
      <c r="D356" s="2">
        <v>-1</v>
      </c>
    </row>
    <row r="357" spans="1:4">
      <c r="A357" t="s">
        <v>496</v>
      </c>
      <c r="B357" s="2">
        <v>2.7E-10</v>
      </c>
      <c r="C357" s="2">
        <v>-1</v>
      </c>
      <c r="D357" s="2">
        <v>-1</v>
      </c>
    </row>
    <row r="358" spans="1:4">
      <c r="A358" t="s">
        <v>497</v>
      </c>
      <c r="B358" s="2">
        <v>1.8999999999999999E-11</v>
      </c>
      <c r="C358" s="2">
        <v>2.7E-11</v>
      </c>
      <c r="D358" s="2">
        <v>2.8E-11</v>
      </c>
    </row>
    <row r="359" spans="1:4">
      <c r="A359" t="s">
        <v>498</v>
      </c>
      <c r="B359" s="2">
        <v>6.0999999999999996E-11</v>
      </c>
      <c r="C359" s="2">
        <v>1.0999999999999999E-10</v>
      </c>
      <c r="D359" s="2">
        <v>1.2E-10</v>
      </c>
    </row>
    <row r="360" spans="1:4">
      <c r="A360" t="s">
        <v>499</v>
      </c>
      <c r="B360" s="2">
        <v>3.9000000000000001E-11</v>
      </c>
      <c r="C360" s="2">
        <v>6.7999999999999998E-11</v>
      </c>
      <c r="D360" s="2">
        <v>7.1E-11</v>
      </c>
    </row>
    <row r="361" spans="1:4">
      <c r="A361" t="s">
        <v>500</v>
      </c>
      <c r="B361" s="2">
        <v>3.7999999999999998E-10</v>
      </c>
      <c r="C361" s="2">
        <v>6.3E-10</v>
      </c>
      <c r="D361" s="2">
        <v>6.6E-10</v>
      </c>
    </row>
    <row r="362" spans="1:4">
      <c r="A362" t="s">
        <v>111</v>
      </c>
      <c r="B362" s="2">
        <v>2.1999999999999999E-10</v>
      </c>
      <c r="C362" s="2">
        <v>5.1E-10</v>
      </c>
      <c r="D362" s="2">
        <v>1.8E-9</v>
      </c>
    </row>
    <row r="363" spans="1:4">
      <c r="A363" t="s">
        <v>501</v>
      </c>
      <c r="B363" s="2">
        <v>5.7999999999999998E-9</v>
      </c>
      <c r="C363" s="2">
        <v>1.0999999999999999E-8</v>
      </c>
      <c r="D363" s="2">
        <v>4.9000000000000002E-8</v>
      </c>
    </row>
    <row r="364" spans="1:4">
      <c r="A364" t="s">
        <v>502</v>
      </c>
      <c r="B364" s="2">
        <v>5.7E-10</v>
      </c>
      <c r="C364" s="2">
        <v>1.5E-9</v>
      </c>
      <c r="D364" s="2">
        <v>1.8E-9</v>
      </c>
    </row>
    <row r="365" spans="1:4">
      <c r="A365" t="s">
        <v>503</v>
      </c>
      <c r="B365" s="2">
        <v>2.0000000000000001E-10</v>
      </c>
      <c r="C365" s="2">
        <v>7.8999999999999996E-10</v>
      </c>
      <c r="D365" s="2">
        <v>8.7999999999999996E-10</v>
      </c>
    </row>
    <row r="366" spans="1:4">
      <c r="A366" t="s">
        <v>504</v>
      </c>
      <c r="B366" s="2">
        <v>3.4000000000000001E-10</v>
      </c>
      <c r="C366" s="2">
        <v>6.3E-10</v>
      </c>
      <c r="D366" s="2">
        <v>6.6E-10</v>
      </c>
    </row>
    <row r="367" spans="1:4">
      <c r="A367" t="s">
        <v>505</v>
      </c>
      <c r="B367" s="2">
        <v>2.0999999999999999E-11</v>
      </c>
      <c r="C367" s="2">
        <v>4.3E-11</v>
      </c>
      <c r="D367" s="2">
        <v>4.5E-11</v>
      </c>
    </row>
    <row r="368" spans="1:4">
      <c r="A368" t="s">
        <v>506</v>
      </c>
      <c r="B368" s="2">
        <v>3.3000000000000002E-11</v>
      </c>
      <c r="C368" s="2">
        <v>5.6E-11</v>
      </c>
      <c r="D368" s="2">
        <v>5.8E-11</v>
      </c>
    </row>
    <row r="369" spans="1:4">
      <c r="A369" t="s">
        <v>507</v>
      </c>
      <c r="B369" s="2">
        <v>-1</v>
      </c>
      <c r="C369" s="2">
        <v>5.0999999999999998E-11</v>
      </c>
      <c r="D369" s="2">
        <v>5.4000000000000001E-11</v>
      </c>
    </row>
    <row r="370" spans="1:4">
      <c r="A370" t="s">
        <v>508</v>
      </c>
      <c r="B370" s="2">
        <v>-1</v>
      </c>
      <c r="C370" s="2">
        <v>2.3000000000000001E-10</v>
      </c>
      <c r="D370" s="2">
        <v>2.5000000000000002E-10</v>
      </c>
    </row>
    <row r="371" spans="1:4">
      <c r="A371" t="s">
        <v>509</v>
      </c>
      <c r="B371" s="2">
        <v>-1</v>
      </c>
      <c r="C371" s="2">
        <v>9.8999999999999994E-12</v>
      </c>
      <c r="D371" s="2">
        <v>9.9999999999999994E-12</v>
      </c>
    </row>
    <row r="372" spans="1:4">
      <c r="A372" t="s">
        <v>510</v>
      </c>
      <c r="B372" s="2">
        <v>-1</v>
      </c>
      <c r="C372" s="2">
        <v>1.5E-10</v>
      </c>
      <c r="D372" s="2">
        <v>1.5E-10</v>
      </c>
    </row>
    <row r="373" spans="1:4">
      <c r="A373" t="s">
        <v>511</v>
      </c>
      <c r="B373" s="2">
        <v>-1</v>
      </c>
      <c r="C373" s="2">
        <v>4.7999999999999997E-12</v>
      </c>
      <c r="D373" s="2">
        <v>4.9999999999999997E-12</v>
      </c>
    </row>
    <row r="374" spans="1:4">
      <c r="A374" t="s">
        <v>512</v>
      </c>
      <c r="B374" s="2">
        <v>-1</v>
      </c>
      <c r="C374" s="2">
        <v>2.1000000000000002E-9</v>
      </c>
      <c r="D374" s="2">
        <v>2.4E-9</v>
      </c>
    </row>
    <row r="375" spans="1:4">
      <c r="A375" t="s">
        <v>513</v>
      </c>
      <c r="B375" s="2">
        <v>-1</v>
      </c>
      <c r="C375" s="2">
        <v>8.3999999999999994E-11</v>
      </c>
      <c r="D375" s="2">
        <v>8.9000000000000003E-11</v>
      </c>
    </row>
    <row r="376" spans="1:4">
      <c r="A376" t="s">
        <v>514</v>
      </c>
      <c r="B376" s="2">
        <v>-1</v>
      </c>
      <c r="C376" s="2">
        <v>1.6999999999999999E-11</v>
      </c>
      <c r="D376" s="2">
        <v>1.6999999999999999E-11</v>
      </c>
    </row>
    <row r="377" spans="1:4">
      <c r="A377" t="s">
        <v>515</v>
      </c>
      <c r="B377" s="2">
        <v>4.8999999999999996E-10</v>
      </c>
      <c r="C377" s="2">
        <v>8.6999999999999999E-10</v>
      </c>
      <c r="D377" s="2">
        <v>1.0000000000000001E-9</v>
      </c>
    </row>
    <row r="378" spans="1:4">
      <c r="A378" t="s">
        <v>516</v>
      </c>
      <c r="B378" s="2">
        <v>2.5000000000000002E-10</v>
      </c>
      <c r="C378" s="2">
        <v>5.0000000000000003E-10</v>
      </c>
      <c r="D378" s="2">
        <v>5.3000000000000003E-10</v>
      </c>
    </row>
    <row r="379" spans="1:4">
      <c r="A379" t="s">
        <v>108</v>
      </c>
      <c r="B379" s="2">
        <v>1.8E-10</v>
      </c>
      <c r="C379" s="2">
        <v>1.2999999999999999E-10</v>
      </c>
      <c r="D379" s="2">
        <v>4.3999999999999998E-10</v>
      </c>
    </row>
    <row r="380" spans="1:4">
      <c r="A380" t="s">
        <v>15</v>
      </c>
      <c r="B380" s="2">
        <v>4.3999999999999998E-10</v>
      </c>
      <c r="C380" s="2">
        <v>4.8E-10</v>
      </c>
      <c r="D380" s="2">
        <v>1.3000000000000001E-9</v>
      </c>
    </row>
    <row r="381" spans="1:4">
      <c r="A381" t="s">
        <v>517</v>
      </c>
      <c r="B381" s="2">
        <v>4.1000000000000001E-11</v>
      </c>
      <c r="C381" s="2">
        <v>8.5000000000000004E-11</v>
      </c>
      <c r="D381" s="2">
        <v>8.9999999999999999E-11</v>
      </c>
    </row>
    <row r="382" spans="1:4">
      <c r="A382" t="s">
        <v>518</v>
      </c>
      <c r="B382" s="2">
        <v>4.2E-10</v>
      </c>
      <c r="C382" s="2">
        <v>1.6000000000000001E-9</v>
      </c>
      <c r="D382" s="2">
        <v>1.8E-9</v>
      </c>
    </row>
    <row r="383" spans="1:4">
      <c r="A383" t="s">
        <v>519</v>
      </c>
      <c r="B383" s="2">
        <v>1.2E-10</v>
      </c>
      <c r="C383" s="2">
        <v>5.0000000000000002E-11</v>
      </c>
      <c r="D383" s="2">
        <v>2.4000000000000001E-11</v>
      </c>
    </row>
    <row r="384" spans="1:4">
      <c r="A384" t="s">
        <v>520</v>
      </c>
      <c r="B384" s="2">
        <v>1.1E-12</v>
      </c>
      <c r="C384" s="2">
        <v>1.6E-12</v>
      </c>
      <c r="D384" s="2">
        <v>1.7E-12</v>
      </c>
    </row>
    <row r="385" spans="1:4">
      <c r="A385" t="s">
        <v>521</v>
      </c>
      <c r="B385" s="2">
        <v>3.4999999999999998E-10</v>
      </c>
      <c r="C385" s="2">
        <v>5.3000000000000003E-10</v>
      </c>
      <c r="D385" s="2">
        <v>5.4999999999999996E-10</v>
      </c>
    </row>
    <row r="386" spans="1:4">
      <c r="A386" t="s">
        <v>522</v>
      </c>
      <c r="B386" s="2">
        <v>6.3E-10</v>
      </c>
      <c r="C386" s="2">
        <v>4.2E-10</v>
      </c>
      <c r="D386" s="2">
        <v>5.1999999999999996E-10</v>
      </c>
    </row>
    <row r="387" spans="1:4">
      <c r="A387" t="s">
        <v>131</v>
      </c>
      <c r="B387" s="2">
        <v>7.9999999999999996E-6</v>
      </c>
      <c r="C387" s="2">
        <v>3.1999999999999999E-6</v>
      </c>
      <c r="D387" s="2">
        <v>9.9999999999999995E-7</v>
      </c>
    </row>
    <row r="388" spans="1:4">
      <c r="A388" t="s">
        <v>523</v>
      </c>
      <c r="B388" s="2">
        <v>8.9999999999999995E-9</v>
      </c>
      <c r="C388" s="2">
        <v>5.3000000000000003E-9</v>
      </c>
      <c r="D388" s="2">
        <v>4.2000000000000004E-9</v>
      </c>
    </row>
    <row r="389" spans="1:4">
      <c r="A389" t="s">
        <v>95</v>
      </c>
      <c r="B389" s="2">
        <v>5.0000000000000002E-5</v>
      </c>
      <c r="C389" s="2">
        <v>2.3E-5</v>
      </c>
      <c r="D389" s="2">
        <v>1.2E-5</v>
      </c>
    </row>
    <row r="390" spans="1:4">
      <c r="A390" t="s">
        <v>149</v>
      </c>
      <c r="B390" s="2">
        <v>3.4999999999999999E-9</v>
      </c>
      <c r="C390" s="2">
        <v>2.1000000000000002E-9</v>
      </c>
      <c r="D390" s="2">
        <v>1.5E-9</v>
      </c>
    </row>
    <row r="391" spans="1:4">
      <c r="A391" t="s">
        <v>100</v>
      </c>
      <c r="B391" s="2">
        <v>1.7000000000000001E-10</v>
      </c>
      <c r="C391" s="2">
        <v>9.2999999999999999E-10</v>
      </c>
      <c r="D391" s="2">
        <v>1.0000000000000001E-9</v>
      </c>
    </row>
    <row r="392" spans="1:4">
      <c r="A392" t="s">
        <v>524</v>
      </c>
      <c r="B392" s="2">
        <v>3.9999999999999998E-11</v>
      </c>
      <c r="C392" s="2">
        <v>8.5000000000000004E-11</v>
      </c>
      <c r="D392" s="2">
        <v>8.9999999999999999E-11</v>
      </c>
    </row>
    <row r="393" spans="1:4">
      <c r="A393" t="s">
        <v>525</v>
      </c>
      <c r="B393" s="2">
        <v>8.1999999999999998E-12</v>
      </c>
      <c r="C393" s="2">
        <v>1.4E-11</v>
      </c>
      <c r="D393" s="2">
        <v>1.5E-11</v>
      </c>
    </row>
    <row r="394" spans="1:4">
      <c r="A394" t="s">
        <v>526</v>
      </c>
      <c r="B394" s="2">
        <v>3.3000000000000002E-11</v>
      </c>
      <c r="C394" s="2">
        <v>6.2000000000000006E-11</v>
      </c>
      <c r="D394" s="2">
        <v>6.4999999999999995E-11</v>
      </c>
    </row>
    <row r="395" spans="1:4">
      <c r="A395" t="s">
        <v>527</v>
      </c>
      <c r="B395" s="2">
        <v>1.7000000000000001E-10</v>
      </c>
      <c r="C395" s="2">
        <v>3.6E-10</v>
      </c>
      <c r="D395" s="2">
        <v>3.7999999999999998E-10</v>
      </c>
    </row>
    <row r="396" spans="1:4">
      <c r="A396" t="s">
        <v>528</v>
      </c>
      <c r="B396" s="2">
        <v>1.0999999999999999E-9</v>
      </c>
      <c r="C396" s="2">
        <v>1.3000000000000001E-9</v>
      </c>
      <c r="D396" s="2">
        <v>1.6000000000000001E-9</v>
      </c>
    </row>
    <row r="397" spans="1:4">
      <c r="A397" t="s">
        <v>529</v>
      </c>
      <c r="B397" s="2">
        <v>2.4999999999999998E-12</v>
      </c>
      <c r="C397" s="2">
        <v>4.9999999999999997E-12</v>
      </c>
      <c r="D397" s="2">
        <v>5.2999999999999996E-12</v>
      </c>
    </row>
    <row r="398" spans="1:4">
      <c r="A398" t="s">
        <v>530</v>
      </c>
      <c r="B398" s="2">
        <v>2.5000000000000002E-10</v>
      </c>
      <c r="C398" s="2">
        <v>1.6999999999999999E-9</v>
      </c>
      <c r="D398" s="2">
        <v>1.9000000000000001E-9</v>
      </c>
    </row>
    <row r="399" spans="1:4">
      <c r="A399" t="s">
        <v>531</v>
      </c>
      <c r="B399" s="2">
        <v>2.4000000000000001E-11</v>
      </c>
      <c r="C399" s="2">
        <v>1.4000000000000001E-10</v>
      </c>
      <c r="D399" s="2">
        <v>1.5999999999999999E-10</v>
      </c>
    </row>
    <row r="400" spans="1:4">
      <c r="A400" t="s">
        <v>532</v>
      </c>
      <c r="B400" s="2">
        <v>1.5999999999999999E-10</v>
      </c>
      <c r="C400" s="2">
        <v>4.8E-10</v>
      </c>
      <c r="D400" s="2">
        <v>5.1999999999999996E-10</v>
      </c>
    </row>
    <row r="401" spans="1:4">
      <c r="A401" t="s">
        <v>533</v>
      </c>
      <c r="B401" s="2">
        <v>1.0999999999999999E-8</v>
      </c>
      <c r="C401" s="2">
        <v>2.0999999999999999E-8</v>
      </c>
      <c r="D401" s="2">
        <v>8.4999999999999994E-8</v>
      </c>
    </row>
    <row r="402" spans="1:4">
      <c r="A402" t="s">
        <v>4</v>
      </c>
      <c r="B402" s="2">
        <v>7.7000000000000003E-10</v>
      </c>
      <c r="C402" s="2">
        <v>3.3999999999999998E-9</v>
      </c>
      <c r="D402" s="2">
        <v>-1</v>
      </c>
    </row>
    <row r="403" spans="1:4">
      <c r="A403" t="s">
        <v>5</v>
      </c>
      <c r="B403" s="2">
        <v>9.2000000000000005E-11</v>
      </c>
      <c r="C403" s="2">
        <v>1.5E-9</v>
      </c>
      <c r="D403" s="2">
        <v>-1</v>
      </c>
    </row>
    <row r="404" spans="1:4">
      <c r="A404" t="s">
        <v>534</v>
      </c>
      <c r="B404" s="2">
        <v>-1</v>
      </c>
      <c r="C404" s="2">
        <v>7.4000000000000001E-8</v>
      </c>
      <c r="D404" s="2">
        <v>8.0000000000000002E-8</v>
      </c>
    </row>
    <row r="405" spans="1:4">
      <c r="A405" t="s">
        <v>535</v>
      </c>
      <c r="B405" s="2">
        <v>-1</v>
      </c>
      <c r="C405" s="2">
        <v>6.4000000000000004E-8</v>
      </c>
      <c r="D405" s="2">
        <v>7.4999999999999997E-8</v>
      </c>
    </row>
    <row r="406" spans="1:4">
      <c r="A406" t="s">
        <v>536</v>
      </c>
      <c r="B406" s="2">
        <v>-1</v>
      </c>
      <c r="C406" s="2">
        <v>6.0999999999999998E-7</v>
      </c>
      <c r="D406" s="2">
        <v>7.6000000000000003E-7</v>
      </c>
    </row>
    <row r="407" spans="1:4">
      <c r="A407" t="s">
        <v>84</v>
      </c>
      <c r="B407" s="2">
        <v>-1</v>
      </c>
      <c r="C407" s="2">
        <v>1.3999999999999999E-4</v>
      </c>
      <c r="D407" s="2">
        <v>3.4E-5</v>
      </c>
    </row>
    <row r="408" spans="1:4">
      <c r="A408" t="s">
        <v>537</v>
      </c>
      <c r="B408" s="2">
        <v>-1</v>
      </c>
      <c r="C408" s="2">
        <v>1E-8</v>
      </c>
      <c r="D408" s="2">
        <v>3.4999999999999999E-9</v>
      </c>
    </row>
    <row r="409" spans="1:4">
      <c r="A409" t="s">
        <v>88</v>
      </c>
      <c r="B409" s="2">
        <v>-1</v>
      </c>
      <c r="C409" s="2">
        <v>3.3000000000000002E-9</v>
      </c>
      <c r="D409" s="2">
        <v>3.9000000000000002E-9</v>
      </c>
    </row>
    <row r="410" spans="1:4">
      <c r="A410" t="s">
        <v>90</v>
      </c>
      <c r="B410" s="2">
        <v>-1</v>
      </c>
      <c r="C410" s="2">
        <v>3.7999999999999998E-10</v>
      </c>
      <c r="D410" s="2">
        <v>4.0000000000000001E-10</v>
      </c>
    </row>
    <row r="411" spans="1:4">
      <c r="A411" t="s">
        <v>538</v>
      </c>
      <c r="B411" s="2">
        <v>1.6E-11</v>
      </c>
      <c r="C411" s="2">
        <v>2.5000000000000001E-11</v>
      </c>
      <c r="D411" s="2">
        <v>2.7E-11</v>
      </c>
    </row>
    <row r="412" spans="1:4">
      <c r="A412" t="s">
        <v>539</v>
      </c>
      <c r="B412" s="2">
        <v>4.3E-11</v>
      </c>
      <c r="C412" s="2">
        <v>6.6000000000000005E-11</v>
      </c>
      <c r="D412" s="2">
        <v>7.0000000000000004E-11</v>
      </c>
    </row>
    <row r="413" spans="1:4">
      <c r="A413" t="s">
        <v>540</v>
      </c>
      <c r="B413" s="2">
        <v>2.3000000000000001E-11</v>
      </c>
      <c r="C413" s="2">
        <v>3.5999999999999998E-11</v>
      </c>
      <c r="D413" s="2">
        <v>3.7000000000000001E-11</v>
      </c>
    </row>
    <row r="414" spans="1:4">
      <c r="A414" t="s">
        <v>541</v>
      </c>
      <c r="B414" s="2">
        <v>1.4000000000000001E-10</v>
      </c>
      <c r="C414" s="2">
        <v>3.3E-10</v>
      </c>
      <c r="D414" s="2">
        <v>3.4999999999999998E-10</v>
      </c>
    </row>
    <row r="415" spans="1:4">
      <c r="A415" t="s">
        <v>542</v>
      </c>
      <c r="B415" s="2">
        <v>6E-11</v>
      </c>
      <c r="C415" s="2">
        <v>1.0999999999999999E-10</v>
      </c>
      <c r="D415" s="2">
        <v>1.2E-10</v>
      </c>
    </row>
    <row r="416" spans="1:4">
      <c r="A416" t="s">
        <v>543</v>
      </c>
      <c r="B416" s="2">
        <v>1.0999999999999999E-8</v>
      </c>
      <c r="C416" s="2">
        <v>6.3000000000000002E-9</v>
      </c>
      <c r="D416" s="2">
        <v>1.2E-8</v>
      </c>
    </row>
    <row r="417" spans="1:4">
      <c r="A417" t="s">
        <v>544</v>
      </c>
      <c r="B417" s="2">
        <v>6.2000000000000006E-11</v>
      </c>
      <c r="C417" s="2">
        <v>9.4999999999999995E-11</v>
      </c>
      <c r="D417" s="2">
        <v>1E-10</v>
      </c>
    </row>
    <row r="418" spans="1:4">
      <c r="A418" t="s">
        <v>545</v>
      </c>
      <c r="B418" s="2">
        <v>8.5000000000000004E-11</v>
      </c>
      <c r="C418" s="2">
        <v>2.0000000000000001E-10</v>
      </c>
      <c r="D418" s="2">
        <v>2.1999999999999999E-10</v>
      </c>
    </row>
    <row r="419" spans="1:4">
      <c r="A419" t="s">
        <v>546</v>
      </c>
      <c r="B419" s="2">
        <v>3.3E-10</v>
      </c>
      <c r="C419" s="2">
        <v>2.5000000000000002E-10</v>
      </c>
      <c r="D419" s="2">
        <v>8.4999999999999996E-10</v>
      </c>
    </row>
    <row r="420" spans="1:4">
      <c r="A420" t="s">
        <v>40</v>
      </c>
      <c r="B420" s="2">
        <v>1.6999999999999999E-11</v>
      </c>
      <c r="C420" s="2">
        <v>5.6E-11</v>
      </c>
      <c r="D420" s="2">
        <v>6.0999999999999996E-11</v>
      </c>
    </row>
    <row r="421" spans="1:4">
      <c r="A421" t="s">
        <v>44</v>
      </c>
      <c r="B421" s="2">
        <v>8.9999999999999996E-7</v>
      </c>
      <c r="C421" s="2">
        <v>1.1000000000000001E-6</v>
      </c>
      <c r="D421" s="2">
        <v>5.5999999999999997E-6</v>
      </c>
    </row>
    <row r="422" spans="1:4">
      <c r="A422" t="s">
        <v>48</v>
      </c>
      <c r="B422" s="2">
        <v>3.9000000000000002E-9</v>
      </c>
      <c r="C422" s="2">
        <v>1.0999999999999999E-8</v>
      </c>
      <c r="D422" s="2">
        <v>1.2E-8</v>
      </c>
    </row>
    <row r="423" spans="1:4">
      <c r="A423" t="s">
        <v>51</v>
      </c>
      <c r="B423" s="2">
        <v>1.7999999999999999E-8</v>
      </c>
      <c r="C423" s="2">
        <v>1.6999999999999999E-7</v>
      </c>
      <c r="D423" s="2">
        <v>1.9000000000000001E-7</v>
      </c>
    </row>
    <row r="424" spans="1:4">
      <c r="A424" t="s">
        <v>56</v>
      </c>
      <c r="B424" s="2">
        <v>2.7999999999999998E-9</v>
      </c>
      <c r="C424" s="2">
        <v>1.4E-8</v>
      </c>
      <c r="D424" s="2">
        <v>1.4999999999999999E-8</v>
      </c>
    </row>
    <row r="425" spans="1:4">
      <c r="A425" t="s">
        <v>547</v>
      </c>
      <c r="B425" s="2">
        <v>4.7000000000000003E-10</v>
      </c>
      <c r="C425" s="2">
        <v>8.0000000000000003E-10</v>
      </c>
      <c r="D425" s="2">
        <v>8.4999999999999996E-10</v>
      </c>
    </row>
    <row r="426" spans="1:4">
      <c r="A426" t="s">
        <v>548</v>
      </c>
      <c r="B426" s="2">
        <v>3.9000000000000001E-11</v>
      </c>
      <c r="C426" s="2">
        <v>5.9000000000000003E-11</v>
      </c>
      <c r="D426" s="2">
        <v>6.2000000000000006E-11</v>
      </c>
    </row>
    <row r="427" spans="1:4">
      <c r="A427" t="s">
        <v>549</v>
      </c>
      <c r="B427" s="2">
        <v>8.9000000000000003E-11</v>
      </c>
      <c r="C427" s="2">
        <v>3.7999999999999998E-10</v>
      </c>
      <c r="D427" s="2">
        <v>4.5E-10</v>
      </c>
    </row>
    <row r="428" spans="1:4">
      <c r="A428" t="s">
        <v>114</v>
      </c>
      <c r="B428" s="2">
        <v>2.5000000000000001E-11</v>
      </c>
      <c r="C428" s="2">
        <v>8.5000000000000004E-11</v>
      </c>
      <c r="D428" s="2">
        <v>5.9000000000000003E-10</v>
      </c>
    </row>
    <row r="429" spans="1:4">
      <c r="A429" t="s">
        <v>550</v>
      </c>
      <c r="B429" s="2">
        <v>1.2E-10</v>
      </c>
      <c r="C429" s="2">
        <v>3.4000000000000001E-10</v>
      </c>
      <c r="D429" s="2">
        <v>3.7000000000000001E-10</v>
      </c>
    </row>
    <row r="430" spans="1:4">
      <c r="A430" t="s">
        <v>551</v>
      </c>
      <c r="B430" s="2">
        <v>-1</v>
      </c>
      <c r="C430" s="2">
        <v>1.4E-11</v>
      </c>
      <c r="D430" s="2">
        <v>1.5E-11</v>
      </c>
    </row>
    <row r="431" spans="1:4">
      <c r="A431" t="s">
        <v>552</v>
      </c>
      <c r="B431" s="2">
        <v>-1</v>
      </c>
      <c r="C431" s="2">
        <v>1.5E-9</v>
      </c>
      <c r="D431" s="2">
        <v>1.3999999999999999E-9</v>
      </c>
    </row>
    <row r="432" spans="1:4">
      <c r="A432" t="s">
        <v>553</v>
      </c>
      <c r="B432" s="2">
        <v>-1</v>
      </c>
      <c r="C432" s="2">
        <v>8.2000000000000006E-9</v>
      </c>
      <c r="D432" s="2">
        <v>7.4999999999999993E-9</v>
      </c>
    </row>
    <row r="433" spans="1:4">
      <c r="A433" t="s">
        <v>554</v>
      </c>
      <c r="B433" s="2">
        <v>-1</v>
      </c>
      <c r="C433" s="2">
        <v>3.6E-9</v>
      </c>
      <c r="D433" s="2">
        <v>2.2999999999999999E-9</v>
      </c>
    </row>
    <row r="434" spans="1:4">
      <c r="A434" t="s">
        <v>126</v>
      </c>
      <c r="B434" s="2">
        <v>-1</v>
      </c>
      <c r="C434" s="2">
        <v>2.0999999999999999E-8</v>
      </c>
      <c r="D434" s="2">
        <v>1.7E-8</v>
      </c>
    </row>
    <row r="435" spans="1:4">
      <c r="A435" t="s">
        <v>127</v>
      </c>
      <c r="B435" s="2">
        <v>-1</v>
      </c>
      <c r="C435" s="2">
        <v>5.0000000000000001E-9</v>
      </c>
      <c r="D435" s="2">
        <v>4.9E-9</v>
      </c>
    </row>
    <row r="436" spans="1:4">
      <c r="A436" t="s">
        <v>555</v>
      </c>
      <c r="B436" s="2">
        <v>-1</v>
      </c>
      <c r="C436" s="2">
        <v>2.0000000000000001E-9</v>
      </c>
      <c r="D436" s="2">
        <v>2.1999999999999998E-9</v>
      </c>
    </row>
    <row r="437" spans="1:4">
      <c r="A437" t="s">
        <v>556</v>
      </c>
      <c r="B437" s="2">
        <v>-1</v>
      </c>
      <c r="C437" s="2">
        <v>5.1000000000000002E-9</v>
      </c>
      <c r="D437" s="2">
        <v>5.6999999999999998E-9</v>
      </c>
    </row>
    <row r="438" spans="1:4">
      <c r="A438" t="s">
        <v>557</v>
      </c>
      <c r="B438" s="2">
        <v>-1</v>
      </c>
      <c r="C438" s="2">
        <v>6.6999999999999996E-10</v>
      </c>
      <c r="D438" s="2">
        <v>7.2999999999999996E-10</v>
      </c>
    </row>
    <row r="439" spans="1:4">
      <c r="A439" t="s">
        <v>558</v>
      </c>
      <c r="B439" s="2">
        <v>-1</v>
      </c>
      <c r="C439" s="2">
        <v>1.2E-10</v>
      </c>
      <c r="D439" s="2">
        <v>1.2999999999999999E-10</v>
      </c>
    </row>
    <row r="440" spans="1:4">
      <c r="A440" t="s">
        <v>559</v>
      </c>
      <c r="B440" s="2">
        <v>-1</v>
      </c>
      <c r="C440" s="2">
        <v>4.3000000000000001E-10</v>
      </c>
      <c r="D440" s="2">
        <v>4.6000000000000001E-10</v>
      </c>
    </row>
    <row r="441" spans="1:4">
      <c r="A441" t="s">
        <v>560</v>
      </c>
      <c r="B441" s="2">
        <v>2.3000000000000001E-11</v>
      </c>
      <c r="C441" s="2">
        <v>3.5000000000000002E-11</v>
      </c>
      <c r="D441" s="2">
        <v>3.5999999999999998E-11</v>
      </c>
    </row>
    <row r="442" spans="1:4">
      <c r="A442" t="s">
        <v>561</v>
      </c>
      <c r="B442" s="2">
        <v>3.3000000000000002E-11</v>
      </c>
      <c r="C442" s="2">
        <v>6.4999999999999995E-11</v>
      </c>
      <c r="D442" s="2">
        <v>6.8999999999999994E-11</v>
      </c>
    </row>
    <row r="443" spans="1:4">
      <c r="A443" t="s">
        <v>562</v>
      </c>
      <c r="B443" s="2">
        <v>5.8E-11</v>
      </c>
      <c r="C443" s="2">
        <v>7.8000000000000002E-11</v>
      </c>
      <c r="D443" s="2">
        <v>8.2000000000000001E-11</v>
      </c>
    </row>
    <row r="444" spans="1:4">
      <c r="A444" t="s">
        <v>42</v>
      </c>
      <c r="B444" s="2">
        <v>6.0999999999999998E-7</v>
      </c>
      <c r="C444" s="2">
        <v>3.3000000000000002E-6</v>
      </c>
      <c r="D444" s="2">
        <v>4.3000000000000003E-6</v>
      </c>
    </row>
    <row r="445" spans="1:4">
      <c r="A445" t="s">
        <v>563</v>
      </c>
      <c r="B445" s="2">
        <v>-1</v>
      </c>
      <c r="C445" s="2">
        <v>1.3E-11</v>
      </c>
      <c r="D445" s="2">
        <v>1.4E-11</v>
      </c>
    </row>
    <row r="446" spans="1:4">
      <c r="A446" t="s">
        <v>564</v>
      </c>
      <c r="B446" s="2">
        <v>-1</v>
      </c>
      <c r="C446" s="2">
        <v>1.9999999999999999E-11</v>
      </c>
      <c r="D446" s="2">
        <v>2.0999999999999999E-11</v>
      </c>
    </row>
    <row r="447" spans="1:4">
      <c r="A447" t="s">
        <v>565</v>
      </c>
      <c r="B447" s="2">
        <v>-1</v>
      </c>
      <c r="C447" s="2">
        <v>7.1999999999999997E-11</v>
      </c>
      <c r="D447" s="2">
        <v>7.4000000000000003E-11</v>
      </c>
    </row>
    <row r="448" spans="1:4">
      <c r="A448" t="s">
        <v>566</v>
      </c>
      <c r="B448" s="2">
        <v>-1</v>
      </c>
      <c r="C448" s="2">
        <v>1.7999999999999999E-11</v>
      </c>
      <c r="D448" s="2">
        <v>1.9999999999999999E-11</v>
      </c>
    </row>
    <row r="449" spans="1:4">
      <c r="A449" t="s">
        <v>567</v>
      </c>
      <c r="B449" s="2">
        <v>-1</v>
      </c>
      <c r="C449" s="2">
        <v>5.1999999999999996E-10</v>
      </c>
      <c r="D449" s="2">
        <v>5.4999999999999996E-10</v>
      </c>
    </row>
    <row r="450" spans="1:4">
      <c r="A450" t="s">
        <v>568</v>
      </c>
      <c r="B450" s="2">
        <v>-1</v>
      </c>
      <c r="C450" s="2">
        <v>6.6000000000000001E-12</v>
      </c>
      <c r="D450" s="2">
        <v>7.0000000000000001E-12</v>
      </c>
    </row>
    <row r="451" spans="1:4">
      <c r="A451" t="s">
        <v>569</v>
      </c>
      <c r="B451" s="2">
        <v>-1</v>
      </c>
      <c r="C451" s="2">
        <v>2.1999999999999998E-9</v>
      </c>
      <c r="D451" s="2">
        <v>2.4E-9</v>
      </c>
    </row>
    <row r="452" spans="1:4">
      <c r="A452" t="s">
        <v>125</v>
      </c>
      <c r="B452" s="2">
        <v>-1</v>
      </c>
      <c r="C452" s="2">
        <v>1.7999999999999999E-11</v>
      </c>
      <c r="D452" s="2">
        <v>1.7999999999999999E-11</v>
      </c>
    </row>
    <row r="453" spans="1:4">
      <c r="A453" t="s">
        <v>570</v>
      </c>
      <c r="B453" s="2">
        <v>-1</v>
      </c>
      <c r="C453" s="2">
        <v>1.5999999999999999E-10</v>
      </c>
      <c r="D453" s="2">
        <v>1.7000000000000001E-10</v>
      </c>
    </row>
    <row r="454" spans="1:4">
      <c r="A454" t="s">
        <v>571</v>
      </c>
      <c r="B454" s="2">
        <v>-1</v>
      </c>
      <c r="C454" s="2">
        <v>1.7999999999999999E-11</v>
      </c>
      <c r="D454" s="2">
        <v>1.7999999999999999E-11</v>
      </c>
    </row>
    <row r="455" spans="1:4">
      <c r="A455" t="s">
        <v>572</v>
      </c>
      <c r="B455" s="2">
        <v>3.3000000000000002E-11</v>
      </c>
      <c r="C455" s="2">
        <v>-1</v>
      </c>
      <c r="D455" s="2">
        <v>-1</v>
      </c>
    </row>
    <row r="456" spans="1:4">
      <c r="A456" t="s">
        <v>573</v>
      </c>
      <c r="B456" s="2">
        <v>4.2E-10</v>
      </c>
      <c r="C456" s="2">
        <v>-1</v>
      </c>
      <c r="D456" s="2">
        <v>-1</v>
      </c>
    </row>
    <row r="457" spans="1:4">
      <c r="A457" t="s">
        <v>574</v>
      </c>
      <c r="B457" s="2">
        <v>3.7999999999999998E-11</v>
      </c>
      <c r="C457" s="2">
        <v>-1</v>
      </c>
      <c r="D457" s="2">
        <v>-1</v>
      </c>
    </row>
    <row r="458" spans="1:4">
      <c r="A458" t="s">
        <v>575</v>
      </c>
      <c r="B458" s="2">
        <v>1.0999999999999999E-10</v>
      </c>
      <c r="C458" s="2">
        <v>-1</v>
      </c>
      <c r="D458" s="2">
        <v>-1</v>
      </c>
    </row>
    <row r="459" spans="1:4">
      <c r="A459" t="s">
        <v>576</v>
      </c>
      <c r="B459" s="2">
        <v>2.0999999999999999E-11</v>
      </c>
      <c r="C459" s="2">
        <v>-1</v>
      </c>
      <c r="D459" s="2">
        <v>-1</v>
      </c>
    </row>
    <row r="460" spans="1:4">
      <c r="A460" t="s">
        <v>577</v>
      </c>
      <c r="B460" s="2">
        <v>1.2E-10</v>
      </c>
      <c r="C460" s="2">
        <v>-1</v>
      </c>
      <c r="D460" s="2">
        <v>-1</v>
      </c>
    </row>
    <row r="461" spans="1:4">
      <c r="A461" t="s">
        <v>578</v>
      </c>
      <c r="B461" s="2">
        <v>1.8E-10</v>
      </c>
      <c r="C461" s="2">
        <v>-1</v>
      </c>
      <c r="D461" s="2">
        <v>-1</v>
      </c>
    </row>
    <row r="462" spans="1:4">
      <c r="A462" t="s">
        <v>579</v>
      </c>
      <c r="B462" s="2">
        <v>8.5000000000000004E-11</v>
      </c>
      <c r="C462" s="2">
        <v>-1</v>
      </c>
      <c r="D462" s="2">
        <v>-1</v>
      </c>
    </row>
    <row r="463" spans="1:4">
      <c r="A463" t="s">
        <v>580</v>
      </c>
      <c r="B463" s="2">
        <v>2.4000000000000001E-11</v>
      </c>
      <c r="C463" s="2">
        <v>-1</v>
      </c>
      <c r="D463" s="2">
        <v>-1</v>
      </c>
    </row>
    <row r="464" spans="1:4">
      <c r="A464" t="s">
        <v>581</v>
      </c>
      <c r="B464" s="2">
        <v>1.2000000000000001E-11</v>
      </c>
      <c r="C464" s="2">
        <v>-1</v>
      </c>
      <c r="D464" s="2">
        <v>-1</v>
      </c>
    </row>
    <row r="465" spans="1:4">
      <c r="A465" t="s">
        <v>582</v>
      </c>
      <c r="B465" s="2">
        <v>2.1999999999999999E-10</v>
      </c>
      <c r="C465" s="2">
        <v>-1</v>
      </c>
      <c r="D465" s="2">
        <v>-1</v>
      </c>
    </row>
    <row r="466" spans="1:4">
      <c r="A466" t="s">
        <v>583</v>
      </c>
      <c r="B466" s="2">
        <v>3E-9</v>
      </c>
      <c r="C466" s="2">
        <v>2.0999999999999999E-8</v>
      </c>
      <c r="D466" s="2">
        <v>2.4E-8</v>
      </c>
    </row>
    <row r="467" spans="1:4">
      <c r="A467" t="s">
        <v>584</v>
      </c>
      <c r="B467" s="2">
        <v>9.9999999999999998E-13</v>
      </c>
      <c r="C467" s="2">
        <v>1.4000000000000001E-12</v>
      </c>
      <c r="D467" s="2">
        <v>1.5000000000000001E-12</v>
      </c>
    </row>
    <row r="468" spans="1:4">
      <c r="A468" t="s">
        <v>132</v>
      </c>
      <c r="B468" s="2">
        <v>4.0000000000000003E-5</v>
      </c>
      <c r="C468" s="2">
        <v>2.0000000000000002E-5</v>
      </c>
      <c r="D468" s="2">
        <v>1.0000000000000001E-5</v>
      </c>
    </row>
    <row r="469" spans="1:4">
      <c r="A469" t="s">
        <v>585</v>
      </c>
      <c r="B469" s="2">
        <v>2.5999999999999998E-10</v>
      </c>
      <c r="C469" s="2">
        <v>3.4999999999999998E-10</v>
      </c>
      <c r="D469" s="2">
        <v>3.9E-10</v>
      </c>
    </row>
    <row r="470" spans="1:4">
      <c r="A470" t="s">
        <v>97</v>
      </c>
      <c r="B470" s="2">
        <v>1.1E-4</v>
      </c>
      <c r="C470" s="2">
        <v>4.6E-5</v>
      </c>
      <c r="D470" s="2">
        <v>1.5999999999999999E-5</v>
      </c>
    </row>
    <row r="471" spans="1:4">
      <c r="A471" t="s">
        <v>99</v>
      </c>
      <c r="B471" s="2">
        <v>1.2E-4</v>
      </c>
      <c r="C471" s="2">
        <v>5.0000000000000002E-5</v>
      </c>
      <c r="D471" s="2">
        <v>1.5999999999999999E-5</v>
      </c>
    </row>
    <row r="472" spans="1:4">
      <c r="A472" t="s">
        <v>101</v>
      </c>
      <c r="B472" s="2">
        <v>1.2E-4</v>
      </c>
      <c r="C472" s="2">
        <v>5.0000000000000002E-5</v>
      </c>
      <c r="D472" s="2">
        <v>1.5999999999999999E-5</v>
      </c>
    </row>
    <row r="473" spans="1:4">
      <c r="A473" t="s">
        <v>103</v>
      </c>
      <c r="B473" s="2">
        <v>2.3E-6</v>
      </c>
      <c r="C473" s="2">
        <v>8.9999999999999996E-7</v>
      </c>
      <c r="D473" s="2">
        <v>1.6999999999999999E-7</v>
      </c>
    </row>
    <row r="474" spans="1:4">
      <c r="A474" t="s">
        <v>133</v>
      </c>
      <c r="B474" s="2">
        <v>1.1E-4</v>
      </c>
      <c r="C474" s="2">
        <v>4.8000000000000001E-5</v>
      </c>
      <c r="D474" s="2">
        <v>1.5E-5</v>
      </c>
    </row>
    <row r="475" spans="1:4">
      <c r="A475" t="s">
        <v>586</v>
      </c>
      <c r="B475" s="2">
        <v>3.1999999999999999E-11</v>
      </c>
      <c r="C475" s="2">
        <v>8.2999999999999998E-11</v>
      </c>
      <c r="D475" s="2">
        <v>8.6E-11</v>
      </c>
    </row>
    <row r="476" spans="1:4">
      <c r="A476" t="s">
        <v>587</v>
      </c>
      <c r="B476" s="2">
        <v>1.1E-4</v>
      </c>
      <c r="C476" s="2">
        <v>4.6999999999999997E-5</v>
      </c>
      <c r="D476" s="2">
        <v>1.5E-5</v>
      </c>
    </row>
    <row r="477" spans="1:4">
      <c r="A477" t="s">
        <v>588</v>
      </c>
      <c r="B477" s="2">
        <v>1.5999999999999999E-10</v>
      </c>
      <c r="C477" s="2">
        <v>4.0000000000000001E-10</v>
      </c>
      <c r="D477" s="2">
        <v>4.3000000000000001E-10</v>
      </c>
    </row>
    <row r="478" spans="1:4">
      <c r="A478" t="s">
        <v>589</v>
      </c>
      <c r="B478" s="2">
        <v>2.5000000000000001E-9</v>
      </c>
      <c r="C478" s="2">
        <v>7.4000000000000001E-9</v>
      </c>
      <c r="D478" s="2">
        <v>8.0000000000000005E-9</v>
      </c>
    </row>
    <row r="479" spans="1:4">
      <c r="A479" t="s">
        <v>71</v>
      </c>
      <c r="B479" s="2">
        <v>1.1999999999999999E-7</v>
      </c>
      <c r="C479" s="2">
        <v>7.4000000000000003E-6</v>
      </c>
      <c r="D479" s="2">
        <v>8.6999999999999997E-6</v>
      </c>
    </row>
    <row r="480" spans="1:4">
      <c r="A480" t="s">
        <v>73</v>
      </c>
      <c r="B480" s="2">
        <v>7.4999999999999997E-8</v>
      </c>
      <c r="C480" s="2">
        <v>3.0000000000000001E-6</v>
      </c>
      <c r="D480" s="2">
        <v>3.4000000000000001E-6</v>
      </c>
    </row>
    <row r="481" spans="1:4">
      <c r="A481" t="s">
        <v>75</v>
      </c>
      <c r="B481" s="2">
        <v>1.3E-7</v>
      </c>
      <c r="C481" s="2">
        <v>6.2999999999999998E-6</v>
      </c>
      <c r="D481" s="2">
        <v>7.7000000000000008E-6</v>
      </c>
    </row>
    <row r="482" spans="1:4">
      <c r="A482" t="s">
        <v>76</v>
      </c>
      <c r="B482" s="2">
        <v>3.5999999999999999E-7</v>
      </c>
      <c r="C482" s="2">
        <v>3.4999999999999999E-6</v>
      </c>
      <c r="D482" s="2">
        <v>9.5000000000000005E-6</v>
      </c>
    </row>
    <row r="483" spans="1:4">
      <c r="A483" t="s">
        <v>590</v>
      </c>
      <c r="B483" s="2">
        <v>4.6000000000000001E-10</v>
      </c>
      <c r="C483" s="2">
        <v>2.8000000000000002E-10</v>
      </c>
      <c r="D483" s="2">
        <v>2.1999999999999999E-10</v>
      </c>
    </row>
    <row r="484" spans="1:4">
      <c r="A484" t="s">
        <v>81</v>
      </c>
      <c r="B484" s="2">
        <v>8.9999999999999996E-7</v>
      </c>
      <c r="C484" s="2">
        <v>2.6000000000000001E-6</v>
      </c>
      <c r="D484" s="2">
        <v>1.5999999999999999E-5</v>
      </c>
    </row>
    <row r="485" spans="1:4">
      <c r="A485" t="s">
        <v>591</v>
      </c>
      <c r="B485" s="2">
        <v>1.6E-11</v>
      </c>
      <c r="C485" s="2">
        <v>-1</v>
      </c>
      <c r="D485" s="2">
        <v>-1</v>
      </c>
    </row>
    <row r="486" spans="1:4">
      <c r="A486" t="s">
        <v>592</v>
      </c>
      <c r="B486" s="2">
        <v>3.3999999999999999E-11</v>
      </c>
      <c r="C486" s="2">
        <v>-1</v>
      </c>
      <c r="D486" s="2">
        <v>-1</v>
      </c>
    </row>
    <row r="487" spans="1:4">
      <c r="A487" t="s">
        <v>593</v>
      </c>
      <c r="B487" s="2">
        <v>7.0000000000000001E-12</v>
      </c>
      <c r="C487" s="2">
        <v>-1</v>
      </c>
      <c r="D487" s="2">
        <v>-1</v>
      </c>
    </row>
    <row r="488" spans="1:4">
      <c r="A488" t="s">
        <v>594</v>
      </c>
      <c r="B488" s="2">
        <v>1.0999999999999999E-10</v>
      </c>
      <c r="C488" s="2">
        <v>-1</v>
      </c>
      <c r="D488" s="2">
        <v>-1</v>
      </c>
    </row>
    <row r="489" spans="1:4">
      <c r="A489" t="s">
        <v>595</v>
      </c>
      <c r="B489" s="2">
        <v>6.9E-10</v>
      </c>
      <c r="C489" s="2">
        <v>-1</v>
      </c>
      <c r="D489" s="2">
        <v>-1</v>
      </c>
    </row>
    <row r="490" spans="1:4">
      <c r="A490" t="s">
        <v>596</v>
      </c>
      <c r="B490" s="2">
        <v>1.0000000000000001E-9</v>
      </c>
      <c r="C490" s="2">
        <v>-1</v>
      </c>
      <c r="D490" s="2">
        <v>-1</v>
      </c>
    </row>
    <row r="491" spans="1:4">
      <c r="A491" t="s">
        <v>19</v>
      </c>
      <c r="B491" s="2">
        <v>9.2999999999999999E-10</v>
      </c>
      <c r="C491" s="2">
        <v>-1</v>
      </c>
      <c r="D491" s="2">
        <v>-1</v>
      </c>
    </row>
    <row r="492" spans="1:4">
      <c r="A492" t="s">
        <v>597</v>
      </c>
      <c r="B492" s="2">
        <v>5.0000000000000003E-10</v>
      </c>
      <c r="C492" s="2">
        <v>-1</v>
      </c>
      <c r="D492" s="2">
        <v>-1</v>
      </c>
    </row>
    <row r="493" spans="1:4">
      <c r="A493" t="s">
        <v>598</v>
      </c>
      <c r="B493" s="2">
        <v>1.6E-11</v>
      </c>
      <c r="C493" s="2">
        <v>-1</v>
      </c>
      <c r="D493" s="2">
        <v>-1</v>
      </c>
    </row>
    <row r="494" spans="1:4">
      <c r="A494" t="s">
        <v>599</v>
      </c>
      <c r="B494" s="2">
        <v>1.4E-11</v>
      </c>
      <c r="C494" s="2">
        <v>-1</v>
      </c>
      <c r="D494" s="2">
        <v>-1</v>
      </c>
    </row>
    <row r="495" spans="1:4">
      <c r="A495" t="s">
        <v>600</v>
      </c>
      <c r="B495" s="2">
        <v>9.6999999999999995E-12</v>
      </c>
      <c r="C495" s="2">
        <v>1.4E-11</v>
      </c>
      <c r="D495" s="2">
        <v>-1</v>
      </c>
    </row>
    <row r="496" spans="1:4">
      <c r="A496" t="s">
        <v>601</v>
      </c>
      <c r="B496" s="2">
        <v>9.9999999999999994E-12</v>
      </c>
      <c r="C496" s="2">
        <v>1.4E-11</v>
      </c>
      <c r="D496" s="2">
        <v>-1</v>
      </c>
    </row>
    <row r="497" spans="1:4">
      <c r="A497" t="s">
        <v>602</v>
      </c>
      <c r="B497" s="2">
        <v>1.8E-10</v>
      </c>
      <c r="C497" s="2">
        <v>2.5000000000000002E-10</v>
      </c>
      <c r="D497" s="2">
        <v>-1</v>
      </c>
    </row>
    <row r="498" spans="1:4">
      <c r="A498" t="s">
        <v>603</v>
      </c>
      <c r="B498" s="2">
        <v>6.3999999999999996E-10</v>
      </c>
      <c r="C498" s="2">
        <v>1.2E-9</v>
      </c>
      <c r="D498" s="2">
        <v>-1</v>
      </c>
    </row>
    <row r="499" spans="1:4">
      <c r="A499" t="s">
        <v>604</v>
      </c>
      <c r="B499" s="2">
        <v>1.4000000000000001E-10</v>
      </c>
      <c r="C499" s="2">
        <v>2.0000000000000001E-10</v>
      </c>
      <c r="D499" s="2">
        <v>-1</v>
      </c>
    </row>
    <row r="500" spans="1:4">
      <c r="A500" t="s">
        <v>605</v>
      </c>
      <c r="B500" s="2">
        <v>4.3999999999999998E-10</v>
      </c>
      <c r="C500" s="2">
        <v>1.9000000000000001E-9</v>
      </c>
      <c r="D500" s="2">
        <v>-1</v>
      </c>
    </row>
    <row r="501" spans="1:4">
      <c r="A501" t="s">
        <v>606</v>
      </c>
      <c r="B501" s="2">
        <v>5.9000000000000003E-10</v>
      </c>
      <c r="C501" s="2">
        <v>6.5000000000000003E-9</v>
      </c>
      <c r="D501" s="2">
        <v>-1</v>
      </c>
    </row>
    <row r="502" spans="1:4">
      <c r="A502" t="s">
        <v>607</v>
      </c>
      <c r="B502" s="2">
        <v>5.1999999999999996E-10</v>
      </c>
      <c r="C502" s="2">
        <v>1.0999999999999999E-9</v>
      </c>
      <c r="D502" s="2">
        <v>-1</v>
      </c>
    </row>
    <row r="503" spans="1:4">
      <c r="A503" t="s">
        <v>608</v>
      </c>
      <c r="B503" s="2">
        <v>8.3000000000000003E-10</v>
      </c>
      <c r="C503" s="2">
        <v>1.2E-8</v>
      </c>
      <c r="D503" s="2">
        <v>-1</v>
      </c>
    </row>
    <row r="504" spans="1:4">
      <c r="A504" t="s">
        <v>609</v>
      </c>
      <c r="B504" s="2">
        <v>1.8E-12</v>
      </c>
      <c r="C504" s="2">
        <v>6.3000000000000002E-12</v>
      </c>
      <c r="D504" s="2">
        <v>-1</v>
      </c>
    </row>
    <row r="505" spans="1:4">
      <c r="A505" t="s">
        <v>610</v>
      </c>
      <c r="B505" s="2">
        <v>4.6000000000000001E-10</v>
      </c>
      <c r="C505" s="2">
        <v>5.4E-10</v>
      </c>
      <c r="D505" s="2">
        <v>-1</v>
      </c>
    </row>
    <row r="506" spans="1:4">
      <c r="A506" t="s">
        <v>611</v>
      </c>
      <c r="B506" s="2">
        <v>9.9999999999999994E-12</v>
      </c>
      <c r="C506" s="2">
        <v>1.3E-11</v>
      </c>
      <c r="D506" s="2">
        <v>-1</v>
      </c>
    </row>
    <row r="507" spans="1:4">
      <c r="A507" t="s">
        <v>612</v>
      </c>
      <c r="B507" s="2">
        <v>2.7E-10</v>
      </c>
      <c r="C507" s="2">
        <v>4.3000000000000001E-10</v>
      </c>
      <c r="D507" s="2">
        <v>-1</v>
      </c>
    </row>
    <row r="508" spans="1:4">
      <c r="A508" t="s">
        <v>613</v>
      </c>
      <c r="B508" s="2">
        <v>2.5999999999999998E-10</v>
      </c>
      <c r="C508" s="2">
        <v>3.4000000000000001E-10</v>
      </c>
      <c r="D508" s="2">
        <v>3.4999999999999998E-10</v>
      </c>
    </row>
    <row r="509" spans="1:4">
      <c r="A509" t="s">
        <v>614</v>
      </c>
      <c r="B509" s="2">
        <v>1.3999999999999999E-9</v>
      </c>
      <c r="C509" s="2">
        <v>2.2999999999999999E-9</v>
      </c>
      <c r="D509" s="2">
        <v>5.4000000000000004E-9</v>
      </c>
    </row>
    <row r="510" spans="1:4">
      <c r="A510" t="s">
        <v>615</v>
      </c>
      <c r="B510" s="2">
        <v>9.7000000000000001E-11</v>
      </c>
      <c r="C510" s="2">
        <v>1.8999999999999999E-10</v>
      </c>
      <c r="D510" s="2">
        <v>2.1E-10</v>
      </c>
    </row>
    <row r="511" spans="1:4">
      <c r="A511" t="s">
        <v>616</v>
      </c>
      <c r="B511" s="2">
        <v>1.5E-9</v>
      </c>
      <c r="C511" s="2">
        <v>4.0000000000000002E-9</v>
      </c>
      <c r="D511" s="2">
        <v>7.0999999999999999E-9</v>
      </c>
    </row>
    <row r="512" spans="1:4">
      <c r="A512" t="s">
        <v>617</v>
      </c>
      <c r="B512" s="2">
        <v>7.3E-9</v>
      </c>
      <c r="C512" s="2">
        <v>6.8999999999999997E-9</v>
      </c>
      <c r="D512" s="2">
        <v>1.7E-8</v>
      </c>
    </row>
    <row r="513" spans="1:4">
      <c r="A513" t="s">
        <v>618</v>
      </c>
      <c r="B513" s="2">
        <v>8.5999999999999997E-13</v>
      </c>
      <c r="C513" s="2">
        <v>2.4999999999999998E-12</v>
      </c>
      <c r="D513" s="2">
        <v>2.6999999999999998E-12</v>
      </c>
    </row>
    <row r="514" spans="1:4">
      <c r="A514" t="s">
        <v>619</v>
      </c>
      <c r="B514" s="2">
        <v>8.2000000000000001E-11</v>
      </c>
      <c r="C514" s="2">
        <v>3.1999999999999998E-10</v>
      </c>
      <c r="D514" s="2">
        <v>3.4999999999999998E-10</v>
      </c>
    </row>
    <row r="515" spans="1:4">
      <c r="A515" t="s">
        <v>620</v>
      </c>
      <c r="B515" s="2">
        <v>6.4999999999999995E-11</v>
      </c>
      <c r="C515" s="2">
        <v>1.0999999999999999E-10</v>
      </c>
      <c r="D515" s="2">
        <v>1.0999999999999999E-10</v>
      </c>
    </row>
    <row r="516" spans="1:4">
      <c r="A516" t="s">
        <v>621</v>
      </c>
      <c r="B516" s="2">
        <v>8.9999999999999996E-12</v>
      </c>
      <c r="C516" s="2">
        <v>1.6E-11</v>
      </c>
      <c r="D516" s="2">
        <v>1.6999999999999999E-11</v>
      </c>
    </row>
    <row r="517" spans="1:4">
      <c r="A517" t="s">
        <v>24</v>
      </c>
      <c r="B517" s="2">
        <v>3.1999999999999998E-10</v>
      </c>
      <c r="C517" s="2">
        <v>7.7000000000000003E-10</v>
      </c>
      <c r="D517" s="2">
        <v>8.6999999999999999E-10</v>
      </c>
    </row>
    <row r="518" spans="1:4">
      <c r="A518" t="s">
        <v>622</v>
      </c>
      <c r="B518" s="2">
        <v>2.8E-11</v>
      </c>
      <c r="C518" s="2">
        <v>3.9000000000000001E-11</v>
      </c>
      <c r="D518" s="2">
        <v>3.9999999999999998E-11</v>
      </c>
    </row>
    <row r="519" spans="1:4">
      <c r="A519" t="s">
        <v>623</v>
      </c>
      <c r="B519" s="2">
        <v>4.8E-10</v>
      </c>
      <c r="C519" s="2">
        <v>2.4E-9</v>
      </c>
      <c r="D519" s="2">
        <v>3E-9</v>
      </c>
    </row>
    <row r="520" spans="1:4">
      <c r="A520" t="s">
        <v>624</v>
      </c>
      <c r="B520" s="2">
        <v>6.4999999999999995E-11</v>
      </c>
      <c r="C520" s="2">
        <v>1.7000000000000001E-10</v>
      </c>
      <c r="D520" s="2">
        <v>1.8E-10</v>
      </c>
    </row>
    <row r="521" spans="1:4">
      <c r="A521" t="s">
        <v>112</v>
      </c>
      <c r="B521" s="2">
        <v>7.8999999999999996E-9</v>
      </c>
      <c r="C521" s="2">
        <v>2.7999999999999999E-8</v>
      </c>
      <c r="D521" s="2">
        <v>6.5999999999999995E-8</v>
      </c>
    </row>
    <row r="522" spans="1:4">
      <c r="A522" t="s">
        <v>625</v>
      </c>
      <c r="B522" s="2">
        <v>2.5000000000000001E-11</v>
      </c>
      <c r="C522" s="2">
        <v>4.1999999999999997E-11</v>
      </c>
      <c r="D522" s="2">
        <v>4.4000000000000003E-11</v>
      </c>
    </row>
    <row r="523" spans="1:4">
      <c r="A523" t="s">
        <v>626</v>
      </c>
      <c r="B523" s="2">
        <v>6.2000000000000006E-11</v>
      </c>
      <c r="C523" s="2">
        <v>1E-10</v>
      </c>
      <c r="D523" s="2">
        <v>1.0999999999999999E-10</v>
      </c>
    </row>
    <row r="524" spans="1:4">
      <c r="A524" t="s">
        <v>6</v>
      </c>
      <c r="B524" s="2">
        <v>5.0999999999999998E-11</v>
      </c>
      <c r="C524" s="2">
        <v>1.3999999999999999E-9</v>
      </c>
      <c r="D524" s="2">
        <v>1.9000000000000001E-9</v>
      </c>
    </row>
    <row r="525" spans="1:4">
      <c r="A525" t="s">
        <v>627</v>
      </c>
      <c r="B525" s="2">
        <v>8.4999999999999997E-12</v>
      </c>
      <c r="C525" s="2">
        <v>1.3E-11</v>
      </c>
      <c r="D525" s="2">
        <v>1.4E-11</v>
      </c>
    </row>
    <row r="526" spans="1:4">
      <c r="A526" t="s">
        <v>628</v>
      </c>
      <c r="B526" s="2">
        <v>9.0999999999999996E-12</v>
      </c>
      <c r="C526" s="2">
        <v>1.3E-11</v>
      </c>
      <c r="D526" s="2">
        <v>1.3E-11</v>
      </c>
    </row>
    <row r="527" spans="1:4">
      <c r="A527" t="s">
        <v>629</v>
      </c>
      <c r="B527" s="2">
        <v>3.1999999999999999E-11</v>
      </c>
      <c r="C527" s="2">
        <v>4.6999999999999999E-11</v>
      </c>
      <c r="D527" s="2">
        <v>4.8999999999999999E-11</v>
      </c>
    </row>
    <row r="528" spans="1:4">
      <c r="A528" t="s">
        <v>630</v>
      </c>
      <c r="B528" s="2">
        <v>8.4999999999999997E-12</v>
      </c>
      <c r="C528" s="2">
        <v>1.6E-11</v>
      </c>
      <c r="D528" s="2">
        <v>1.6999999999999999E-11</v>
      </c>
    </row>
    <row r="529" spans="1:4">
      <c r="A529" t="s">
        <v>631</v>
      </c>
      <c r="B529" s="2">
        <v>9.3000000000000002E-11</v>
      </c>
      <c r="C529" s="2">
        <v>1.2E-10</v>
      </c>
      <c r="D529" s="2">
        <v>1.2E-10</v>
      </c>
    </row>
    <row r="530" spans="1:4">
      <c r="A530" t="s">
        <v>632</v>
      </c>
      <c r="B530" s="2">
        <v>2.3000000000000001E-11</v>
      </c>
      <c r="C530" s="2">
        <v>3.5000000000000002E-11</v>
      </c>
      <c r="D530" s="2">
        <v>3.5999999999999998E-11</v>
      </c>
    </row>
    <row r="531" spans="1:4">
      <c r="A531" t="s">
        <v>633</v>
      </c>
      <c r="B531" s="2">
        <v>4.5999999999999998E-12</v>
      </c>
      <c r="C531" s="2">
        <v>7.0000000000000001E-12</v>
      </c>
      <c r="D531" s="2">
        <v>7.3E-12</v>
      </c>
    </row>
    <row r="532" spans="1:4">
      <c r="A532" t="s">
        <v>634</v>
      </c>
      <c r="B532" s="2">
        <v>5.4999999999999996E-10</v>
      </c>
      <c r="C532" s="2">
        <v>1.0000000000000001E-9</v>
      </c>
      <c r="D532" s="2">
        <v>1.0999999999999999E-9</v>
      </c>
    </row>
    <row r="533" spans="1:4">
      <c r="A533" t="s">
        <v>635</v>
      </c>
      <c r="B533" s="2">
        <v>3.6E-10</v>
      </c>
      <c r="C533" s="2">
        <v>1.0000000000000001E-9</v>
      </c>
      <c r="D533" s="2">
        <v>1.0999999999999999E-9</v>
      </c>
    </row>
    <row r="534" spans="1:4">
      <c r="A534" t="s">
        <v>636</v>
      </c>
      <c r="B534" s="2">
        <v>1.3000000000000001E-9</v>
      </c>
      <c r="C534" s="2">
        <v>6.4000000000000002E-9</v>
      </c>
      <c r="D534" s="2">
        <v>8.5999999999999993E-9</v>
      </c>
    </row>
    <row r="535" spans="1:4">
      <c r="A535" t="s">
        <v>637</v>
      </c>
      <c r="B535" s="2">
        <v>2.8000000000000002E-12</v>
      </c>
      <c r="C535" s="2">
        <v>5.3999999999999996E-12</v>
      </c>
      <c r="D535" s="2">
        <v>5.9000000000000003E-12</v>
      </c>
    </row>
    <row r="536" spans="1:4">
      <c r="A536" t="s">
        <v>117</v>
      </c>
      <c r="B536" s="2">
        <v>1.3999999999999999E-9</v>
      </c>
      <c r="C536" s="2">
        <v>4.8E-9</v>
      </c>
      <c r="D536" s="2">
        <v>1.2E-8</v>
      </c>
    </row>
    <row r="537" spans="1:4">
      <c r="A537" t="s">
        <v>121</v>
      </c>
      <c r="B537" s="2">
        <v>1.0000000000000001E-9</v>
      </c>
      <c r="C537" s="2">
        <v>2.7999999999999998E-9</v>
      </c>
      <c r="D537" s="2">
        <v>3.2000000000000001E-9</v>
      </c>
    </row>
    <row r="538" spans="1:4">
      <c r="A538" t="s">
        <v>120</v>
      </c>
      <c r="B538" s="2">
        <v>1.2000000000000001E-11</v>
      </c>
      <c r="C538" s="2">
        <v>1.8999999999999999E-11</v>
      </c>
      <c r="D538" s="2">
        <v>1.9999999999999999E-11</v>
      </c>
    </row>
    <row r="539" spans="1:4">
      <c r="A539" t="s">
        <v>638</v>
      </c>
      <c r="B539" s="2">
        <v>4.3000000000000001E-10</v>
      </c>
      <c r="C539" s="2">
        <v>1.6999999999999999E-9</v>
      </c>
      <c r="D539" s="2">
        <v>1.9000000000000001E-9</v>
      </c>
    </row>
    <row r="540" spans="1:4">
      <c r="A540" t="s">
        <v>639</v>
      </c>
      <c r="B540" s="2">
        <v>2.3000000000000001E-10</v>
      </c>
      <c r="C540" s="2">
        <v>4.0000000000000001E-10</v>
      </c>
      <c r="D540" s="2">
        <v>4.2E-10</v>
      </c>
    </row>
    <row r="541" spans="1:4">
      <c r="A541" t="s">
        <v>640</v>
      </c>
      <c r="B541" s="2">
        <v>9.9999999999999994E-12</v>
      </c>
      <c r="C541" s="2">
        <v>1.4E-11</v>
      </c>
      <c r="D541" s="2">
        <v>1.5E-11</v>
      </c>
    </row>
    <row r="542" spans="1:4">
      <c r="A542" t="s">
        <v>641</v>
      </c>
      <c r="B542" s="2">
        <v>1E-10</v>
      </c>
      <c r="C542" s="2">
        <v>2.3000000000000001E-10</v>
      </c>
      <c r="D542" s="2">
        <v>2.5000000000000002E-10</v>
      </c>
    </row>
    <row r="543" spans="1:4">
      <c r="A543" t="s">
        <v>642</v>
      </c>
      <c r="B543" s="2">
        <v>3.3000000000000002E-11</v>
      </c>
      <c r="C543" s="2">
        <v>5.0999999999999998E-11</v>
      </c>
      <c r="D543" s="2">
        <v>5.2999999999999998E-11</v>
      </c>
    </row>
    <row r="544" spans="1:4">
      <c r="A544" t="s">
        <v>643</v>
      </c>
      <c r="B544" s="2">
        <v>3.5000000000000002E-11</v>
      </c>
      <c r="C544" s="2">
        <v>4.4000000000000003E-11</v>
      </c>
      <c r="D544" s="2">
        <v>4.4000000000000003E-11</v>
      </c>
    </row>
    <row r="545" spans="1:4">
      <c r="A545" t="s">
        <v>644</v>
      </c>
      <c r="B545" s="2">
        <v>-1</v>
      </c>
      <c r="C545" s="2">
        <v>-1</v>
      </c>
      <c r="D545" s="2">
        <v>1.0999999999999999E-10</v>
      </c>
    </row>
    <row r="546" spans="1:4">
      <c r="A546" t="s">
        <v>645</v>
      </c>
      <c r="B546" s="2">
        <v>-1</v>
      </c>
      <c r="C546" s="2">
        <v>-1</v>
      </c>
      <c r="D546" s="2">
        <v>1.8E-10</v>
      </c>
    </row>
    <row r="547" spans="1:4">
      <c r="A547" t="s">
        <v>646</v>
      </c>
      <c r="B547" s="2">
        <v>-1</v>
      </c>
      <c r="C547" s="2">
        <v>-1</v>
      </c>
      <c r="D547" s="2">
        <v>1.3999999999999999E-9</v>
      </c>
    </row>
    <row r="548" spans="1:4">
      <c r="A548" t="s">
        <v>647</v>
      </c>
      <c r="B548" s="2">
        <v>-1</v>
      </c>
      <c r="C548" s="2">
        <v>-1</v>
      </c>
      <c r="D548" s="2">
        <v>6.7999999999999997E-9</v>
      </c>
    </row>
    <row r="549" spans="1:4">
      <c r="A549" t="s">
        <v>648</v>
      </c>
      <c r="B549" s="2">
        <v>-1</v>
      </c>
      <c r="C549" s="2">
        <v>-1</v>
      </c>
      <c r="D549" s="2">
        <v>7.2999999999999996E-10</v>
      </c>
    </row>
    <row r="550" spans="1:4">
      <c r="A550" t="s">
        <v>649</v>
      </c>
      <c r="B550" s="2">
        <v>-1</v>
      </c>
      <c r="C550" s="2">
        <v>-1</v>
      </c>
      <c r="D550" s="2">
        <v>1.0999999999999999E-9</v>
      </c>
    </row>
    <row r="551" spans="1:4">
      <c r="A551" t="s">
        <v>650</v>
      </c>
      <c r="B551" s="2">
        <v>-1</v>
      </c>
      <c r="C551" s="2">
        <v>-1</v>
      </c>
      <c r="D551" s="2">
        <v>3.9999999999999998E-11</v>
      </c>
    </row>
    <row r="552" spans="1:4">
      <c r="A552" t="s">
        <v>651</v>
      </c>
      <c r="B552" s="2">
        <v>4.1999999999999997E-11</v>
      </c>
      <c r="C552" s="2">
        <v>7.3000000000000006E-11</v>
      </c>
      <c r="D552" s="2">
        <v>7.5999999999999996E-11</v>
      </c>
    </row>
    <row r="553" spans="1:4">
      <c r="A553" t="s">
        <v>652</v>
      </c>
      <c r="B553" s="2">
        <v>7.9999999999999995E-11</v>
      </c>
      <c r="C553" s="2">
        <v>1.8999999999999999E-10</v>
      </c>
      <c r="D553" s="2">
        <v>2.1E-10</v>
      </c>
    </row>
    <row r="554" spans="1:4">
      <c r="A554" t="s">
        <v>653</v>
      </c>
      <c r="B554" s="2">
        <v>9.1999999999999996E-12</v>
      </c>
      <c r="C554" s="2">
        <v>1.9999999999999999E-11</v>
      </c>
      <c r="D554" s="2">
        <v>2.2000000000000002E-11</v>
      </c>
    </row>
    <row r="555" spans="1:4">
      <c r="A555" t="s">
        <v>654</v>
      </c>
      <c r="B555" s="2">
        <v>1.0000000000000001E-9</v>
      </c>
      <c r="C555" s="2">
        <v>1.0999999999999999E-9</v>
      </c>
      <c r="D555" s="2">
        <v>1.3000000000000001E-9</v>
      </c>
    </row>
    <row r="556" spans="1:4">
      <c r="A556" t="s">
        <v>109</v>
      </c>
      <c r="B556" s="2">
        <v>1.0999999999999999E-9</v>
      </c>
      <c r="C556" s="2">
        <v>2.6000000000000001E-9</v>
      </c>
      <c r="D556" s="2">
        <v>6.7999999999999997E-9</v>
      </c>
    </row>
    <row r="557" spans="1:4">
      <c r="A557" t="s">
        <v>655</v>
      </c>
      <c r="B557" s="2">
        <v>7.9999999999999998E-12</v>
      </c>
      <c r="C557" s="2">
        <v>1.4E-11</v>
      </c>
      <c r="D557" s="2">
        <v>1.5E-11</v>
      </c>
    </row>
    <row r="558" spans="1:4">
      <c r="A558" t="s">
        <v>656</v>
      </c>
      <c r="B558" s="2">
        <v>1.6E-11</v>
      </c>
      <c r="C558" s="2">
        <v>4.6999999999999999E-11</v>
      </c>
      <c r="D558" s="2">
        <v>5.0999999999999998E-11</v>
      </c>
    </row>
    <row r="559" spans="1:4">
      <c r="A559" t="s">
        <v>657</v>
      </c>
      <c r="B559" s="2">
        <v>1.7999999999999999E-11</v>
      </c>
      <c r="C559" s="2">
        <v>3.1999999999999999E-11</v>
      </c>
      <c r="D559" s="2">
        <v>3.3999999999999999E-11</v>
      </c>
    </row>
    <row r="560" spans="1:4">
      <c r="A560" t="s">
        <v>658</v>
      </c>
      <c r="B560" s="2">
        <v>2.7E-11</v>
      </c>
      <c r="C560" s="2">
        <v>7.4000000000000003E-11</v>
      </c>
      <c r="D560" s="2">
        <v>7.8999999999999999E-11</v>
      </c>
    </row>
    <row r="561" spans="1:4">
      <c r="A561" t="s">
        <v>659</v>
      </c>
      <c r="B561" s="2">
        <v>3.2000000000000001E-9</v>
      </c>
      <c r="C561" s="2">
        <v>1.7E-8</v>
      </c>
      <c r="D561" s="2">
        <v>1.1000000000000001E-7</v>
      </c>
    </row>
    <row r="562" spans="1:4">
      <c r="A562" t="s">
        <v>660</v>
      </c>
      <c r="B562" s="2">
        <v>-1</v>
      </c>
      <c r="C562" s="2">
        <v>1.5E-11</v>
      </c>
      <c r="D562" s="2">
        <v>-1</v>
      </c>
    </row>
    <row r="563" spans="1:4">
      <c r="A563" t="s">
        <v>661</v>
      </c>
      <c r="B563" s="2">
        <v>-1</v>
      </c>
      <c r="C563" s="2">
        <v>3.1999999999999999E-11</v>
      </c>
      <c r="D563" s="2">
        <v>-1</v>
      </c>
    </row>
    <row r="564" spans="1:4">
      <c r="A564" t="s">
        <v>662</v>
      </c>
      <c r="B564" s="2">
        <v>-1</v>
      </c>
      <c r="C564" s="2">
        <v>7.1E-11</v>
      </c>
      <c r="D564" s="2">
        <v>-1</v>
      </c>
    </row>
    <row r="565" spans="1:4">
      <c r="A565" t="s">
        <v>663</v>
      </c>
      <c r="B565" s="2">
        <v>-1</v>
      </c>
      <c r="C565" s="2">
        <v>1.6000000000000001E-9</v>
      </c>
      <c r="D565" s="2">
        <v>-1</v>
      </c>
    </row>
    <row r="566" spans="1:4">
      <c r="A566" t="s">
        <v>147</v>
      </c>
      <c r="B566" s="2">
        <v>-1</v>
      </c>
      <c r="C566" s="2">
        <v>1.1E-5</v>
      </c>
      <c r="D566" s="2">
        <v>-1</v>
      </c>
    </row>
    <row r="567" spans="1:4">
      <c r="A567" t="s">
        <v>148</v>
      </c>
      <c r="B567" s="2">
        <v>-1</v>
      </c>
      <c r="C567" s="2">
        <v>9.5999999999999996E-6</v>
      </c>
      <c r="D567" s="2">
        <v>-1</v>
      </c>
    </row>
    <row r="568" spans="1:4">
      <c r="A568" t="s">
        <v>128</v>
      </c>
      <c r="B568" s="2">
        <v>-1</v>
      </c>
      <c r="C568" s="2">
        <v>4.0000000000000002E-9</v>
      </c>
      <c r="D568" s="2">
        <v>-1</v>
      </c>
    </row>
    <row r="569" spans="1:4">
      <c r="A569" t="s">
        <v>664</v>
      </c>
      <c r="B569" s="2">
        <v>-1</v>
      </c>
      <c r="C569" s="2">
        <v>6.3E-10</v>
      </c>
      <c r="D569" s="2">
        <v>-1</v>
      </c>
    </row>
    <row r="570" spans="1:4">
      <c r="A570" t="s">
        <v>665</v>
      </c>
      <c r="B570" s="2">
        <v>-1</v>
      </c>
      <c r="C570" s="2">
        <v>1.6999999999999999E-11</v>
      </c>
      <c r="D570" s="2">
        <v>-1</v>
      </c>
    </row>
    <row r="571" spans="1:4">
      <c r="A571" t="s">
        <v>666</v>
      </c>
      <c r="B571" s="2">
        <v>-1</v>
      </c>
      <c r="C571" s="2">
        <v>2.1999999999999999E-10</v>
      </c>
      <c r="D571" s="2">
        <v>-1</v>
      </c>
    </row>
    <row r="572" spans="1:4">
      <c r="A572" t="s">
        <v>667</v>
      </c>
      <c r="B572" s="2">
        <v>9.8999999999999994E-11</v>
      </c>
      <c r="C572" s="2">
        <v>1.5999999999999999E-10</v>
      </c>
      <c r="D572" s="2">
        <v>-1</v>
      </c>
    </row>
    <row r="573" spans="1:4">
      <c r="A573" t="s">
        <v>668</v>
      </c>
      <c r="B573" s="2">
        <v>7.7999999999999999E-12</v>
      </c>
      <c r="C573" s="2">
        <v>1.3E-11</v>
      </c>
      <c r="D573" s="2">
        <v>-1</v>
      </c>
    </row>
    <row r="574" spans="1:4">
      <c r="A574" t="s">
        <v>669</v>
      </c>
      <c r="B574" s="2">
        <v>5.4E-10</v>
      </c>
      <c r="C574" s="2">
        <v>2.7000000000000002E-9</v>
      </c>
      <c r="D574" s="2">
        <v>-1</v>
      </c>
    </row>
    <row r="575" spans="1:4">
      <c r="A575" t="s">
        <v>670</v>
      </c>
      <c r="B575" s="2">
        <v>2.8000000000000002E-10</v>
      </c>
      <c r="C575" s="2">
        <v>2.4E-9</v>
      </c>
      <c r="D575" s="2">
        <v>-1</v>
      </c>
    </row>
    <row r="576" spans="1:4">
      <c r="A576" t="s">
        <v>671</v>
      </c>
      <c r="B576" s="2">
        <v>2.8000000000000002E-10</v>
      </c>
      <c r="C576" s="2">
        <v>2.1999999999999998E-9</v>
      </c>
      <c r="D576" s="2">
        <v>-1</v>
      </c>
    </row>
    <row r="577" spans="1:4">
      <c r="A577" t="s">
        <v>146</v>
      </c>
      <c r="B577" s="2">
        <v>6E-11</v>
      </c>
      <c r="C577" s="2">
        <v>2.3000000000000001E-10</v>
      </c>
      <c r="D577" s="2">
        <v>-1</v>
      </c>
    </row>
    <row r="578" spans="1:4">
      <c r="A578" t="s">
        <v>116</v>
      </c>
      <c r="B578" s="2">
        <v>8.0000000000000003E-10</v>
      </c>
      <c r="C578" s="2">
        <v>4.4999999999999998E-9</v>
      </c>
      <c r="D578" s="2">
        <v>-1</v>
      </c>
    </row>
    <row r="579" spans="1:4">
      <c r="A579" t="s">
        <v>672</v>
      </c>
      <c r="B579" s="2">
        <v>1.2E-9</v>
      </c>
      <c r="C579" s="2">
        <v>8.0999999999999997E-9</v>
      </c>
      <c r="D579" s="2">
        <v>-1</v>
      </c>
    </row>
    <row r="580" spans="1:4">
      <c r="A580" t="s">
        <v>673</v>
      </c>
      <c r="B580" s="2">
        <v>1.3E-11</v>
      </c>
      <c r="C580" s="2">
        <v>2.7E-11</v>
      </c>
      <c r="D580" s="2">
        <v>-1</v>
      </c>
    </row>
    <row r="581" spans="1:4">
      <c r="A581" t="s">
        <v>674</v>
      </c>
      <c r="B581" s="2">
        <v>8.9000000000000003E-10</v>
      </c>
      <c r="C581" s="2">
        <v>3.1E-9</v>
      </c>
      <c r="D581" s="2">
        <v>-1</v>
      </c>
    </row>
    <row r="582" spans="1:4">
      <c r="A582" t="s">
        <v>119</v>
      </c>
      <c r="B582" s="2">
        <v>1.0999999999999999E-8</v>
      </c>
      <c r="C582" s="2">
        <v>2.7999999999999999E-8</v>
      </c>
      <c r="D582" s="2">
        <v>-1</v>
      </c>
    </row>
    <row r="583" spans="1:4">
      <c r="A583" t="s">
        <v>675</v>
      </c>
      <c r="B583" s="2">
        <v>6.4999999999999995E-11</v>
      </c>
      <c r="C583" s="2">
        <v>1.2999999999999999E-10</v>
      </c>
      <c r="D583" s="2">
        <v>-1</v>
      </c>
    </row>
    <row r="584" spans="1:4">
      <c r="A584" t="s">
        <v>676</v>
      </c>
      <c r="B584" s="2">
        <v>5.0000000000000002E-11</v>
      </c>
      <c r="C584" s="2">
        <v>9.2000000000000005E-11</v>
      </c>
      <c r="D584" s="2">
        <v>-1</v>
      </c>
    </row>
    <row r="585" spans="1:4">
      <c r="A585" t="s">
        <v>677</v>
      </c>
      <c r="B585" s="2">
        <v>7.1E-11</v>
      </c>
      <c r="C585" s="2">
        <v>1.2999999999999999E-10</v>
      </c>
      <c r="D585" s="2">
        <v>1.4000000000000001E-10</v>
      </c>
    </row>
    <row r="586" spans="1:4">
      <c r="A586" t="s">
        <v>678</v>
      </c>
      <c r="B586" s="2">
        <v>2.0999999999999999E-11</v>
      </c>
      <c r="C586" s="2">
        <v>3.5000000000000002E-11</v>
      </c>
      <c r="D586" s="2">
        <v>3.7000000000000001E-11</v>
      </c>
    </row>
    <row r="587" spans="1:4">
      <c r="A587" t="s">
        <v>679</v>
      </c>
      <c r="B587" s="2">
        <v>2.1000000000000002E-9</v>
      </c>
      <c r="C587" s="2">
        <v>8.9000000000000003E-9</v>
      </c>
      <c r="D587" s="2">
        <v>1.0999999999999999E-8</v>
      </c>
    </row>
    <row r="588" spans="1:4">
      <c r="A588" t="s">
        <v>680</v>
      </c>
      <c r="B588" s="2">
        <v>1.5999999999999999E-10</v>
      </c>
      <c r="C588" s="2">
        <v>3.1000000000000002E-10</v>
      </c>
      <c r="D588" s="2">
        <v>3.4000000000000001E-10</v>
      </c>
    </row>
    <row r="589" spans="1:4">
      <c r="A589" t="s">
        <v>681</v>
      </c>
      <c r="B589" s="2">
        <v>3.7999999999999998E-10</v>
      </c>
      <c r="C589" s="2">
        <v>6.3999999999999996E-10</v>
      </c>
      <c r="D589" s="2">
        <v>8.0999999999999999E-10</v>
      </c>
    </row>
    <row r="590" spans="1:4">
      <c r="A590" t="s">
        <v>682</v>
      </c>
      <c r="B590" s="2">
        <v>2.9000000000000002E-12</v>
      </c>
      <c r="C590" s="2">
        <v>4.0999999999999999E-12</v>
      </c>
      <c r="D590" s="2">
        <v>4.2999999999999999E-12</v>
      </c>
    </row>
    <row r="591" spans="1:4">
      <c r="A591" t="s">
        <v>683</v>
      </c>
      <c r="B591" s="2">
        <v>1.1000000000000001E-11</v>
      </c>
      <c r="C591" s="2">
        <v>1.9999999999999999E-11</v>
      </c>
      <c r="D591" s="2">
        <v>2.0999999999999999E-11</v>
      </c>
    </row>
    <row r="592" spans="1:4">
      <c r="A592" t="s">
        <v>684</v>
      </c>
      <c r="B592" s="2">
        <v>1.0000000000000001E-9</v>
      </c>
      <c r="C592" s="2">
        <v>6.1E-9</v>
      </c>
      <c r="D592" s="2">
        <v>7.8999999999999996E-9</v>
      </c>
    </row>
    <row r="593" spans="1:4">
      <c r="A593" t="s">
        <v>21</v>
      </c>
      <c r="B593" s="2">
        <v>2.4E-8</v>
      </c>
      <c r="C593" s="2">
        <v>3.5999999999999998E-8</v>
      </c>
      <c r="D593" s="2">
        <v>1.6E-7</v>
      </c>
    </row>
    <row r="594" spans="1:4">
      <c r="A594" t="s">
        <v>685</v>
      </c>
      <c r="B594" s="2">
        <v>1.5999999999999999E-10</v>
      </c>
      <c r="C594" s="2">
        <v>3.7000000000000001E-10</v>
      </c>
      <c r="D594" s="2">
        <v>4.0999999999999998E-10</v>
      </c>
    </row>
    <row r="595" spans="1:4">
      <c r="A595" t="s">
        <v>686</v>
      </c>
      <c r="B595" s="2">
        <v>9.7999999999999998E-11</v>
      </c>
      <c r="C595" s="2">
        <v>2.1E-10</v>
      </c>
      <c r="D595" s="2">
        <v>2.3000000000000001E-10</v>
      </c>
    </row>
    <row r="596" spans="1:4">
      <c r="A596" t="s">
        <v>687</v>
      </c>
      <c r="B596" s="2">
        <v>-1</v>
      </c>
      <c r="C596" s="2">
        <v>3.3000000000000002E-11</v>
      </c>
      <c r="D596" s="2">
        <v>3.5000000000000002E-11</v>
      </c>
    </row>
    <row r="597" spans="1:4">
      <c r="A597" t="s">
        <v>688</v>
      </c>
      <c r="B597" s="2">
        <v>-1</v>
      </c>
      <c r="C597" s="2">
        <v>1.0999999999999999E-10</v>
      </c>
      <c r="D597" s="2">
        <v>1.0999999999999999E-10</v>
      </c>
    </row>
    <row r="598" spans="1:4">
      <c r="A598" t="s">
        <v>689</v>
      </c>
      <c r="B598" s="2">
        <v>-1</v>
      </c>
      <c r="C598" s="2">
        <v>4.1000000000000001E-11</v>
      </c>
      <c r="D598" s="2">
        <v>4.3E-11</v>
      </c>
    </row>
    <row r="599" spans="1:4">
      <c r="A599" t="s">
        <v>690</v>
      </c>
      <c r="B599" s="2">
        <v>-1</v>
      </c>
      <c r="C599" s="2">
        <v>1.2E-10</v>
      </c>
      <c r="D599" s="2">
        <v>1.2999999999999999E-10</v>
      </c>
    </row>
    <row r="600" spans="1:4">
      <c r="A600" t="s">
        <v>691</v>
      </c>
      <c r="B600" s="2">
        <v>-1</v>
      </c>
      <c r="C600" s="2">
        <v>1.8999999999999999E-10</v>
      </c>
      <c r="D600" s="2">
        <v>2.0000000000000001E-10</v>
      </c>
    </row>
    <row r="601" spans="1:4">
      <c r="A601" t="s">
        <v>692</v>
      </c>
      <c r="B601" s="2">
        <v>-1</v>
      </c>
      <c r="C601" s="2">
        <v>9.6000000000000005E-11</v>
      </c>
      <c r="D601" s="2">
        <v>1.0999999999999999E-10</v>
      </c>
    </row>
    <row r="602" spans="1:4">
      <c r="A602" t="s">
        <v>693</v>
      </c>
      <c r="B602" s="2">
        <v>-1</v>
      </c>
      <c r="C602" s="2">
        <v>6.4999999999999995E-11</v>
      </c>
      <c r="D602" s="2">
        <v>6.7999999999999998E-11</v>
      </c>
    </row>
    <row r="603" spans="1:4">
      <c r="A603" t="s">
        <v>694</v>
      </c>
      <c r="B603" s="2">
        <v>-1</v>
      </c>
      <c r="C603" s="2">
        <v>2.1999999999999999E-10</v>
      </c>
      <c r="D603" s="2">
        <v>5.6000000000000003E-10</v>
      </c>
    </row>
    <row r="604" spans="1:4">
      <c r="A604" t="s">
        <v>695</v>
      </c>
      <c r="B604" s="2">
        <v>-1</v>
      </c>
      <c r="C604" s="2">
        <v>4.4000000000000003E-11</v>
      </c>
      <c r="D604" s="2">
        <v>4.1999999999999997E-11</v>
      </c>
    </row>
    <row r="605" spans="1:4">
      <c r="A605" t="s">
        <v>696</v>
      </c>
      <c r="B605" s="2">
        <v>-1</v>
      </c>
      <c r="C605" s="2">
        <v>7.6000000000000002E-9</v>
      </c>
      <c r="D605" s="2">
        <v>1E-8</v>
      </c>
    </row>
    <row r="606" spans="1:4">
      <c r="A606" t="s">
        <v>786</v>
      </c>
      <c r="B606" s="2">
        <v>-1</v>
      </c>
      <c r="C606" s="2">
        <v>1.9999999999999999E-11</v>
      </c>
      <c r="D606" s="2">
        <v>2.0999999999999999E-11</v>
      </c>
    </row>
    <row r="607" spans="1:4">
      <c r="A607" t="s">
        <v>697</v>
      </c>
      <c r="B607" s="2">
        <v>-1</v>
      </c>
      <c r="C607" s="2">
        <v>1.9000000000000001E-9</v>
      </c>
      <c r="D607" s="2">
        <v>2.1000000000000002E-9</v>
      </c>
    </row>
    <row r="608" spans="1:4">
      <c r="A608" t="s">
        <v>698</v>
      </c>
      <c r="B608" s="2">
        <v>-1</v>
      </c>
      <c r="C608" s="2">
        <v>4.0999999999999998E-10</v>
      </c>
      <c r="D608" s="2">
        <v>4.3000000000000001E-10</v>
      </c>
    </row>
    <row r="609" spans="1:4">
      <c r="A609" t="s">
        <v>699</v>
      </c>
      <c r="B609" s="2">
        <v>-1</v>
      </c>
      <c r="C609" s="2">
        <v>4.5E-11</v>
      </c>
      <c r="D609" s="2">
        <v>4.8000000000000002E-11</v>
      </c>
    </row>
    <row r="610" spans="1:4">
      <c r="A610" t="s">
        <v>700</v>
      </c>
      <c r="B610" s="2">
        <v>-1</v>
      </c>
      <c r="C610" s="2">
        <v>1.6999999999999999E-11</v>
      </c>
      <c r="D610" s="2">
        <v>1.7999999999999999E-11</v>
      </c>
    </row>
    <row r="611" spans="1:4">
      <c r="A611" t="s">
        <v>701</v>
      </c>
      <c r="B611" s="2">
        <v>-1</v>
      </c>
      <c r="C611" s="2">
        <v>7.5999999999999996E-11</v>
      </c>
      <c r="D611" s="2">
        <v>-1</v>
      </c>
    </row>
    <row r="612" spans="1:4">
      <c r="A612" t="s">
        <v>702</v>
      </c>
      <c r="B612" s="2">
        <v>-1</v>
      </c>
      <c r="C612" s="2">
        <v>4.9E-9</v>
      </c>
      <c r="D612" s="2">
        <v>-1</v>
      </c>
    </row>
    <row r="613" spans="1:4">
      <c r="A613" t="s">
        <v>703</v>
      </c>
      <c r="B613" s="2">
        <v>-1</v>
      </c>
      <c r="C613" s="2">
        <v>1.0999999999999999E-10</v>
      </c>
      <c r="D613" s="2">
        <v>-1</v>
      </c>
    </row>
    <row r="614" spans="1:4">
      <c r="A614" t="s">
        <v>704</v>
      </c>
      <c r="B614" s="2">
        <v>-1</v>
      </c>
      <c r="C614" s="2">
        <v>2.3000000000000001E-10</v>
      </c>
      <c r="D614" s="2">
        <v>-1</v>
      </c>
    </row>
    <row r="615" spans="1:4">
      <c r="A615" t="s">
        <v>705</v>
      </c>
      <c r="B615" s="2">
        <v>-1</v>
      </c>
      <c r="C615" s="2">
        <v>1.8999999999999999E-10</v>
      </c>
      <c r="D615" s="2">
        <v>-1</v>
      </c>
    </row>
    <row r="616" spans="1:4">
      <c r="A616" t="s">
        <v>706</v>
      </c>
      <c r="B616" s="2">
        <v>-1</v>
      </c>
      <c r="C616" s="2">
        <v>3.6E-10</v>
      </c>
      <c r="D616" s="2">
        <v>-1</v>
      </c>
    </row>
    <row r="617" spans="1:4">
      <c r="A617" t="s">
        <v>707</v>
      </c>
      <c r="B617" s="2">
        <v>-1</v>
      </c>
      <c r="C617" s="2">
        <v>2.1999999999999999E-10</v>
      </c>
      <c r="D617" s="2">
        <v>-1</v>
      </c>
    </row>
    <row r="618" spans="1:4">
      <c r="A618" t="s">
        <v>708</v>
      </c>
      <c r="B618" s="2">
        <v>-1</v>
      </c>
      <c r="C618" s="2">
        <v>1.2E-9</v>
      </c>
      <c r="D618" s="2">
        <v>-1</v>
      </c>
    </row>
    <row r="619" spans="1:4">
      <c r="A619" t="s">
        <v>709</v>
      </c>
      <c r="B619" s="2">
        <v>-1</v>
      </c>
      <c r="C619" s="2">
        <v>2.1E-10</v>
      </c>
      <c r="D619" s="2">
        <v>-1</v>
      </c>
    </row>
    <row r="620" spans="1:4">
      <c r="A620" t="s">
        <v>710</v>
      </c>
      <c r="B620" s="2">
        <v>-1</v>
      </c>
      <c r="C620" s="2">
        <v>9.6000000000000005E-11</v>
      </c>
      <c r="D620" s="2">
        <v>-1</v>
      </c>
    </row>
    <row r="621" spans="1:4">
      <c r="A621" t="s">
        <v>711</v>
      </c>
      <c r="B621" s="2">
        <v>-1</v>
      </c>
      <c r="C621" s="2">
        <v>1.2E-9</v>
      </c>
      <c r="D621" s="2">
        <v>-1</v>
      </c>
    </row>
    <row r="622" spans="1:4">
      <c r="A622" t="s">
        <v>712</v>
      </c>
      <c r="B622" s="2">
        <v>-1</v>
      </c>
      <c r="C622" s="2">
        <v>4.6000000000000002E-8</v>
      </c>
      <c r="D622" s="2">
        <v>-1</v>
      </c>
    </row>
    <row r="623" spans="1:4">
      <c r="A623" t="s">
        <v>713</v>
      </c>
      <c r="B623" s="2">
        <v>-1</v>
      </c>
      <c r="C623" s="2">
        <v>6.9999999999999998E-9</v>
      </c>
      <c r="D623" s="2">
        <v>-1</v>
      </c>
    </row>
    <row r="624" spans="1:4">
      <c r="A624" t="s">
        <v>714</v>
      </c>
      <c r="B624" s="2">
        <v>-1</v>
      </c>
      <c r="C624" s="2">
        <v>1.3000000000000001E-9</v>
      </c>
      <c r="D624" s="2">
        <v>-1</v>
      </c>
    </row>
    <row r="625" spans="1:4">
      <c r="A625" t="s">
        <v>715</v>
      </c>
      <c r="B625" s="2">
        <v>8.1999999999999998E-12</v>
      </c>
      <c r="C625" s="2">
        <v>1.2000000000000001E-11</v>
      </c>
      <c r="D625" s="2">
        <v>1.2000000000000001E-11</v>
      </c>
    </row>
    <row r="626" spans="1:4">
      <c r="A626" t="s">
        <v>716</v>
      </c>
      <c r="B626" s="2">
        <v>2.3000000000000001E-11</v>
      </c>
      <c r="C626" s="2">
        <v>2.8E-11</v>
      </c>
      <c r="D626" s="2">
        <v>2.9E-11</v>
      </c>
    </row>
    <row r="627" spans="1:4">
      <c r="A627" t="s">
        <v>717</v>
      </c>
      <c r="B627" s="2">
        <v>3.1999999999999999E-11</v>
      </c>
      <c r="C627" s="2">
        <v>3.5000000000000002E-11</v>
      </c>
      <c r="D627" s="2">
        <v>3.5000000000000002E-11</v>
      </c>
    </row>
    <row r="628" spans="1:4">
      <c r="A628" t="s">
        <v>718</v>
      </c>
      <c r="B628" s="2">
        <v>1.4E-11</v>
      </c>
      <c r="C628" s="2">
        <v>1.6999999999999999E-11</v>
      </c>
      <c r="D628" s="2">
        <v>1.6999999999999999E-11</v>
      </c>
    </row>
    <row r="629" spans="1:4">
      <c r="A629" t="s">
        <v>719</v>
      </c>
      <c r="B629" s="2">
        <v>1.0999999999999999E-10</v>
      </c>
      <c r="C629" s="2">
        <v>1.2E-10</v>
      </c>
      <c r="D629" s="2">
        <v>1.2999999999999999E-10</v>
      </c>
    </row>
    <row r="630" spans="1:4">
      <c r="A630" t="s">
        <v>720</v>
      </c>
      <c r="B630" s="2">
        <v>4.1000000000000001E-11</v>
      </c>
      <c r="C630" s="2">
        <v>4.5E-11</v>
      </c>
      <c r="D630" s="2">
        <v>4.6000000000000003E-11</v>
      </c>
    </row>
    <row r="631" spans="1:4">
      <c r="A631" t="s">
        <v>721</v>
      </c>
      <c r="B631" s="2">
        <v>9.6000000000000005E-11</v>
      </c>
      <c r="C631" s="2">
        <v>1E-10</v>
      </c>
      <c r="D631" s="2">
        <v>1.0999999999999999E-10</v>
      </c>
    </row>
    <row r="632" spans="1:4">
      <c r="A632" t="s">
        <v>722</v>
      </c>
      <c r="B632" s="2">
        <v>2.8999999999999998E-10</v>
      </c>
      <c r="C632" s="2">
        <v>8.7999999999999996E-10</v>
      </c>
      <c r="D632" s="2">
        <v>1.2E-9</v>
      </c>
    </row>
    <row r="633" spans="1:4">
      <c r="A633" t="s">
        <v>723</v>
      </c>
      <c r="B633" s="2">
        <v>5.7E-10</v>
      </c>
      <c r="C633" s="2">
        <v>6.8000000000000003E-10</v>
      </c>
      <c r="D633" s="2">
        <v>6.9999999999999996E-10</v>
      </c>
    </row>
    <row r="634" spans="1:4">
      <c r="A634" t="s">
        <v>724</v>
      </c>
      <c r="B634" s="2">
        <v>6.2000000000000002E-12</v>
      </c>
      <c r="C634" s="2">
        <v>7.4E-12</v>
      </c>
      <c r="D634" s="2">
        <v>7.5E-12</v>
      </c>
    </row>
    <row r="635" spans="1:4">
      <c r="A635" t="s">
        <v>725</v>
      </c>
      <c r="B635" s="2">
        <v>4.3E-11</v>
      </c>
      <c r="C635" s="2">
        <v>2.1999999999999999E-10</v>
      </c>
      <c r="D635" s="2">
        <v>1.8E-9</v>
      </c>
    </row>
    <row r="636" spans="1:4">
      <c r="A636" t="s">
        <v>726</v>
      </c>
      <c r="B636" s="2">
        <v>2.7E-10</v>
      </c>
      <c r="C636" s="2">
        <v>3.2000000000000001E-9</v>
      </c>
      <c r="D636" s="2">
        <v>4.1000000000000003E-9</v>
      </c>
    </row>
    <row r="637" spans="1:4">
      <c r="A637" t="s">
        <v>727</v>
      </c>
      <c r="B637" s="2">
        <v>9.6999999999999996E-10</v>
      </c>
      <c r="C637" s="2">
        <v>8.2999999999999999E-9</v>
      </c>
      <c r="D637" s="2">
        <v>4.4999999999999999E-8</v>
      </c>
    </row>
    <row r="638" spans="1:4">
      <c r="A638" t="s">
        <v>22</v>
      </c>
      <c r="B638" s="2">
        <v>2.8999999999999998E-10</v>
      </c>
      <c r="C638" s="2">
        <v>4.0000000000000002E-9</v>
      </c>
      <c r="D638" s="2">
        <v>1.3000000000000001E-8</v>
      </c>
    </row>
    <row r="639" spans="1:4">
      <c r="A639" t="s">
        <v>23</v>
      </c>
      <c r="B639" s="2">
        <v>1.2000000000000001E-11</v>
      </c>
      <c r="C639" s="2">
        <v>1.8999999999999999E-11</v>
      </c>
      <c r="D639" s="2">
        <v>1.9999999999999999E-11</v>
      </c>
    </row>
    <row r="640" spans="1:4">
      <c r="A640" t="s">
        <v>728</v>
      </c>
      <c r="B640" s="2">
        <v>5.8E-11</v>
      </c>
      <c r="C640" s="2">
        <v>1E-10</v>
      </c>
      <c r="D640" s="2">
        <v>1.0999999999999999E-10</v>
      </c>
    </row>
    <row r="641" spans="1:4">
      <c r="A641" t="s">
        <v>729</v>
      </c>
      <c r="B641" s="2">
        <v>2.4E-10</v>
      </c>
      <c r="C641" s="2">
        <v>3.7999999999999998E-10</v>
      </c>
      <c r="D641" s="2">
        <v>4.0999999999999998E-10</v>
      </c>
    </row>
    <row r="642" spans="1:4">
      <c r="A642" t="s">
        <v>730</v>
      </c>
      <c r="B642" s="2">
        <v>1.8E-9</v>
      </c>
      <c r="C642" s="2">
        <v>4.2000000000000004E-9</v>
      </c>
      <c r="D642" s="2">
        <v>5.6999999999999998E-9</v>
      </c>
    </row>
    <row r="643" spans="1:4">
      <c r="A643" t="s">
        <v>731</v>
      </c>
      <c r="B643" s="2">
        <v>3.9000000000000002E-9</v>
      </c>
      <c r="C643" s="2">
        <v>1.9000000000000001E-9</v>
      </c>
      <c r="D643" s="2">
        <v>2.0000000000000001E-9</v>
      </c>
    </row>
    <row r="644" spans="1:4">
      <c r="A644" t="s">
        <v>732</v>
      </c>
      <c r="B644" s="2">
        <v>9.5000000000000003E-10</v>
      </c>
      <c r="C644" s="2">
        <v>4.0000000000000002E-9</v>
      </c>
      <c r="D644" s="2">
        <v>5.1000000000000002E-9</v>
      </c>
    </row>
    <row r="645" spans="1:4">
      <c r="A645" t="s">
        <v>118</v>
      </c>
      <c r="B645" s="2">
        <v>5.1E-10</v>
      </c>
      <c r="C645" s="2">
        <v>3.3999999999999998E-9</v>
      </c>
      <c r="D645" s="2">
        <v>4.2000000000000004E-9</v>
      </c>
    </row>
    <row r="646" spans="1:4">
      <c r="A646" t="s">
        <v>733</v>
      </c>
      <c r="B646" s="2">
        <v>3.9000000000000001E-11</v>
      </c>
      <c r="C646" s="2">
        <v>1.2999999999999999E-10</v>
      </c>
      <c r="D646" s="2">
        <v>1.4000000000000001E-10</v>
      </c>
    </row>
    <row r="647" spans="1:4">
      <c r="A647" t="s">
        <v>734</v>
      </c>
      <c r="B647" s="2">
        <v>1.5E-9</v>
      </c>
      <c r="C647" s="2">
        <v>7.4000000000000001E-9</v>
      </c>
      <c r="D647" s="2">
        <v>9.8000000000000001E-9</v>
      </c>
    </row>
    <row r="648" spans="1:4">
      <c r="A648" t="s">
        <v>735</v>
      </c>
      <c r="B648" s="2">
        <v>1.6E-11</v>
      </c>
      <c r="C648" s="2">
        <v>3.7000000000000001E-11</v>
      </c>
      <c r="D648" s="2">
        <v>3.9000000000000001E-11</v>
      </c>
    </row>
    <row r="649" spans="1:4">
      <c r="A649" t="s">
        <v>736</v>
      </c>
      <c r="B649" s="2">
        <v>1.3000000000000001E-9</v>
      </c>
      <c r="C649" s="2">
        <v>6.6000000000000004E-9</v>
      </c>
      <c r="D649" s="2">
        <v>7.8999999999999996E-9</v>
      </c>
    </row>
    <row r="650" spans="1:4">
      <c r="A650" t="s">
        <v>737</v>
      </c>
      <c r="B650" s="2">
        <v>2.3000000000000001E-11</v>
      </c>
      <c r="C650" s="2">
        <v>2.8E-11</v>
      </c>
      <c r="D650" s="2">
        <v>2.8E-11</v>
      </c>
    </row>
    <row r="651" spans="1:4">
      <c r="A651" t="s">
        <v>738</v>
      </c>
      <c r="B651" s="2">
        <v>8.6000000000000003E-10</v>
      </c>
      <c r="C651" s="2">
        <v>9.4000000000000006E-10</v>
      </c>
      <c r="D651" s="2">
        <v>9.0999999999999996E-10</v>
      </c>
    </row>
    <row r="652" spans="1:4">
      <c r="A652" t="s">
        <v>739</v>
      </c>
      <c r="B652" s="2">
        <v>1.8E-9</v>
      </c>
      <c r="C652" s="2">
        <v>2.0000000000000001E-9</v>
      </c>
      <c r="D652" s="2">
        <v>2.0000000000000001E-9</v>
      </c>
    </row>
    <row r="653" spans="1:4">
      <c r="A653" t="s">
        <v>740</v>
      </c>
      <c r="B653" s="2">
        <v>1.8999999999999999E-11</v>
      </c>
      <c r="C653" s="2">
        <v>1.9999999999999999E-11</v>
      </c>
      <c r="D653" s="2">
        <v>1.8999999999999999E-11</v>
      </c>
    </row>
    <row r="654" spans="1:4">
      <c r="A654" t="s">
        <v>741</v>
      </c>
      <c r="B654" s="2">
        <v>8.1000000000000005E-11</v>
      </c>
      <c r="C654" s="2">
        <v>8.6999999999999997E-11</v>
      </c>
      <c r="D654" s="2">
        <v>8.3999999999999994E-11</v>
      </c>
    </row>
    <row r="655" spans="1:4">
      <c r="A655" t="s">
        <v>742</v>
      </c>
      <c r="B655" s="2">
        <v>4.6999999999999999E-11</v>
      </c>
      <c r="C655" s="2">
        <v>6.6000000000000005E-11</v>
      </c>
      <c r="D655" s="2">
        <v>6.7999999999999998E-11</v>
      </c>
    </row>
    <row r="656" spans="1:4">
      <c r="A656" t="s">
        <v>743</v>
      </c>
      <c r="B656" s="2">
        <v>2.1999999999999998E-8</v>
      </c>
      <c r="C656" s="2">
        <v>5.8000000000000003E-8</v>
      </c>
      <c r="D656" s="2">
        <v>6.1000000000000004E-8</v>
      </c>
    </row>
    <row r="657" spans="1:4">
      <c r="A657" t="s">
        <v>77</v>
      </c>
      <c r="B657" s="2">
        <v>6.7000000000000004E-7</v>
      </c>
      <c r="C657" s="2">
        <v>8.4999999999999999E-6</v>
      </c>
      <c r="D657" s="2">
        <v>1.0000000000000001E-5</v>
      </c>
    </row>
    <row r="658" spans="1:4">
      <c r="A658" t="s">
        <v>79</v>
      </c>
      <c r="B658" s="2">
        <v>3.0000000000000001E-5</v>
      </c>
      <c r="C658" s="2">
        <v>3.1999999999999999E-5</v>
      </c>
      <c r="D658" s="2">
        <v>4.0000000000000003E-5</v>
      </c>
    </row>
    <row r="659" spans="1:4">
      <c r="A659" t="s">
        <v>82</v>
      </c>
      <c r="B659" s="2">
        <v>2.4000000000000001E-4</v>
      </c>
      <c r="C659" s="2">
        <v>1.1E-4</v>
      </c>
      <c r="D659" s="2">
        <v>7.1000000000000005E-5</v>
      </c>
    </row>
    <row r="660" spans="1:4">
      <c r="A660" t="s">
        <v>83</v>
      </c>
      <c r="B660" s="2">
        <v>1E-4</v>
      </c>
      <c r="C660" s="2">
        <v>4.3000000000000002E-5</v>
      </c>
      <c r="D660" s="2">
        <v>1.4E-5</v>
      </c>
    </row>
    <row r="661" spans="1:4">
      <c r="A661" t="s">
        <v>85</v>
      </c>
      <c r="B661" s="2">
        <v>7.8000000000000002E-11</v>
      </c>
      <c r="C661" s="2">
        <v>3.1000000000000002E-10</v>
      </c>
      <c r="D661" s="2">
        <v>3.3E-10</v>
      </c>
    </row>
    <row r="662" spans="1:4">
      <c r="A662" t="s">
        <v>86</v>
      </c>
      <c r="B662" s="2">
        <v>1.1E-4</v>
      </c>
      <c r="C662" s="2">
        <v>4.5000000000000003E-5</v>
      </c>
      <c r="D662" s="2">
        <v>2.5000000000000001E-5</v>
      </c>
    </row>
    <row r="663" spans="1:4">
      <c r="A663" t="s">
        <v>92</v>
      </c>
      <c r="B663" s="2">
        <v>2.5000000000000001E-9</v>
      </c>
      <c r="C663" s="2">
        <v>6.6000000000000004E-9</v>
      </c>
      <c r="D663" s="2">
        <v>7.6999999999999995E-9</v>
      </c>
    </row>
    <row r="664" spans="1:4">
      <c r="A664" t="s">
        <v>744</v>
      </c>
      <c r="B664" s="2">
        <v>6.1000000000000004E-8</v>
      </c>
      <c r="C664" s="2">
        <v>4.1999999999999999E-8</v>
      </c>
      <c r="D664" s="2">
        <v>1.1999999999999999E-7</v>
      </c>
    </row>
    <row r="665" spans="1:4">
      <c r="A665" t="s">
        <v>745</v>
      </c>
      <c r="B665" s="2">
        <v>4.1999999999999997E-11</v>
      </c>
      <c r="C665" s="2">
        <v>8.8000000000000006E-11</v>
      </c>
      <c r="D665" s="2">
        <v>9.3000000000000002E-11</v>
      </c>
    </row>
    <row r="666" spans="1:4">
      <c r="A666" t="s">
        <v>746</v>
      </c>
      <c r="B666" s="2">
        <v>4.3999999999999998E-12</v>
      </c>
      <c r="C666" s="2">
        <v>-1</v>
      </c>
      <c r="D666" s="2">
        <v>-1</v>
      </c>
    </row>
    <row r="667" spans="1:4">
      <c r="A667" t="s">
        <v>747</v>
      </c>
      <c r="B667" s="2">
        <v>1.8999999999999999E-11</v>
      </c>
      <c r="C667" s="2">
        <v>-1</v>
      </c>
      <c r="D667" s="2">
        <v>-1</v>
      </c>
    </row>
    <row r="668" spans="1:4">
      <c r="A668" t="s">
        <v>748</v>
      </c>
      <c r="B668" s="2">
        <v>1.5E-11</v>
      </c>
      <c r="C668" s="2">
        <v>-1</v>
      </c>
      <c r="D668" s="2">
        <v>-1</v>
      </c>
    </row>
    <row r="669" spans="1:4">
      <c r="A669" t="s">
        <v>749</v>
      </c>
      <c r="B669" s="2">
        <v>1.4E-11</v>
      </c>
      <c r="C669" s="2">
        <v>-1</v>
      </c>
      <c r="D669" s="2">
        <v>-1</v>
      </c>
    </row>
    <row r="670" spans="1:4">
      <c r="A670" t="s">
        <v>750</v>
      </c>
      <c r="B670" s="2">
        <v>6E-11</v>
      </c>
      <c r="C670" s="2">
        <v>-1</v>
      </c>
      <c r="D670" s="2">
        <v>-1</v>
      </c>
    </row>
    <row r="671" spans="1:4">
      <c r="A671" t="s">
        <v>751</v>
      </c>
      <c r="B671" s="2">
        <v>3.7000000000000001E-11</v>
      </c>
      <c r="C671" s="2">
        <v>-1</v>
      </c>
      <c r="D671" s="2">
        <v>-1</v>
      </c>
    </row>
    <row r="672" spans="1:4">
      <c r="A672" t="s">
        <v>752</v>
      </c>
      <c r="B672" s="2">
        <v>1.8999999999999999E-11</v>
      </c>
      <c r="C672" s="2">
        <v>-1</v>
      </c>
      <c r="D672" s="2">
        <v>-1</v>
      </c>
    </row>
    <row r="673" spans="1:4">
      <c r="A673" t="s">
        <v>753</v>
      </c>
      <c r="B673" s="2">
        <v>1.2999999999999999E-10</v>
      </c>
      <c r="C673" s="2">
        <v>-1</v>
      </c>
      <c r="D673" s="2">
        <v>-1</v>
      </c>
    </row>
    <row r="674" spans="1:4">
      <c r="A674" t="s">
        <v>754</v>
      </c>
      <c r="B674" s="2">
        <v>4.4000000000000003E-11</v>
      </c>
      <c r="C674" s="2">
        <v>-1</v>
      </c>
      <c r="D674" s="2">
        <v>-1</v>
      </c>
    </row>
    <row r="675" spans="1:4">
      <c r="A675" t="s">
        <v>755</v>
      </c>
      <c r="B675" s="2">
        <v>1.8999999999999999E-10</v>
      </c>
      <c r="C675" s="2">
        <v>-1</v>
      </c>
      <c r="D675" s="2">
        <v>-1</v>
      </c>
    </row>
    <row r="676" spans="1:4">
      <c r="A676" t="s">
        <v>756</v>
      </c>
      <c r="B676" s="2">
        <v>3.9E-10</v>
      </c>
      <c r="C676" s="2">
        <v>-1</v>
      </c>
      <c r="D676" s="2">
        <v>-1</v>
      </c>
    </row>
    <row r="677" spans="1:4">
      <c r="A677" t="s">
        <v>757</v>
      </c>
      <c r="B677" s="2">
        <v>-1</v>
      </c>
      <c r="C677" s="2">
        <v>1.6E-11</v>
      </c>
      <c r="D677" s="2">
        <v>-1</v>
      </c>
    </row>
    <row r="678" spans="1:4">
      <c r="A678" t="s">
        <v>758</v>
      </c>
      <c r="B678" s="2">
        <v>-1</v>
      </c>
      <c r="C678" s="2">
        <v>1.7000000000000001E-10</v>
      </c>
      <c r="D678" s="2">
        <v>-1</v>
      </c>
    </row>
    <row r="679" spans="1:4">
      <c r="A679" t="s">
        <v>759</v>
      </c>
      <c r="B679" s="2">
        <v>-1</v>
      </c>
      <c r="C679" s="2">
        <v>1.0999999999999999E-9</v>
      </c>
      <c r="D679" s="2">
        <v>-1</v>
      </c>
    </row>
    <row r="680" spans="1:4">
      <c r="A680" t="s">
        <v>760</v>
      </c>
      <c r="B680" s="2">
        <v>-1</v>
      </c>
      <c r="C680" s="2">
        <v>6.9999999999999998E-9</v>
      </c>
      <c r="D680" s="2">
        <v>-1</v>
      </c>
    </row>
    <row r="681" spans="1:4">
      <c r="A681" t="s">
        <v>761</v>
      </c>
      <c r="B681" s="2">
        <v>-1</v>
      </c>
      <c r="C681" s="2">
        <v>1.3999999999999999E-9</v>
      </c>
      <c r="D681" s="2">
        <v>-1</v>
      </c>
    </row>
    <row r="682" spans="1:4">
      <c r="A682" t="s">
        <v>762</v>
      </c>
      <c r="B682" s="2">
        <v>-1</v>
      </c>
      <c r="C682" s="2">
        <v>1.0999999999999999E-9</v>
      </c>
      <c r="D682" s="2">
        <v>-1</v>
      </c>
    </row>
    <row r="683" spans="1:4">
      <c r="A683" t="s">
        <v>763</v>
      </c>
      <c r="B683" s="2">
        <v>-1</v>
      </c>
      <c r="C683" s="2">
        <v>1.8E-10</v>
      </c>
      <c r="D683" s="2">
        <v>-1</v>
      </c>
    </row>
    <row r="684" spans="1:4">
      <c r="A684" t="s">
        <v>764</v>
      </c>
      <c r="B684" s="2">
        <v>-1</v>
      </c>
      <c r="C684" s="2">
        <v>1.7999999999999999E-11</v>
      </c>
      <c r="D684" s="2">
        <v>-1</v>
      </c>
    </row>
    <row r="685" spans="1:4">
      <c r="A685" t="s">
        <v>176</v>
      </c>
      <c r="B685" s="2">
        <v>3.8000000000000001E-7</v>
      </c>
      <c r="C685" s="2">
        <v>1.2999999999999999E-5</v>
      </c>
      <c r="D685" s="2">
        <v>1.5999999999999999E-5</v>
      </c>
    </row>
    <row r="686" spans="1:4">
      <c r="A686" t="s">
        <v>175</v>
      </c>
      <c r="B686" s="2">
        <v>6.3999999999999999E-11</v>
      </c>
      <c r="C686" s="2">
        <v>4.7000000000000003E-10</v>
      </c>
      <c r="D686" s="2">
        <v>5.1999999999999996E-10</v>
      </c>
    </row>
    <row r="687" spans="1:4">
      <c r="A687" t="s">
        <v>107</v>
      </c>
      <c r="B687" s="2">
        <v>3.9999999999999998E-6</v>
      </c>
      <c r="C687" s="2">
        <v>7.7999999999999999E-6</v>
      </c>
      <c r="D687" s="2">
        <v>3.6999999999999998E-5</v>
      </c>
    </row>
    <row r="688" spans="1:4">
      <c r="A688" t="s">
        <v>87</v>
      </c>
      <c r="B688" s="2">
        <v>5.7999999999999995E-7</v>
      </c>
      <c r="C688" s="2">
        <v>3.5999999999999998E-6</v>
      </c>
      <c r="D688" s="2">
        <v>9.5999999999999996E-6</v>
      </c>
    </row>
    <row r="689" spans="1:4">
      <c r="A689" t="s">
        <v>89</v>
      </c>
      <c r="B689" s="2">
        <v>5.6000000000000004E-7</v>
      </c>
      <c r="C689" s="2">
        <v>3.4999999999999999E-6</v>
      </c>
      <c r="D689" s="2">
        <v>9.3999999999999998E-6</v>
      </c>
    </row>
    <row r="690" spans="1:4">
      <c r="A690" t="s">
        <v>93</v>
      </c>
      <c r="B690" s="2">
        <v>5.2E-7</v>
      </c>
      <c r="C690" s="2">
        <v>3.1E-6</v>
      </c>
      <c r="D690" s="2">
        <v>8.4999999999999999E-6</v>
      </c>
    </row>
    <row r="691" spans="1:4">
      <c r="A691" t="s">
        <v>94</v>
      </c>
      <c r="B691" s="2">
        <v>5.3000000000000001E-7</v>
      </c>
      <c r="C691" s="2">
        <v>3.1999999999999999E-6</v>
      </c>
      <c r="D691" s="2">
        <v>8.6999999999999997E-6</v>
      </c>
    </row>
    <row r="692" spans="1:4">
      <c r="A692" t="s">
        <v>96</v>
      </c>
      <c r="B692" s="2">
        <v>1.8E-10</v>
      </c>
      <c r="C692" s="2">
        <v>1.6999999999999999E-9</v>
      </c>
      <c r="D692" s="2">
        <v>1.9000000000000001E-9</v>
      </c>
    </row>
    <row r="693" spans="1:4">
      <c r="A693" t="s">
        <v>98</v>
      </c>
      <c r="B693" s="2">
        <v>4.9999999999999998E-7</v>
      </c>
      <c r="C693" s="2">
        <v>2.9000000000000002E-6</v>
      </c>
      <c r="D693" s="2">
        <v>7.9999999999999996E-6</v>
      </c>
    </row>
    <row r="694" spans="1:4">
      <c r="A694" t="s">
        <v>174</v>
      </c>
      <c r="B694" s="2">
        <v>9.9999999999999994E-12</v>
      </c>
      <c r="C694" s="2">
        <v>2.2000000000000002E-11</v>
      </c>
      <c r="D694" s="2">
        <v>2.4000000000000001E-11</v>
      </c>
    </row>
    <row r="695" spans="1:4">
      <c r="A695" t="s">
        <v>173</v>
      </c>
      <c r="B695" s="2">
        <v>2.0000000000000001E-10</v>
      </c>
      <c r="C695" s="2">
        <v>5.3000000000000003E-10</v>
      </c>
      <c r="D695" s="2">
        <v>5.7999999999999996E-10</v>
      </c>
    </row>
    <row r="696" spans="1:4">
      <c r="A696" t="s">
        <v>172</v>
      </c>
      <c r="B696" s="2">
        <v>1.6999999999999999E-11</v>
      </c>
      <c r="C696" s="2">
        <v>2.9E-11</v>
      </c>
      <c r="D696" s="2">
        <v>-1</v>
      </c>
    </row>
    <row r="697" spans="1:4">
      <c r="A697" t="s">
        <v>171</v>
      </c>
      <c r="B697" s="2">
        <v>1.0999999999999999E-9</v>
      </c>
      <c r="C697" s="2">
        <v>2.4E-9</v>
      </c>
      <c r="D697" s="2">
        <v>-1</v>
      </c>
    </row>
    <row r="698" spans="1:4">
      <c r="A698" t="s">
        <v>170</v>
      </c>
      <c r="B698" s="2">
        <v>2.0999999999999999E-11</v>
      </c>
      <c r="C698" s="2">
        <v>3.3999999999999999E-11</v>
      </c>
      <c r="D698" s="2">
        <v>-1</v>
      </c>
    </row>
    <row r="699" spans="1:4">
      <c r="A699" t="s">
        <v>169</v>
      </c>
      <c r="B699" s="2">
        <v>4.1000000000000001E-11</v>
      </c>
      <c r="C699" s="2">
        <v>-1</v>
      </c>
      <c r="D699" s="2">
        <v>-1</v>
      </c>
    </row>
    <row r="700" spans="1:4">
      <c r="A700" t="s">
        <v>168</v>
      </c>
      <c r="B700" s="2">
        <v>2.4000000000000001E-11</v>
      </c>
      <c r="C700" s="2">
        <v>-1</v>
      </c>
      <c r="D700" s="2">
        <v>-1</v>
      </c>
    </row>
    <row r="701" spans="1:4">
      <c r="A701" t="s">
        <v>167</v>
      </c>
      <c r="B701" s="2">
        <v>7.1999999999999997E-11</v>
      </c>
      <c r="C701" s="2">
        <v>-1</v>
      </c>
      <c r="D701" s="2">
        <v>-1</v>
      </c>
    </row>
    <row r="702" spans="1:4">
      <c r="A702" t="s">
        <v>166</v>
      </c>
      <c r="B702" s="2">
        <v>9.1999999999999992E-13</v>
      </c>
      <c r="C702" s="2">
        <v>-1</v>
      </c>
      <c r="D702" s="2">
        <v>-1</v>
      </c>
    </row>
    <row r="703" spans="1:4">
      <c r="A703" t="s">
        <v>165</v>
      </c>
      <c r="B703" s="2">
        <v>2.7E-11</v>
      </c>
      <c r="C703" s="2">
        <v>-1</v>
      </c>
      <c r="D703" s="2">
        <v>-1</v>
      </c>
    </row>
    <row r="704" spans="1:4">
      <c r="A704" t="s">
        <v>164</v>
      </c>
      <c r="B704" s="2">
        <v>1.2E-10</v>
      </c>
      <c r="C704" s="2">
        <v>-1</v>
      </c>
      <c r="D704" s="2">
        <v>-1</v>
      </c>
    </row>
    <row r="705" spans="1:4">
      <c r="A705" t="s">
        <v>163</v>
      </c>
      <c r="B705" s="2">
        <v>1.8999999999999999E-10</v>
      </c>
      <c r="C705" s="2">
        <v>-1</v>
      </c>
      <c r="D705" s="2">
        <v>-1</v>
      </c>
    </row>
    <row r="706" spans="1:4">
      <c r="A706" t="s">
        <v>162</v>
      </c>
      <c r="B706" s="2">
        <v>5.7E-10</v>
      </c>
      <c r="C706" s="2">
        <v>-1</v>
      </c>
      <c r="D706" s="2">
        <v>-1</v>
      </c>
    </row>
    <row r="707" spans="1:4">
      <c r="A707" t="s">
        <v>161</v>
      </c>
      <c r="B707" s="2">
        <v>-1</v>
      </c>
      <c r="C707" s="2">
        <v>4.5E-10</v>
      </c>
      <c r="D707" s="2">
        <v>4.7000000000000003E-10</v>
      </c>
    </row>
    <row r="708" spans="1:4">
      <c r="A708" t="s">
        <v>765</v>
      </c>
      <c r="B708" s="2">
        <v>-1</v>
      </c>
      <c r="C708" s="2">
        <v>2.7E-11</v>
      </c>
      <c r="D708" s="2">
        <v>2.8E-11</v>
      </c>
    </row>
    <row r="709" spans="1:4">
      <c r="A709" t="s">
        <v>160</v>
      </c>
      <c r="B709" s="2">
        <v>-1</v>
      </c>
      <c r="C709" s="2">
        <v>3.7000000000000001E-10</v>
      </c>
      <c r="D709" s="2">
        <v>3.9E-10</v>
      </c>
    </row>
    <row r="710" spans="1:4">
      <c r="A710" t="s">
        <v>159</v>
      </c>
      <c r="B710" s="2">
        <v>-1</v>
      </c>
      <c r="C710" s="2">
        <v>4.1000000000000003E-9</v>
      </c>
      <c r="D710" s="2">
        <v>4.3999999999999997E-9</v>
      </c>
    </row>
    <row r="711" spans="1:4">
      <c r="A711" t="s">
        <v>20</v>
      </c>
      <c r="B711" s="2">
        <v>-1</v>
      </c>
      <c r="C711" s="2">
        <v>1.3999999999999999E-9</v>
      </c>
      <c r="D711" s="2">
        <v>1.5E-9</v>
      </c>
    </row>
    <row r="712" spans="1:4">
      <c r="A712" t="s">
        <v>766</v>
      </c>
      <c r="B712" s="2">
        <v>-1</v>
      </c>
      <c r="C712" s="2">
        <v>9.4999999999999995E-11</v>
      </c>
      <c r="D712" s="2">
        <v>1E-10</v>
      </c>
    </row>
    <row r="713" spans="1:4">
      <c r="A713" t="s">
        <v>158</v>
      </c>
      <c r="B713" s="2">
        <v>-1</v>
      </c>
      <c r="C713" s="2">
        <v>7.0999999999999999E-9</v>
      </c>
      <c r="D713" s="2">
        <v>8.9000000000000003E-9</v>
      </c>
    </row>
    <row r="714" spans="1:4">
      <c r="A714" t="s">
        <v>767</v>
      </c>
      <c r="B714" s="2">
        <v>-1</v>
      </c>
      <c r="C714" s="2">
        <v>9.9999999999999994E-12</v>
      </c>
      <c r="D714" s="2">
        <v>1.1000000000000001E-11</v>
      </c>
    </row>
    <row r="715" spans="1:4">
      <c r="A715" t="s">
        <v>157</v>
      </c>
      <c r="B715" s="2">
        <v>-1</v>
      </c>
      <c r="C715" s="2">
        <v>1.7000000000000001E-10</v>
      </c>
      <c r="D715" s="2">
        <v>1.8E-10</v>
      </c>
    </row>
    <row r="716" spans="1:4">
      <c r="A716" t="s">
        <v>156</v>
      </c>
      <c r="B716" s="2">
        <v>-1</v>
      </c>
      <c r="C716" s="2">
        <v>4.0000000000000001E-10</v>
      </c>
      <c r="D716" s="2">
        <v>4.2E-10</v>
      </c>
    </row>
    <row r="717" spans="1:4">
      <c r="A717" t="s">
        <v>155</v>
      </c>
      <c r="B717" s="2">
        <v>-1</v>
      </c>
      <c r="C717" s="2">
        <v>2.7E-11</v>
      </c>
      <c r="D717" s="2">
        <v>2.8E-11</v>
      </c>
    </row>
    <row r="718" spans="1:4">
      <c r="A718" t="s">
        <v>154</v>
      </c>
      <c r="B718" s="2">
        <v>-1</v>
      </c>
      <c r="C718" s="2">
        <v>1.5E-11</v>
      </c>
      <c r="D718" s="2">
        <v>1.6E-11</v>
      </c>
    </row>
    <row r="719" spans="1:4">
      <c r="A719" t="s">
        <v>768</v>
      </c>
      <c r="B719" s="2">
        <v>-1</v>
      </c>
      <c r="C719" s="2">
        <v>1.3E-11</v>
      </c>
      <c r="D719" s="2">
        <v>1.4E-11</v>
      </c>
    </row>
    <row r="720" spans="1:4">
      <c r="A720" t="s">
        <v>769</v>
      </c>
      <c r="B720" s="2">
        <v>-1</v>
      </c>
      <c r="C720" s="2">
        <v>7.2E-10</v>
      </c>
      <c r="D720" s="2">
        <v>7.7000000000000003E-10</v>
      </c>
    </row>
    <row r="721" spans="1:4">
      <c r="A721" t="s">
        <v>770</v>
      </c>
      <c r="B721" s="2">
        <v>-1</v>
      </c>
      <c r="C721" s="2">
        <v>6.5000000000000002E-12</v>
      </c>
      <c r="D721" s="2">
        <v>6.9000000000000001E-12</v>
      </c>
    </row>
    <row r="722" spans="1:4">
      <c r="A722" t="s">
        <v>771</v>
      </c>
      <c r="B722" s="2">
        <v>-1</v>
      </c>
      <c r="C722" s="2">
        <v>2.5000000000000001E-9</v>
      </c>
      <c r="D722" s="2">
        <v>3E-9</v>
      </c>
    </row>
    <row r="723" spans="1:4">
      <c r="A723" t="s">
        <v>772</v>
      </c>
      <c r="B723" s="2">
        <v>-1</v>
      </c>
      <c r="C723" s="2">
        <v>6.5000000000000003E-10</v>
      </c>
      <c r="D723" s="2">
        <v>7.2999999999999996E-10</v>
      </c>
    </row>
    <row r="724" spans="1:4">
      <c r="A724" t="s">
        <v>773</v>
      </c>
      <c r="B724" s="2">
        <v>-1</v>
      </c>
      <c r="C724" s="2">
        <v>6.3999999999999999E-11</v>
      </c>
      <c r="D724" s="2">
        <v>6.8999999999999994E-11</v>
      </c>
    </row>
    <row r="725" spans="1:4">
      <c r="A725" t="s">
        <v>774</v>
      </c>
      <c r="B725" s="2">
        <v>-1</v>
      </c>
      <c r="C725" s="2">
        <v>7.0000000000000004E-11</v>
      </c>
      <c r="D725" s="2">
        <v>7.5E-11</v>
      </c>
    </row>
    <row r="726" spans="1:4">
      <c r="A726" t="s">
        <v>775</v>
      </c>
      <c r="B726" s="2">
        <v>2.0000000000000001E-10</v>
      </c>
      <c r="C726" s="2">
        <v>5.0000000000000003E-10</v>
      </c>
      <c r="D726" s="2">
        <v>5.4999999999999996E-10</v>
      </c>
    </row>
    <row r="727" spans="1:4">
      <c r="A727" t="s">
        <v>776</v>
      </c>
      <c r="B727" s="2">
        <v>1.9999999999999999E-11</v>
      </c>
      <c r="C727" s="2">
        <v>3.5000000000000002E-11</v>
      </c>
      <c r="D727" s="2">
        <v>3.7000000000000001E-11</v>
      </c>
    </row>
    <row r="728" spans="1:4">
      <c r="A728" t="s">
        <v>17</v>
      </c>
      <c r="B728" s="2">
        <v>2.1999999999999998E-9</v>
      </c>
      <c r="C728" s="2">
        <v>1.6000000000000001E-9</v>
      </c>
      <c r="D728" s="2">
        <v>2.0000000000000001E-9</v>
      </c>
    </row>
    <row r="729" spans="1:4">
      <c r="A729" t="s">
        <v>777</v>
      </c>
      <c r="B729" s="2">
        <v>1.1000000000000001E-11</v>
      </c>
      <c r="C729" s="2">
        <v>2.6000000000000001E-11</v>
      </c>
      <c r="D729" s="2">
        <v>2.8E-11</v>
      </c>
    </row>
    <row r="730" spans="1:4">
      <c r="A730" t="s">
        <v>778</v>
      </c>
      <c r="B730" s="2">
        <v>8.2000000000000001E-11</v>
      </c>
      <c r="C730" s="2">
        <v>2.4E-10</v>
      </c>
      <c r="D730" s="2">
        <v>2.7E-10</v>
      </c>
    </row>
    <row r="731" spans="1:4">
      <c r="A731" t="s">
        <v>779</v>
      </c>
      <c r="B731" s="2">
        <v>7.4000000000000003E-11</v>
      </c>
      <c r="C731" s="2">
        <v>1.5E-10</v>
      </c>
      <c r="D731" s="2">
        <v>1.5999999999999999E-10</v>
      </c>
    </row>
    <row r="732" spans="1:4">
      <c r="A732" t="s">
        <v>780</v>
      </c>
      <c r="B732" s="2">
        <v>4.8999999999999996E-10</v>
      </c>
      <c r="C732" s="2">
        <v>1.2E-9</v>
      </c>
      <c r="D732" s="2">
        <v>1.3000000000000001E-9</v>
      </c>
    </row>
    <row r="733" spans="1:4">
      <c r="A733" t="s">
        <v>781</v>
      </c>
      <c r="B733" s="2">
        <v>2.7E-10</v>
      </c>
      <c r="C733" s="2">
        <v>4.2E-10</v>
      </c>
      <c r="D733" s="2">
        <v>4.3000000000000001E-10</v>
      </c>
    </row>
    <row r="734" spans="1:4">
      <c r="A734" t="s">
        <v>782</v>
      </c>
      <c r="B734" s="2">
        <v>3.4999999999999999E-9</v>
      </c>
      <c r="C734" s="2">
        <v>2.6000000000000001E-9</v>
      </c>
      <c r="D734" s="2">
        <v>3.6E-9</v>
      </c>
    </row>
    <row r="735" spans="1:4">
      <c r="A735" t="s">
        <v>783</v>
      </c>
      <c r="B735" s="2">
        <v>2.8999999999999998E-10</v>
      </c>
      <c r="C735" s="2">
        <v>5.1999999999999996E-10</v>
      </c>
      <c r="D735" s="2">
        <v>5.4999999999999996E-10</v>
      </c>
    </row>
    <row r="736" spans="1:4">
      <c r="A736" t="s">
        <v>110</v>
      </c>
      <c r="B736" s="2">
        <v>2.4999999999999999E-8</v>
      </c>
      <c r="C736" s="2">
        <v>1E-8</v>
      </c>
      <c r="D736" s="2">
        <v>3.3000000000000002E-9</v>
      </c>
    </row>
    <row r="737" spans="1:4">
      <c r="A737" t="s">
        <v>784</v>
      </c>
      <c r="B737" s="2">
        <v>2.5000000000000001E-9</v>
      </c>
      <c r="C737" s="2">
        <v>4.8E-9</v>
      </c>
      <c r="D737" s="2">
        <v>5.8999999999999999E-9</v>
      </c>
    </row>
    <row r="738" spans="1:4">
      <c r="A738" t="s">
        <v>785</v>
      </c>
      <c r="B738" s="2">
        <v>3.9E-10</v>
      </c>
      <c r="C738" s="2">
        <v>9.2000000000000003E-10</v>
      </c>
      <c r="D738" s="2">
        <v>8.9000000000000003E-10</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156"/>
  <sheetViews>
    <sheetView workbookViewId="0">
      <pane xSplit="1" ySplit="1" topLeftCell="B80" activePane="bottomRight" state="frozen"/>
      <selection pane="topRight" activeCell="B1" sqref="B1"/>
      <selection pane="bottomLeft" activeCell="A2" sqref="A2"/>
      <selection pane="bottomRight" activeCell="A115" sqref="A115:XFD115"/>
    </sheetView>
  </sheetViews>
  <sheetFormatPr defaultRowHeight="15"/>
  <cols>
    <col min="1" max="1" width="14.85546875" bestFit="1" customWidth="1"/>
    <col min="2" max="3" width="9.28515625" style="6" bestFit="1" customWidth="1"/>
  </cols>
  <sheetData>
    <row r="1" spans="1:3">
      <c r="A1" t="s">
        <v>809</v>
      </c>
      <c r="B1" s="6" t="s">
        <v>2034</v>
      </c>
      <c r="C1" s="6" t="s">
        <v>2035</v>
      </c>
    </row>
    <row r="2" spans="1:3">
      <c r="A2" t="s">
        <v>74</v>
      </c>
      <c r="B2" s="6">
        <v>0.8</v>
      </c>
      <c r="C2" s="6">
        <v>6.0000000000000001E-3</v>
      </c>
    </row>
    <row r="3" spans="1:3">
      <c r="A3" t="s">
        <v>78</v>
      </c>
      <c r="B3" s="6">
        <v>0.9</v>
      </c>
      <c r="C3" s="6">
        <v>9.0000000000000006E-5</v>
      </c>
    </row>
    <row r="4" spans="1:3">
      <c r="A4" t="s">
        <v>80</v>
      </c>
      <c r="B4" s="6">
        <v>0.60000000000000009</v>
      </c>
      <c r="C4" s="6">
        <v>0.5</v>
      </c>
    </row>
    <row r="5" spans="1:3">
      <c r="A5" t="s">
        <v>102</v>
      </c>
      <c r="B5" s="6">
        <v>10</v>
      </c>
      <c r="C5" s="6">
        <v>1E-3</v>
      </c>
    </row>
    <row r="6" spans="1:3">
      <c r="A6" t="s">
        <v>134</v>
      </c>
      <c r="B6" s="6">
        <v>0</v>
      </c>
      <c r="C6" s="6">
        <v>0</v>
      </c>
    </row>
    <row r="7" spans="1:3">
      <c r="A7" t="s">
        <v>135</v>
      </c>
      <c r="B7" s="6">
        <v>10</v>
      </c>
      <c r="C7" s="6">
        <v>1E-3</v>
      </c>
    </row>
    <row r="8" spans="1:3">
      <c r="A8" t="s">
        <v>104</v>
      </c>
      <c r="B8" s="6">
        <v>5</v>
      </c>
      <c r="C8" s="6">
        <v>1E-3</v>
      </c>
    </row>
    <row r="9" spans="1:3">
      <c r="A9" t="s">
        <v>57</v>
      </c>
      <c r="B9" s="6">
        <v>0</v>
      </c>
      <c r="C9" s="6">
        <v>0</v>
      </c>
    </row>
    <row r="10" spans="1:3">
      <c r="A10" t="s">
        <v>62</v>
      </c>
      <c r="B10" s="6">
        <v>0</v>
      </c>
      <c r="C10" s="6">
        <v>0</v>
      </c>
    </row>
    <row r="11" spans="1:3">
      <c r="A11" t="s">
        <v>64</v>
      </c>
      <c r="B11" s="6">
        <v>0</v>
      </c>
      <c r="C11" s="6">
        <v>0</v>
      </c>
    </row>
    <row r="12" spans="1:3">
      <c r="A12" t="s">
        <v>67</v>
      </c>
      <c r="B12" s="6">
        <v>0</v>
      </c>
      <c r="C12" s="6">
        <v>0</v>
      </c>
    </row>
    <row r="13" spans="1:3">
      <c r="A13" t="s">
        <v>32</v>
      </c>
      <c r="B13" s="6">
        <v>0</v>
      </c>
      <c r="C13" s="6">
        <v>0</v>
      </c>
    </row>
    <row r="14" spans="1:3">
      <c r="A14" t="s">
        <v>43</v>
      </c>
      <c r="B14" s="6">
        <v>1</v>
      </c>
      <c r="C14" s="6">
        <v>0.60000000000000009</v>
      </c>
    </row>
    <row r="15" spans="1:3">
      <c r="A15" t="s">
        <v>47</v>
      </c>
      <c r="B15" s="6">
        <v>0</v>
      </c>
      <c r="C15" s="6">
        <v>0</v>
      </c>
    </row>
    <row r="16" spans="1:3">
      <c r="A16" t="s">
        <v>50</v>
      </c>
      <c r="B16" s="6">
        <v>0.70000000000000007</v>
      </c>
      <c r="C16" s="6">
        <v>0.60000000000000009</v>
      </c>
    </row>
    <row r="17" spans="1:3">
      <c r="A17" t="s">
        <v>53</v>
      </c>
      <c r="B17" s="6">
        <v>0</v>
      </c>
      <c r="C17" s="6">
        <v>0</v>
      </c>
    </row>
    <row r="18" spans="1:3">
      <c r="A18" t="s">
        <v>55</v>
      </c>
      <c r="B18" s="6">
        <v>0</v>
      </c>
      <c r="C18" s="6">
        <v>0</v>
      </c>
    </row>
    <row r="19" spans="1:3">
      <c r="A19" t="s">
        <v>59</v>
      </c>
      <c r="B19" s="6">
        <v>0</v>
      </c>
      <c r="C19" s="6">
        <v>0</v>
      </c>
    </row>
    <row r="20" spans="1:3">
      <c r="A20" t="s">
        <v>2</v>
      </c>
      <c r="B20" s="6">
        <v>40</v>
      </c>
      <c r="C20" s="6">
        <v>3</v>
      </c>
    </row>
    <row r="21" spans="1:3">
      <c r="A21" t="s">
        <v>8</v>
      </c>
      <c r="B21" s="6">
        <v>40</v>
      </c>
      <c r="C21" s="6">
        <v>1</v>
      </c>
    </row>
    <row r="22" spans="1:3">
      <c r="A22" t="s">
        <v>285</v>
      </c>
      <c r="B22" s="6">
        <v>30</v>
      </c>
      <c r="C22" s="6">
        <v>2</v>
      </c>
    </row>
    <row r="23" spans="1:3">
      <c r="A23" t="s">
        <v>145</v>
      </c>
      <c r="B23" s="6">
        <v>0</v>
      </c>
      <c r="C23" s="6">
        <v>0</v>
      </c>
    </row>
    <row r="24" spans="1:3">
      <c r="A24" t="s">
        <v>115</v>
      </c>
      <c r="B24" s="6">
        <v>40</v>
      </c>
      <c r="C24" s="6">
        <v>0.5</v>
      </c>
    </row>
    <row r="25" spans="1:3">
      <c r="A25" t="s">
        <v>124</v>
      </c>
      <c r="B25" s="6">
        <v>0.2</v>
      </c>
      <c r="C25" s="6">
        <v>0.2</v>
      </c>
    </row>
    <row r="26" spans="1:3">
      <c r="A26" t="s">
        <v>300</v>
      </c>
      <c r="B26" s="6">
        <v>3</v>
      </c>
      <c r="C26" s="6">
        <v>8.0000000000000004E-4</v>
      </c>
    </row>
    <row r="27" spans="1:3">
      <c r="A27" t="s">
        <v>302</v>
      </c>
      <c r="B27" s="6">
        <v>7</v>
      </c>
      <c r="C27" s="6">
        <v>6.9999999999999999E-4</v>
      </c>
    </row>
    <row r="28" spans="1:3">
      <c r="A28" t="s">
        <v>7</v>
      </c>
      <c r="B28" s="6">
        <v>10</v>
      </c>
      <c r="C28" s="6">
        <v>0.60000000000000009</v>
      </c>
    </row>
    <row r="29" spans="1:3">
      <c r="A29" t="s">
        <v>136</v>
      </c>
      <c r="B29" s="6">
        <v>40</v>
      </c>
      <c r="C29" s="6">
        <v>0.01</v>
      </c>
    </row>
    <row r="30" spans="1:3">
      <c r="A30" t="s">
        <v>105</v>
      </c>
      <c r="B30" s="6">
        <v>9</v>
      </c>
      <c r="C30" s="6">
        <v>1E-3</v>
      </c>
    </row>
    <row r="31" spans="1:3">
      <c r="A31" t="s">
        <v>106</v>
      </c>
      <c r="B31" s="6">
        <v>20</v>
      </c>
      <c r="C31" s="6">
        <v>2E-3</v>
      </c>
    </row>
    <row r="32" spans="1:3">
      <c r="A32" t="s">
        <v>137</v>
      </c>
      <c r="B32" s="6">
        <v>9</v>
      </c>
      <c r="C32" s="6">
        <v>9.0000000000000008E-4</v>
      </c>
    </row>
    <row r="33" spans="1:3">
      <c r="A33" t="s">
        <v>138</v>
      </c>
      <c r="B33" s="6">
        <v>9</v>
      </c>
      <c r="C33" s="6">
        <v>9.0000000000000008E-4</v>
      </c>
    </row>
    <row r="34" spans="1:3">
      <c r="A34" t="s">
        <v>311</v>
      </c>
      <c r="B34" s="6">
        <v>3</v>
      </c>
      <c r="C34" s="6">
        <v>1E-3</v>
      </c>
    </row>
    <row r="35" spans="1:3">
      <c r="A35" t="s">
        <v>12</v>
      </c>
      <c r="B35" s="6">
        <v>10</v>
      </c>
      <c r="C35" s="6">
        <v>10</v>
      </c>
    </row>
    <row r="36" spans="1:3">
      <c r="A36" t="s">
        <v>14</v>
      </c>
      <c r="B36" s="6">
        <v>0.4</v>
      </c>
      <c r="C36" s="6">
        <v>0.4</v>
      </c>
    </row>
    <row r="37" spans="1:3">
      <c r="A37" t="s">
        <v>9</v>
      </c>
      <c r="B37" s="6">
        <v>30</v>
      </c>
      <c r="C37" s="6">
        <v>30</v>
      </c>
    </row>
    <row r="38" spans="1:3">
      <c r="A38" t="s">
        <v>122</v>
      </c>
      <c r="B38" s="6">
        <v>0.70000000000000007</v>
      </c>
      <c r="C38" s="6">
        <v>0.70000000000000007</v>
      </c>
    </row>
    <row r="39" spans="1:3">
      <c r="A39" t="s">
        <v>123</v>
      </c>
      <c r="B39" s="6">
        <v>40</v>
      </c>
      <c r="C39" s="6">
        <v>1</v>
      </c>
    </row>
    <row r="40" spans="1:3">
      <c r="A40" t="s">
        <v>31</v>
      </c>
      <c r="B40" s="6">
        <v>2</v>
      </c>
      <c r="C40" s="6">
        <v>0.60000000000000009</v>
      </c>
    </row>
    <row r="41" spans="1:3">
      <c r="A41" t="s">
        <v>144</v>
      </c>
      <c r="B41" s="6">
        <v>0</v>
      </c>
      <c r="C41" s="6">
        <v>0</v>
      </c>
    </row>
    <row r="42" spans="1:3">
      <c r="A42" t="s">
        <v>16</v>
      </c>
      <c r="B42" s="6">
        <v>6</v>
      </c>
      <c r="C42" s="6">
        <v>1</v>
      </c>
    </row>
    <row r="43" spans="1:3">
      <c r="A43" t="s">
        <v>36</v>
      </c>
      <c r="B43" s="6">
        <v>1</v>
      </c>
      <c r="C43" s="6">
        <v>1</v>
      </c>
    </row>
    <row r="44" spans="1:3">
      <c r="A44" t="s">
        <v>129</v>
      </c>
      <c r="B44" s="6">
        <v>0.9</v>
      </c>
      <c r="C44" s="6">
        <v>0.60000000000000009</v>
      </c>
    </row>
    <row r="45" spans="1:3">
      <c r="A45" t="s">
        <v>130</v>
      </c>
      <c r="B45" s="6">
        <v>20</v>
      </c>
      <c r="C45" s="6">
        <v>3</v>
      </c>
    </row>
    <row r="46" spans="1:3">
      <c r="A46" t="s">
        <v>191</v>
      </c>
      <c r="B46" s="6">
        <v>1</v>
      </c>
      <c r="C46" s="6">
        <v>0.60000000000000009</v>
      </c>
    </row>
    <row r="47" spans="1:3">
      <c r="A47" t="s">
        <v>11</v>
      </c>
      <c r="B47" s="6">
        <v>40</v>
      </c>
      <c r="C47" s="6">
        <v>40</v>
      </c>
    </row>
    <row r="48" spans="1:3">
      <c r="A48" t="s">
        <v>13</v>
      </c>
      <c r="B48" s="6">
        <v>0.9</v>
      </c>
      <c r="C48" s="6">
        <v>0.9</v>
      </c>
    </row>
    <row r="49" spans="1:3">
      <c r="A49" t="s">
        <v>69</v>
      </c>
      <c r="B49" s="6">
        <v>0</v>
      </c>
      <c r="C49" s="6">
        <v>0</v>
      </c>
    </row>
    <row r="50" spans="1:3">
      <c r="A50" t="s">
        <v>72</v>
      </c>
      <c r="B50" s="6">
        <v>0</v>
      </c>
      <c r="C50" s="6">
        <v>0</v>
      </c>
    </row>
    <row r="51" spans="1:3">
      <c r="A51" t="s">
        <v>35</v>
      </c>
      <c r="B51" s="6">
        <v>0</v>
      </c>
      <c r="C51" s="6">
        <v>0</v>
      </c>
    </row>
    <row r="52" spans="1:3">
      <c r="A52" t="s">
        <v>1</v>
      </c>
      <c r="B52" s="6">
        <v>0</v>
      </c>
      <c r="C52" s="6">
        <v>0</v>
      </c>
    </row>
    <row r="53" spans="1:3">
      <c r="A53" t="s">
        <v>25</v>
      </c>
      <c r="B53" s="6">
        <v>6</v>
      </c>
      <c r="C53" s="6">
        <v>3</v>
      </c>
    </row>
    <row r="54" spans="1:3">
      <c r="A54" t="s">
        <v>26</v>
      </c>
      <c r="B54" s="6">
        <v>1</v>
      </c>
      <c r="C54" s="6">
        <v>1</v>
      </c>
    </row>
    <row r="55" spans="1:3">
      <c r="A55" t="s">
        <v>27</v>
      </c>
      <c r="B55" s="6">
        <v>20</v>
      </c>
      <c r="C55" s="6">
        <v>3</v>
      </c>
    </row>
    <row r="56" spans="1:3">
      <c r="A56" t="s">
        <v>28</v>
      </c>
      <c r="B56" s="6">
        <v>-1</v>
      </c>
      <c r="C56" s="6">
        <v>-1</v>
      </c>
    </row>
    <row r="57" spans="1:3">
      <c r="A57" t="s">
        <v>30</v>
      </c>
      <c r="B57" s="6">
        <v>3</v>
      </c>
      <c r="C57" s="6">
        <v>0.70000000000000007</v>
      </c>
    </row>
    <row r="58" spans="1:3">
      <c r="A58" t="s">
        <v>18</v>
      </c>
      <c r="B58" s="6">
        <v>10</v>
      </c>
      <c r="C58" s="6">
        <v>10</v>
      </c>
    </row>
    <row r="59" spans="1:3">
      <c r="A59" t="s">
        <v>2033</v>
      </c>
      <c r="B59" s="6">
        <v>8</v>
      </c>
      <c r="C59" s="6">
        <v>3</v>
      </c>
    </row>
    <row r="60" spans="1:3">
      <c r="A60" t="s">
        <v>10</v>
      </c>
      <c r="B60" s="6">
        <v>1</v>
      </c>
      <c r="C60" s="6">
        <v>1</v>
      </c>
    </row>
    <row r="61" spans="1:3">
      <c r="A61" t="s">
        <v>3</v>
      </c>
      <c r="B61" s="6">
        <v>0.5</v>
      </c>
      <c r="C61" s="6">
        <v>0.5</v>
      </c>
    </row>
    <row r="62" spans="1:3">
      <c r="A62" t="s">
        <v>111</v>
      </c>
      <c r="B62" s="6">
        <v>40</v>
      </c>
      <c r="C62" s="6">
        <v>30</v>
      </c>
    </row>
    <row r="63" spans="1:3">
      <c r="A63" t="s">
        <v>501</v>
      </c>
      <c r="B63" s="6">
        <v>10</v>
      </c>
      <c r="C63" s="6">
        <v>1000000</v>
      </c>
    </row>
    <row r="64" spans="1:3">
      <c r="A64" t="s">
        <v>502</v>
      </c>
      <c r="B64" s="6">
        <v>10</v>
      </c>
      <c r="C64" s="6">
        <v>1000000</v>
      </c>
    </row>
    <row r="65" spans="1:3">
      <c r="A65" t="s">
        <v>33</v>
      </c>
      <c r="B65" s="6">
        <v>0</v>
      </c>
      <c r="C65" s="6">
        <v>0</v>
      </c>
    </row>
    <row r="66" spans="1:3">
      <c r="A66" t="s">
        <v>108</v>
      </c>
      <c r="B66" s="6">
        <v>-1</v>
      </c>
      <c r="C66" s="6">
        <v>-1</v>
      </c>
    </row>
    <row r="67" spans="1:3">
      <c r="A67" t="s">
        <v>15</v>
      </c>
      <c r="B67" s="6">
        <v>40</v>
      </c>
      <c r="C67" s="6">
        <v>30</v>
      </c>
    </row>
    <row r="68" spans="1:3">
      <c r="A68" t="s">
        <v>131</v>
      </c>
      <c r="B68" s="6">
        <v>9</v>
      </c>
      <c r="C68" s="6">
        <v>0.02</v>
      </c>
    </row>
    <row r="69" spans="1:3">
      <c r="A69" t="s">
        <v>95</v>
      </c>
      <c r="B69" s="6">
        <v>20</v>
      </c>
      <c r="C69" s="6">
        <v>2E-3</v>
      </c>
    </row>
    <row r="70" spans="1:3">
      <c r="A70" t="s">
        <v>149</v>
      </c>
      <c r="B70" s="6">
        <v>0</v>
      </c>
      <c r="C70" s="6">
        <v>0</v>
      </c>
    </row>
    <row r="71" spans="1:3">
      <c r="A71" t="s">
        <v>100</v>
      </c>
      <c r="B71" s="6">
        <v>7</v>
      </c>
      <c r="C71" s="6">
        <v>0.4</v>
      </c>
    </row>
    <row r="72" spans="1:3">
      <c r="A72" t="s">
        <v>4</v>
      </c>
      <c r="B72" s="6">
        <v>0.5</v>
      </c>
      <c r="C72" s="6">
        <v>0.5</v>
      </c>
    </row>
    <row r="73" spans="1:3">
      <c r="A73" t="s">
        <v>5</v>
      </c>
      <c r="B73" s="6">
        <v>40</v>
      </c>
      <c r="C73" s="6">
        <v>1</v>
      </c>
    </row>
    <row r="74" spans="1:3">
      <c r="A74" t="s">
        <v>84</v>
      </c>
      <c r="B74" s="6">
        <v>4</v>
      </c>
      <c r="C74" s="6">
        <v>4.0000000000000002E-4</v>
      </c>
    </row>
    <row r="75" spans="1:3">
      <c r="A75" t="s">
        <v>88</v>
      </c>
      <c r="B75" s="6">
        <v>5</v>
      </c>
      <c r="C75" s="6">
        <v>0.70000000000000007</v>
      </c>
    </row>
    <row r="76" spans="1:3">
      <c r="A76" t="s">
        <v>90</v>
      </c>
      <c r="B76" s="6">
        <v>0</v>
      </c>
      <c r="C76" s="6">
        <v>0</v>
      </c>
    </row>
    <row r="77" spans="1:3">
      <c r="A77" t="s">
        <v>91</v>
      </c>
      <c r="B77" s="6">
        <v>0</v>
      </c>
      <c r="C77" s="6">
        <v>0</v>
      </c>
    </row>
    <row r="78" spans="1:3">
      <c r="A78" t="s">
        <v>40</v>
      </c>
      <c r="B78" s="6">
        <v>0</v>
      </c>
      <c r="C78" s="6">
        <v>0</v>
      </c>
    </row>
    <row r="79" spans="1:3">
      <c r="A79" t="s">
        <v>44</v>
      </c>
      <c r="B79" s="6">
        <v>1</v>
      </c>
      <c r="C79" s="6">
        <v>0.05</v>
      </c>
    </row>
    <row r="80" spans="1:3">
      <c r="A80" t="s">
        <v>48</v>
      </c>
      <c r="B80" s="6">
        <v>0</v>
      </c>
      <c r="C80" s="6">
        <v>0</v>
      </c>
    </row>
    <row r="81" spans="1:3">
      <c r="A81" t="s">
        <v>51</v>
      </c>
      <c r="B81" s="6">
        <v>0.70000000000000007</v>
      </c>
      <c r="C81" s="6">
        <v>0.2</v>
      </c>
    </row>
    <row r="82" spans="1:3">
      <c r="A82" t="s">
        <v>56</v>
      </c>
      <c r="B82" s="6">
        <v>0</v>
      </c>
      <c r="C82" s="6">
        <v>0</v>
      </c>
    </row>
    <row r="83" spans="1:3">
      <c r="A83" t="s">
        <v>114</v>
      </c>
      <c r="B83" s="6">
        <v>-1</v>
      </c>
      <c r="C83" s="6">
        <v>-1</v>
      </c>
    </row>
    <row r="84" spans="1:3">
      <c r="A84" t="s">
        <v>126</v>
      </c>
      <c r="B84" s="6">
        <v>0</v>
      </c>
      <c r="C84" s="6">
        <v>0</v>
      </c>
    </row>
    <row r="85" spans="1:3">
      <c r="A85" t="s">
        <v>127</v>
      </c>
      <c r="B85" s="6">
        <v>40</v>
      </c>
      <c r="C85" s="6">
        <v>2</v>
      </c>
    </row>
    <row r="86" spans="1:3">
      <c r="A86" t="s">
        <v>42</v>
      </c>
      <c r="B86" s="6">
        <v>40</v>
      </c>
      <c r="C86" s="6">
        <v>0.02</v>
      </c>
    </row>
    <row r="87" spans="1:3">
      <c r="A87" t="s">
        <v>46</v>
      </c>
      <c r="B87" s="6">
        <v>0</v>
      </c>
      <c r="C87" s="6">
        <v>0</v>
      </c>
    </row>
    <row r="88" spans="1:3">
      <c r="A88" t="s">
        <v>49</v>
      </c>
      <c r="B88" s="6">
        <v>0</v>
      </c>
      <c r="C88" s="6">
        <v>0</v>
      </c>
    </row>
    <row r="89" spans="1:3">
      <c r="A89" t="s">
        <v>52</v>
      </c>
      <c r="B89" s="6">
        <v>0</v>
      </c>
      <c r="C89" s="6">
        <v>0</v>
      </c>
    </row>
    <row r="90" spans="1:3">
      <c r="A90" t="s">
        <v>54</v>
      </c>
      <c r="B90" s="6">
        <v>0</v>
      </c>
      <c r="C90" s="6">
        <v>0</v>
      </c>
    </row>
    <row r="91" spans="1:3">
      <c r="A91" t="s">
        <v>58</v>
      </c>
      <c r="B91" s="6">
        <v>0</v>
      </c>
      <c r="C91" s="6">
        <v>0</v>
      </c>
    </row>
    <row r="92" spans="1:3">
      <c r="A92" t="s">
        <v>60</v>
      </c>
      <c r="B92" s="6">
        <v>0</v>
      </c>
      <c r="C92" s="6">
        <v>0</v>
      </c>
    </row>
    <row r="93" spans="1:3">
      <c r="A93" t="s">
        <v>65</v>
      </c>
      <c r="B93" s="6">
        <v>0</v>
      </c>
      <c r="C93" s="6">
        <v>0</v>
      </c>
    </row>
    <row r="94" spans="1:3">
      <c r="A94" t="s">
        <v>125</v>
      </c>
      <c r="B94" s="6">
        <v>0</v>
      </c>
      <c r="C94" s="6">
        <v>0</v>
      </c>
    </row>
    <row r="95" spans="1:3">
      <c r="A95" t="s">
        <v>132</v>
      </c>
      <c r="B95" s="6">
        <v>30</v>
      </c>
      <c r="C95" s="6">
        <v>3.0000000000000001E-3</v>
      </c>
    </row>
    <row r="96" spans="1:3">
      <c r="A96" t="s">
        <v>97</v>
      </c>
      <c r="B96" s="6">
        <v>10</v>
      </c>
      <c r="C96" s="6">
        <v>1E-3</v>
      </c>
    </row>
    <row r="97" spans="1:3">
      <c r="A97" t="s">
        <v>99</v>
      </c>
      <c r="B97" s="6">
        <v>10</v>
      </c>
      <c r="C97" s="6">
        <v>1E-3</v>
      </c>
    </row>
    <row r="98" spans="1:3">
      <c r="A98" t="s">
        <v>101</v>
      </c>
      <c r="B98" s="6">
        <v>10</v>
      </c>
      <c r="C98" s="6">
        <v>1E-3</v>
      </c>
    </row>
    <row r="99" spans="1:3">
      <c r="A99" t="s">
        <v>103</v>
      </c>
      <c r="B99" s="6">
        <v>40</v>
      </c>
      <c r="C99" s="6">
        <v>0.06</v>
      </c>
    </row>
    <row r="100" spans="1:3">
      <c r="A100" t="s">
        <v>133</v>
      </c>
      <c r="B100" s="6">
        <v>10</v>
      </c>
      <c r="C100" s="6">
        <v>1E-3</v>
      </c>
    </row>
    <row r="101" spans="1:3">
      <c r="A101" t="s">
        <v>586</v>
      </c>
      <c r="B101" s="6">
        <v>0</v>
      </c>
      <c r="C101" s="6">
        <v>0</v>
      </c>
    </row>
    <row r="102" spans="1:3">
      <c r="A102" t="s">
        <v>71</v>
      </c>
      <c r="B102" s="6">
        <v>0.4</v>
      </c>
      <c r="C102" s="6">
        <v>7.0000000000000001E-3</v>
      </c>
    </row>
    <row r="103" spans="1:3">
      <c r="A103" t="s">
        <v>73</v>
      </c>
      <c r="B103" s="6">
        <v>0.4</v>
      </c>
      <c r="C103" s="6">
        <v>0.02</v>
      </c>
    </row>
    <row r="104" spans="1:3">
      <c r="A104" t="s">
        <v>75</v>
      </c>
      <c r="B104" s="6">
        <v>0.2</v>
      </c>
      <c r="C104" s="6">
        <v>4.0000000000000001E-3</v>
      </c>
    </row>
    <row r="105" spans="1:3">
      <c r="A105" t="s">
        <v>76</v>
      </c>
      <c r="B105" s="6">
        <v>0.2</v>
      </c>
      <c r="C105" s="6">
        <v>3.0000000000000001E-3</v>
      </c>
    </row>
    <row r="106" spans="1:3">
      <c r="A106" t="s">
        <v>81</v>
      </c>
      <c r="B106" s="6">
        <v>0.60000000000000009</v>
      </c>
      <c r="C106" s="6">
        <v>0.02</v>
      </c>
    </row>
    <row r="107" spans="1:3">
      <c r="A107" t="s">
        <v>19</v>
      </c>
      <c r="B107" s="6">
        <v>0.5</v>
      </c>
      <c r="C107" s="6">
        <v>0.5</v>
      </c>
    </row>
    <row r="108" spans="1:3">
      <c r="A108" t="s">
        <v>113</v>
      </c>
      <c r="B108" s="6">
        <v>0</v>
      </c>
      <c r="C108" s="6">
        <v>0</v>
      </c>
    </row>
    <row r="109" spans="1:3">
      <c r="A109" t="s">
        <v>24</v>
      </c>
      <c r="B109" s="6">
        <v>2</v>
      </c>
      <c r="C109" s="6">
        <v>2</v>
      </c>
    </row>
    <row r="110" spans="1:3">
      <c r="A110" t="s">
        <v>61</v>
      </c>
      <c r="B110" s="6">
        <v>0</v>
      </c>
      <c r="C110" s="6">
        <v>0</v>
      </c>
    </row>
    <row r="111" spans="1:3">
      <c r="A111" t="s">
        <v>63</v>
      </c>
      <c r="B111" s="6">
        <v>0</v>
      </c>
      <c r="C111" s="6">
        <v>0</v>
      </c>
    </row>
    <row r="112" spans="1:3">
      <c r="A112" t="s">
        <v>66</v>
      </c>
      <c r="B112" s="6">
        <v>0</v>
      </c>
      <c r="C112" s="6">
        <v>0</v>
      </c>
    </row>
    <row r="113" spans="1:3">
      <c r="A113" t="s">
        <v>68</v>
      </c>
      <c r="B113" s="6">
        <v>0</v>
      </c>
      <c r="C113" s="6">
        <v>0</v>
      </c>
    </row>
    <row r="114" spans="1:3">
      <c r="A114" t="s">
        <v>70</v>
      </c>
      <c r="B114" s="6">
        <v>0.30000000000000004</v>
      </c>
      <c r="C114" s="6">
        <v>4.0000000000000001E-3</v>
      </c>
    </row>
    <row r="115" spans="1:3">
      <c r="A115" t="s">
        <v>112</v>
      </c>
      <c r="B115" s="6">
        <v>0.2</v>
      </c>
      <c r="C115" s="6">
        <v>0.2</v>
      </c>
    </row>
    <row r="116" spans="1:3">
      <c r="A116" t="s">
        <v>6</v>
      </c>
      <c r="B116" s="6">
        <v>40</v>
      </c>
      <c r="C116" s="6">
        <v>3</v>
      </c>
    </row>
    <row r="117" spans="1:3">
      <c r="A117" t="s">
        <v>117</v>
      </c>
      <c r="B117" s="6">
        <v>2</v>
      </c>
      <c r="C117" s="6">
        <v>1</v>
      </c>
    </row>
    <row r="118" spans="1:3">
      <c r="A118" t="s">
        <v>121</v>
      </c>
      <c r="B118" s="6">
        <v>0.4</v>
      </c>
      <c r="C118" s="6">
        <v>0.4</v>
      </c>
    </row>
    <row r="119" spans="1:3">
      <c r="A119" t="s">
        <v>120</v>
      </c>
      <c r="B119" s="6">
        <v>0</v>
      </c>
      <c r="C119" s="6">
        <v>0</v>
      </c>
    </row>
    <row r="120" spans="1:3">
      <c r="A120" t="s">
        <v>109</v>
      </c>
      <c r="B120" s="6">
        <v>40</v>
      </c>
      <c r="C120" s="6">
        <v>2</v>
      </c>
    </row>
    <row r="121" spans="1:3">
      <c r="A121" t="s">
        <v>147</v>
      </c>
      <c r="B121" s="6">
        <v>0</v>
      </c>
      <c r="C121" s="6">
        <v>0</v>
      </c>
    </row>
    <row r="122" spans="1:3">
      <c r="A122" t="s">
        <v>148</v>
      </c>
      <c r="B122" s="6">
        <v>-1</v>
      </c>
      <c r="C122" s="6">
        <v>-1</v>
      </c>
    </row>
    <row r="123" spans="1:3">
      <c r="A123" t="s">
        <v>34</v>
      </c>
      <c r="B123" s="6">
        <v>0</v>
      </c>
      <c r="C123" s="6">
        <v>0</v>
      </c>
    </row>
    <row r="124" spans="1:3">
      <c r="A124" t="s">
        <v>128</v>
      </c>
      <c r="B124" s="6">
        <v>40</v>
      </c>
      <c r="C124" s="6">
        <v>10</v>
      </c>
    </row>
    <row r="125" spans="1:3">
      <c r="A125" t="s">
        <v>146</v>
      </c>
      <c r="B125" s="6">
        <v>0</v>
      </c>
      <c r="C125" s="6">
        <v>0</v>
      </c>
    </row>
    <row r="126" spans="1:3">
      <c r="A126" t="s">
        <v>116</v>
      </c>
      <c r="B126" s="6">
        <v>40</v>
      </c>
      <c r="C126" s="6">
        <v>0.9</v>
      </c>
    </row>
    <row r="127" spans="1:3">
      <c r="A127" t="s">
        <v>119</v>
      </c>
      <c r="B127" s="6">
        <v>0.60000000000000009</v>
      </c>
      <c r="C127" s="6">
        <v>0.4</v>
      </c>
    </row>
    <row r="128" spans="1:3">
      <c r="A128" t="s">
        <v>21</v>
      </c>
      <c r="B128" s="6">
        <v>0.30000000000000004</v>
      </c>
      <c r="C128" s="6">
        <v>0.30000000000000004</v>
      </c>
    </row>
    <row r="129" spans="1:3">
      <c r="A129" t="s">
        <v>22</v>
      </c>
      <c r="B129" s="6">
        <v>40</v>
      </c>
      <c r="C129" s="6">
        <v>0.9</v>
      </c>
    </row>
    <row r="130" spans="1:3">
      <c r="A130" t="s">
        <v>23</v>
      </c>
      <c r="B130" s="6">
        <v>10</v>
      </c>
      <c r="C130" s="6">
        <v>4</v>
      </c>
    </row>
    <row r="131" spans="1:3">
      <c r="A131" t="s">
        <v>118</v>
      </c>
      <c r="B131" s="6">
        <v>20</v>
      </c>
      <c r="C131" s="6">
        <v>0.9</v>
      </c>
    </row>
    <row r="132" spans="1:3">
      <c r="A132" t="s">
        <v>77</v>
      </c>
      <c r="B132" s="6">
        <v>10</v>
      </c>
      <c r="C132" s="6">
        <v>5.0000000000000001E-3</v>
      </c>
    </row>
    <row r="133" spans="1:3">
      <c r="A133" t="s">
        <v>79</v>
      </c>
      <c r="B133" s="6">
        <v>0.5</v>
      </c>
      <c r="C133" s="6">
        <v>1E-3</v>
      </c>
    </row>
    <row r="134" spans="1:3">
      <c r="A134" t="s">
        <v>82</v>
      </c>
      <c r="B134" s="6">
        <v>5</v>
      </c>
      <c r="C134" s="6">
        <v>5.0000000000000001E-4</v>
      </c>
    </row>
    <row r="135" spans="1:3">
      <c r="A135" t="s">
        <v>83</v>
      </c>
      <c r="B135" s="6">
        <v>10</v>
      </c>
      <c r="C135" s="6">
        <v>1E-3</v>
      </c>
    </row>
    <row r="136" spans="1:3">
      <c r="A136" t="s">
        <v>85</v>
      </c>
      <c r="B136" s="6">
        <v>40</v>
      </c>
      <c r="C136" s="6">
        <v>0.02</v>
      </c>
    </row>
    <row r="137" spans="1:3">
      <c r="A137" t="s">
        <v>86</v>
      </c>
      <c r="B137" s="6">
        <v>-1</v>
      </c>
      <c r="C137" s="6">
        <v>-1</v>
      </c>
    </row>
    <row r="138" spans="1:3">
      <c r="A138" t="s">
        <v>92</v>
      </c>
      <c r="B138" s="6">
        <v>0.30000000000000004</v>
      </c>
      <c r="C138" s="6">
        <v>0.30000000000000004</v>
      </c>
    </row>
    <row r="139" spans="1:3">
      <c r="A139" t="s">
        <v>37</v>
      </c>
      <c r="B139" s="6">
        <v>0</v>
      </c>
      <c r="C139" s="6">
        <v>0</v>
      </c>
    </row>
    <row r="140" spans="1:3">
      <c r="A140" t="s">
        <v>38</v>
      </c>
      <c r="B140" s="6">
        <v>0</v>
      </c>
      <c r="C140" s="6">
        <v>0</v>
      </c>
    </row>
    <row r="141" spans="1:3">
      <c r="A141" t="s">
        <v>39</v>
      </c>
      <c r="B141" s="6">
        <v>0</v>
      </c>
      <c r="C141" s="6">
        <v>0</v>
      </c>
    </row>
    <row r="142" spans="1:3">
      <c r="A142" t="s">
        <v>41</v>
      </c>
      <c r="B142" s="6">
        <v>0</v>
      </c>
      <c r="C142" s="6">
        <v>0</v>
      </c>
    </row>
    <row r="143" spans="1:3">
      <c r="A143" t="s">
        <v>45</v>
      </c>
      <c r="B143" s="6">
        <v>0</v>
      </c>
      <c r="C143" s="6">
        <v>0</v>
      </c>
    </row>
    <row r="144" spans="1:3">
      <c r="A144" t="s">
        <v>107</v>
      </c>
      <c r="B144" s="6">
        <v>10</v>
      </c>
      <c r="C144" s="6">
        <v>1E-3</v>
      </c>
    </row>
    <row r="145" spans="1:3">
      <c r="A145" t="s">
        <v>87</v>
      </c>
      <c r="B145" s="6">
        <v>40</v>
      </c>
      <c r="C145" s="6">
        <v>6.0000000000000001E-3</v>
      </c>
    </row>
    <row r="146" spans="1:3">
      <c r="A146" t="s">
        <v>89</v>
      </c>
      <c r="B146" s="6">
        <v>40</v>
      </c>
      <c r="C146" s="6">
        <v>6.0000000000000001E-3</v>
      </c>
    </row>
    <row r="147" spans="1:3">
      <c r="A147" t="s">
        <v>93</v>
      </c>
      <c r="B147" s="6">
        <v>-1</v>
      </c>
      <c r="C147" s="6">
        <v>-1</v>
      </c>
    </row>
    <row r="148" spans="1:3">
      <c r="A148" t="s">
        <v>94</v>
      </c>
      <c r="B148" s="6">
        <v>40</v>
      </c>
      <c r="C148" s="6">
        <v>6.0000000000000001E-3</v>
      </c>
    </row>
    <row r="149" spans="1:3">
      <c r="A149" t="s">
        <v>96</v>
      </c>
      <c r="B149" s="6">
        <v>0</v>
      </c>
      <c r="C149" s="6">
        <v>0</v>
      </c>
    </row>
    <row r="150" spans="1:3">
      <c r="A150" t="s">
        <v>98</v>
      </c>
      <c r="B150" s="6">
        <v>-1</v>
      </c>
      <c r="C150" s="6">
        <v>-1</v>
      </c>
    </row>
    <row r="151" spans="1:3">
      <c r="A151" t="s">
        <v>29</v>
      </c>
      <c r="B151" s="6">
        <v>40</v>
      </c>
      <c r="C151" s="6">
        <v>40</v>
      </c>
    </row>
    <row r="152" spans="1:3">
      <c r="A152" t="s">
        <v>20</v>
      </c>
      <c r="B152" s="6">
        <v>0.30000000000000004</v>
      </c>
      <c r="C152" s="6">
        <v>0.30000000000000004</v>
      </c>
    </row>
    <row r="153" spans="1:3">
      <c r="A153" t="s">
        <v>143</v>
      </c>
      <c r="B153" s="6">
        <v>0</v>
      </c>
      <c r="C153" s="6">
        <v>0</v>
      </c>
    </row>
    <row r="154" spans="1:3">
      <c r="A154" t="s">
        <v>17</v>
      </c>
      <c r="B154" s="6">
        <v>2</v>
      </c>
      <c r="C154" s="6">
        <v>2</v>
      </c>
    </row>
    <row r="155" spans="1:3">
      <c r="A155" t="s">
        <v>110</v>
      </c>
      <c r="B155" s="6">
        <v>-1</v>
      </c>
      <c r="C155" s="6">
        <v>-1</v>
      </c>
    </row>
    <row r="156" spans="1:3">
      <c r="A156" t="s">
        <v>784</v>
      </c>
      <c r="B156" s="6">
        <v>2</v>
      </c>
      <c r="C156" s="6">
        <v>0.8</v>
      </c>
    </row>
  </sheetData>
  <autoFilter ref="A1:C156" xr:uid="{00000000-0001-0000-0800-000000000000}">
    <sortState xmlns:xlrd2="http://schemas.microsoft.com/office/spreadsheetml/2017/richdata2" ref="A2:C156">
      <sortCondition ref="A1:A156"/>
    </sortState>
  </autoFilter>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2:B11"/>
  <sheetViews>
    <sheetView workbookViewId="0">
      <selection sqref="A1:B11"/>
    </sheetView>
  </sheetViews>
  <sheetFormatPr defaultRowHeight="15"/>
  <cols>
    <col min="1" max="1" width="18.5703125" bestFit="1" customWidth="1"/>
    <col min="2" max="2" width="11" bestFit="1" customWidth="1"/>
  </cols>
  <sheetData>
    <row r="2" spans="1:2">
      <c r="A2" t="s">
        <v>798</v>
      </c>
      <c r="B2">
        <v>365.25</v>
      </c>
    </row>
    <row r="3" spans="1:2">
      <c r="A3" t="s">
        <v>799</v>
      </c>
      <c r="B3">
        <v>24</v>
      </c>
    </row>
    <row r="4" spans="1:2">
      <c r="A4" t="s">
        <v>800</v>
      </c>
      <c r="B4">
        <v>60</v>
      </c>
    </row>
    <row r="5" spans="1:2">
      <c r="A5" t="s">
        <v>801</v>
      </c>
      <c r="B5">
        <v>60</v>
      </c>
    </row>
    <row r="7" spans="1:2">
      <c r="B7" t="s">
        <v>805</v>
      </c>
    </row>
    <row r="8" spans="1:2">
      <c r="A8" t="s">
        <v>802</v>
      </c>
      <c r="B8">
        <f>PRODUCT(B2:$B$5)</f>
        <v>31557600</v>
      </c>
    </row>
    <row r="9" spans="1:2">
      <c r="A9" t="s">
        <v>803</v>
      </c>
      <c r="B9">
        <f>PRODUCT(B3:$B$5)</f>
        <v>86400</v>
      </c>
    </row>
    <row r="10" spans="1:2">
      <c r="A10" t="s">
        <v>804</v>
      </c>
      <c r="B10">
        <f>PRODUCT(B4:$B$5)</f>
        <v>3600</v>
      </c>
    </row>
    <row r="11" spans="1:2">
      <c r="A11" t="s">
        <v>806</v>
      </c>
      <c r="B11">
        <f>PRODUCT(B5:$B$5)</f>
        <v>60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11</vt:i4>
      </vt:variant>
    </vt:vector>
  </HeadingPairs>
  <TitlesOfParts>
    <vt:vector size="20" baseType="lpstr">
      <vt:lpstr>RTZLib</vt:lpstr>
      <vt:lpstr>RTZCode</vt:lpstr>
      <vt:lpstr>NUDAT Lambda</vt:lpstr>
      <vt:lpstr>ICRP68inh</vt:lpstr>
      <vt:lpstr>ICRP68ing</vt:lpstr>
      <vt:lpstr>ICRP72ing</vt:lpstr>
      <vt:lpstr>ICRP72inh</vt:lpstr>
      <vt:lpstr>AValues</vt:lpstr>
      <vt:lpstr>Conversions</vt:lpstr>
      <vt:lpstr>_68ing</vt:lpstr>
      <vt:lpstr>_68inh</vt:lpstr>
      <vt:lpstr>_72ing</vt:lpstr>
      <vt:lpstr>_72inh</vt:lpstr>
      <vt:lpstr>_lambda</vt:lpstr>
      <vt:lpstr>_RTZData</vt:lpstr>
      <vt:lpstr>A1A2</vt:lpstr>
      <vt:lpstr>ICRP72ing!I72_Ing_1</vt:lpstr>
      <vt:lpstr>ICRP72inh!I72_Inh_2</vt:lpstr>
      <vt:lpstr>ICRP68ing!Table_A11</vt:lpstr>
      <vt:lpstr>ICRP68inh!Table_A11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Jamie.Prowse</dc:creator>
  <cp:lastModifiedBy>Jamie Prowse</cp:lastModifiedBy>
  <cp:lastPrinted>2014-04-22T14:36:20Z</cp:lastPrinted>
  <dcterms:created xsi:type="dcterms:W3CDTF">2014-02-24T17:31:08Z</dcterms:created>
  <dcterms:modified xsi:type="dcterms:W3CDTF">2024-12-24T18:36:51Z</dcterms:modified>
</cp:coreProperties>
</file>