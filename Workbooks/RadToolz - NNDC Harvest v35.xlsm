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hidePivotFieldList="1" defaultThemeVersion="124226"/>
  <mc:AlternateContent xmlns:mc="http://schemas.openxmlformats.org/markup-compatibility/2006">
    <mc:Choice Requires="x15">
      <x15ac:absPath xmlns:x15ac="http://schemas.microsoft.com/office/spreadsheetml/2010/11/ac" url="C:\Users\Jamie\Documents\Visual Studio 2022\Projects\RadToolz\Workbooks\"/>
    </mc:Choice>
  </mc:AlternateContent>
  <xr:revisionPtr revIDLastSave="0" documentId="13_ncr:1_{995DF1A6-18C2-4F08-A0F8-B7E4148BE011}" xr6:coauthVersionLast="47" xr6:coauthVersionMax="47" xr10:uidLastSave="{00000000-0000-0000-0000-000000000000}"/>
  <bookViews>
    <workbookView xWindow="-28920" yWindow="-180" windowWidth="29040" windowHeight="16440" xr2:uid="{00000000-000D-0000-FFFF-FFFF00000000}"/>
  </bookViews>
  <sheets>
    <sheet name="RTZLib" sheetId="12" r:id="rId1"/>
    <sheet name="Sheet1" sheetId="13" r:id="rId2"/>
  </sheets>
  <externalReferences>
    <externalReference r:id="rId3"/>
  </externalReferences>
  <definedNames>
    <definedName name="_68ing">#REF!</definedName>
    <definedName name="_68inh">#REF!</definedName>
    <definedName name="_72ing">#REF!</definedName>
    <definedName name="_72inh">#REF!</definedName>
    <definedName name="_DCF">#REF!</definedName>
    <definedName name="_xlnm._FilterDatabase" localSheetId="0" hidden="1">RTZLib!$A$1:$S$181</definedName>
    <definedName name="_RTZData">RTZLib!$A$2:$S$176</definedName>
    <definedName name="A1A2">#REF!</definedName>
    <definedName name="dcf_data">#REF!</definedName>
    <definedName name="DCF_Pu239_ICRP30">#REF!</definedName>
    <definedName name="DCF_Pu239_ICRP68m">#REF!</definedName>
    <definedName name="DCF_Pu239_ICRP72m">#REF!</definedName>
    <definedName name="HE_Control_Type_MA">'[1]Control Type - MA'!$A$1:$M$71</definedName>
    <definedName name="HE_Control_Type_ME">'[1]Control Type - ME'!$A$1:$M$71</definedName>
    <definedName name="HE_Control_Type_PA">'[1]Control Type - PA'!$A$1:$M$71</definedName>
    <definedName name="HE_Control_Type_PE">'[1]Control Type - PE'!$A$1:$M$71</definedName>
    <definedName name="HE_DR_Basis">'[1]HE Mitigated DR Basis'!$A$1:$L$125</definedName>
    <definedName name="HE_Gen_Comment">'[1]HE General Comments'!$A$1:$L$37</definedName>
    <definedName name="HE_MAR_Basis">'[1]HE MAR Basis'!$A$1:$L$71</definedName>
    <definedName name="HE_TABLE">'[1]Hazard Evaluation'!$A$7:$AN$184</definedName>
    <definedName name="HEPA_Filter_Efficiency">#REF!</definedName>
    <definedName name="ICRP68">#REF!</definedName>
    <definedName name="ICRP72">#REF!</definedName>
    <definedName name="nndc">#REF!</definedName>
    <definedName name="Ref_ARFxRF_Values">'[1]ARF RF Basis'!$A$17:$C$102</definedName>
    <definedName name="Ref_BR">'[1]ARF RF Basis'!$C$3</definedName>
    <definedName name="Ref_DCF_Values">#REF!</definedName>
    <definedName name="Ref_XoverQ">'[1]ARF RF Basis'!$A$8:$E$11</definedName>
  </definedNames>
  <calcPr calcId="191029"/>
</workbook>
</file>

<file path=xl/calcChain.xml><?xml version="1.0" encoding="utf-8"?>
<calcChain xmlns="http://schemas.openxmlformats.org/spreadsheetml/2006/main">
  <c r="C104" i="12" l="1"/>
  <c r="C113" i="12"/>
  <c r="C92" i="12"/>
  <c r="C81" i="12"/>
  <c r="C18" i="12"/>
  <c r="C89" i="12"/>
  <c r="D89" i="12" s="1"/>
  <c r="E89" i="12" s="1"/>
  <c r="C78" i="12"/>
  <c r="C14" i="12"/>
  <c r="C85" i="12"/>
  <c r="C75" i="12"/>
  <c r="C11" i="12"/>
  <c r="C110" i="12"/>
  <c r="D110" i="12" s="1"/>
  <c r="E110" i="12" s="1"/>
  <c r="C142" i="12"/>
  <c r="C138" i="12"/>
  <c r="C26" i="12"/>
  <c r="C32" i="12"/>
  <c r="C98" i="12"/>
  <c r="C5" i="12"/>
  <c r="D5" i="12" s="1"/>
  <c r="E5" i="12" s="1"/>
  <c r="C68" i="12"/>
  <c r="C74" i="12"/>
  <c r="C144" i="12"/>
  <c r="C133" i="12"/>
  <c r="C103" i="12"/>
  <c r="C2" i="12"/>
  <c r="D2" i="12" s="1"/>
  <c r="E2" i="12" s="1"/>
  <c r="C49" i="12"/>
  <c r="C10" i="12"/>
  <c r="C17" i="12"/>
  <c r="C141" i="12"/>
  <c r="C77" i="12"/>
  <c r="C148" i="12"/>
  <c r="D148" i="12" s="1"/>
  <c r="E148" i="12" s="1"/>
  <c r="C109" i="12"/>
  <c r="C88" i="12"/>
  <c r="C31" i="12"/>
  <c r="C97" i="12"/>
  <c r="C147" i="12"/>
  <c r="C136" i="12"/>
  <c r="D136" i="12" s="1"/>
  <c r="E136" i="12" s="1"/>
  <c r="C105" i="12"/>
  <c r="C4" i="12"/>
  <c r="C132" i="12"/>
  <c r="C102" i="12"/>
  <c r="C112" i="12"/>
  <c r="C91" i="12"/>
  <c r="D91" i="12" s="1"/>
  <c r="E91" i="12" s="1"/>
  <c r="C80" i="12"/>
  <c r="C16" i="12"/>
  <c r="C87" i="12"/>
  <c r="C140" i="12"/>
  <c r="C27" i="12"/>
  <c r="C34" i="12"/>
  <c r="D34" i="12" s="1"/>
  <c r="E34" i="12" s="1"/>
  <c r="C100" i="12"/>
  <c r="C8" i="12"/>
  <c r="C70" i="12"/>
  <c r="C96" i="12"/>
  <c r="C146" i="12"/>
  <c r="C135" i="12"/>
  <c r="D135" i="12" s="1"/>
  <c r="E135" i="12" s="1"/>
  <c r="C73" i="12"/>
  <c r="C3" i="12"/>
  <c r="C131" i="12"/>
  <c r="C101" i="12"/>
  <c r="C111" i="12"/>
  <c r="C90" i="12"/>
  <c r="D90" i="12" s="1"/>
  <c r="E90" i="12" s="1"/>
  <c r="C79" i="12"/>
  <c r="C15" i="12"/>
  <c r="C139" i="12"/>
  <c r="C50" i="12"/>
  <c r="C9" i="12"/>
  <c r="C86" i="12"/>
  <c r="D86" i="12" s="1"/>
  <c r="E86" i="12" s="1"/>
  <c r="C30" i="12"/>
  <c r="C6" i="12"/>
  <c r="C29" i="12"/>
  <c r="C95" i="12"/>
  <c r="C7" i="12"/>
  <c r="C69" i="12"/>
  <c r="D69" i="12" s="1"/>
  <c r="E69" i="12" s="1"/>
  <c r="C67" i="12"/>
  <c r="C94" i="12"/>
  <c r="C143" i="12"/>
  <c r="C12" i="12"/>
  <c r="C19" i="12"/>
  <c r="C45" i="12"/>
  <c r="D45" i="12" s="1"/>
  <c r="E45" i="12" s="1"/>
  <c r="C44" i="12"/>
  <c r="C43" i="12"/>
  <c r="C51" i="12"/>
  <c r="C122" i="12"/>
  <c r="C64" i="12"/>
  <c r="C123" i="12"/>
  <c r="D123" i="12" s="1"/>
  <c r="E123" i="12" s="1"/>
  <c r="C84" i="12"/>
  <c r="C121" i="12"/>
  <c r="C83" i="12"/>
  <c r="C120" i="12"/>
  <c r="C25" i="12"/>
  <c r="C93" i="12"/>
  <c r="D93" i="12" s="1"/>
  <c r="E93" i="12" s="1"/>
  <c r="C40" i="12"/>
  <c r="C13" i="12"/>
  <c r="C39" i="12"/>
  <c r="C38" i="12"/>
  <c r="C57" i="12"/>
  <c r="C150" i="12"/>
  <c r="D150" i="12" s="1"/>
  <c r="E150" i="12" s="1"/>
  <c r="C56" i="12"/>
  <c r="C117" i="12"/>
  <c r="C118" i="12"/>
  <c r="C126" i="12"/>
  <c r="C55" i="12"/>
  <c r="C116" i="12"/>
  <c r="D116" i="12" s="1"/>
  <c r="E116" i="12" s="1"/>
  <c r="C130" i="12"/>
  <c r="C54" i="12"/>
  <c r="C53" i="12"/>
  <c r="C124" i="12"/>
  <c r="C125" i="12"/>
  <c r="C23" i="12"/>
  <c r="D23" i="12" s="1"/>
  <c r="E23" i="12" s="1"/>
  <c r="C24" i="12"/>
  <c r="C82" i="12"/>
  <c r="C114" i="12"/>
  <c r="C107" i="12"/>
  <c r="C108" i="12"/>
  <c r="C128" i="12"/>
  <c r="D128" i="12" s="1"/>
  <c r="E128" i="12" s="1"/>
  <c r="C129" i="12"/>
  <c r="C155" i="12"/>
  <c r="C154" i="12"/>
  <c r="C63" i="12"/>
  <c r="C61" i="12"/>
  <c r="C62" i="12"/>
  <c r="D62" i="12" s="1"/>
  <c r="E62" i="12" s="1"/>
  <c r="C127" i="12"/>
  <c r="C151" i="12"/>
  <c r="C106" i="12"/>
  <c r="C58" i="12"/>
  <c r="C119" i="12"/>
  <c r="C153" i="12"/>
  <c r="D153" i="12" s="1"/>
  <c r="E153" i="12" s="1"/>
  <c r="C42" i="12"/>
  <c r="D42" i="12" s="1"/>
  <c r="E42" i="12" s="1"/>
  <c r="C66" i="12"/>
  <c r="C36" i="12"/>
  <c r="C41" i="12"/>
  <c r="C65" i="12"/>
  <c r="C48" i="12"/>
  <c r="D48" i="12" s="1"/>
  <c r="E48" i="12" s="1"/>
  <c r="C152" i="12"/>
  <c r="D152" i="12" s="1"/>
  <c r="E152" i="12" s="1"/>
  <c r="C35" i="12"/>
  <c r="C47" i="12"/>
  <c r="C59" i="12"/>
  <c r="C37" i="12"/>
  <c r="C21" i="12"/>
  <c r="D21" i="12" s="1"/>
  <c r="E21" i="12" s="1"/>
  <c r="C28" i="12"/>
  <c r="D28" i="12" s="1"/>
  <c r="E28" i="12" s="1"/>
  <c r="C115" i="12"/>
  <c r="C72" i="12"/>
  <c r="C71" i="12"/>
  <c r="C60" i="12"/>
  <c r="C20" i="12"/>
  <c r="D20" i="12" s="1"/>
  <c r="E20" i="12" s="1"/>
  <c r="C52" i="12"/>
  <c r="D52" i="12" s="1"/>
  <c r="E52" i="12" s="1"/>
  <c r="C22" i="12"/>
  <c r="C46" i="12"/>
  <c r="C99" i="12"/>
  <c r="C149" i="12"/>
  <c r="C137" i="12"/>
  <c r="D137" i="12" s="1"/>
  <c r="E137" i="12" s="1"/>
  <c r="C76" i="12"/>
  <c r="D76" i="12" s="1"/>
  <c r="E76" i="12" s="1"/>
  <c r="C145" i="12"/>
  <c r="C134" i="12"/>
  <c r="D134" i="12" s="1"/>
  <c r="E134" i="12" s="1"/>
  <c r="C33" i="12"/>
  <c r="B99" i="12"/>
  <c r="B149" i="12"/>
  <c r="B137" i="12"/>
  <c r="B76" i="12"/>
  <c r="B145" i="12"/>
  <c r="B134" i="12"/>
  <c r="B104" i="12"/>
  <c r="B113" i="12"/>
  <c r="B92" i="12"/>
  <c r="B81" i="12"/>
  <c r="B18" i="12"/>
  <c r="B89" i="12"/>
  <c r="B78" i="12"/>
  <c r="B14" i="12"/>
  <c r="B85" i="12"/>
  <c r="B75" i="12"/>
  <c r="B11" i="12"/>
  <c r="B110" i="12"/>
  <c r="B142" i="12"/>
  <c r="B138" i="12"/>
  <c r="B26" i="12"/>
  <c r="B32" i="12"/>
  <c r="B98" i="12"/>
  <c r="B5" i="12"/>
  <c r="B68" i="12"/>
  <c r="B74" i="12"/>
  <c r="B144" i="12"/>
  <c r="B133" i="12"/>
  <c r="B103" i="12"/>
  <c r="B2" i="12"/>
  <c r="B49" i="12"/>
  <c r="B10" i="12"/>
  <c r="B17" i="12"/>
  <c r="B141" i="12"/>
  <c r="B77" i="12"/>
  <c r="B148" i="12"/>
  <c r="B109" i="12"/>
  <c r="B88" i="12"/>
  <c r="B31" i="12"/>
  <c r="B97" i="12"/>
  <c r="B147" i="12"/>
  <c r="B136" i="12"/>
  <c r="B105" i="12"/>
  <c r="B4" i="12"/>
  <c r="B132" i="12"/>
  <c r="B102" i="12"/>
  <c r="B112" i="12"/>
  <c r="B91" i="12"/>
  <c r="B80" i="12"/>
  <c r="B16" i="12"/>
  <c r="B87" i="12"/>
  <c r="B140" i="12"/>
  <c r="B27" i="12"/>
  <c r="B34" i="12"/>
  <c r="B100" i="12"/>
  <c r="B8" i="12"/>
  <c r="B70" i="12"/>
  <c r="B96" i="12"/>
  <c r="B146" i="12"/>
  <c r="B135" i="12"/>
  <c r="B73" i="12"/>
  <c r="B3" i="12"/>
  <c r="B131" i="12"/>
  <c r="B101" i="12"/>
  <c r="B111" i="12"/>
  <c r="B90" i="12"/>
  <c r="B79" i="12"/>
  <c r="B15" i="12"/>
  <c r="B139" i="12"/>
  <c r="B50" i="12"/>
  <c r="B9" i="12"/>
  <c r="B86" i="12"/>
  <c r="B30" i="12"/>
  <c r="B6" i="12"/>
  <c r="B29" i="12"/>
  <c r="B95" i="12"/>
  <c r="B7" i="12"/>
  <c r="B69" i="12"/>
  <c r="B67" i="12"/>
  <c r="B94" i="12"/>
  <c r="B143" i="12"/>
  <c r="B12" i="12"/>
  <c r="B19" i="12"/>
  <c r="B45" i="12"/>
  <c r="B44" i="12"/>
  <c r="B43" i="12"/>
  <c r="B51" i="12"/>
  <c r="B122" i="12"/>
  <c r="B64" i="12"/>
  <c r="B123" i="12"/>
  <c r="B84" i="12"/>
  <c r="B121" i="12"/>
  <c r="B83" i="12"/>
  <c r="B120" i="12"/>
  <c r="B25" i="12"/>
  <c r="B93" i="12"/>
  <c r="B40" i="12"/>
  <c r="B13" i="12"/>
  <c r="B39" i="12"/>
  <c r="B38" i="12"/>
  <c r="B57" i="12"/>
  <c r="B150" i="12"/>
  <c r="B56" i="12"/>
  <c r="B117" i="12"/>
  <c r="B118" i="12"/>
  <c r="B126" i="12"/>
  <c r="B55" i="12"/>
  <c r="B116" i="12"/>
  <c r="B130" i="12"/>
  <c r="B54" i="12"/>
  <c r="B53" i="12"/>
  <c r="B124" i="12"/>
  <c r="B125" i="12"/>
  <c r="B23" i="12"/>
  <c r="B24" i="12"/>
  <c r="B82" i="12"/>
  <c r="B114" i="12"/>
  <c r="B107" i="12"/>
  <c r="B108" i="12"/>
  <c r="B128" i="12"/>
  <c r="B129" i="12"/>
  <c r="B155" i="12"/>
  <c r="B154" i="12"/>
  <c r="B63" i="12"/>
  <c r="B61" i="12"/>
  <c r="B62" i="12"/>
  <c r="B127" i="12"/>
  <c r="B151" i="12"/>
  <c r="B106" i="12"/>
  <c r="B58" i="12"/>
  <c r="B119" i="12"/>
  <c r="B153" i="12"/>
  <c r="B42" i="12"/>
  <c r="B66" i="12"/>
  <c r="B36" i="12"/>
  <c r="B41" i="12"/>
  <c r="B65" i="12"/>
  <c r="B48" i="12"/>
  <c r="B152" i="12"/>
  <c r="B35" i="12"/>
  <c r="B47" i="12"/>
  <c r="B59" i="12"/>
  <c r="B37" i="12"/>
  <c r="B21" i="12"/>
  <c r="B28" i="12"/>
  <c r="B115" i="12"/>
  <c r="B72" i="12"/>
  <c r="B71" i="12"/>
  <c r="B60" i="12"/>
  <c r="B20" i="12"/>
  <c r="B52" i="12"/>
  <c r="B22" i="12"/>
  <c r="B46" i="12"/>
  <c r="B33" i="12"/>
  <c r="D149" i="12" l="1"/>
  <c r="E149" i="12" s="1"/>
  <c r="D60" i="12"/>
  <c r="E60" i="12" s="1"/>
  <c r="D37" i="12"/>
  <c r="E37" i="12" s="1"/>
  <c r="D65" i="12"/>
  <c r="E65" i="12" s="1"/>
  <c r="D119" i="12"/>
  <c r="E119" i="12" s="1"/>
  <c r="D61" i="12"/>
  <c r="E61" i="12" s="1"/>
  <c r="D108" i="12"/>
  <c r="E108" i="12" s="1"/>
  <c r="D125" i="12"/>
  <c r="E125" i="12" s="1"/>
  <c r="D55" i="12"/>
  <c r="E55" i="12" s="1"/>
  <c r="D57" i="12"/>
  <c r="E57" i="12" s="1"/>
  <c r="D25" i="12"/>
  <c r="E25" i="12" s="1"/>
  <c r="D64" i="12"/>
  <c r="E64" i="12" s="1"/>
  <c r="D19" i="12"/>
  <c r="E19" i="12" s="1"/>
  <c r="D7" i="12"/>
  <c r="E7" i="12" s="1"/>
  <c r="D9" i="12"/>
  <c r="E9" i="12" s="1"/>
  <c r="D111" i="12"/>
  <c r="E111" i="12" s="1"/>
  <c r="D146" i="12"/>
  <c r="E146" i="12" s="1"/>
  <c r="D27" i="12"/>
  <c r="E27" i="12" s="1"/>
  <c r="D112" i="12"/>
  <c r="E112" i="12" s="1"/>
  <c r="D147" i="12"/>
  <c r="E147" i="12" s="1"/>
  <c r="D77" i="12"/>
  <c r="E77" i="12" s="1"/>
  <c r="D103" i="12"/>
  <c r="E103" i="12" s="1"/>
  <c r="D98" i="12"/>
  <c r="E98" i="12" s="1"/>
  <c r="D11" i="12"/>
  <c r="E11" i="12" s="1"/>
  <c r="D18" i="12"/>
  <c r="E18" i="12" s="1"/>
  <c r="D33" i="12"/>
  <c r="E33" i="12" s="1"/>
  <c r="D99" i="12"/>
  <c r="E99" i="12" s="1"/>
  <c r="D71" i="12"/>
  <c r="E71" i="12" s="1"/>
  <c r="D59" i="12"/>
  <c r="E59" i="12" s="1"/>
  <c r="D41" i="12"/>
  <c r="E41" i="12" s="1"/>
  <c r="D58" i="12"/>
  <c r="E58" i="12" s="1"/>
  <c r="D63" i="12"/>
  <c r="E63" i="12" s="1"/>
  <c r="D107" i="12"/>
  <c r="E107" i="12" s="1"/>
  <c r="D124" i="12"/>
  <c r="E124" i="12" s="1"/>
  <c r="D126" i="12"/>
  <c r="E126" i="12" s="1"/>
  <c r="D38" i="12"/>
  <c r="E38" i="12" s="1"/>
  <c r="D120" i="12"/>
  <c r="E120" i="12" s="1"/>
  <c r="D122" i="12"/>
  <c r="E122" i="12" s="1"/>
  <c r="D12" i="12"/>
  <c r="E12" i="12" s="1"/>
  <c r="D95" i="12"/>
  <c r="E95" i="12" s="1"/>
  <c r="D50" i="12"/>
  <c r="E50" i="12" s="1"/>
  <c r="D101" i="12"/>
  <c r="E101" i="12" s="1"/>
  <c r="D96" i="12"/>
  <c r="E96" i="12" s="1"/>
  <c r="D140" i="12"/>
  <c r="E140" i="12" s="1"/>
  <c r="D102" i="12"/>
  <c r="E102" i="12" s="1"/>
  <c r="D97" i="12"/>
  <c r="E97" i="12" s="1"/>
  <c r="D141" i="12"/>
  <c r="E141" i="12" s="1"/>
  <c r="D133" i="12"/>
  <c r="E133" i="12" s="1"/>
  <c r="D32" i="12"/>
  <c r="E32" i="12" s="1"/>
  <c r="D75" i="12"/>
  <c r="E75" i="12" s="1"/>
  <c r="D81" i="12"/>
  <c r="E81" i="12" s="1"/>
  <c r="D46" i="12"/>
  <c r="E46" i="12" s="1"/>
  <c r="D72" i="12"/>
  <c r="E72" i="12" s="1"/>
  <c r="D47" i="12"/>
  <c r="E47" i="12" s="1"/>
  <c r="D36" i="12"/>
  <c r="E36" i="12" s="1"/>
  <c r="D106" i="12"/>
  <c r="E106" i="12" s="1"/>
  <c r="D154" i="12"/>
  <c r="E154" i="12" s="1"/>
  <c r="D114" i="12"/>
  <c r="E114" i="12" s="1"/>
  <c r="D53" i="12"/>
  <c r="E53" i="12" s="1"/>
  <c r="D118" i="12"/>
  <c r="E118" i="12" s="1"/>
  <c r="D39" i="12"/>
  <c r="E39" i="12" s="1"/>
  <c r="D83" i="12"/>
  <c r="E83" i="12" s="1"/>
  <c r="D51" i="12"/>
  <c r="E51" i="12" s="1"/>
  <c r="D143" i="12"/>
  <c r="E143" i="12" s="1"/>
  <c r="D29" i="12"/>
  <c r="E29" i="12" s="1"/>
  <c r="D139" i="12"/>
  <c r="E139" i="12" s="1"/>
  <c r="D131" i="12"/>
  <c r="E131" i="12" s="1"/>
  <c r="D70" i="12"/>
  <c r="E70" i="12" s="1"/>
  <c r="D87" i="12"/>
  <c r="E87" i="12" s="1"/>
  <c r="D132" i="12"/>
  <c r="E132" i="12" s="1"/>
  <c r="D31" i="12"/>
  <c r="E31" i="12" s="1"/>
  <c r="D17" i="12"/>
  <c r="E17" i="12" s="1"/>
  <c r="D144" i="12"/>
  <c r="E144" i="12" s="1"/>
  <c r="D26" i="12"/>
  <c r="E26" i="12" s="1"/>
  <c r="D85" i="12"/>
  <c r="E85" i="12" s="1"/>
  <c r="D92" i="12"/>
  <c r="E92" i="12" s="1"/>
  <c r="D145" i="12"/>
  <c r="E145" i="12" s="1"/>
  <c r="D22" i="12"/>
  <c r="E22" i="12" s="1"/>
  <c r="D115" i="12"/>
  <c r="E115" i="12" s="1"/>
  <c r="D35" i="12"/>
  <c r="E35" i="12" s="1"/>
  <c r="D66" i="12"/>
  <c r="E66" i="12" s="1"/>
  <c r="D151" i="12"/>
  <c r="E151" i="12" s="1"/>
  <c r="D155" i="12"/>
  <c r="E155" i="12" s="1"/>
  <c r="D82" i="12"/>
  <c r="E82" i="12" s="1"/>
  <c r="D54" i="12"/>
  <c r="E54" i="12" s="1"/>
  <c r="D117" i="12"/>
  <c r="E117" i="12" s="1"/>
  <c r="D13" i="12"/>
  <c r="E13" i="12" s="1"/>
  <c r="D121" i="12"/>
  <c r="E121" i="12" s="1"/>
  <c r="D43" i="12"/>
  <c r="E43" i="12" s="1"/>
  <c r="D94" i="12"/>
  <c r="E94" i="12" s="1"/>
  <c r="D6" i="12"/>
  <c r="E6" i="12" s="1"/>
  <c r="D15" i="12"/>
  <c r="E15" i="12" s="1"/>
  <c r="D3" i="12"/>
  <c r="E3" i="12" s="1"/>
  <c r="D8" i="12"/>
  <c r="E8" i="12" s="1"/>
  <c r="D16" i="12"/>
  <c r="E16" i="12" s="1"/>
  <c r="D4" i="12"/>
  <c r="E4" i="12" s="1"/>
  <c r="D88" i="12"/>
  <c r="E88" i="12" s="1"/>
  <c r="D10" i="12"/>
  <c r="E10" i="12" s="1"/>
  <c r="D74" i="12"/>
  <c r="E74" i="12" s="1"/>
  <c r="D138" i="12"/>
  <c r="E138" i="12" s="1"/>
  <c r="D14" i="12"/>
  <c r="E14" i="12" s="1"/>
  <c r="D113" i="12"/>
  <c r="E113" i="12" s="1"/>
  <c r="D127" i="12"/>
  <c r="E127" i="12" s="1"/>
  <c r="D129" i="12"/>
  <c r="E129" i="12" s="1"/>
  <c r="D24" i="12"/>
  <c r="E24" i="12" s="1"/>
  <c r="D130" i="12"/>
  <c r="E130" i="12" s="1"/>
  <c r="D56" i="12"/>
  <c r="E56" i="12" s="1"/>
  <c r="D40" i="12"/>
  <c r="E40" i="12" s="1"/>
  <c r="D84" i="12"/>
  <c r="E84" i="12" s="1"/>
  <c r="D44" i="12"/>
  <c r="E44" i="12" s="1"/>
  <c r="D67" i="12"/>
  <c r="E67" i="12" s="1"/>
  <c r="D30" i="12"/>
  <c r="E30" i="12" s="1"/>
  <c r="D79" i="12"/>
  <c r="E79" i="12" s="1"/>
  <c r="D73" i="12"/>
  <c r="E73" i="12" s="1"/>
  <c r="D100" i="12"/>
  <c r="E100" i="12" s="1"/>
  <c r="D80" i="12"/>
  <c r="E80" i="12" s="1"/>
  <c r="D105" i="12"/>
  <c r="E105" i="12" s="1"/>
  <c r="D109" i="12"/>
  <c r="E109" i="12" s="1"/>
  <c r="D49" i="12"/>
  <c r="E49" i="12" s="1"/>
  <c r="D68" i="12"/>
  <c r="E68" i="12" s="1"/>
  <c r="D142" i="12"/>
  <c r="E142" i="12" s="1"/>
  <c r="D78" i="12"/>
  <c r="E78" i="12" s="1"/>
  <c r="D104" i="12"/>
  <c r="E104" i="12" s="1"/>
</calcChain>
</file>

<file path=xl/sharedStrings.xml><?xml version="1.0" encoding="utf-8"?>
<sst xmlns="http://schemas.openxmlformats.org/spreadsheetml/2006/main" count="321" uniqueCount="169">
  <si>
    <t>Isotope</t>
  </si>
  <si>
    <t>H-3</t>
  </si>
  <si>
    <t>C-14</t>
  </si>
  <si>
    <t>NA-22</t>
  </si>
  <si>
    <t>P-32</t>
  </si>
  <si>
    <t>P-33</t>
  </si>
  <si>
    <t>S-35</t>
  </si>
  <si>
    <t>CL-36</t>
  </si>
  <si>
    <t>CA-45</t>
  </si>
  <si>
    <t>CR-51</t>
  </si>
  <si>
    <t>MN-54</t>
  </si>
  <si>
    <t>FE-55</t>
  </si>
  <si>
    <t>CO-57</t>
  </si>
  <si>
    <t>FE-59</t>
  </si>
  <si>
    <t>CO-60</t>
  </si>
  <si>
    <t>NI-63</t>
  </si>
  <si>
    <t>CU-64</t>
  </si>
  <si>
    <t>ZN-65</t>
  </si>
  <si>
    <t>KR-85</t>
  </si>
  <si>
    <t>RB-86</t>
  </si>
  <si>
    <t>Y-90</t>
  </si>
  <si>
    <t>SR-90</t>
  </si>
  <si>
    <t>TC-99</t>
  </si>
  <si>
    <t>TC-99M</t>
  </si>
  <si>
    <t>RH-99</t>
  </si>
  <si>
    <t>I-123</t>
  </si>
  <si>
    <t>I-124</t>
  </si>
  <si>
    <t>I-125</t>
  </si>
  <si>
    <t>I-129</t>
  </si>
  <si>
    <t>XE-131M</t>
  </si>
  <si>
    <t>I-131</t>
  </si>
  <si>
    <t>CS-137</t>
  </si>
  <si>
    <t>BA-137M</t>
  </si>
  <si>
    <t>ND-144</t>
  </si>
  <si>
    <t>SM-148</t>
  </si>
  <si>
    <t>GD-152</t>
  </si>
  <si>
    <t>EU-152</t>
  </si>
  <si>
    <t>TL-206</t>
  </si>
  <si>
    <t>TL-207</t>
  </si>
  <si>
    <t>TL-208</t>
  </si>
  <si>
    <t>PB-209</t>
  </si>
  <si>
    <t>TL-209</t>
  </si>
  <si>
    <t>PO-210</t>
  </si>
  <si>
    <t>BI-210</t>
  </si>
  <si>
    <t>PB-210</t>
  </si>
  <si>
    <t>TL-210</t>
  </si>
  <si>
    <t>PO-211</t>
  </si>
  <si>
    <t>BI-211</t>
  </si>
  <si>
    <t>PB-211</t>
  </si>
  <si>
    <t>PO-212</t>
  </si>
  <si>
    <t>BI-212</t>
  </si>
  <si>
    <t>PB-212</t>
  </si>
  <si>
    <t>PO-213</t>
  </si>
  <si>
    <t>BI-213</t>
  </si>
  <si>
    <t>PO-214</t>
  </si>
  <si>
    <t>BI-214</t>
  </si>
  <si>
    <t>PB-214</t>
  </si>
  <si>
    <t>AT-215</t>
  </si>
  <si>
    <t>PO-215</t>
  </si>
  <si>
    <t>BI-215</t>
  </si>
  <si>
    <t>PO-216</t>
  </si>
  <si>
    <t>RN-217</t>
  </si>
  <si>
    <t>AT-217</t>
  </si>
  <si>
    <t>RN-218</t>
  </si>
  <si>
    <t>AT-218</t>
  </si>
  <si>
    <t>PO-218</t>
  </si>
  <si>
    <t>RN-219</t>
  </si>
  <si>
    <t>AT-219</t>
  </si>
  <si>
    <t>RN-220</t>
  </si>
  <si>
    <t>FR-221</t>
  </si>
  <si>
    <t>RN-222</t>
  </si>
  <si>
    <t>RA-223</t>
  </si>
  <si>
    <t>FR-223</t>
  </si>
  <si>
    <t>RA-224</t>
  </si>
  <si>
    <t>AC-225</t>
  </si>
  <si>
    <t>RA-225</t>
  </si>
  <si>
    <t>RA-226</t>
  </si>
  <si>
    <t>TH-227</t>
  </si>
  <si>
    <t>AC-227</t>
  </si>
  <si>
    <t>TH-228</t>
  </si>
  <si>
    <t>AC-228</t>
  </si>
  <si>
    <t>RA-228</t>
  </si>
  <si>
    <t>TH-229</t>
  </si>
  <si>
    <t>TH-230</t>
  </si>
  <si>
    <t>PA-231</t>
  </si>
  <si>
    <t>TH-231</t>
  </si>
  <si>
    <t>TH-232</t>
  </si>
  <si>
    <t>U-233</t>
  </si>
  <si>
    <t>PA-233</t>
  </si>
  <si>
    <t>U-234</t>
  </si>
  <si>
    <t>PA-234</t>
  </si>
  <si>
    <t>PA-234M</t>
  </si>
  <si>
    <t>TH-234</t>
  </si>
  <si>
    <t>U-235</t>
  </si>
  <si>
    <t>U-236</t>
  </si>
  <si>
    <t>NP-237</t>
  </si>
  <si>
    <t>U-237</t>
  </si>
  <si>
    <t>PU-238</t>
  </si>
  <si>
    <t>U-238</t>
  </si>
  <si>
    <t>PU-239</t>
  </si>
  <si>
    <t>NP-239</t>
  </si>
  <si>
    <t>PU-240</t>
  </si>
  <si>
    <t>AM-241</t>
  </si>
  <si>
    <t>PU-241</t>
  </si>
  <si>
    <t>AM-243</t>
  </si>
  <si>
    <t>CM-243</t>
  </si>
  <si>
    <t>CM-244</t>
  </si>
  <si>
    <t>U-232</t>
  </si>
  <si>
    <t>NI-59</t>
  </si>
  <si>
    <t>SE-79</t>
  </si>
  <si>
    <t>ZR-93</t>
  </si>
  <si>
    <t>NB-93M</t>
  </si>
  <si>
    <t>RU-106</t>
  </si>
  <si>
    <t>RH-106</t>
  </si>
  <si>
    <t>PD-107</t>
  </si>
  <si>
    <t>CD-113M</t>
  </si>
  <si>
    <t>SN-121M</t>
  </si>
  <si>
    <t>SB-125</t>
  </si>
  <si>
    <t>TE-125M</t>
  </si>
  <si>
    <t>SN-126</t>
  </si>
  <si>
    <t>SB-126M</t>
  </si>
  <si>
    <t>SB-126</t>
  </si>
  <si>
    <t>CS-134</t>
  </si>
  <si>
    <t>CS-135</t>
  </si>
  <si>
    <t>CE-144</t>
  </si>
  <si>
    <t>PR-144</t>
  </si>
  <si>
    <t>PM-146</t>
  </si>
  <si>
    <t>PM-147</t>
  </si>
  <si>
    <t>SM-151</t>
  </si>
  <si>
    <t>EU-154</t>
  </si>
  <si>
    <t>EU-155</t>
  </si>
  <si>
    <t>NP-236</t>
  </si>
  <si>
    <t>PU-236</t>
  </si>
  <si>
    <t>PU-242</t>
  </si>
  <si>
    <t>AM-242</t>
  </si>
  <si>
    <t>AM-242M</t>
  </si>
  <si>
    <t>CM-242</t>
  </si>
  <si>
    <t>CM-245</t>
  </si>
  <si>
    <t>CM-246</t>
  </si>
  <si>
    <t>ZN-59</t>
  </si>
  <si>
    <t>CU-59</t>
  </si>
  <si>
    <t>CD-113</t>
  </si>
  <si>
    <t>SN-121</t>
  </si>
  <si>
    <t>SM-146</t>
  </si>
  <si>
    <t>SM-147</t>
  </si>
  <si>
    <t>NP-238</t>
  </si>
  <si>
    <t>F-18</t>
  </si>
  <si>
    <t>CD-109</t>
  </si>
  <si>
    <t>CF-249</t>
  </si>
  <si>
    <t>CF-251</t>
  </si>
  <si>
    <t>CM-247</t>
  </si>
  <si>
    <t>NB-94</t>
  </si>
  <si>
    <t>NB-95</t>
  </si>
  <si>
    <t>PU-243</t>
  </si>
  <si>
    <t>ZR-95</t>
  </si>
  <si>
    <t>Abbreviation</t>
  </si>
  <si>
    <t>Mass</t>
  </si>
  <si>
    <t>NNDC Value</t>
  </si>
  <si>
    <t>NNDC Call</t>
  </si>
  <si>
    <t>Yes</t>
  </si>
  <si>
    <t>No</t>
  </si>
  <si>
    <t>In-113 decay not accounted for</t>
  </si>
  <si>
    <t>Added KR-85M</t>
  </si>
  <si>
    <t>Simplest decay scheme selected</t>
  </si>
  <si>
    <t>Wallet card disagrees with ENSDF.  Keyed on beta abundance</t>
  </si>
  <si>
    <t>Ignored alpha decay</t>
  </si>
  <si>
    <t>Beta decay scheme chosen</t>
  </si>
  <si>
    <t>Branch Update</t>
  </si>
  <si>
    <t>Ignored Eu-151 alpha decay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</si>
</sst>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0E+00"/>
  </numFmts>
  <fonts count="3" x14ac:knownFonts="1">
    <font>
      <sz val="11"/>
      <color theme="1"/>
      <name val="Calibri"/>
      <family val="2"/>
      <scheme val="minor"/>
    </font>
    <font>
      <sz val="10"/>
      <name val="Arial"/>
      <family val="2"/>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xf numFmtId="0" fontId="2" fillId="0" borderId="0" applyNumberFormat="0" applyFill="0" applyBorder="0" applyAlignment="0" applyProtection="0"/>
  </cellStyleXfs>
  <cellXfs count="6">
    <xf numFmtId="0" fontId="0" fillId="0" borderId="0" xfId="0"/>
    <xf numFmtId="164" fontId="0" fillId="0" borderId="0" xfId="0" applyNumberFormat="1"/>
    <xf numFmtId="2" fontId="0" fillId="0" borderId="0" xfId="0" applyNumberFormat="1"/>
    <xf numFmtId="1" fontId="0" fillId="0" borderId="0" xfId="0" applyNumberFormat="1"/>
    <xf numFmtId="0" fontId="0" fillId="2" borderId="0" xfId="0" applyFill="1"/>
    <xf numFmtId="164" fontId="2" fillId="0" borderId="0" xfId="2" applyNumberFormat="1"/>
  </cellXfs>
  <cellStyles count="3">
    <cellStyle name="Hyperlink" xfId="2" builtinId="8"/>
    <cellStyle name="Normal" xfId="0" builtinId="0"/>
    <cellStyle name="Normal 2" xfId="1" xr:uid="{00000000-0005-0000-0000-000001000000}"/>
  </cellStyles>
  <dxfs count="0"/>
  <tableStyles count="1" defaultTableStyle="TableStyleMedium2" defaultPivotStyle="PivotStyleLight16">
    <tableStyle name="Invisible" pivot="0" table="0" count="0" xr9:uid="{7FBF1029-D5C7-4CA1-8F1E-B7359F8D8F1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mie.Prowse/Desktop/WVNS-CAL-391-R1%20-%20Hazard%20and%20Accident%20Evaluation%20Bases%20for%20WVNS-DSA-0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zard Evaluation"/>
      <sheetName val="Accident Analysis"/>
      <sheetName val="Add1 - Array Buffer Distance"/>
      <sheetName val="Add2 - VCC Tornado Impact"/>
      <sheetName val="ARF RF Basis"/>
      <sheetName val="HE General Comments"/>
      <sheetName val="HE MAR Basis"/>
      <sheetName val="HE Mitigated DR Basis"/>
      <sheetName val="Control Type - PE"/>
      <sheetName val="Control Type - PA"/>
      <sheetName val="Control Type - ME"/>
      <sheetName val="Control Type - MA"/>
      <sheetName val="HE Record of Revision"/>
      <sheetName val="Dose Conversion Factors"/>
      <sheetName val="SNF PE-Ci"/>
      <sheetName val="HLW PE-Ci"/>
      <sheetName val="TRU PE-Ci per FGE"/>
      <sheetName val="TRU Waste Statistics"/>
    </sheetNames>
    <sheetDataSet>
      <sheetData sheetId="0">
        <row r="7">
          <cell r="A7" t="str">
            <v>Event ID</v>
          </cell>
          <cell r="B7" t="str">
            <v>Event #</v>
          </cell>
          <cell r="C7" t="str">
            <v>Hazard</v>
          </cell>
          <cell r="D7" t="str">
            <v>Scenario</v>
          </cell>
          <cell r="E7" t="str">
            <v>MAR 
(PE-Ci)</v>
          </cell>
          <cell r="F7" t="str">
            <v>ARFxRF</v>
          </cell>
          <cell r="G7" t="str">
            <v>DR</v>
          </cell>
          <cell r="H7" t="str">
            <v>Rel Ht</v>
          </cell>
          <cell r="I7" t="str">
            <v>Rel Loc</v>
          </cell>
          <cell r="J7" t="str">
            <v>Freq1</v>
          </cell>
          <cell r="K7" t="str">
            <v>On1</v>
          </cell>
          <cell r="L7" t="str">
            <v>Off1</v>
          </cell>
          <cell r="M7" t="str">
            <v>On2</v>
          </cell>
          <cell r="N7" t="str">
            <v>Off2</v>
          </cell>
          <cell r="O7" t="str">
            <v>On3</v>
          </cell>
          <cell r="P7" t="str">
            <v>Off3</v>
          </cell>
          <cell r="Q7" t="str">
            <v>On4</v>
          </cell>
          <cell r="R7" t="str">
            <v>Off4</v>
          </cell>
          <cell r="S7" t="str">
            <v>ARFxRF</v>
          </cell>
          <cell r="T7" t="str">
            <v>DR</v>
          </cell>
          <cell r="U7" t="str">
            <v>Rel Ht</v>
          </cell>
          <cell r="V7" t="str">
            <v>Rel Loc</v>
          </cell>
          <cell r="W7" t="str">
            <v>Freq2</v>
          </cell>
          <cell r="X7" t="str">
            <v>On5</v>
          </cell>
          <cell r="Y7" t="str">
            <v>Off5</v>
          </cell>
          <cell r="Z7" t="str">
            <v>On6</v>
          </cell>
          <cell r="AA7" t="str">
            <v>Off6</v>
          </cell>
          <cell r="AB7" t="str">
            <v>On7</v>
          </cell>
          <cell r="AC7" t="str">
            <v>Off7</v>
          </cell>
          <cell r="AD7" t="str">
            <v>On8</v>
          </cell>
          <cell r="AE7" t="str">
            <v>Off8</v>
          </cell>
          <cell r="AF7" t="str">
            <v>Comment</v>
          </cell>
          <cell r="AG7" t="str">
            <v>PE-SAC</v>
          </cell>
          <cell r="AH7" t="str">
            <v>PE-Other</v>
          </cell>
          <cell r="AI7" t="str">
            <v>PA-SAC</v>
          </cell>
          <cell r="AJ7" t="str">
            <v>PA-Other</v>
          </cell>
          <cell r="AK7" t="str">
            <v>ME-SAC</v>
          </cell>
          <cell r="AL7" t="str">
            <v>ME-Other</v>
          </cell>
          <cell r="AM7" t="str">
            <v>MA-SAC</v>
          </cell>
          <cell r="AN7" t="str">
            <v>MA-Other</v>
          </cell>
        </row>
        <row r="8">
          <cell r="A8" t="str">
            <v>CHM</v>
          </cell>
          <cell r="B8">
            <v>1</v>
          </cell>
          <cell r="C8" t="str">
            <v>Fire or spill of PCBs</v>
          </cell>
          <cell r="D8" t="str">
            <v>Transformer fire or breach.</v>
          </cell>
          <cell r="E8" t="str">
            <v>PCBs in a transformer</v>
          </cell>
          <cell r="F8" t="str">
            <v>NA</v>
          </cell>
          <cell r="G8" t="str">
            <v>NA</v>
          </cell>
          <cell r="H8" t="str">
            <v>Gnd</v>
          </cell>
          <cell r="I8">
            <v>850</v>
          </cell>
          <cell r="J8" t="str">
            <v>A</v>
          </cell>
          <cell r="K8" t="str">
            <v>N</v>
          </cell>
          <cell r="L8" t="str">
            <v>N</v>
          </cell>
          <cell r="M8" t="str">
            <v>N</v>
          </cell>
          <cell r="N8" t="str">
            <v>N</v>
          </cell>
          <cell r="O8" t="str">
            <v>IV</v>
          </cell>
          <cell r="P8" t="str">
            <v>IV</v>
          </cell>
          <cell r="Q8" t="str">
            <v>IV</v>
          </cell>
          <cell r="R8" t="str">
            <v>IV</v>
          </cell>
          <cell r="S8" t="str">
            <v>NA</v>
          </cell>
          <cell r="T8" t="str">
            <v>NA</v>
          </cell>
          <cell r="U8" t="str">
            <v>Gnd</v>
          </cell>
          <cell r="V8">
            <v>850</v>
          </cell>
          <cell r="W8" t="str">
            <v>U</v>
          </cell>
          <cell r="X8" t="str">
            <v>N</v>
          </cell>
          <cell r="Y8" t="str">
            <v>N</v>
          </cell>
          <cell r="Z8" t="str">
            <v>N</v>
          </cell>
          <cell r="AA8" t="str">
            <v>N</v>
          </cell>
          <cell r="AB8" t="str">
            <v>IV</v>
          </cell>
          <cell r="AC8" t="str">
            <v>IV</v>
          </cell>
          <cell r="AD8" t="str">
            <v>IV</v>
          </cell>
          <cell r="AE8" t="str">
            <v>IV</v>
          </cell>
          <cell r="AF8" t="str">
            <v>None.</v>
          </cell>
          <cell r="AG8" t="str">
            <v>•  None</v>
          </cell>
          <cell r="AH8" t="str">
            <v>•  None</v>
          </cell>
          <cell r="AI8" t="str">
            <v>•  None</v>
          </cell>
          <cell r="AJ8" t="str">
            <v>•  Worker Safety Program
•  Quality Assurance Program
•  Fire Protection Program
•  Performance Based Training Program
•  Maintenance Program</v>
          </cell>
          <cell r="AK8" t="str">
            <v>•  None</v>
          </cell>
          <cell r="AL8" t="str">
            <v>•  None</v>
          </cell>
          <cell r="AM8" t="str">
            <v>•  None</v>
          </cell>
          <cell r="AN8" t="str">
            <v>•  Emergency Response Program
•  Fire Protection Program</v>
          </cell>
        </row>
        <row r="9">
          <cell r="A9" t="str">
            <v>CHM</v>
          </cell>
          <cell r="B9">
            <v>2</v>
          </cell>
          <cell r="C9" t="str">
            <v>Fire or spill involving chemicals with an NFPA health hazard rating ≥ 3</v>
          </cell>
          <cell r="D9" t="str">
            <v>Spill or fire involving sulfuric acid, sodium hypochlorite, sodium hydroxide, or hydrogen peroxide</v>
          </cell>
          <cell r="E9" t="str">
            <v>Hundreds of lbs of H2SO4, NaOCl, or NaOH; 330 gal of H2O2</v>
          </cell>
          <cell r="F9" t="str">
            <v>NA</v>
          </cell>
          <cell r="G9" t="str">
            <v>NA</v>
          </cell>
          <cell r="H9" t="str">
            <v>Gnd</v>
          </cell>
          <cell r="I9">
            <v>850</v>
          </cell>
          <cell r="J9" t="str">
            <v>A</v>
          </cell>
          <cell r="K9" t="str">
            <v>N</v>
          </cell>
          <cell r="L9" t="str">
            <v>N</v>
          </cell>
          <cell r="M9" t="str">
            <v>N</v>
          </cell>
          <cell r="N9" t="str">
            <v>N</v>
          </cell>
          <cell r="O9" t="str">
            <v>IV</v>
          </cell>
          <cell r="P9" t="str">
            <v>IV</v>
          </cell>
          <cell r="Q9" t="str">
            <v>IV</v>
          </cell>
          <cell r="R9" t="str">
            <v>IV</v>
          </cell>
          <cell r="S9" t="str">
            <v>NA</v>
          </cell>
          <cell r="T9" t="str">
            <v>NA</v>
          </cell>
          <cell r="U9" t="str">
            <v>Gnd</v>
          </cell>
          <cell r="V9">
            <v>850</v>
          </cell>
          <cell r="W9" t="str">
            <v>U</v>
          </cell>
          <cell r="X9" t="str">
            <v>N</v>
          </cell>
          <cell r="Y9" t="str">
            <v>N</v>
          </cell>
          <cell r="Z9" t="str">
            <v>N</v>
          </cell>
          <cell r="AA9" t="str">
            <v>N</v>
          </cell>
          <cell r="AB9" t="str">
            <v>IV</v>
          </cell>
          <cell r="AC9" t="str">
            <v>IV</v>
          </cell>
          <cell r="AD9" t="str">
            <v>IV</v>
          </cell>
          <cell r="AE9" t="str">
            <v>IV</v>
          </cell>
          <cell r="AF9" t="str">
            <v>None.</v>
          </cell>
          <cell r="AG9" t="str">
            <v>•  None</v>
          </cell>
          <cell r="AH9" t="str">
            <v>•  None</v>
          </cell>
          <cell r="AI9" t="str">
            <v>•  None</v>
          </cell>
          <cell r="AJ9" t="str">
            <v>•  Worker Safety Program
•  Quality Assurance Program
•  Fire Protection Program
•  Performance Based Training Program
•  Maintenance Program</v>
          </cell>
          <cell r="AK9" t="str">
            <v>•  None</v>
          </cell>
          <cell r="AL9" t="str">
            <v>•  None</v>
          </cell>
          <cell r="AM9" t="str">
            <v>•  None</v>
          </cell>
          <cell r="AN9" t="str">
            <v>•  Emergency Response Program
•  Fire Protection Program</v>
          </cell>
        </row>
        <row r="10">
          <cell r="A10" t="str">
            <v>CPCW</v>
          </cell>
          <cell r="B10">
            <v>1</v>
          </cell>
          <cell r="C10" t="str">
            <v>Localized flammable liquid pool fire</v>
          </cell>
          <cell r="D1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
            <v>2100</v>
          </cell>
          <cell r="F10" t="str">
            <v>E01</v>
          </cell>
          <cell r="G10">
            <v>1</v>
          </cell>
          <cell r="H10" t="str">
            <v>Gnd</v>
          </cell>
          <cell r="I10">
            <v>850</v>
          </cell>
          <cell r="J10" t="str">
            <v>U</v>
          </cell>
          <cell r="K10" t="str">
            <v>H</v>
          </cell>
          <cell r="L10" t="str">
            <v>H</v>
          </cell>
          <cell r="M10" t="str">
            <v>N</v>
          </cell>
          <cell r="N10" t="str">
            <v>N</v>
          </cell>
          <cell r="O10" t="str">
            <v>I</v>
          </cell>
          <cell r="P10" t="str">
            <v>I</v>
          </cell>
          <cell r="Q10" t="str">
            <v>IV</v>
          </cell>
          <cell r="R10" t="str">
            <v>IV</v>
          </cell>
          <cell r="S10" t="str">
            <v>E01</v>
          </cell>
          <cell r="T10">
            <v>4.7999999999999996E-3</v>
          </cell>
          <cell r="U10" t="str">
            <v>Gnd</v>
          </cell>
          <cell r="V10">
            <v>850</v>
          </cell>
          <cell r="W10" t="str">
            <v>EU</v>
          </cell>
          <cell r="X10" t="str">
            <v>L</v>
          </cell>
          <cell r="Y10" t="str">
            <v>L</v>
          </cell>
          <cell r="Z10" t="str">
            <v>N</v>
          </cell>
          <cell r="AA10" t="str">
            <v>N</v>
          </cell>
          <cell r="AB10" t="str">
            <v>IV</v>
          </cell>
          <cell r="AC10" t="str">
            <v>IV</v>
          </cell>
          <cell r="AD10" t="str">
            <v>IV</v>
          </cell>
          <cell r="AE10" t="str">
            <v>IV</v>
          </cell>
          <cell r="AF10" t="str">
            <v>Waste in CPC-WSA is primarily non-combustible vessels and equipment with internal contamination. Topography and soil conditions in outdoor hardstand areas limit the spatial extent of any fuel spilled in the area.  MAR is entire inventory of radioactive material in WVDP packaged waste (exclusive of HLW) (Ref.WVNS-CAL-397, Table C-1, Lag Storage).  DR reflects TSR to protect arrays of TRU waste containing greater than 10 PE-Ci from spills of flammable/ combustible liquids</v>
          </cell>
          <cell r="AG10" t="str">
            <v>•  None</v>
          </cell>
          <cell r="AH10" t="str">
            <v>•  None</v>
          </cell>
          <cell r="AI10" t="str">
            <v>•  SAC for TRU waste drum fire protection
•  SAC for TRU waste container physical protection</v>
          </cell>
          <cell r="AJ10" t="str">
            <v xml:space="preserve">•  Quality Assurance Program
•  Fire Protection Program
•  Performance Based Training Program
•  Maintenance Program
•  Conduct of Operations
•  Waste Management Program </v>
          </cell>
          <cell r="AK10" t="str">
            <v>•  APPROVED CONTAINERS used for TRU waste storage
•  TSR-compliant packaging for high activity TRU waste</v>
          </cell>
          <cell r="AL10" t="str">
            <v>•  Steel-deck pallets that limit direct flame impingement on TRU containers
•  Banding of drums on pallets</v>
          </cell>
          <cell r="AM10" t="str">
            <v>•  SAC for APPROVED CONTAINER use
•  SAC for facility inventory control</v>
          </cell>
          <cell r="AN10" t="str">
            <v>•  Radiological Protection Program
•  Emergency Response Program
•  Fire Protection Program
•  Performance Based Training Program
•  Conduct of Operations</v>
          </cell>
        </row>
        <row r="11">
          <cell r="A11" t="str">
            <v>CPCW</v>
          </cell>
          <cell r="B11">
            <v>2</v>
          </cell>
          <cell r="C11" t="str">
            <v>Small combustible material fire</v>
          </cell>
          <cell r="D11" t="str">
            <v>Fire occurs in a facility area that impacts TRU waste. Includes accidents initiated due to pyrophoric reactions or reactions involving incompatible wastes.</v>
          </cell>
          <cell r="E11">
            <v>360</v>
          </cell>
          <cell r="F11" t="str">
            <v>E02</v>
          </cell>
          <cell r="G11">
            <v>1</v>
          </cell>
          <cell r="H11" t="str">
            <v>Gnd</v>
          </cell>
          <cell r="I11">
            <v>850</v>
          </cell>
          <cell r="J11" t="str">
            <v>A</v>
          </cell>
          <cell r="K11" t="str">
            <v>H</v>
          </cell>
          <cell r="L11" t="str">
            <v>H</v>
          </cell>
          <cell r="M11" t="str">
            <v>N</v>
          </cell>
          <cell r="N11" t="str">
            <v>N</v>
          </cell>
          <cell r="O11" t="str">
            <v>I</v>
          </cell>
          <cell r="P11" t="str">
            <v>I</v>
          </cell>
          <cell r="Q11" t="str">
            <v>IV</v>
          </cell>
          <cell r="R11" t="str">
            <v>IV</v>
          </cell>
          <cell r="S11" t="str">
            <v>E02</v>
          </cell>
          <cell r="T11">
            <v>2.8E-3</v>
          </cell>
          <cell r="U11" t="str">
            <v>Gnd</v>
          </cell>
          <cell r="V11">
            <v>850</v>
          </cell>
          <cell r="W11" t="str">
            <v>U</v>
          </cell>
          <cell r="X11" t="str">
            <v>L</v>
          </cell>
          <cell r="Y11" t="str">
            <v>L</v>
          </cell>
          <cell r="Z11" t="str">
            <v>N</v>
          </cell>
          <cell r="AA11" t="str">
            <v>N</v>
          </cell>
          <cell r="AB11" t="str">
            <v>III</v>
          </cell>
          <cell r="AC11" t="str">
            <v>III</v>
          </cell>
          <cell r="AD11" t="str">
            <v>IV</v>
          </cell>
          <cell r="AE11" t="str">
            <v>IV</v>
          </cell>
          <cell r="AF11" t="str">
            <v>Contingency evaluation in the event of discovery of non-conforming waste container.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1" t="str">
            <v>•  None</v>
          </cell>
          <cell r="AH11" t="str">
            <v>•  None</v>
          </cell>
          <cell r="AI11" t="str">
            <v>•  None</v>
          </cell>
          <cell r="AJ11" t="str">
            <v xml:space="preserve">•  Quality Assurance Program
•  Fire Protection Program
-   “Hot work” controls
-   Combustible material control program
•  Performance Based Training Program
•  Maintenance Program
•  Conduct of Operations
•  Waste Management Program </v>
          </cell>
          <cell r="AK11" t="str">
            <v>•  APPROVED CONTAINERS used for TRU waste storage
•  TSR-compliant packaging for high activity TRU waste</v>
          </cell>
          <cell r="AL11" t="str">
            <v>•  None</v>
          </cell>
          <cell r="AM11" t="str">
            <v>•  SAC for APPROVED CONTAINER use
•  SAC for facility inventory control</v>
          </cell>
          <cell r="AN11" t="str">
            <v>•  Radiological Protection Program
•  Emergency Response Program
•  Fire Protection Program
•  Performance Based Training Program
•  Conduct of Operations</v>
          </cell>
        </row>
        <row r="12">
          <cell r="A12" t="str">
            <v>CPCW</v>
          </cell>
          <cell r="B12">
            <v>3</v>
          </cell>
          <cell r="C12" t="str">
            <v>Localized explosion external to container</v>
          </cell>
          <cell r="D12"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2">
            <v>360</v>
          </cell>
          <cell r="F12" t="str">
            <v>E05</v>
          </cell>
          <cell r="G12">
            <v>1</v>
          </cell>
          <cell r="H12" t="str">
            <v>Gnd</v>
          </cell>
          <cell r="I12">
            <v>850</v>
          </cell>
          <cell r="J12" t="str">
            <v>A</v>
          </cell>
          <cell r="K12" t="str">
            <v>H</v>
          </cell>
          <cell r="L12" t="str">
            <v>M</v>
          </cell>
          <cell r="M12" t="str">
            <v>N</v>
          </cell>
          <cell r="N12" t="str">
            <v>N</v>
          </cell>
          <cell r="O12" t="str">
            <v>I</v>
          </cell>
          <cell r="P12" t="str">
            <v>I</v>
          </cell>
          <cell r="Q12" t="str">
            <v>IV</v>
          </cell>
          <cell r="R12" t="str">
            <v>IV</v>
          </cell>
          <cell r="S12" t="str">
            <v>E05</v>
          </cell>
          <cell r="T12">
            <v>2.8000000000000001E-2</v>
          </cell>
          <cell r="U12" t="str">
            <v>Gnd</v>
          </cell>
          <cell r="V12">
            <v>850</v>
          </cell>
          <cell r="W12" t="str">
            <v>U</v>
          </cell>
          <cell r="X12" t="str">
            <v>L</v>
          </cell>
          <cell r="Y12" t="str">
            <v>L</v>
          </cell>
          <cell r="Z12" t="str">
            <v>N</v>
          </cell>
          <cell r="AA12" t="str">
            <v>N</v>
          </cell>
          <cell r="AB12" t="str">
            <v>III</v>
          </cell>
          <cell r="AC12" t="str">
            <v>III</v>
          </cell>
          <cell r="AD12" t="str">
            <v>IV</v>
          </cell>
          <cell r="AE12" t="str">
            <v>IV</v>
          </cell>
          <cell r="AF12"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2" t="str">
            <v>•  None</v>
          </cell>
          <cell r="AH12" t="str">
            <v>•  None</v>
          </cell>
          <cell r="AI12" t="str">
            <v>•  None</v>
          </cell>
          <cell r="AJ12" t="str">
            <v xml:space="preserve">•  Quality Assurance Program
•  Fire Protection Program
•  Performance Based Training Program
•  Maintenance Program
•  Waste Management Program </v>
          </cell>
          <cell r="AK12" t="str">
            <v>•   APPROVED CONTAINERS used for TRU waste storage
•   TSR-compliant packaging for high activity TRU waste</v>
          </cell>
          <cell r="AL12" t="str">
            <v>•  None</v>
          </cell>
          <cell r="AM12" t="str">
            <v>•  SAC for APPROVED CONTAINER use
•  SAC for facility inventory control</v>
          </cell>
          <cell r="AN12" t="str">
            <v>•  Radiological Protection Program
•  Emergency Response Program
•  Fire Protection Program
•  Performance Based Training Program
•  Conduct of Operations</v>
          </cell>
        </row>
        <row r="13">
          <cell r="A13" t="str">
            <v>CPCW</v>
          </cell>
          <cell r="B13">
            <v>4</v>
          </cell>
          <cell r="C13" t="str">
            <v>Waste container deflagration</v>
          </cell>
          <cell r="D13" t="str">
            <v>Hydrogen or other flammable/explosive gases inside a container is ignited.</v>
          </cell>
          <cell r="E13">
            <v>360</v>
          </cell>
          <cell r="F13" t="str">
            <v>E06</v>
          </cell>
          <cell r="G13">
            <v>1</v>
          </cell>
          <cell r="H13" t="str">
            <v>Gnd</v>
          </cell>
          <cell r="I13">
            <v>850</v>
          </cell>
          <cell r="J13" t="str">
            <v>U</v>
          </cell>
          <cell r="K13" t="str">
            <v>H</v>
          </cell>
          <cell r="L13" t="str">
            <v>M</v>
          </cell>
          <cell r="M13" t="str">
            <v>N</v>
          </cell>
          <cell r="N13" t="str">
            <v>N</v>
          </cell>
          <cell r="O13" t="str">
            <v>I</v>
          </cell>
          <cell r="P13" t="str">
            <v>II</v>
          </cell>
          <cell r="Q13" t="str">
            <v>IV</v>
          </cell>
          <cell r="R13" t="str">
            <v>IV</v>
          </cell>
          <cell r="S13" t="str">
            <v>E06</v>
          </cell>
          <cell r="T13">
            <v>0.25</v>
          </cell>
          <cell r="U13" t="str">
            <v>Gnd</v>
          </cell>
          <cell r="V13">
            <v>850</v>
          </cell>
          <cell r="W13" t="str">
            <v>EU</v>
          </cell>
          <cell r="X13" t="str">
            <v>M</v>
          </cell>
          <cell r="Y13" t="str">
            <v>M</v>
          </cell>
          <cell r="Z13" t="str">
            <v>N</v>
          </cell>
          <cell r="AA13" t="str">
            <v>N</v>
          </cell>
          <cell r="AB13" t="str">
            <v>III</v>
          </cell>
          <cell r="AC13" t="str">
            <v>III</v>
          </cell>
          <cell r="AD13" t="str">
            <v>IV</v>
          </cell>
          <cell r="AE13" t="str">
            <v>IV</v>
          </cell>
          <cell r="AF13"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3" t="str">
            <v>•  None</v>
          </cell>
          <cell r="AH13" t="str">
            <v>•  HEPA filter vents on waste containers</v>
          </cell>
          <cell r="AI13" t="str">
            <v>•  None</v>
          </cell>
          <cell r="AJ13" t="str">
            <v xml:space="preserve">•  Quality Assurance Program
•  Fire Protection Program
•  Performance Based Training Program
•  Maintenance Program
•  Waste Management Program </v>
          </cell>
          <cell r="AK13" t="str">
            <v>•   TSR-compliant packaging for high activity TRU waste</v>
          </cell>
          <cell r="AL13" t="str">
            <v>•  None</v>
          </cell>
          <cell r="AM13" t="str">
            <v>•  SAC for APPROVED CONTAINER use
•  SAC for facility inventory control</v>
          </cell>
          <cell r="AN13" t="str">
            <v>•  Radiological Protection Program
•  Emergency Response Program
•  Fire Protection Program
•  Performance Based Training Program
•  Conduct of Operations</v>
          </cell>
        </row>
        <row r="14">
          <cell r="A14" t="str">
            <v>CPCW</v>
          </cell>
          <cell r="B14">
            <v>5</v>
          </cell>
          <cell r="C14" t="str">
            <v>Vehicle/equipment impacts waste/waste containers</v>
          </cell>
          <cell r="D1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4">
            <v>360</v>
          </cell>
          <cell r="F14" t="str">
            <v>E09</v>
          </cell>
          <cell r="G14">
            <v>0.01</v>
          </cell>
          <cell r="H14" t="str">
            <v>Gnd</v>
          </cell>
          <cell r="I14">
            <v>850</v>
          </cell>
          <cell r="J14" t="str">
            <v>A</v>
          </cell>
          <cell r="K14" t="str">
            <v>N</v>
          </cell>
          <cell r="L14" t="str">
            <v>L</v>
          </cell>
          <cell r="M14" t="str">
            <v>N</v>
          </cell>
          <cell r="N14" t="str">
            <v>N</v>
          </cell>
          <cell r="O14" t="str">
            <v>IV</v>
          </cell>
          <cell r="P14" t="str">
            <v>III</v>
          </cell>
          <cell r="Q14" t="str">
            <v>IV</v>
          </cell>
          <cell r="R14" t="str">
            <v>IV</v>
          </cell>
          <cell r="S14" t="str">
            <v>E09</v>
          </cell>
          <cell r="T14">
            <v>0.01</v>
          </cell>
          <cell r="U14" t="str">
            <v>Gnd</v>
          </cell>
          <cell r="V14">
            <v>850</v>
          </cell>
          <cell r="W14" t="str">
            <v>U</v>
          </cell>
          <cell r="X14" t="str">
            <v>N</v>
          </cell>
          <cell r="Y14" t="str">
            <v>L</v>
          </cell>
          <cell r="Z14" t="str">
            <v>N</v>
          </cell>
          <cell r="AA14" t="str">
            <v>N</v>
          </cell>
          <cell r="AB14" t="str">
            <v>IV</v>
          </cell>
          <cell r="AC14" t="str">
            <v>III</v>
          </cell>
          <cell r="AD14" t="str">
            <v>IV</v>
          </cell>
          <cell r="AE14" t="str">
            <v>IV</v>
          </cell>
          <cell r="AF14" t="str">
            <v xml:space="preserve">Shielding and nature of waste associated with many of the containers in the facility expected to mitigate the consequences of this event. MAR is activity in maximally loaded 2-drum Interim Storage Container (Ref. WVNS-CAL-397, Table A-2).  </v>
          </cell>
          <cell r="AG14" t="str">
            <v>•  None</v>
          </cell>
          <cell r="AH14" t="str">
            <v>•  Physical barriers such as Jersey barriers or facility structure that protects waste containers from vehicle impacts</v>
          </cell>
          <cell r="AI14" t="str">
            <v>• SAC for TRU waste container physical protection
• SAC for TRU waste transportation</v>
          </cell>
          <cell r="AJ14" t="str">
            <v xml:space="preserve">•  Quality Assurance Program
•  Performance Based Training Program
•  Maintenance Program
•  Conduct of Operations
•  Waste Management Program </v>
          </cell>
          <cell r="AK14" t="str">
            <v>•   TSR-compliant packaging for high activity TRU waste</v>
          </cell>
          <cell r="AL14" t="str">
            <v>•  None</v>
          </cell>
          <cell r="AM14" t="str">
            <v>•  None</v>
          </cell>
          <cell r="AN14" t="str">
            <v>•  Radiological Protection Program
•  Emergency Response Program
•  Performance Based Training Program
•  Conduct of Operations</v>
          </cell>
        </row>
        <row r="15">
          <cell r="A15" t="str">
            <v>CPCW</v>
          </cell>
          <cell r="B15">
            <v>6</v>
          </cell>
          <cell r="C15" t="str">
            <v>Drop/impact/spill</v>
          </cell>
          <cell r="D15" t="str">
            <v>This event is due to mishandling of containers or to drops/impacts caused by equipment failure or may be due to leaks caused by corrosion, construction defect, or improper closure.</v>
          </cell>
          <cell r="E15">
            <v>360</v>
          </cell>
          <cell r="F15" t="str">
            <v>E10</v>
          </cell>
          <cell r="G15">
            <v>0.1</v>
          </cell>
          <cell r="H15" t="str">
            <v>Gnd</v>
          </cell>
          <cell r="I15">
            <v>850</v>
          </cell>
          <cell r="J15" t="str">
            <v>A</v>
          </cell>
          <cell r="K15" t="str">
            <v>L</v>
          </cell>
          <cell r="L15" t="str">
            <v>L</v>
          </cell>
          <cell r="M15" t="str">
            <v>N</v>
          </cell>
          <cell r="N15" t="str">
            <v>N</v>
          </cell>
          <cell r="O15" t="str">
            <v>III</v>
          </cell>
          <cell r="P15" t="str">
            <v>III</v>
          </cell>
          <cell r="Q15" t="str">
            <v>IV</v>
          </cell>
          <cell r="R15" t="str">
            <v>IV</v>
          </cell>
          <cell r="S15" t="str">
            <v>E10</v>
          </cell>
          <cell r="T15">
            <v>0.1</v>
          </cell>
          <cell r="U15" t="str">
            <v>Gnd</v>
          </cell>
          <cell r="V15">
            <v>850</v>
          </cell>
          <cell r="W15" t="str">
            <v>U</v>
          </cell>
          <cell r="X15" t="str">
            <v>L</v>
          </cell>
          <cell r="Y15" t="str">
            <v>L</v>
          </cell>
          <cell r="Z15" t="str">
            <v>N</v>
          </cell>
          <cell r="AA15" t="str">
            <v>N</v>
          </cell>
          <cell r="AB15" t="str">
            <v>III</v>
          </cell>
          <cell r="AC15" t="str">
            <v>III</v>
          </cell>
          <cell r="AD15" t="str">
            <v>IV</v>
          </cell>
          <cell r="AE15" t="str">
            <v>IV</v>
          </cell>
          <cell r="AF15" t="str">
            <v xml:space="preserve">Shielding and nature of waste associated with many of the containers in the facility expected to mitigate the consequences of this event. MAR is activity in maximally loaded 2-drum Interim Storage Container (Ref. WVNS-CAL-397, Table A-2).  </v>
          </cell>
          <cell r="AG15" t="str">
            <v>•  None</v>
          </cell>
          <cell r="AH15" t="str">
            <v>•  None</v>
          </cell>
          <cell r="AI15" t="str">
            <v>•  None</v>
          </cell>
          <cell r="AJ15" t="str">
            <v xml:space="preserve">•  Quality Assurance Program
•  Performance Based Training Program
•  Maintenance Program
•  Conduct of Operations
•  Waste Management Program </v>
          </cell>
          <cell r="AK15" t="str">
            <v>•   TSR-compliant packaging for high activity TRU waste</v>
          </cell>
          <cell r="AL15" t="str">
            <v>•  None</v>
          </cell>
          <cell r="AM15" t="str">
            <v>•  None</v>
          </cell>
          <cell r="AN15" t="str">
            <v>•  Radiological Protection Program
•  Emergency Response Program
•  Performance Based Training Program
•  Conduct of Operations</v>
          </cell>
        </row>
        <row r="16">
          <cell r="A16" t="str">
            <v>CPCW</v>
          </cell>
          <cell r="B16">
            <v>7</v>
          </cell>
          <cell r="C16" t="str">
            <v>Collapse of stacked containers</v>
          </cell>
          <cell r="D16" t="str">
            <v>Collapse of a stacked array of containers due to corrosion, defective construction, or damage of containers, or due to improper stacking (e.g., exceeding limits, unstable array).</v>
          </cell>
          <cell r="E16">
            <v>1050</v>
          </cell>
          <cell r="F16" t="str">
            <v>E11</v>
          </cell>
          <cell r="G16">
            <v>0.1</v>
          </cell>
          <cell r="H16" t="str">
            <v>Gnd</v>
          </cell>
          <cell r="I16">
            <v>850</v>
          </cell>
          <cell r="J16" t="str">
            <v>A</v>
          </cell>
          <cell r="K16" t="str">
            <v>L</v>
          </cell>
          <cell r="L16" t="str">
            <v>L</v>
          </cell>
          <cell r="M16" t="str">
            <v>N</v>
          </cell>
          <cell r="N16" t="str">
            <v>N</v>
          </cell>
          <cell r="O16" t="str">
            <v>III</v>
          </cell>
          <cell r="P16" t="str">
            <v>III</v>
          </cell>
          <cell r="Q16" t="str">
            <v>IV</v>
          </cell>
          <cell r="R16" t="str">
            <v>IV</v>
          </cell>
          <cell r="S16" t="str">
            <v>E11</v>
          </cell>
          <cell r="T16">
            <v>0.1</v>
          </cell>
          <cell r="U16" t="str">
            <v>Gnd</v>
          </cell>
          <cell r="V16">
            <v>850</v>
          </cell>
          <cell r="W16" t="str">
            <v>U</v>
          </cell>
          <cell r="X16" t="str">
            <v>L</v>
          </cell>
          <cell r="Y16" t="str">
            <v>L</v>
          </cell>
          <cell r="Z16" t="str">
            <v>N</v>
          </cell>
          <cell r="AA16" t="str">
            <v>N</v>
          </cell>
          <cell r="AB16" t="str">
            <v>III</v>
          </cell>
          <cell r="AC16" t="str">
            <v>III</v>
          </cell>
          <cell r="AD16" t="str">
            <v>IV</v>
          </cell>
          <cell r="AE16" t="str">
            <v>IV</v>
          </cell>
          <cell r="AF16"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16" t="str">
            <v>•  None</v>
          </cell>
          <cell r="AH16" t="str">
            <v>•  None</v>
          </cell>
          <cell r="AI16" t="str">
            <v>•  None</v>
          </cell>
          <cell r="AJ16" t="str">
            <v xml:space="preserve">•  Quality Assurance Program
•  Performance Based Training Program
•  Maintenance Program
•  Waste Management Program </v>
          </cell>
          <cell r="AK16" t="str">
            <v>•   APPROVED CONTAINERS used for TRU waste storage
•   TSR-compliant packaging for high activity TRU waste</v>
          </cell>
          <cell r="AL16" t="str">
            <v>•  Steel pallets used for TRU waste storage arrays
•  Banding of drums on pallets</v>
          </cell>
          <cell r="AM16" t="str">
            <v>•  None</v>
          </cell>
          <cell r="AN16" t="str">
            <v>•  Radiological Protection Program
•  Emergency Response Program
•  Performance Based Training Program
•  Conduct of Operations</v>
          </cell>
        </row>
        <row r="17">
          <cell r="A17" t="str">
            <v>CPCW</v>
          </cell>
          <cell r="B17">
            <v>8</v>
          </cell>
          <cell r="C17" t="str">
            <v>Waste container over-pressurization</v>
          </cell>
          <cell r="D17" t="str">
            <v>Container failure occurs due to pressure buildup, possibly due to radiolysis of water or other hydrogenous material, thermal expansion of material/gases inside the container, or chemical reactions inside the container.</v>
          </cell>
          <cell r="E17">
            <v>360</v>
          </cell>
          <cell r="F17" t="str">
            <v>E12</v>
          </cell>
          <cell r="G17">
            <v>1</v>
          </cell>
          <cell r="H17" t="str">
            <v>Gnd</v>
          </cell>
          <cell r="I17">
            <v>850</v>
          </cell>
          <cell r="J17" t="str">
            <v>A</v>
          </cell>
          <cell r="K17" t="str">
            <v>M</v>
          </cell>
          <cell r="L17" t="str">
            <v>M</v>
          </cell>
          <cell r="M17" t="str">
            <v>N</v>
          </cell>
          <cell r="N17" t="str">
            <v>N</v>
          </cell>
          <cell r="O17" t="str">
            <v>I</v>
          </cell>
          <cell r="P17" t="str">
            <v>I</v>
          </cell>
          <cell r="Q17" t="str">
            <v>IV</v>
          </cell>
          <cell r="R17" t="str">
            <v>IV</v>
          </cell>
          <cell r="S17" t="str">
            <v>E12</v>
          </cell>
          <cell r="T17">
            <v>0.1</v>
          </cell>
          <cell r="U17" t="str">
            <v>Gnd</v>
          </cell>
          <cell r="V17">
            <v>850</v>
          </cell>
          <cell r="W17" t="str">
            <v>U</v>
          </cell>
          <cell r="X17" t="str">
            <v>L</v>
          </cell>
          <cell r="Y17" t="str">
            <v>L</v>
          </cell>
          <cell r="Z17" t="str">
            <v>N</v>
          </cell>
          <cell r="AA17" t="str">
            <v>N</v>
          </cell>
          <cell r="AB17" t="str">
            <v>III</v>
          </cell>
          <cell r="AC17" t="str">
            <v>III</v>
          </cell>
          <cell r="AD17" t="str">
            <v>IV</v>
          </cell>
          <cell r="AE17" t="str">
            <v>IV</v>
          </cell>
          <cell r="AF17"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7" t="str">
            <v>•  None</v>
          </cell>
          <cell r="AH17" t="str">
            <v>•  HEPA filter vents on waste containers</v>
          </cell>
          <cell r="AI17" t="str">
            <v>•  None</v>
          </cell>
          <cell r="AJ17" t="str">
            <v xml:space="preserve">•  Quality Assurance Program
•  Performance Based Training Program
•  Waste Management Program </v>
          </cell>
          <cell r="AK17" t="str">
            <v>•  None</v>
          </cell>
          <cell r="AL17" t="str">
            <v>•  Lid restraining devices for bulging drums</v>
          </cell>
          <cell r="AM17" t="str">
            <v>•  None</v>
          </cell>
          <cell r="AN17" t="str">
            <v>•  Radiological Protection Program
•  Emergency Response Program
•  Performance Based Training Program
•  Conduct of Operations</v>
          </cell>
        </row>
        <row r="18">
          <cell r="A18" t="str">
            <v>CPCW</v>
          </cell>
          <cell r="B18">
            <v>9</v>
          </cell>
          <cell r="C18" t="str">
            <v>Direct exposure to radiation</v>
          </cell>
          <cell r="D18" t="str">
            <v>Exposure to ionizing radiation from the waste, possibly due to loss of proper shielding within a container or instrument miscalibration</v>
          </cell>
          <cell r="E18" t="str">
            <v>Not applicable.</v>
          </cell>
          <cell r="F18" t="str">
            <v>NA</v>
          </cell>
          <cell r="G18" t="str">
            <v>NA</v>
          </cell>
          <cell r="H18" t="str">
            <v>Gnd</v>
          </cell>
          <cell r="I18">
            <v>850</v>
          </cell>
          <cell r="J18" t="str">
            <v>A</v>
          </cell>
          <cell r="K18" t="str">
            <v>L</v>
          </cell>
          <cell r="L18" t="str">
            <v>N</v>
          </cell>
          <cell r="M18" t="str">
            <v>N</v>
          </cell>
          <cell r="N18" t="str">
            <v>N</v>
          </cell>
          <cell r="O18" t="str">
            <v>III</v>
          </cell>
          <cell r="P18" t="str">
            <v>IV</v>
          </cell>
          <cell r="Q18" t="str">
            <v>IV</v>
          </cell>
          <cell r="R18" t="str">
            <v>IV</v>
          </cell>
          <cell r="S18" t="str">
            <v>NA</v>
          </cell>
          <cell r="T18" t="str">
            <v>NA</v>
          </cell>
          <cell r="U18" t="str">
            <v>Gnd</v>
          </cell>
          <cell r="V18">
            <v>850</v>
          </cell>
          <cell r="W18" t="str">
            <v>U</v>
          </cell>
          <cell r="X18" t="str">
            <v>L</v>
          </cell>
          <cell r="Y18" t="str">
            <v>N</v>
          </cell>
          <cell r="Z18" t="str">
            <v>N</v>
          </cell>
          <cell r="AA18" t="str">
            <v>N</v>
          </cell>
          <cell r="AB18" t="str">
            <v>III</v>
          </cell>
          <cell r="AC18" t="str">
            <v>IV</v>
          </cell>
          <cell r="AD18" t="str">
            <v>IV</v>
          </cell>
          <cell r="AE18" t="str">
            <v>IV</v>
          </cell>
          <cell r="AF18" t="str">
            <v xml:space="preserve">None.  </v>
          </cell>
          <cell r="AG18" t="str">
            <v>•  None</v>
          </cell>
          <cell r="AH18" t="str">
            <v>•  Engineered radiation shielding on high dose rate waste containers</v>
          </cell>
          <cell r="AI18" t="str">
            <v>•  None</v>
          </cell>
          <cell r="AJ18" t="str">
            <v xml:space="preserve">•  Radiological Protection Program
•  Quality Assurance Program
•  Performance Based Training Program
•  Conduct of Operations
•  Waste Management Program </v>
          </cell>
          <cell r="AK18" t="str">
            <v>•  None</v>
          </cell>
          <cell r="AL18" t="str">
            <v>•  None</v>
          </cell>
          <cell r="AM18" t="str">
            <v>•  None</v>
          </cell>
          <cell r="AN18" t="str">
            <v>•  Radiological Protection Program
•  Performance Based Training Program
•  Conduct of Operations</v>
          </cell>
        </row>
        <row r="19">
          <cell r="A19" t="str">
            <v>CPCW</v>
          </cell>
          <cell r="B19">
            <v>10</v>
          </cell>
          <cell r="C19" t="str">
            <v>Criticality</v>
          </cell>
          <cell r="D19" t="str">
            <v>Inadvertent criticality occurs due to multiple independent failures and/or highly improbable circumstances</v>
          </cell>
          <cell r="E19" t="str">
            <v>&gt;450 FGE
Pu-239</v>
          </cell>
          <cell r="F19" t="str">
            <v>NA</v>
          </cell>
          <cell r="G19" t="str">
            <v>NA</v>
          </cell>
          <cell r="H19" t="str">
            <v>Gnd</v>
          </cell>
          <cell r="I19">
            <v>850</v>
          </cell>
          <cell r="J19" t="str">
            <v>BEU</v>
          </cell>
          <cell r="K19" t="str">
            <v>H</v>
          </cell>
          <cell r="L19" t="str">
            <v>N</v>
          </cell>
          <cell r="M19" t="str">
            <v>N</v>
          </cell>
          <cell r="N19" t="str">
            <v>N</v>
          </cell>
          <cell r="O19" t="str">
            <v>III</v>
          </cell>
          <cell r="P19" t="str">
            <v>IV</v>
          </cell>
          <cell r="Q19" t="str">
            <v>IV</v>
          </cell>
          <cell r="R19" t="str">
            <v>IV</v>
          </cell>
          <cell r="S19" t="str">
            <v>NA</v>
          </cell>
          <cell r="T19" t="str">
            <v>NA</v>
          </cell>
          <cell r="U19" t="str">
            <v>Gnd</v>
          </cell>
          <cell r="V19">
            <v>850</v>
          </cell>
          <cell r="W19" t="str">
            <v>BEU</v>
          </cell>
          <cell r="X19" t="str">
            <v>H</v>
          </cell>
          <cell r="Y19" t="str">
            <v>N</v>
          </cell>
          <cell r="Z19" t="str">
            <v>N</v>
          </cell>
          <cell r="AA19" t="str">
            <v>N</v>
          </cell>
          <cell r="AB19" t="str">
            <v>III</v>
          </cell>
          <cell r="AC19" t="str">
            <v>IV</v>
          </cell>
          <cell r="AD19" t="str">
            <v>IV</v>
          </cell>
          <cell r="AE19" t="str">
            <v>IV</v>
          </cell>
          <cell r="AF19" t="str">
            <v xml:space="preserve">Nuclear criticality safety administrative controls ensure that only safe quantities of fissile material are placed in waste packages.   </v>
          </cell>
          <cell r="AG19" t="str">
            <v>• PSRs for fissile material storage container specifications</v>
          </cell>
          <cell r="AH19" t="str">
            <v>•  None</v>
          </cell>
          <cell r="AI19" t="str">
            <v>• PSR limits on container fissile mass
• PSR for fissile material storage containers</v>
          </cell>
          <cell r="AJ19" t="str">
            <v xml:space="preserve">•  Radiological Protection Program
•  Nuclear Criticality Safety Program
•  Quality Assurance Program
•  Performance Based Training Program
•  Conduct of Operations
•  Waste Management Program </v>
          </cell>
          <cell r="AK19" t="str">
            <v>•  None</v>
          </cell>
          <cell r="AL19" t="str">
            <v>•  None</v>
          </cell>
          <cell r="AM19" t="str">
            <v>•  None</v>
          </cell>
          <cell r="AN19" t="str">
            <v>•  Radiological Protection Program
•  Nuclear Criticality Safety Program
•  Emergency Response Program
•  Performance Based Training Program
•  Conduct of Operations</v>
          </cell>
        </row>
        <row r="20">
          <cell r="A20" t="str">
            <v>CPCW</v>
          </cell>
          <cell r="B20">
            <v>11</v>
          </cell>
          <cell r="C20" t="str">
            <v>Aircraft impact with fire</v>
          </cell>
          <cell r="D20" t="str">
            <v>Small general aviation aircraft or helicopter crashes and a fire ensues</v>
          </cell>
          <cell r="E20">
            <v>2100</v>
          </cell>
          <cell r="F20" t="str">
            <v>E15</v>
          </cell>
          <cell r="G20">
            <v>1</v>
          </cell>
          <cell r="H20" t="str">
            <v>Gnd</v>
          </cell>
          <cell r="I20">
            <v>850</v>
          </cell>
          <cell r="J20" t="str">
            <v>BEU</v>
          </cell>
          <cell r="K20" t="str">
            <v>H</v>
          </cell>
          <cell r="L20" t="str">
            <v>H</v>
          </cell>
          <cell r="M20" t="str">
            <v>N</v>
          </cell>
          <cell r="N20" t="str">
            <v>N</v>
          </cell>
          <cell r="O20" t="str">
            <v>III</v>
          </cell>
          <cell r="P20" t="str">
            <v>III</v>
          </cell>
          <cell r="Q20" t="str">
            <v>IV</v>
          </cell>
          <cell r="R20" t="str">
            <v>IV</v>
          </cell>
          <cell r="S20" t="str">
            <v>E15</v>
          </cell>
          <cell r="T20">
            <v>1</v>
          </cell>
          <cell r="U20" t="str">
            <v>Gnd</v>
          </cell>
          <cell r="V20">
            <v>850</v>
          </cell>
          <cell r="W20" t="str">
            <v>BEU</v>
          </cell>
          <cell r="X20" t="str">
            <v>H</v>
          </cell>
          <cell r="Y20" t="str">
            <v>H</v>
          </cell>
          <cell r="Z20" t="str">
            <v>N</v>
          </cell>
          <cell r="AA20" t="str">
            <v>N</v>
          </cell>
          <cell r="AB20" t="str">
            <v>III</v>
          </cell>
          <cell r="AC20" t="str">
            <v>III</v>
          </cell>
          <cell r="AD20" t="str">
            <v>IV</v>
          </cell>
          <cell r="AE20" t="str">
            <v>IV</v>
          </cell>
          <cell r="AF20" t="str">
            <v xml:space="preserve">Shielding and nature of waste associated with many of the containers in the facility expected to mitigate the consequences of this event. Event assumes waste containers breach in a manner similar to external vehicle accident event. Event BEU per WVNS-CAL-388 MAR is entire inventory of radioactive material in WVDP packaged waste (exclusive of HLW) (Ref.WVNS-CAL-397, Table C-1, Lag Storage).  </v>
          </cell>
          <cell r="AG20" t="str">
            <v>•  None</v>
          </cell>
          <cell r="AH20" t="str">
            <v>•  None</v>
          </cell>
          <cell r="AI20" t="str">
            <v>•  None</v>
          </cell>
          <cell r="AJ20" t="str">
            <v>•  None</v>
          </cell>
          <cell r="AK20" t="str">
            <v>•   APPROVED CONTAINERS used for TRU waste storage
•   TSR-compliant packaging for high activity TRU waste</v>
          </cell>
          <cell r="AL20" t="str">
            <v>•  None</v>
          </cell>
          <cell r="AM20" t="str">
            <v>• SAC for APPROVED CONTAINER use</v>
          </cell>
          <cell r="AN20" t="str">
            <v>•  Radiological Protection Program
•  Emergency Response Program
•  Fire Protection Program
•  Performance Based Training Program
•  Conduct of Operations</v>
          </cell>
        </row>
        <row r="21">
          <cell r="A21" t="str">
            <v>CPCW</v>
          </cell>
          <cell r="B21">
            <v>12</v>
          </cell>
          <cell r="C21" t="str">
            <v>External fire</v>
          </cell>
          <cell r="D21" t="str">
            <v>A fire begins outside of the CPC-WSA and propagates to an area where waste is present. The external fire could be from a wildland fire, other facility, or another fire source.</v>
          </cell>
          <cell r="E21">
            <v>2100</v>
          </cell>
          <cell r="F21" t="str">
            <v>E19</v>
          </cell>
          <cell r="G21">
            <v>0.5</v>
          </cell>
          <cell r="H21" t="str">
            <v>Gnd</v>
          </cell>
          <cell r="I21">
            <v>850</v>
          </cell>
          <cell r="J21" t="str">
            <v>U</v>
          </cell>
          <cell r="K21" t="str">
            <v>H</v>
          </cell>
          <cell r="L21" t="str">
            <v>H</v>
          </cell>
          <cell r="M21" t="str">
            <v>N</v>
          </cell>
          <cell r="N21" t="str">
            <v>N</v>
          </cell>
          <cell r="O21" t="str">
            <v>I</v>
          </cell>
          <cell r="P21" t="str">
            <v>I</v>
          </cell>
          <cell r="Q21" t="str">
            <v>IV</v>
          </cell>
          <cell r="R21" t="str">
            <v>IV</v>
          </cell>
          <cell r="S21" t="str">
            <v>E19</v>
          </cell>
          <cell r="T21">
            <v>0.05</v>
          </cell>
          <cell r="U21" t="str">
            <v>Gnd</v>
          </cell>
          <cell r="V21">
            <v>850</v>
          </cell>
          <cell r="W21" t="str">
            <v>EU</v>
          </cell>
          <cell r="X21" t="str">
            <v>M</v>
          </cell>
          <cell r="Y21" t="str">
            <v>M</v>
          </cell>
          <cell r="Z21" t="str">
            <v>N</v>
          </cell>
          <cell r="AA21" t="str">
            <v>N</v>
          </cell>
          <cell r="AB21" t="str">
            <v>III</v>
          </cell>
          <cell r="AC21" t="str">
            <v>III</v>
          </cell>
          <cell r="AD21" t="str">
            <v>IV</v>
          </cell>
          <cell r="AE21" t="str">
            <v>IV</v>
          </cell>
          <cell r="AF21" t="str">
            <v>Unmitigated frequency very conservative since no exposure fire risks identified in WVNS-FHA-010, Rev. 2. Even under EU wildland fire conditions virtually no waste would be exposed to critical heat flux due to facility construction.  MAR is entire inventory of radioactive material in WVDP packaged waste (exclusive of HLW). 
(Ref.WVNS-CAL-397, Table C-1, Lag Storage).  DR assumes that 10% of array is exposed to critical heat flux.</v>
          </cell>
          <cell r="AG21" t="str">
            <v>•  None</v>
          </cell>
          <cell r="AH21" t="str">
            <v>•  None</v>
          </cell>
          <cell r="AI21" t="str">
            <v>• SAC for TRU waste container physical protection</v>
          </cell>
          <cell r="AJ21" t="str">
            <v>•  Fire Protection Program
•  Maintenance Program</v>
          </cell>
          <cell r="AK21" t="str">
            <v>•   APPROVED CONTAINERS used for TRU waste storage
•   TSR-compliant packaging for high activity TRU waste</v>
          </cell>
          <cell r="AL21" t="str">
            <v>•  Non-combustible facility sheathing/ exterior</v>
          </cell>
          <cell r="AM21" t="str">
            <v>• SAC for APPROVED CONTAINER use</v>
          </cell>
          <cell r="AN21" t="str">
            <v>•  Emergency Response Program
•  Fire Protection Program
•  Radiological Protection Program</v>
          </cell>
        </row>
        <row r="22">
          <cell r="A22" t="str">
            <v>CPCW</v>
          </cell>
          <cell r="B22">
            <v>13</v>
          </cell>
          <cell r="C22" t="str">
            <v>Tornado</v>
          </cell>
          <cell r="D22" t="str">
            <v>Direct effects of tornado winds, falling objects, or tornado-produced missiles causing impacts to the facility.</v>
          </cell>
          <cell r="E22">
            <v>2100</v>
          </cell>
          <cell r="F22" t="str">
            <v>E22</v>
          </cell>
          <cell r="G22">
            <v>1</v>
          </cell>
          <cell r="H22" t="str">
            <v>Gnd</v>
          </cell>
          <cell r="I22">
            <v>850</v>
          </cell>
          <cell r="J22" t="str">
            <v>U</v>
          </cell>
          <cell r="K22" t="str">
            <v>H</v>
          </cell>
          <cell r="L22" t="str">
            <v>M</v>
          </cell>
          <cell r="M22" t="str">
            <v>N</v>
          </cell>
          <cell r="N22" t="str">
            <v>N</v>
          </cell>
          <cell r="O22" t="str">
            <v>I</v>
          </cell>
          <cell r="P22" t="str">
            <v>II</v>
          </cell>
          <cell r="Q22" t="str">
            <v>IV</v>
          </cell>
          <cell r="R22" t="str">
            <v>IV</v>
          </cell>
          <cell r="S22" t="str">
            <v>E22</v>
          </cell>
          <cell r="T22">
            <v>0.18</v>
          </cell>
          <cell r="U22" t="str">
            <v>Gnd</v>
          </cell>
          <cell r="V22">
            <v>850</v>
          </cell>
          <cell r="W22" t="str">
            <v>EU</v>
          </cell>
          <cell r="X22" t="str">
            <v>M</v>
          </cell>
          <cell r="Y22" t="str">
            <v>M</v>
          </cell>
          <cell r="Z22" t="str">
            <v>N</v>
          </cell>
          <cell r="AA22" t="str">
            <v>N</v>
          </cell>
          <cell r="AB22" t="str">
            <v>III</v>
          </cell>
          <cell r="AC22" t="str">
            <v>III</v>
          </cell>
          <cell r="AD22" t="str">
            <v>IV</v>
          </cell>
          <cell r="AE22" t="str">
            <v>IV</v>
          </cell>
          <cell r="AF22" t="str">
            <v>Shielding and nature of waste associated with many of the containers in the facility expected to mitigate the consequences of this event. 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22" t="str">
            <v>•  None</v>
          </cell>
          <cell r="AH22" t="str">
            <v>•  None</v>
          </cell>
          <cell r="AI22" t="str">
            <v>•  None</v>
          </cell>
          <cell r="AJ22" t="str">
            <v>•  None</v>
          </cell>
          <cell r="AK22" t="str">
            <v>•   TSR-compliant packaging for high activity TRU waste</v>
          </cell>
          <cell r="AL22" t="str">
            <v>•  None</v>
          </cell>
          <cell r="AM22" t="str">
            <v>•  None</v>
          </cell>
          <cell r="AN22" t="str">
            <v>•  Radiological Protection Program
•  Emergency Response Program
•  Performance Based Training Program
•  Conduct of Operations</v>
          </cell>
        </row>
        <row r="23">
          <cell r="A23" t="str">
            <v>CPCW</v>
          </cell>
          <cell r="B23">
            <v>14</v>
          </cell>
          <cell r="C23" t="str">
            <v>Seismic event</v>
          </cell>
          <cell r="D23" t="str">
            <v>Seismic event causes structural collapse and/or failure of storage array resulting in damage to stored containers.</v>
          </cell>
          <cell r="E23">
            <v>2100</v>
          </cell>
          <cell r="F23" t="str">
            <v>E24</v>
          </cell>
          <cell r="G23">
            <v>0.01</v>
          </cell>
          <cell r="H23" t="str">
            <v>Gnd</v>
          </cell>
          <cell r="I23">
            <v>850</v>
          </cell>
          <cell r="J23" t="str">
            <v>U</v>
          </cell>
          <cell r="K23" t="str">
            <v>L</v>
          </cell>
          <cell r="L23" t="str">
            <v>L</v>
          </cell>
          <cell r="M23" t="str">
            <v>N</v>
          </cell>
          <cell r="N23" t="str">
            <v>N</v>
          </cell>
          <cell r="O23" t="str">
            <v>III</v>
          </cell>
          <cell r="P23" t="str">
            <v>III</v>
          </cell>
          <cell r="Q23" t="str">
            <v>IV</v>
          </cell>
          <cell r="R23" t="str">
            <v>IV</v>
          </cell>
          <cell r="S23" t="str">
            <v>E24</v>
          </cell>
          <cell r="T23">
            <v>0.01</v>
          </cell>
          <cell r="U23" t="str">
            <v>Gnd</v>
          </cell>
          <cell r="V23">
            <v>850</v>
          </cell>
          <cell r="W23" t="str">
            <v>U</v>
          </cell>
          <cell r="X23" t="str">
            <v>L</v>
          </cell>
          <cell r="Y23" t="str">
            <v>L</v>
          </cell>
          <cell r="Z23" t="str">
            <v>N</v>
          </cell>
          <cell r="AA23" t="str">
            <v>N</v>
          </cell>
          <cell r="AB23" t="str">
            <v>III</v>
          </cell>
          <cell r="AC23" t="str">
            <v>III</v>
          </cell>
          <cell r="AD23" t="str">
            <v>IV</v>
          </cell>
          <cell r="AE23" t="str">
            <v>IV</v>
          </cell>
          <cell r="AF23" t="str">
            <v xml:space="preserve">Facility expected to remain intact following EBE. Toppling of storage array addressed under event "Collapse of Stacked Containers."  MAR is entire inventory of radioactive material in WVDP packaged waste (exclusive of HLW) (Ref.WVNS-CAL-397, Table C-1, Lag Storage).  </v>
          </cell>
          <cell r="AG23" t="str">
            <v>•  None</v>
          </cell>
          <cell r="AH23" t="str">
            <v>•  None</v>
          </cell>
          <cell r="AI23" t="str">
            <v>•  None</v>
          </cell>
          <cell r="AJ23" t="str">
            <v>•  None</v>
          </cell>
          <cell r="AK23" t="str">
            <v>•   APPROVED CONTAINERS used for TRU waste storage
•   TSR-compliant packaging for high activity TRU waste</v>
          </cell>
          <cell r="AL23" t="str">
            <v>•  None</v>
          </cell>
          <cell r="AM23" t="str">
            <v>•  None</v>
          </cell>
          <cell r="AN23" t="str">
            <v>•  Radiological Protection Program
•  Emergency Response Program
•  Performance Based Training Program
•  Conduct of Operations</v>
          </cell>
        </row>
        <row r="24">
          <cell r="A24" t="str">
            <v>CPCW</v>
          </cell>
          <cell r="B24">
            <v>15</v>
          </cell>
          <cell r="C24" t="str">
            <v>Loss of liquid contamination confinement</v>
          </cell>
          <cell r="D24" t="str">
            <v>Waste container containing residual liquids fails, resulting in loss of liquid contamination to the environment</v>
          </cell>
          <cell r="E24">
            <v>1</v>
          </cell>
          <cell r="F24" t="str">
            <v>AER</v>
          </cell>
          <cell r="G24">
            <v>1</v>
          </cell>
          <cell r="H24" t="str">
            <v>Gnd</v>
          </cell>
          <cell r="I24">
            <v>850</v>
          </cell>
          <cell r="J24" t="str">
            <v>U</v>
          </cell>
          <cell r="K24" t="str">
            <v>N</v>
          </cell>
          <cell r="L24" t="str">
            <v>N</v>
          </cell>
          <cell r="M24" t="str">
            <v>N</v>
          </cell>
          <cell r="N24" t="str">
            <v>N</v>
          </cell>
          <cell r="O24" t="str">
            <v>IV</v>
          </cell>
          <cell r="P24" t="str">
            <v>IV</v>
          </cell>
          <cell r="Q24" t="str">
            <v>IV</v>
          </cell>
          <cell r="R24" t="str">
            <v>IV</v>
          </cell>
          <cell r="S24" t="str">
            <v>AER</v>
          </cell>
          <cell r="T24">
            <v>1</v>
          </cell>
          <cell r="U24" t="str">
            <v>Gnd</v>
          </cell>
          <cell r="V24">
            <v>850</v>
          </cell>
          <cell r="W24" t="str">
            <v>U</v>
          </cell>
          <cell r="X24" t="str">
            <v>N</v>
          </cell>
          <cell r="Y24" t="str">
            <v>N</v>
          </cell>
          <cell r="Z24" t="str">
            <v>N</v>
          </cell>
          <cell r="AA24" t="str">
            <v>N</v>
          </cell>
          <cell r="AB24" t="str">
            <v>IV</v>
          </cell>
          <cell r="AC24" t="str">
            <v>IV</v>
          </cell>
          <cell r="AD24" t="str">
            <v>IV</v>
          </cell>
          <cell r="AE24" t="str">
            <v>IV</v>
          </cell>
          <cell r="AF24" t="str">
            <v xml:space="preserve">None.  </v>
          </cell>
          <cell r="AG24" t="str">
            <v>•  None</v>
          </cell>
          <cell r="AH24" t="str">
            <v>•  Cell liners/sumps and/or area berms</v>
          </cell>
          <cell r="AI24" t="str">
            <v>•  None</v>
          </cell>
          <cell r="AJ24" t="str">
            <v xml:space="preserve">•  Quality Assurance Program
•  Performance Based Training Program
•  Maintenance Program
•  Conduct of Operations
•  Waste Management Program </v>
          </cell>
          <cell r="AK24" t="str">
            <v>•  None</v>
          </cell>
          <cell r="AL24" t="str">
            <v>•  None</v>
          </cell>
          <cell r="AM24" t="str">
            <v>•  None</v>
          </cell>
          <cell r="AN24" t="str">
            <v>•  Radiological Protection Program
•  Performance Based Training Program
•  Conduct of Operations</v>
          </cell>
        </row>
        <row r="25">
          <cell r="A25" t="str">
            <v>CPCW</v>
          </cell>
          <cell r="B25">
            <v>16</v>
          </cell>
          <cell r="C25" t="str">
            <v>Flood</v>
          </cell>
          <cell r="D25" t="str">
            <v>A greater than 100-yr  rain event results in sheet flow that floods the storage area. Flooding may be exacerbated by plugged drainage channels or culverts.</v>
          </cell>
          <cell r="E25">
            <v>2100</v>
          </cell>
          <cell r="F25" t="str">
            <v>NA</v>
          </cell>
          <cell r="G25" t="str">
            <v>NA</v>
          </cell>
          <cell r="H25" t="str">
            <v>Gnd</v>
          </cell>
          <cell r="I25">
            <v>850</v>
          </cell>
          <cell r="J25" t="str">
            <v>U</v>
          </cell>
          <cell r="K25" t="str">
            <v>N</v>
          </cell>
          <cell r="L25" t="str">
            <v>N</v>
          </cell>
          <cell r="M25" t="str">
            <v>N</v>
          </cell>
          <cell r="N25" t="str">
            <v>N</v>
          </cell>
          <cell r="O25" t="str">
            <v>IV</v>
          </cell>
          <cell r="P25" t="str">
            <v>IV</v>
          </cell>
          <cell r="Q25" t="str">
            <v>IV</v>
          </cell>
          <cell r="R25" t="str">
            <v>IV</v>
          </cell>
          <cell r="S25" t="str">
            <v>NA</v>
          </cell>
          <cell r="T25" t="str">
            <v>NA</v>
          </cell>
          <cell r="U25" t="str">
            <v>Gnd</v>
          </cell>
          <cell r="V25">
            <v>850</v>
          </cell>
          <cell r="W25" t="str">
            <v>U</v>
          </cell>
          <cell r="X25" t="str">
            <v>N</v>
          </cell>
          <cell r="Y25" t="str">
            <v>N</v>
          </cell>
          <cell r="Z25" t="str">
            <v>N</v>
          </cell>
          <cell r="AA25" t="str">
            <v>N</v>
          </cell>
          <cell r="AB25" t="str">
            <v>IV</v>
          </cell>
          <cell r="AC25" t="str">
            <v>IV</v>
          </cell>
          <cell r="AD25" t="str">
            <v>IV</v>
          </cell>
          <cell r="AE25" t="str">
            <v>IV</v>
          </cell>
          <cell r="AF25" t="str">
            <v xml:space="preserve">Site topography places facility outside area vulnerable to flooding (ref. Figure 1.4-6).  MAR is entire inventory of radioactive material in WVDP packaged waste (exclusive of HLW) (Ref.WVNS-CAL-397, Table C-1, Lag Storage).  </v>
          </cell>
          <cell r="AG25" t="str">
            <v>•  None</v>
          </cell>
          <cell r="AH25" t="str">
            <v>•  Siting of storage array in area away from areas of anticipated flooding</v>
          </cell>
          <cell r="AI25" t="str">
            <v>•  None</v>
          </cell>
          <cell r="AJ25" t="str">
            <v>•  None</v>
          </cell>
          <cell r="AK25" t="str">
            <v>•  None</v>
          </cell>
          <cell r="AL25" t="str">
            <v>•  None</v>
          </cell>
          <cell r="AM25" t="str">
            <v>•  None</v>
          </cell>
          <cell r="AN25" t="str">
            <v>•  Radiological Protection Program
•  Performance Based Training Program
•  Conduct of Operations</v>
          </cell>
        </row>
        <row r="26">
          <cell r="A26" t="str">
            <v>HLWSS</v>
          </cell>
          <cell r="B26">
            <v>1</v>
          </cell>
          <cell r="C26" t="str">
            <v>Vehicle/equipment impacts waste/waste containers</v>
          </cell>
          <cell r="D26" t="str">
            <v>A transporter collides with a cask on the storage pad.</v>
          </cell>
          <cell r="E26">
            <v>2500</v>
          </cell>
          <cell r="F26" t="str">
            <v>SS</v>
          </cell>
          <cell r="G26">
            <v>0</v>
          </cell>
          <cell r="H26" t="str">
            <v>Gnd</v>
          </cell>
          <cell r="I26">
            <v>850</v>
          </cell>
          <cell r="J26" t="str">
            <v>A</v>
          </cell>
          <cell r="K26" t="str">
            <v>N</v>
          </cell>
          <cell r="L26" t="str">
            <v>N</v>
          </cell>
          <cell r="M26" t="str">
            <v>N</v>
          </cell>
          <cell r="N26" t="str">
            <v>N</v>
          </cell>
          <cell r="O26" t="str">
            <v>IV</v>
          </cell>
          <cell r="P26" t="str">
            <v>IV</v>
          </cell>
          <cell r="Q26" t="str">
            <v>IV</v>
          </cell>
          <cell r="R26" t="str">
            <v>IV</v>
          </cell>
          <cell r="S26" t="str">
            <v>SS</v>
          </cell>
          <cell r="T26">
            <v>0</v>
          </cell>
          <cell r="U26" t="str">
            <v>Gnd</v>
          </cell>
          <cell r="V26">
            <v>850</v>
          </cell>
          <cell r="W26" t="str">
            <v>A</v>
          </cell>
          <cell r="X26" t="str">
            <v>N</v>
          </cell>
          <cell r="Y26" t="str">
            <v>N</v>
          </cell>
          <cell r="Z26" t="str">
            <v>N</v>
          </cell>
          <cell r="AA26" t="str">
            <v>N</v>
          </cell>
          <cell r="AB26" t="str">
            <v>IV</v>
          </cell>
          <cell r="AC26" t="str">
            <v>IV</v>
          </cell>
          <cell r="AD26" t="str">
            <v>IV</v>
          </cell>
          <cell r="AE26" t="str">
            <v>IV</v>
          </cell>
          <cell r="AF26" t="str">
            <v xml:space="preserve">The maximum anticipated speed of the cask transporter enroute to the storage pad is approximately 2 mph.   MAR is cask containing 5 HLW canisters each containing an amount of activity equal to the maximum HLW canister (Ref. WVNS-CAL-396).  </v>
          </cell>
          <cell r="AG26" t="str">
            <v>•  None</v>
          </cell>
          <cell r="AH26" t="str">
            <v xml:space="preserve">•  Design of MPC-WVDP storage system capable of withstanding significant impact stresses </v>
          </cell>
          <cell r="AI26" t="str">
            <v>• SAC for TRU waste container physical protection
• SAC for TRU waste transportation</v>
          </cell>
          <cell r="AJ26" t="str">
            <v xml:space="preserve">•  Quality Assurance Program
•  Performance Based Training Program
•  Maintenance Program
•  Conduct of Operations
•  Waste Management Program </v>
          </cell>
          <cell r="AK26" t="str">
            <v>•  None</v>
          </cell>
          <cell r="AL2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26" t="str">
            <v>•  None</v>
          </cell>
          <cell r="AN26" t="str">
            <v>•  Radiological Protection Program
•  Emergency Response Program
•  Performance Based Training Program
•  Conduct of Operations</v>
          </cell>
        </row>
        <row r="27">
          <cell r="A27" t="str">
            <v>HLWSS</v>
          </cell>
          <cell r="B27">
            <v>2</v>
          </cell>
          <cell r="C27" t="str">
            <v>Drop/impact/spill</v>
          </cell>
          <cell r="D27" t="str">
            <v>Loaded cask transporter collides with another vehicle.</v>
          </cell>
          <cell r="E27">
            <v>2500</v>
          </cell>
          <cell r="F27" t="str">
            <v>SS</v>
          </cell>
          <cell r="G27">
            <v>0</v>
          </cell>
          <cell r="H27" t="str">
            <v>Gnd</v>
          </cell>
          <cell r="I27">
            <v>850</v>
          </cell>
          <cell r="J27" t="str">
            <v>A</v>
          </cell>
          <cell r="K27" t="str">
            <v>N</v>
          </cell>
          <cell r="L27" t="str">
            <v>N</v>
          </cell>
          <cell r="M27" t="str">
            <v>N</v>
          </cell>
          <cell r="N27" t="str">
            <v>N</v>
          </cell>
          <cell r="O27" t="str">
            <v>IV</v>
          </cell>
          <cell r="P27" t="str">
            <v>IV</v>
          </cell>
          <cell r="Q27" t="str">
            <v>IV</v>
          </cell>
          <cell r="R27" t="str">
            <v>IV</v>
          </cell>
          <cell r="S27" t="str">
            <v>SS</v>
          </cell>
          <cell r="T27">
            <v>0</v>
          </cell>
          <cell r="U27" t="str">
            <v>Gnd</v>
          </cell>
          <cell r="V27">
            <v>850</v>
          </cell>
          <cell r="W27" t="str">
            <v>U</v>
          </cell>
          <cell r="X27" t="str">
            <v>N</v>
          </cell>
          <cell r="Y27" t="str">
            <v>N</v>
          </cell>
          <cell r="Z27" t="str">
            <v>N</v>
          </cell>
          <cell r="AA27" t="str">
            <v>N</v>
          </cell>
          <cell r="AB27" t="str">
            <v>IV</v>
          </cell>
          <cell r="AC27" t="str">
            <v>IV</v>
          </cell>
          <cell r="AD27" t="str">
            <v>IV</v>
          </cell>
          <cell r="AE27" t="str">
            <v>IV</v>
          </cell>
          <cell r="AF27"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7" t="str">
            <v>•  None</v>
          </cell>
          <cell r="AH27" t="str">
            <v>•  Cask lifting lugs and transporter lifting components designed with conservative safety factors
•  Transporter design that limits cask ground clearance to ≤ 6”</v>
          </cell>
          <cell r="AI27" t="str">
            <v>•  None</v>
          </cell>
          <cell r="AJ27" t="str">
            <v xml:space="preserve">•  Quality Assurance Program
•  Performance Based Training Program
•  Maintenance Program
•  Conduct of Operations
•  Waste Management Program </v>
          </cell>
          <cell r="AK27" t="str">
            <v>•  None</v>
          </cell>
          <cell r="AL27"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7" t="str">
            <v>•  None</v>
          </cell>
          <cell r="AN27" t="str">
            <v>•  Radiological Protection Program
•  Emergency Response Program
•  Performance Based Training Program
•  Conduct of Operations</v>
          </cell>
        </row>
        <row r="28">
          <cell r="A28" t="str">
            <v>HLWSS</v>
          </cell>
          <cell r="B28">
            <v>3</v>
          </cell>
          <cell r="C28" t="str">
            <v>Drop/impact/spill</v>
          </cell>
          <cell r="D28" t="str">
            <v>Failure of a handling component on the transporter or operator error associated with not fully engaging the lifting lugs results in 6” drop of a loaded storage cask</v>
          </cell>
          <cell r="E28">
            <v>2500</v>
          </cell>
          <cell r="F28" t="str">
            <v>SS</v>
          </cell>
          <cell r="G28">
            <v>0</v>
          </cell>
          <cell r="H28" t="str">
            <v>Gnd</v>
          </cell>
          <cell r="I28">
            <v>850</v>
          </cell>
          <cell r="J28" t="str">
            <v>A</v>
          </cell>
          <cell r="K28" t="str">
            <v>N</v>
          </cell>
          <cell r="L28" t="str">
            <v>N</v>
          </cell>
          <cell r="M28" t="str">
            <v>N</v>
          </cell>
          <cell r="N28" t="str">
            <v>N</v>
          </cell>
          <cell r="O28" t="str">
            <v>IV</v>
          </cell>
          <cell r="P28" t="str">
            <v>IV</v>
          </cell>
          <cell r="Q28" t="str">
            <v>IV</v>
          </cell>
          <cell r="R28" t="str">
            <v>IV</v>
          </cell>
          <cell r="S28" t="str">
            <v>SS</v>
          </cell>
          <cell r="T28">
            <v>0</v>
          </cell>
          <cell r="U28" t="str">
            <v>Gnd</v>
          </cell>
          <cell r="V28">
            <v>850</v>
          </cell>
          <cell r="W28" t="str">
            <v>U</v>
          </cell>
          <cell r="X28" t="str">
            <v>N</v>
          </cell>
          <cell r="Y28" t="str">
            <v>N</v>
          </cell>
          <cell r="Z28" t="str">
            <v>N</v>
          </cell>
          <cell r="AA28" t="str">
            <v>N</v>
          </cell>
          <cell r="AB28" t="str">
            <v>IV</v>
          </cell>
          <cell r="AC28" t="str">
            <v>IV</v>
          </cell>
          <cell r="AD28" t="str">
            <v>IV</v>
          </cell>
          <cell r="AE28" t="str">
            <v>IV</v>
          </cell>
          <cell r="AF28" t="str">
            <v xml:space="preserve">Cask transporters are designed with conservative safety factors. (Transporters load tested to 125% of nominal capacity.) MAR is cask containing 5 HLW canisters each containing an amount of activity equal to the maximum HLW canister (Ref. WVNS-CAL-396).  </v>
          </cell>
          <cell r="AG28" t="str">
            <v>•  None</v>
          </cell>
          <cell r="AH28" t="str">
            <v>•  Cask lifting lugs and transporter lifting components designed with conservative safety factors
•  Transporter design that limits cask ground clearance to ≤ 6”</v>
          </cell>
          <cell r="AI28" t="str">
            <v>•  None</v>
          </cell>
          <cell r="AJ28" t="str">
            <v xml:space="preserve">•  Quality Assurance Program
•  Performance Based Training Program
•  Maintenance Program
•  Conduct of Operations
•  Waste Management Program </v>
          </cell>
          <cell r="AK28" t="str">
            <v>•  None</v>
          </cell>
          <cell r="AL28"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AM28" t="str">
            <v>•  None</v>
          </cell>
          <cell r="AN28" t="str">
            <v>•  Radiological Protection Program
•  Emergency Response Program
•  Performance Based Training Program
•  Conduct of Operations</v>
          </cell>
        </row>
        <row r="29">
          <cell r="A29" t="str">
            <v>HLWSS</v>
          </cell>
          <cell r="B29">
            <v>4</v>
          </cell>
          <cell r="C29" t="str">
            <v>Storage cask tip-over due to transportation event</v>
          </cell>
          <cell r="D29" t="str">
            <v>Cask tips over following drop of cask during transport to storage pad or due to haul path failure during transit</v>
          </cell>
          <cell r="E29">
            <v>2500</v>
          </cell>
          <cell r="F29" t="str">
            <v>SS</v>
          </cell>
          <cell r="G29">
            <v>0</v>
          </cell>
          <cell r="H29" t="str">
            <v>Gnd</v>
          </cell>
          <cell r="I29">
            <v>850</v>
          </cell>
          <cell r="J29" t="str">
            <v>U</v>
          </cell>
          <cell r="K29" t="str">
            <v>N</v>
          </cell>
          <cell r="L29" t="str">
            <v>N</v>
          </cell>
          <cell r="M29" t="str">
            <v>N</v>
          </cell>
          <cell r="N29" t="str">
            <v>N</v>
          </cell>
          <cell r="O29" t="str">
            <v>IV</v>
          </cell>
          <cell r="P29" t="str">
            <v>IV</v>
          </cell>
          <cell r="Q29" t="str">
            <v>IV</v>
          </cell>
          <cell r="R29" t="str">
            <v>IV</v>
          </cell>
          <cell r="S29" t="str">
            <v>SS</v>
          </cell>
          <cell r="T29">
            <v>0</v>
          </cell>
          <cell r="U29" t="str">
            <v>Gnd</v>
          </cell>
          <cell r="V29">
            <v>850</v>
          </cell>
          <cell r="W29" t="str">
            <v>U</v>
          </cell>
          <cell r="X29" t="str">
            <v>N</v>
          </cell>
          <cell r="Y29" t="str">
            <v>N</v>
          </cell>
          <cell r="Z29" t="str">
            <v>N</v>
          </cell>
          <cell r="AA29" t="str">
            <v>N</v>
          </cell>
          <cell r="AB29" t="str">
            <v>IV</v>
          </cell>
          <cell r="AC29" t="str">
            <v>IV</v>
          </cell>
          <cell r="AD29" t="str">
            <v>IV</v>
          </cell>
          <cell r="AE29" t="str">
            <v>IV</v>
          </cell>
          <cell r="AF29" t="str">
            <v xml:space="preserve">Haul path to be inspected and verified to be adequate prior to transportation. MAR is cask containing 5 HLW canisters each containing an amount of activity equal to the maximum HLW canister (Ref. WVNS-CAL-396).  </v>
          </cell>
          <cell r="AG29" t="str">
            <v>•  None</v>
          </cell>
          <cell r="AH29" t="str">
            <v>•  Engineering design of haul path capable of supporting multiple transports in excess of cask load</v>
          </cell>
          <cell r="AI29" t="str">
            <v>•  None</v>
          </cell>
          <cell r="AJ29" t="str">
            <v>•  Quality Assurance Program
•  Performance Based Training Program
•  Maintenance Program
•  Conduct of Operations</v>
          </cell>
          <cell r="AK29" t="str">
            <v>•  None</v>
          </cell>
          <cell r="AL29" t="str">
            <v>•  Heavily reinforced 19.75" thick concrete VSC
•  4" thick steel VSC shielding
•  Weld-sealed 3/8" thick steel MPC
•  Weld-sealed steel HLW canister
•  Borosilicate waste matrix that inhibits waste release and retards biological uptake due to stable chemical form</v>
          </cell>
          <cell r="AM29" t="str">
            <v>•  None</v>
          </cell>
          <cell r="AN29" t="str">
            <v>•  Radiological Protection Program
•  Emergency Response Program
•  Performance Based Training Program
•  Conduct of Operations</v>
          </cell>
        </row>
        <row r="30">
          <cell r="A30" t="str">
            <v>HLWSS</v>
          </cell>
          <cell r="B30">
            <v>5</v>
          </cell>
          <cell r="C30" t="str">
            <v>Localized explosion external to container</v>
          </cell>
          <cell r="D30"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30">
            <v>2500</v>
          </cell>
          <cell r="F30" t="str">
            <v>SS</v>
          </cell>
          <cell r="G30">
            <v>0</v>
          </cell>
          <cell r="H30" t="str">
            <v>Gnd</v>
          </cell>
          <cell r="I30">
            <v>850</v>
          </cell>
          <cell r="J30" t="str">
            <v>A</v>
          </cell>
          <cell r="K30" t="str">
            <v>N</v>
          </cell>
          <cell r="L30" t="str">
            <v>N</v>
          </cell>
          <cell r="M30" t="str">
            <v>N</v>
          </cell>
          <cell r="N30" t="str">
            <v>N</v>
          </cell>
          <cell r="O30" t="str">
            <v>IV</v>
          </cell>
          <cell r="P30" t="str">
            <v>IV</v>
          </cell>
          <cell r="Q30" t="str">
            <v>IV</v>
          </cell>
          <cell r="R30" t="str">
            <v>IV</v>
          </cell>
          <cell r="S30" t="str">
            <v>SS</v>
          </cell>
          <cell r="T30">
            <v>0</v>
          </cell>
          <cell r="U30" t="str">
            <v>Gnd</v>
          </cell>
          <cell r="V30">
            <v>850</v>
          </cell>
          <cell r="W30" t="str">
            <v>U</v>
          </cell>
          <cell r="X30" t="str">
            <v>N</v>
          </cell>
          <cell r="Y30" t="str">
            <v>N</v>
          </cell>
          <cell r="Z30" t="str">
            <v>N</v>
          </cell>
          <cell r="AA30" t="str">
            <v>N</v>
          </cell>
          <cell r="AB30" t="str">
            <v>IV</v>
          </cell>
          <cell r="AC30" t="str">
            <v>IV</v>
          </cell>
          <cell r="AD30" t="str">
            <v>IV</v>
          </cell>
          <cell r="AE30" t="str">
            <v>IV</v>
          </cell>
          <cell r="AF30" t="str">
            <v xml:space="preserve"> MAR is cask containing 5 HLW canisters each containing an amount of activity equal to the maximum HLW canister (Ref. WVNS-CAL-396).  </v>
          </cell>
          <cell r="AG30" t="str">
            <v>•  None</v>
          </cell>
          <cell r="AH30" t="str">
            <v>•  None</v>
          </cell>
          <cell r="AI30" t="str">
            <v>•  None</v>
          </cell>
          <cell r="AJ30" t="str">
            <v xml:space="preserve">•  Quality Assurance Program
•  Fire Protection Program
•  Performance Based Training Program
•  Maintenance Program
•  Waste Management Program </v>
          </cell>
          <cell r="AK30" t="str">
            <v>•  None</v>
          </cell>
          <cell r="AL3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0" t="str">
            <v>•  None</v>
          </cell>
          <cell r="AN30" t="str">
            <v>•  Radiological Protection Program
•  Emergency Response Program
•  Fire Protection Program
•  Performance Based Training Program
•  Conduct of Operations</v>
          </cell>
        </row>
        <row r="31">
          <cell r="A31" t="str">
            <v>HLWSS</v>
          </cell>
          <cell r="B31">
            <v>6</v>
          </cell>
          <cell r="C31" t="str">
            <v>Locomotive/ loaded rail car impacts storage casks</v>
          </cell>
          <cell r="D31" t="str">
            <v>A locomotive/ loaded rail car  containing demolition debris derails, colliding with casks on the storage pad.</v>
          </cell>
          <cell r="E31">
            <v>83000</v>
          </cell>
          <cell r="F31" t="str">
            <v>SS</v>
          </cell>
          <cell r="G31">
            <v>0</v>
          </cell>
          <cell r="H31" t="str">
            <v>Gnd</v>
          </cell>
          <cell r="I31">
            <v>850</v>
          </cell>
          <cell r="J31" t="str">
            <v>EU</v>
          </cell>
          <cell r="K31" t="str">
            <v>N</v>
          </cell>
          <cell r="L31" t="str">
            <v>N</v>
          </cell>
          <cell r="M31" t="str">
            <v>N</v>
          </cell>
          <cell r="N31" t="str">
            <v>N</v>
          </cell>
          <cell r="O31" t="str">
            <v>IV</v>
          </cell>
          <cell r="P31" t="str">
            <v>IV</v>
          </cell>
          <cell r="Q31" t="str">
            <v>IV</v>
          </cell>
          <cell r="R31" t="str">
            <v>IV</v>
          </cell>
          <cell r="S31" t="str">
            <v>SS</v>
          </cell>
          <cell r="T31">
            <v>0</v>
          </cell>
          <cell r="U31" t="str">
            <v>Gnd</v>
          </cell>
          <cell r="V31">
            <v>850</v>
          </cell>
          <cell r="W31" t="str">
            <v>BEU</v>
          </cell>
          <cell r="X31" t="str">
            <v>N</v>
          </cell>
          <cell r="Y31" t="str">
            <v>N</v>
          </cell>
          <cell r="Z31" t="str">
            <v>N</v>
          </cell>
          <cell r="AA31" t="str">
            <v>N</v>
          </cell>
          <cell r="AB31" t="str">
            <v>IV</v>
          </cell>
          <cell r="AC31" t="str">
            <v>IV</v>
          </cell>
          <cell r="AD31" t="str">
            <v>IV</v>
          </cell>
          <cell r="AE31" t="str">
            <v>IV</v>
          </cell>
          <cell r="AF31" t="str">
            <v xml:space="preserve">The rail line adjacent to the storage pad is a spur that is wholly on the WVDP premises, precluding other commercial traffic. MAR is entire inventory of radioactive material in HLWSS (Ref.WVNS-CAL-397, Table C-1, HLWSS).  </v>
          </cell>
          <cell r="AG31" t="str">
            <v>•  None</v>
          </cell>
          <cell r="AH31" t="str">
            <v>•  None</v>
          </cell>
          <cell r="AI31" t="str">
            <v>•  None</v>
          </cell>
          <cell r="AJ31" t="str">
            <v>•  Quality Assurance Program
•  Performance Based Training Program
•  Maintenance Program</v>
          </cell>
          <cell r="AK31" t="str">
            <v>•  None</v>
          </cell>
          <cell r="AL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1" t="str">
            <v>•  None</v>
          </cell>
          <cell r="AN31" t="str">
            <v>•  Radiological Protection Program
•  Emergency Response Program
•  Performance Based Training Program
•  Conduct of Operations</v>
          </cell>
        </row>
        <row r="32">
          <cell r="A32" t="str">
            <v>HLWSS</v>
          </cell>
          <cell r="B32">
            <v>7</v>
          </cell>
          <cell r="C32" t="str">
            <v>External explosion</v>
          </cell>
          <cell r="D32" t="str">
            <v>An event external to the storage array results in an explosion impacting the exposed face of the stored cask.</v>
          </cell>
          <cell r="E32">
            <v>2500</v>
          </cell>
          <cell r="F32" t="str">
            <v>SS</v>
          </cell>
          <cell r="G32">
            <v>0</v>
          </cell>
          <cell r="H32" t="str">
            <v>Gnd</v>
          </cell>
          <cell r="I32">
            <v>850</v>
          </cell>
          <cell r="J32" t="str">
            <v>U</v>
          </cell>
          <cell r="K32" t="str">
            <v>N</v>
          </cell>
          <cell r="L32" t="str">
            <v>N</v>
          </cell>
          <cell r="M32" t="str">
            <v>N</v>
          </cell>
          <cell r="N32" t="str">
            <v>N</v>
          </cell>
          <cell r="O32" t="str">
            <v>IV</v>
          </cell>
          <cell r="P32" t="str">
            <v>IV</v>
          </cell>
          <cell r="Q32" t="str">
            <v>IV</v>
          </cell>
          <cell r="R32" t="str">
            <v>IV</v>
          </cell>
          <cell r="S32" t="str">
            <v>SS</v>
          </cell>
          <cell r="T32">
            <v>0</v>
          </cell>
          <cell r="U32" t="str">
            <v>Gnd</v>
          </cell>
          <cell r="V32">
            <v>850</v>
          </cell>
          <cell r="W32" t="str">
            <v>EU</v>
          </cell>
          <cell r="X32" t="str">
            <v>N</v>
          </cell>
          <cell r="Y32" t="str">
            <v>N</v>
          </cell>
          <cell r="Z32" t="str">
            <v>N</v>
          </cell>
          <cell r="AA32" t="str">
            <v>N</v>
          </cell>
          <cell r="AB32" t="str">
            <v>IV</v>
          </cell>
          <cell r="AC32" t="str">
            <v>IV</v>
          </cell>
          <cell r="AD32" t="str">
            <v>IV</v>
          </cell>
          <cell r="AE32" t="str">
            <v>IV</v>
          </cell>
          <cell r="AF32" t="str">
            <v xml:space="preserve">No explosive material handling is required in vicinity of storage pad area. The storage pad is a minimum of 500 feet from public highways. MAR is cask containing 5 HLW canisters each containing an amount of activity equal to the maximum HLW canister (Ref. WVNS-CAL-396).  </v>
          </cell>
          <cell r="AG32" t="str">
            <v>•  None</v>
          </cell>
          <cell r="AH32" t="str">
            <v>•  None</v>
          </cell>
          <cell r="AI32" t="str">
            <v>• SAC for TRU waste container physical protection</v>
          </cell>
          <cell r="AJ32" t="str">
            <v>•  Quality Assurance Program
•  Performance Based Training Program
•  Maintenance Program</v>
          </cell>
          <cell r="AK32" t="str">
            <v>•  None</v>
          </cell>
          <cell r="AL32"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2" t="str">
            <v>•  None</v>
          </cell>
          <cell r="AN32" t="str">
            <v>•  Radiological Protection Program
•  Emergency Response Program
•  Fire Protection Program
•  Performance Based Training Program
•  Conduct of Operations</v>
          </cell>
        </row>
        <row r="33">
          <cell r="A33" t="str">
            <v>HLWSS</v>
          </cell>
          <cell r="B33">
            <v>8</v>
          </cell>
          <cell r="C33" t="str">
            <v>Localized flammable liquid pool fire</v>
          </cell>
          <cell r="D33"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33">
            <v>83000</v>
          </cell>
          <cell r="F33" t="str">
            <v>E01</v>
          </cell>
          <cell r="G33">
            <v>1</v>
          </cell>
          <cell r="H33" t="str">
            <v>Gnd</v>
          </cell>
          <cell r="I33">
            <v>850</v>
          </cell>
          <cell r="J33" t="str">
            <v>EU</v>
          </cell>
          <cell r="K33" t="str">
            <v>H</v>
          </cell>
          <cell r="L33" t="str">
            <v>H</v>
          </cell>
          <cell r="M33" t="str">
            <v>N</v>
          </cell>
          <cell r="N33" t="str">
            <v>N</v>
          </cell>
          <cell r="O33" t="str">
            <v>II</v>
          </cell>
          <cell r="P33" t="str">
            <v>II</v>
          </cell>
          <cell r="Q33" t="str">
            <v>IV</v>
          </cell>
          <cell r="R33" t="str">
            <v>IV</v>
          </cell>
          <cell r="S33" t="str">
            <v>E01</v>
          </cell>
          <cell r="T33">
            <v>0</v>
          </cell>
          <cell r="U33" t="str">
            <v>Gnd</v>
          </cell>
          <cell r="V33">
            <v>850</v>
          </cell>
          <cell r="W33" t="str">
            <v>EU</v>
          </cell>
          <cell r="X33" t="str">
            <v>N</v>
          </cell>
          <cell r="Y33" t="str">
            <v>N</v>
          </cell>
          <cell r="Z33" t="str">
            <v>N</v>
          </cell>
          <cell r="AA33" t="str">
            <v>N</v>
          </cell>
          <cell r="AB33" t="str">
            <v>IV</v>
          </cell>
          <cell r="AC33" t="str">
            <v>IV</v>
          </cell>
          <cell r="AD33" t="str">
            <v>IV</v>
          </cell>
          <cell r="AE33" t="str">
            <v>IV</v>
          </cell>
          <cell r="AF33" t="str">
            <v xml:space="preserve"> MAR is entire inventory of radioactive material in HLWSS (Ref.WVNS-CAL-397, Table C-1, HLWSS).  </v>
          </cell>
          <cell r="AG33" t="str">
            <v>•  None</v>
          </cell>
          <cell r="AH33" t="str">
            <v>•  None</v>
          </cell>
          <cell r="AI33" t="str">
            <v>•  SAC for TRU waste drum fire protection
•  SAC for TRU waste container physical protection</v>
          </cell>
          <cell r="AJ33" t="str">
            <v xml:space="preserve">•  Quality Assurance Program
•  Fire Protection Program
•  Performance Based Training Program
•  Maintenance Program
•  Conduct of Operations
•  Waste Management Program </v>
          </cell>
          <cell r="AK33" t="str">
            <v>•  None</v>
          </cell>
          <cell r="AL33" t="str">
            <v>•  Heavily reinforced 19.75" thick concrete VSC
•  4" thick steel VSC shielding
•  Weld-sealed 3/8" thick steel MPC
•  Weld-sealed steel HLW canister
•  Borosilicate waste matrix that inhibits waste release and retards biological uptake due to stable chemical form</v>
          </cell>
          <cell r="AM33" t="str">
            <v>•  None</v>
          </cell>
          <cell r="AN33" t="str">
            <v>•  None</v>
          </cell>
        </row>
        <row r="34">
          <cell r="A34" t="str">
            <v>HLWSS</v>
          </cell>
          <cell r="B34">
            <v>9</v>
          </cell>
          <cell r="C34" t="str">
            <v>External fire</v>
          </cell>
          <cell r="D34" t="str">
            <v>A fire begins away from storage area and propagates to it. The external fire could be from a wildland fire, other facility, or another fire source.</v>
          </cell>
          <cell r="E34">
            <v>83000</v>
          </cell>
          <cell r="F34" t="str">
            <v>SS</v>
          </cell>
          <cell r="G34">
            <v>0</v>
          </cell>
          <cell r="H34" t="str">
            <v>Gnd</v>
          </cell>
          <cell r="I34">
            <v>850</v>
          </cell>
          <cell r="J34" t="str">
            <v>U</v>
          </cell>
          <cell r="K34" t="str">
            <v>N</v>
          </cell>
          <cell r="L34" t="str">
            <v>N</v>
          </cell>
          <cell r="M34" t="str">
            <v>N</v>
          </cell>
          <cell r="N34" t="str">
            <v>N</v>
          </cell>
          <cell r="O34" t="str">
            <v>IV</v>
          </cell>
          <cell r="P34" t="str">
            <v>IV</v>
          </cell>
          <cell r="Q34" t="str">
            <v>IV</v>
          </cell>
          <cell r="R34" t="str">
            <v>IV</v>
          </cell>
          <cell r="S34" t="str">
            <v>SS</v>
          </cell>
          <cell r="T34">
            <v>0</v>
          </cell>
          <cell r="U34" t="str">
            <v>Gnd</v>
          </cell>
          <cell r="V34">
            <v>850</v>
          </cell>
          <cell r="W34" t="str">
            <v>EU</v>
          </cell>
          <cell r="X34" t="str">
            <v>N</v>
          </cell>
          <cell r="Y34" t="str">
            <v>N</v>
          </cell>
          <cell r="Z34" t="str">
            <v>N</v>
          </cell>
          <cell r="AA34" t="str">
            <v>N</v>
          </cell>
          <cell r="AB34" t="str">
            <v>IV</v>
          </cell>
          <cell r="AC34" t="str">
            <v>IV</v>
          </cell>
          <cell r="AD34" t="str">
            <v>IV</v>
          </cell>
          <cell r="AE34" t="str">
            <v>IV</v>
          </cell>
          <cell r="AF34" t="str">
            <v xml:space="preserve">Cask construction sufficient to protect storage canisters under credible wildland fire event. Fire Protection Program recognized as mitigating probability of event.  MAR is entire inventory of radioactive material in HLWSS (Ref.WVNS-CAL-397, Table C-1, HLWSS).  </v>
          </cell>
          <cell r="AG34" t="str">
            <v>•  None</v>
          </cell>
          <cell r="AH34" t="str">
            <v>•  None</v>
          </cell>
          <cell r="AI34" t="str">
            <v>• SAC for TRU waste container physical protection</v>
          </cell>
          <cell r="AJ34" t="str">
            <v>•  Fire Protection Program
•  Maintenance Program</v>
          </cell>
          <cell r="AK34" t="str">
            <v>•  None</v>
          </cell>
          <cell r="AL3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34" t="str">
            <v>•  None</v>
          </cell>
          <cell r="AN34" t="str">
            <v>•  Emergency Response Program
•  Fire Protection Program
•  Radiological Protection Program</v>
          </cell>
        </row>
        <row r="35">
          <cell r="A35" t="str">
            <v>HLWSS</v>
          </cell>
          <cell r="B35">
            <v>10</v>
          </cell>
          <cell r="C35" t="str">
            <v>Criticality</v>
          </cell>
          <cell r="D35" t="str">
            <v>Inadvertent criticality occurs due to multiple independent failures and/or highly improbable circumstances</v>
          </cell>
          <cell r="E35" t="str">
            <v>&gt;450 FGE
Pu-239</v>
          </cell>
          <cell r="F35" t="str">
            <v>NA</v>
          </cell>
          <cell r="G35" t="str">
            <v>NA</v>
          </cell>
          <cell r="H35" t="str">
            <v>Gnd</v>
          </cell>
          <cell r="I35">
            <v>850</v>
          </cell>
          <cell r="J35" t="str">
            <v>BEU</v>
          </cell>
          <cell r="K35" t="str">
            <v>N</v>
          </cell>
          <cell r="L35" t="str">
            <v>N</v>
          </cell>
          <cell r="M35" t="str">
            <v>N</v>
          </cell>
          <cell r="N35" t="str">
            <v>N</v>
          </cell>
          <cell r="O35" t="str">
            <v>IV</v>
          </cell>
          <cell r="P35" t="str">
            <v>IV</v>
          </cell>
          <cell r="Q35" t="str">
            <v>IV</v>
          </cell>
          <cell r="R35" t="str">
            <v>IV</v>
          </cell>
          <cell r="S35" t="str">
            <v>NA</v>
          </cell>
          <cell r="T35" t="str">
            <v>NA</v>
          </cell>
          <cell r="U35" t="str">
            <v>Gnd</v>
          </cell>
          <cell r="V35">
            <v>850</v>
          </cell>
          <cell r="W35" t="str">
            <v>BEU</v>
          </cell>
          <cell r="X35" t="str">
            <v>N</v>
          </cell>
          <cell r="Y35" t="str">
            <v>N</v>
          </cell>
          <cell r="Z35" t="str">
            <v>N</v>
          </cell>
          <cell r="AA35" t="str">
            <v>N</v>
          </cell>
          <cell r="AB35" t="str">
            <v>IV</v>
          </cell>
          <cell r="AC35" t="str">
            <v>IV</v>
          </cell>
          <cell r="AD35" t="str">
            <v>IV</v>
          </cell>
          <cell r="AE35" t="str">
            <v>IV</v>
          </cell>
          <cell r="AF35" t="str">
            <v xml:space="preserve">Low fissile material concentration, waste matrix form and composition, and presence of significant quantity of neutron absorbing material (iron, boron, U-238, Pu-240) limits waste reactivity and potential for re-organization into critical configuration.  </v>
          </cell>
          <cell r="AG35" t="str">
            <v>• PSRs for fissile material storage container specifications</v>
          </cell>
          <cell r="AH35" t="str">
            <v>•  Low concentration of fissile material in HLW
•  Very low effective enrichment of U-235 in waste uranium
•  Significant amount of neutron absorbers in waste</v>
          </cell>
          <cell r="AI35" t="str">
            <v>• PSR limits on container fissile mass
• PSR for fissile material storage containers</v>
          </cell>
          <cell r="AJ35" t="str">
            <v xml:space="preserve">•  Radiological Protection Program
•  Nuclear Criticality Safety Program
•  Quality Assurance Program
•  Performance Based Training Program
•  Conduct of Operations
•  Waste Management Program </v>
          </cell>
          <cell r="AK35" t="str">
            <v>•  None</v>
          </cell>
          <cell r="AL35" t="str">
            <v>•  None</v>
          </cell>
          <cell r="AM35" t="str">
            <v>•  None</v>
          </cell>
          <cell r="AN35" t="str">
            <v>•  Radiological Protection Program
•  Nuclear Criticality Safety Program
•  Emergency Response Program
•  Performance Based Training Program
•  Conduct of Operations</v>
          </cell>
        </row>
        <row r="36">
          <cell r="A36" t="str">
            <v>HLWSS</v>
          </cell>
          <cell r="B36">
            <v>11</v>
          </cell>
          <cell r="C36" t="str">
            <v>Corrosion</v>
          </cell>
          <cell r="D36" t="str">
            <v>Over a long period of time corrosion occurs to the metal seals of the cask resulting in corrosion of the overpack and canister bottoms with subsequent failure.</v>
          </cell>
          <cell r="E36">
            <v>2500</v>
          </cell>
          <cell r="F36" t="str">
            <v>SS</v>
          </cell>
          <cell r="G36">
            <v>0</v>
          </cell>
          <cell r="H36" t="str">
            <v>Gnd</v>
          </cell>
          <cell r="I36">
            <v>850</v>
          </cell>
          <cell r="J36" t="str">
            <v>U</v>
          </cell>
          <cell r="K36" t="str">
            <v>N</v>
          </cell>
          <cell r="L36" t="str">
            <v>N</v>
          </cell>
          <cell r="M36" t="str">
            <v>N</v>
          </cell>
          <cell r="N36" t="str">
            <v>N</v>
          </cell>
          <cell r="O36" t="str">
            <v>IV</v>
          </cell>
          <cell r="P36" t="str">
            <v>IV</v>
          </cell>
          <cell r="Q36" t="str">
            <v>IV</v>
          </cell>
          <cell r="R36" t="str">
            <v>IV</v>
          </cell>
          <cell r="S36" t="str">
            <v>SS</v>
          </cell>
          <cell r="T36">
            <v>0</v>
          </cell>
          <cell r="U36" t="str">
            <v>Gnd</v>
          </cell>
          <cell r="V36">
            <v>850</v>
          </cell>
          <cell r="W36" t="str">
            <v>U</v>
          </cell>
          <cell r="X36" t="str">
            <v>N</v>
          </cell>
          <cell r="Y36" t="str">
            <v>N</v>
          </cell>
          <cell r="Z36" t="str">
            <v>N</v>
          </cell>
          <cell r="AA36" t="str">
            <v>N</v>
          </cell>
          <cell r="AB36" t="str">
            <v>IV</v>
          </cell>
          <cell r="AC36" t="str">
            <v>IV</v>
          </cell>
          <cell r="AD36" t="str">
            <v>IV</v>
          </cell>
          <cell r="AE36" t="str">
            <v>IV</v>
          </cell>
          <cell r="AF36" t="str">
            <v xml:space="preserve">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 MAR is cask containing 5 HLW canisters each containing an amount of activity equal to the maximum HLW canister (Ref. WVNS-CAL-396).  </v>
          </cell>
          <cell r="AG36" t="str">
            <v>•  None</v>
          </cell>
          <cell r="AH36" t="str">
            <v>•  MPC and canister basket assembly constructed of corrosion resistant material
•  Dual elastomer seals provided at the lid of the storage cask to prevent precipitation infiltration</v>
          </cell>
          <cell r="AI36" t="str">
            <v>•  None</v>
          </cell>
          <cell r="AJ36" t="str">
            <v xml:space="preserve">•  Quality Assurance Program
•  Performance Based Training Program
•  Maintenance Program
•  Conduct of Operations
•  Waste Management Program </v>
          </cell>
          <cell r="AK36" t="str">
            <v>•  None</v>
          </cell>
          <cell r="AL36" t="str">
            <v>•  Stainless steel canister basket and MPC construction
•  Sacrificial plate between components of dissimilar composition</v>
          </cell>
          <cell r="AM36" t="str">
            <v>•  None</v>
          </cell>
          <cell r="AN36" t="str">
            <v>•  None</v>
          </cell>
        </row>
        <row r="37">
          <cell r="A37" t="str">
            <v>HLWSS</v>
          </cell>
          <cell r="B37">
            <v>12</v>
          </cell>
          <cell r="C37" t="str">
            <v>Direct exposure to radiation</v>
          </cell>
          <cell r="D37" t="str">
            <v>During transport of cask workers are exposed to high levels of radiation over an extended period of time.</v>
          </cell>
          <cell r="E37" t="str">
            <v>Not applicable.</v>
          </cell>
          <cell r="F37" t="str">
            <v>NA</v>
          </cell>
          <cell r="G37" t="str">
            <v>NA</v>
          </cell>
          <cell r="H37" t="str">
            <v>Gnd</v>
          </cell>
          <cell r="I37">
            <v>850</v>
          </cell>
          <cell r="J37" t="str">
            <v>A</v>
          </cell>
          <cell r="K37" t="str">
            <v>M</v>
          </cell>
          <cell r="L37" t="str">
            <v>N</v>
          </cell>
          <cell r="M37" t="str">
            <v>N</v>
          </cell>
          <cell r="N37" t="str">
            <v>N</v>
          </cell>
          <cell r="O37" t="str">
            <v>I</v>
          </cell>
          <cell r="P37" t="str">
            <v>IV</v>
          </cell>
          <cell r="Q37" t="str">
            <v>IV</v>
          </cell>
          <cell r="R37" t="str">
            <v>IV</v>
          </cell>
          <cell r="S37" t="str">
            <v>NA</v>
          </cell>
          <cell r="T37" t="str">
            <v>NA</v>
          </cell>
          <cell r="U37" t="str">
            <v>Gnd</v>
          </cell>
          <cell r="V37">
            <v>850</v>
          </cell>
          <cell r="W37" t="str">
            <v>U</v>
          </cell>
          <cell r="X37" t="str">
            <v>L</v>
          </cell>
          <cell r="Y37" t="str">
            <v>N</v>
          </cell>
          <cell r="Z37" t="str">
            <v>N</v>
          </cell>
          <cell r="AA37" t="str">
            <v>N</v>
          </cell>
          <cell r="AB37" t="str">
            <v>III</v>
          </cell>
          <cell r="AC37" t="str">
            <v>IV</v>
          </cell>
          <cell r="AD37" t="str">
            <v>IV</v>
          </cell>
          <cell r="AE37" t="str">
            <v>IV</v>
          </cell>
          <cell r="AF37" t="str">
            <v xml:space="preserve">Reduced shielding on cask/MPC bottom is a known source of potentially elevated radiation levels during cask transport. Exposure risk will be mitigated by maintaining a low ground clearance (6” or less) during transportation.  </v>
          </cell>
          <cell r="AG37" t="str">
            <v>•  None</v>
          </cell>
          <cell r="AH37" t="str">
            <v>•  Heavily reinforced 19.75" thick concrete VSC
•  4" thick steel VSC shielding
•  Weld-sealed 3/8" thick steel MPC</v>
          </cell>
          <cell r="AI37" t="str">
            <v>•  None</v>
          </cell>
          <cell r="AJ37" t="str">
            <v xml:space="preserve">•  Radiological Protection Program
•  Quality Assurance Program
•  Performance Based Training Program
•  Conduct of Operations
•  Waste Management Program </v>
          </cell>
          <cell r="AK37" t="str">
            <v>•  None</v>
          </cell>
          <cell r="AL37" t="str">
            <v>•  None</v>
          </cell>
          <cell r="AM37" t="str">
            <v>•  None</v>
          </cell>
          <cell r="AN37" t="str">
            <v>•  Radiological Protection Program
•  Performance Based Training Program
•  Conduct of Operations</v>
          </cell>
        </row>
        <row r="38">
          <cell r="A38" t="str">
            <v>HLWSS</v>
          </cell>
          <cell r="B38">
            <v>13</v>
          </cell>
          <cell r="C38" t="str">
            <v>Flood</v>
          </cell>
          <cell r="D38" t="str">
            <v>A greater than 100-yr  rain event results in sheet flow that floods the storage area. Flooding may be exacerbated by plugged drainage channels or culverts.</v>
          </cell>
          <cell r="E38">
            <v>83000</v>
          </cell>
          <cell r="F38" t="str">
            <v>NA</v>
          </cell>
          <cell r="G38" t="str">
            <v>NA</v>
          </cell>
          <cell r="H38" t="str">
            <v>Gnd</v>
          </cell>
          <cell r="I38">
            <v>850</v>
          </cell>
          <cell r="J38" t="str">
            <v>U</v>
          </cell>
          <cell r="K38" t="str">
            <v>N</v>
          </cell>
          <cell r="L38" t="str">
            <v>N</v>
          </cell>
          <cell r="M38" t="str">
            <v>N</v>
          </cell>
          <cell r="N38" t="str">
            <v>N</v>
          </cell>
          <cell r="O38" t="str">
            <v>IV</v>
          </cell>
          <cell r="P38" t="str">
            <v>IV</v>
          </cell>
          <cell r="Q38" t="str">
            <v>IV</v>
          </cell>
          <cell r="R38" t="str">
            <v>IV</v>
          </cell>
          <cell r="S38" t="str">
            <v>NA</v>
          </cell>
          <cell r="T38" t="str">
            <v>NA</v>
          </cell>
          <cell r="U38" t="str">
            <v>Gnd</v>
          </cell>
          <cell r="V38">
            <v>850</v>
          </cell>
          <cell r="W38" t="str">
            <v>U</v>
          </cell>
          <cell r="X38" t="str">
            <v>N</v>
          </cell>
          <cell r="Y38" t="str">
            <v>N</v>
          </cell>
          <cell r="Z38" t="str">
            <v>N</v>
          </cell>
          <cell r="AA38" t="str">
            <v>N</v>
          </cell>
          <cell r="AB38" t="str">
            <v>IV</v>
          </cell>
          <cell r="AC38" t="str">
            <v>IV</v>
          </cell>
          <cell r="AD38" t="str">
            <v>IV</v>
          </cell>
          <cell r="AE38" t="str">
            <v>IV</v>
          </cell>
          <cell r="AF38" t="str">
            <v xml:space="preserve">Cask design provides isolation of stored waste from credible external water levels (ponding) due to flooding (i.e., no vent holes). MAR is entire inventory of radioactive material in HLWSS (Ref.WVNS-CAL-397, Table C-1, HLWSS).  </v>
          </cell>
          <cell r="AG38" t="str">
            <v>•  None</v>
          </cell>
          <cell r="AH38" t="str">
            <v>•  Siting of storage array in area away from areas of anticipated flooding</v>
          </cell>
          <cell r="AI38" t="str">
            <v>•  None</v>
          </cell>
          <cell r="AJ38" t="str">
            <v>•  None</v>
          </cell>
          <cell r="AK38" t="str">
            <v>•  None</v>
          </cell>
          <cell r="AL38" t="str">
            <v>•  Heavily reinforced 19.75" thick concrete VSC
•  Weld-sealed 3/8" thick steel MPC
•  Weld-sealed steel HLW canister
•  Borosilicate waste matrix that inhibits waste release and retards biological uptake due to stable chemical form</v>
          </cell>
          <cell r="AM38" t="str">
            <v>•  None</v>
          </cell>
          <cell r="AN38" t="str">
            <v>•  Radiological Protection Program
•  Performance Based Training Program
•  Conduct of Operations</v>
          </cell>
        </row>
        <row r="39">
          <cell r="A39" t="str">
            <v>HLWSS</v>
          </cell>
          <cell r="B39">
            <v>14</v>
          </cell>
          <cell r="C39" t="str">
            <v>Severe environmental conditions</v>
          </cell>
          <cell r="D39" t="str">
            <v>Severe weather patterns result in extended periods of extreme heat or cold.</v>
          </cell>
          <cell r="E39">
            <v>2500</v>
          </cell>
          <cell r="F39" t="str">
            <v>SS</v>
          </cell>
          <cell r="G39">
            <v>0</v>
          </cell>
          <cell r="H39" t="str">
            <v>Gnd</v>
          </cell>
          <cell r="I39">
            <v>850</v>
          </cell>
          <cell r="J39" t="str">
            <v>A</v>
          </cell>
          <cell r="K39" t="str">
            <v>N</v>
          </cell>
          <cell r="L39" t="str">
            <v>N</v>
          </cell>
          <cell r="M39" t="str">
            <v>N</v>
          </cell>
          <cell r="N39" t="str">
            <v>N</v>
          </cell>
          <cell r="O39" t="str">
            <v>IV</v>
          </cell>
          <cell r="P39" t="str">
            <v>IV</v>
          </cell>
          <cell r="Q39" t="str">
            <v>IV</v>
          </cell>
          <cell r="R39" t="str">
            <v>IV</v>
          </cell>
          <cell r="S39" t="str">
            <v>SS</v>
          </cell>
          <cell r="T39">
            <v>0</v>
          </cell>
          <cell r="U39" t="str">
            <v>Gnd</v>
          </cell>
          <cell r="V39">
            <v>850</v>
          </cell>
          <cell r="W39" t="str">
            <v>A</v>
          </cell>
          <cell r="X39" t="str">
            <v>N</v>
          </cell>
          <cell r="Y39" t="str">
            <v>N</v>
          </cell>
          <cell r="Z39" t="str">
            <v>N</v>
          </cell>
          <cell r="AA39" t="str">
            <v>N</v>
          </cell>
          <cell r="AB39" t="str">
            <v>IV</v>
          </cell>
          <cell r="AC39" t="str">
            <v>IV</v>
          </cell>
          <cell r="AD39" t="str">
            <v>IV</v>
          </cell>
          <cell r="AE39" t="str">
            <v>IV</v>
          </cell>
          <cell r="AF39" t="str">
            <v xml:space="preserve"> MAR is cask containing 5 HLW canisters each containing an amount of activity equal to the maximum HLW canister (Ref. WVNS-CAL-396).  </v>
          </cell>
          <cell r="AG39" t="str">
            <v>•  None</v>
          </cell>
          <cell r="AH39" t="str">
            <v>•  Storage system designed for a temperature range of -40 to 100 degrees Fahrenheit</v>
          </cell>
          <cell r="AI39" t="str">
            <v>•  None</v>
          </cell>
          <cell r="AJ39" t="str">
            <v>•  None</v>
          </cell>
          <cell r="AK39" t="str">
            <v>•  None</v>
          </cell>
          <cell r="AL39" t="str">
            <v>•  Weld-sealed 3/8" thick steel MPC
•  Weld-sealed steel HLW canister
•  Borosilicate waste matrix that inhibits waste release and retards biological uptake due to stable chemical form</v>
          </cell>
          <cell r="AM39" t="str">
            <v>•  None</v>
          </cell>
          <cell r="AN39" t="str">
            <v>•  None</v>
          </cell>
        </row>
        <row r="40">
          <cell r="A40" t="str">
            <v>HLWSS</v>
          </cell>
          <cell r="B40">
            <v>15</v>
          </cell>
          <cell r="C40" t="str">
            <v>High wind</v>
          </cell>
          <cell r="D40" t="str">
            <v>High straight winds produce airborne hazards that impact storage cask.</v>
          </cell>
          <cell r="E40">
            <v>83000</v>
          </cell>
          <cell r="F40" t="str">
            <v>SS</v>
          </cell>
          <cell r="G40">
            <v>0</v>
          </cell>
          <cell r="H40" t="str">
            <v>Gnd</v>
          </cell>
          <cell r="I40">
            <v>850</v>
          </cell>
          <cell r="J40" t="str">
            <v>A</v>
          </cell>
          <cell r="K40" t="str">
            <v>N</v>
          </cell>
          <cell r="L40" t="str">
            <v>N</v>
          </cell>
          <cell r="M40" t="str">
            <v>N</v>
          </cell>
          <cell r="N40" t="str">
            <v>N</v>
          </cell>
          <cell r="O40" t="str">
            <v>IV</v>
          </cell>
          <cell r="P40" t="str">
            <v>IV</v>
          </cell>
          <cell r="Q40" t="str">
            <v>IV</v>
          </cell>
          <cell r="R40" t="str">
            <v>IV</v>
          </cell>
          <cell r="S40" t="str">
            <v>SS</v>
          </cell>
          <cell r="T40">
            <v>0</v>
          </cell>
          <cell r="U40" t="str">
            <v>Gnd</v>
          </cell>
          <cell r="V40">
            <v>850</v>
          </cell>
          <cell r="W40" t="str">
            <v>A</v>
          </cell>
          <cell r="X40" t="str">
            <v>N</v>
          </cell>
          <cell r="Y40" t="str">
            <v>N</v>
          </cell>
          <cell r="Z40" t="str">
            <v>N</v>
          </cell>
          <cell r="AA40" t="str">
            <v>N</v>
          </cell>
          <cell r="AB40" t="str">
            <v>IV</v>
          </cell>
          <cell r="AC40" t="str">
            <v>IV</v>
          </cell>
          <cell r="AD40" t="str">
            <v>IV</v>
          </cell>
          <cell r="AE40" t="str">
            <v>IV</v>
          </cell>
          <cell r="AF40" t="str">
            <v xml:space="preserve">VSC determined to be stable against tip-over and sliding during high wind conditions (ref. NAC Calculation 630087-2010, Revision 0, MPC-WVDP VSC Structural Evaluation). MAR is entire inventory of radioactive material in HLWSS (Ref.WVNS-CAL-397, Table C-1, HLWSS).  </v>
          </cell>
          <cell r="AG40" t="str">
            <v>•  None</v>
          </cell>
          <cell r="AH40" t="str">
            <v>•  Cask construction details (reinforced concrete with 4-inch thick interior steel radial shield)
•  MPC design (welded steel confinement)</v>
          </cell>
          <cell r="AI40" t="str">
            <v>•  None</v>
          </cell>
          <cell r="AJ40" t="str">
            <v xml:space="preserve">•  Quality Assurance Program
•  Performance Based Training Program
•  Waste Management Program </v>
          </cell>
          <cell r="AK40" t="str">
            <v>•  None</v>
          </cell>
          <cell r="AL40"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0" t="str">
            <v>•  None</v>
          </cell>
          <cell r="AN40" t="str">
            <v>•  Radiological Protection Program
•  Emergency Response Program
•  Performance Based Training Program
•  Conduct of Operations</v>
          </cell>
        </row>
        <row r="41">
          <cell r="A41" t="str">
            <v>HLWSS</v>
          </cell>
          <cell r="B41">
            <v>16</v>
          </cell>
          <cell r="C41" t="str">
            <v>Seismic event</v>
          </cell>
          <cell r="D41" t="str">
            <v>Seismic accelerations impose loads on MPC/cask system (no tip over)</v>
          </cell>
          <cell r="E41">
            <v>83000</v>
          </cell>
          <cell r="F41" t="str">
            <v>SS</v>
          </cell>
          <cell r="G41">
            <v>0</v>
          </cell>
          <cell r="H41" t="str">
            <v>Gnd</v>
          </cell>
          <cell r="I41">
            <v>850</v>
          </cell>
          <cell r="J41" t="str">
            <v>U</v>
          </cell>
          <cell r="K41" t="str">
            <v>N</v>
          </cell>
          <cell r="L41" t="str">
            <v>N</v>
          </cell>
          <cell r="M41" t="str">
            <v>N</v>
          </cell>
          <cell r="N41" t="str">
            <v>N</v>
          </cell>
          <cell r="O41" t="str">
            <v>IV</v>
          </cell>
          <cell r="P41" t="str">
            <v>IV</v>
          </cell>
          <cell r="Q41" t="str">
            <v>IV</v>
          </cell>
          <cell r="R41" t="str">
            <v>IV</v>
          </cell>
          <cell r="S41" t="str">
            <v>SS</v>
          </cell>
          <cell r="T41">
            <v>0</v>
          </cell>
          <cell r="U41" t="str">
            <v>Gnd</v>
          </cell>
          <cell r="V41">
            <v>850</v>
          </cell>
          <cell r="W41" t="str">
            <v>U</v>
          </cell>
          <cell r="X41" t="str">
            <v>N</v>
          </cell>
          <cell r="Y41" t="str">
            <v>N</v>
          </cell>
          <cell r="Z41" t="str">
            <v>N</v>
          </cell>
          <cell r="AA41" t="str">
            <v>N</v>
          </cell>
          <cell r="AB41" t="str">
            <v>IV</v>
          </cell>
          <cell r="AC41" t="str">
            <v>IV</v>
          </cell>
          <cell r="AD41" t="str">
            <v>IV</v>
          </cell>
          <cell r="AE41" t="str">
            <v>IV</v>
          </cell>
          <cell r="AF41" t="str">
            <v xml:space="preserve"> MAR is entire inventory of radioactive material in HLWSS (Ref.WVNS-CAL-397, Table C-1, HLWSS).  </v>
          </cell>
          <cell r="AG41" t="str">
            <v>•  None</v>
          </cell>
          <cell r="AH41" t="str">
            <v>•  Cask construction details (reinforced concrete with 4-inch thick interior steel radial shield)
•  MPC design (welded steel confinement)
•  Seismically qualified storage pad
•  Low VSC center of gravity</v>
          </cell>
          <cell r="AI41" t="str">
            <v>•  None</v>
          </cell>
          <cell r="AJ41" t="str">
            <v>•  None</v>
          </cell>
          <cell r="AK41" t="str">
            <v>•  None</v>
          </cell>
          <cell r="AL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1" t="str">
            <v>•  None</v>
          </cell>
          <cell r="AN41" t="str">
            <v>•  Radiological Protection Program
•  Emergency Response Program
•  Performance Based Training Program
•  Conduct of Operations</v>
          </cell>
        </row>
        <row r="42">
          <cell r="A42" t="str">
            <v>HLWSS</v>
          </cell>
          <cell r="B42">
            <v>17</v>
          </cell>
          <cell r="C42" t="str">
            <v>Seismic event (tip over)</v>
          </cell>
          <cell r="D42" t="str">
            <v>Seismic event causes tip over of storage cask.</v>
          </cell>
          <cell r="E42">
            <v>2500</v>
          </cell>
          <cell r="F42" t="str">
            <v>SS</v>
          </cell>
          <cell r="G42">
            <v>0</v>
          </cell>
          <cell r="H42" t="str">
            <v>Gnd</v>
          </cell>
          <cell r="I42">
            <v>850</v>
          </cell>
          <cell r="J42" t="str">
            <v>BEU</v>
          </cell>
          <cell r="K42" t="str">
            <v>N</v>
          </cell>
          <cell r="L42" t="str">
            <v>N</v>
          </cell>
          <cell r="M42" t="str">
            <v>N</v>
          </cell>
          <cell r="N42" t="str">
            <v>N</v>
          </cell>
          <cell r="O42" t="str">
            <v>IV</v>
          </cell>
          <cell r="P42" t="str">
            <v>IV</v>
          </cell>
          <cell r="Q42" t="str">
            <v>IV</v>
          </cell>
          <cell r="R42" t="str">
            <v>IV</v>
          </cell>
          <cell r="S42" t="str">
            <v>SS</v>
          </cell>
          <cell r="T42">
            <v>0</v>
          </cell>
          <cell r="U42" t="str">
            <v>Gnd</v>
          </cell>
          <cell r="V42">
            <v>850</v>
          </cell>
          <cell r="W42" t="str">
            <v>BEU</v>
          </cell>
          <cell r="X42" t="str">
            <v>N</v>
          </cell>
          <cell r="Y42" t="str">
            <v>N</v>
          </cell>
          <cell r="Z42" t="str">
            <v>N</v>
          </cell>
          <cell r="AA42" t="str">
            <v>N</v>
          </cell>
          <cell r="AB42" t="str">
            <v>IV</v>
          </cell>
          <cell r="AC42" t="str">
            <v>IV</v>
          </cell>
          <cell r="AD42" t="str">
            <v>IV</v>
          </cell>
          <cell r="AE42" t="str">
            <v>IV</v>
          </cell>
          <cell r="AF42" t="str">
            <v xml:space="preserve">VSC determined to be stable against tip-over under conditions (ref. NAC Calculation 630087-2010, Revision 0, MPC-WVDP VSC Structural Evaluation). MAR is cask containing 5 HLW canisters each containing an amount of activity equal to the maximum HLW canister (Ref. WVNS-CAL-396).  </v>
          </cell>
          <cell r="AG42" t="str">
            <v>•  None</v>
          </cell>
          <cell r="AH42" t="str">
            <v>•  None</v>
          </cell>
          <cell r="AI42" t="str">
            <v>•  None</v>
          </cell>
          <cell r="AJ42" t="str">
            <v>•  None</v>
          </cell>
          <cell r="AK42" t="str">
            <v>•  None</v>
          </cell>
          <cell r="AL42" t="str">
            <v>•  Heavily reinforced 19.75" thick concrete VSC
•  4" thick steel VSC shielding
•  Weld-sealed 3/8" thick steel MPC
•  Weld-sealed steel HLW canister
•  Borosilicate waste matrix that inhibits waste release and retards biological uptake due to stable chemical form</v>
          </cell>
          <cell r="AM42" t="str">
            <v>•  None</v>
          </cell>
          <cell r="AN42" t="str">
            <v>•  Radiological Protection Program
•  Emergency Response Program
•  Performance Based Training Program
•  Conduct of Operations</v>
          </cell>
        </row>
        <row r="43">
          <cell r="A43" t="str">
            <v>HLWSS</v>
          </cell>
          <cell r="B43">
            <v>18</v>
          </cell>
          <cell r="C43" t="str">
            <v>Tornado</v>
          </cell>
          <cell r="D43" t="str">
            <v>Large negative pressure created by tornado induces significant release of  contamination from storage cask</v>
          </cell>
          <cell r="E43">
            <v>83000</v>
          </cell>
          <cell r="F43" t="str">
            <v>SS</v>
          </cell>
          <cell r="G43">
            <v>0</v>
          </cell>
          <cell r="H43" t="str">
            <v>Gnd</v>
          </cell>
          <cell r="I43">
            <v>850</v>
          </cell>
          <cell r="J43" t="str">
            <v>U</v>
          </cell>
          <cell r="K43" t="str">
            <v>N</v>
          </cell>
          <cell r="L43" t="str">
            <v>N</v>
          </cell>
          <cell r="M43" t="str">
            <v>N</v>
          </cell>
          <cell r="N43" t="str">
            <v>N</v>
          </cell>
          <cell r="O43" t="str">
            <v>IV</v>
          </cell>
          <cell r="P43" t="str">
            <v>IV</v>
          </cell>
          <cell r="Q43" t="str">
            <v>IV</v>
          </cell>
          <cell r="R43" t="str">
            <v>IV</v>
          </cell>
          <cell r="S43" t="str">
            <v>SS</v>
          </cell>
          <cell r="T43">
            <v>0</v>
          </cell>
          <cell r="U43" t="str">
            <v>Gnd</v>
          </cell>
          <cell r="V43">
            <v>850</v>
          </cell>
          <cell r="W43" t="str">
            <v>BEU</v>
          </cell>
          <cell r="X43" t="str">
            <v>N</v>
          </cell>
          <cell r="Y43" t="str">
            <v>N</v>
          </cell>
          <cell r="Z43" t="str">
            <v>N</v>
          </cell>
          <cell r="AA43" t="str">
            <v>N</v>
          </cell>
          <cell r="AB43" t="str">
            <v>IV</v>
          </cell>
          <cell r="AC43" t="str">
            <v>IV</v>
          </cell>
          <cell r="AD43" t="str">
            <v>IV</v>
          </cell>
          <cell r="AE43" t="str">
            <v>IV</v>
          </cell>
          <cell r="AF43"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3" t="str">
            <v>•  None</v>
          </cell>
          <cell r="AH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3" t="str">
            <v>•  None</v>
          </cell>
          <cell r="AJ43" t="str">
            <v>•  None</v>
          </cell>
          <cell r="AK43" t="str">
            <v>•  None</v>
          </cell>
          <cell r="AL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3" t="str">
            <v>•  None</v>
          </cell>
          <cell r="AN43" t="str">
            <v>•  Radiological Protection Program
•  Emergency Response Program
•  Performance Based Training Program
•  Conduct of Operations</v>
          </cell>
        </row>
        <row r="44">
          <cell r="A44" t="str">
            <v>HLWSS</v>
          </cell>
          <cell r="B44">
            <v>19</v>
          </cell>
          <cell r="C44" t="str">
            <v>Tornado</v>
          </cell>
          <cell r="D44" t="str">
            <v>Tornado borne missiles impact storage cask</v>
          </cell>
          <cell r="E44">
            <v>83000</v>
          </cell>
          <cell r="F44" t="str">
            <v>SS</v>
          </cell>
          <cell r="G44">
            <v>0</v>
          </cell>
          <cell r="H44" t="str">
            <v>Gnd</v>
          </cell>
          <cell r="I44">
            <v>850</v>
          </cell>
          <cell r="J44" t="str">
            <v>U</v>
          </cell>
          <cell r="K44" t="str">
            <v>N</v>
          </cell>
          <cell r="L44" t="str">
            <v>N</v>
          </cell>
          <cell r="M44" t="str">
            <v>N</v>
          </cell>
          <cell r="N44" t="str">
            <v>N</v>
          </cell>
          <cell r="O44" t="str">
            <v>IV</v>
          </cell>
          <cell r="P44" t="str">
            <v>IV</v>
          </cell>
          <cell r="Q44" t="str">
            <v>IV</v>
          </cell>
          <cell r="R44" t="str">
            <v>IV</v>
          </cell>
          <cell r="S44" t="str">
            <v>SS</v>
          </cell>
          <cell r="T44">
            <v>0</v>
          </cell>
          <cell r="U44" t="str">
            <v>Gnd</v>
          </cell>
          <cell r="V44">
            <v>850</v>
          </cell>
          <cell r="W44" t="str">
            <v>BEU</v>
          </cell>
          <cell r="X44" t="str">
            <v>N</v>
          </cell>
          <cell r="Y44" t="str">
            <v>N</v>
          </cell>
          <cell r="Z44" t="str">
            <v>N</v>
          </cell>
          <cell r="AA44" t="str">
            <v>N</v>
          </cell>
          <cell r="AB44" t="str">
            <v>IV</v>
          </cell>
          <cell r="AC44" t="str">
            <v>IV</v>
          </cell>
          <cell r="AD44" t="str">
            <v>IV</v>
          </cell>
          <cell r="AE44" t="str">
            <v>IV</v>
          </cell>
          <cell r="AF44" t="str">
            <v xml:space="preserve">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 MAR is entire inventory of radioactive material in HLWSS (Ref.WVNS-CAL-397, Table C-1, HLWSS).  </v>
          </cell>
          <cell r="AG44" t="str">
            <v>•  None</v>
          </cell>
          <cell r="AH44"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cell r="AI44" t="str">
            <v>•  None</v>
          </cell>
          <cell r="AJ44" t="str">
            <v>•  None</v>
          </cell>
          <cell r="AK44" t="str">
            <v>•  None</v>
          </cell>
          <cell r="AL44"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4" t="str">
            <v>•  None</v>
          </cell>
          <cell r="AN44" t="str">
            <v>•  Radiological Protection Program
•  Emergency Response Program
•  Performance Based Training Program
•  Conduct of Operations</v>
          </cell>
        </row>
        <row r="45">
          <cell r="A45" t="str">
            <v>HLWSS</v>
          </cell>
          <cell r="B45">
            <v>20</v>
          </cell>
          <cell r="C45" t="str">
            <v>Lightning</v>
          </cell>
          <cell r="D45" t="str">
            <v>Lightning strikes one of the casks</v>
          </cell>
          <cell r="E45">
            <v>2500</v>
          </cell>
          <cell r="F45" t="str">
            <v>SS</v>
          </cell>
          <cell r="G45">
            <v>0</v>
          </cell>
          <cell r="H45" t="str">
            <v>Gnd</v>
          </cell>
          <cell r="I45">
            <v>850</v>
          </cell>
          <cell r="J45" t="str">
            <v>U</v>
          </cell>
          <cell r="K45" t="str">
            <v>N</v>
          </cell>
          <cell r="L45" t="str">
            <v>N</v>
          </cell>
          <cell r="M45" t="str">
            <v>N</v>
          </cell>
          <cell r="N45" t="str">
            <v>N</v>
          </cell>
          <cell r="O45" t="str">
            <v>IV</v>
          </cell>
          <cell r="P45" t="str">
            <v>IV</v>
          </cell>
          <cell r="Q45" t="str">
            <v>IV</v>
          </cell>
          <cell r="R45" t="str">
            <v>IV</v>
          </cell>
          <cell r="S45" t="str">
            <v>SS</v>
          </cell>
          <cell r="T45">
            <v>0</v>
          </cell>
          <cell r="U45" t="str">
            <v>Gnd</v>
          </cell>
          <cell r="V45">
            <v>850</v>
          </cell>
          <cell r="W45" t="str">
            <v>U</v>
          </cell>
          <cell r="X45" t="str">
            <v>N</v>
          </cell>
          <cell r="Y45" t="str">
            <v>N</v>
          </cell>
          <cell r="Z45" t="str">
            <v>N</v>
          </cell>
          <cell r="AA45" t="str">
            <v>N</v>
          </cell>
          <cell r="AB45" t="str">
            <v>IV</v>
          </cell>
          <cell r="AC45" t="str">
            <v>IV</v>
          </cell>
          <cell r="AD45" t="str">
            <v>IV</v>
          </cell>
          <cell r="AE45" t="str">
            <v>IV</v>
          </cell>
          <cell r="AF45" t="str">
            <v xml:space="preserve">Waste protected by conductive shielding of cask interior.  MAR is cask containing 5 HLW canisters each containing an amount of activity equal to the maximum HLW canister (Ref. WVNS-CAL-396).  </v>
          </cell>
          <cell r="AG45" t="str">
            <v>•  None</v>
          </cell>
          <cell r="AH45" t="str">
            <v>•  VSCs located on storage pad are within 500 feet of 197-ft tall meteorological tower
•  Lighting/camera poles at each corner of storage pad</v>
          </cell>
          <cell r="AI45" t="str">
            <v>•  None</v>
          </cell>
          <cell r="AJ45" t="str">
            <v xml:space="preserve">•  Quality Assurance Program
•  Waste Management Program </v>
          </cell>
          <cell r="AK45" t="str">
            <v>•  None</v>
          </cell>
          <cell r="AL45" t="str">
            <v>•  Weld-sealed 3/8" thick steel MPC
•  Weld-sealed steel HLW canister</v>
          </cell>
          <cell r="AM45" t="str">
            <v>•  None</v>
          </cell>
          <cell r="AN45" t="str">
            <v>•  Radiological Protection Program
•  Emergency Response Program
•  Fire Protection Program
•  Performance Based Training Program
•  Conduct of Operations</v>
          </cell>
        </row>
        <row r="46">
          <cell r="A46" t="str">
            <v>HLWSS</v>
          </cell>
          <cell r="B46">
            <v>21</v>
          </cell>
          <cell r="C46" t="str">
            <v>Aircraft impact with fire</v>
          </cell>
          <cell r="D46" t="str">
            <v>Small general aviation aircraft or helicopter crashes and a fire ensues</v>
          </cell>
          <cell r="E46">
            <v>83000</v>
          </cell>
          <cell r="F46" t="str">
            <v>SS</v>
          </cell>
          <cell r="G46">
            <v>0</v>
          </cell>
          <cell r="H46" t="str">
            <v>Gnd</v>
          </cell>
          <cell r="I46">
            <v>850</v>
          </cell>
          <cell r="J46" t="str">
            <v>BEU</v>
          </cell>
          <cell r="K46" t="str">
            <v>N</v>
          </cell>
          <cell r="L46" t="str">
            <v>N</v>
          </cell>
          <cell r="M46" t="str">
            <v>N</v>
          </cell>
          <cell r="N46" t="str">
            <v>N</v>
          </cell>
          <cell r="O46" t="str">
            <v>IV</v>
          </cell>
          <cell r="P46" t="str">
            <v>IV</v>
          </cell>
          <cell r="Q46" t="str">
            <v>IV</v>
          </cell>
          <cell r="R46" t="str">
            <v>IV</v>
          </cell>
          <cell r="S46" t="str">
            <v>SS</v>
          </cell>
          <cell r="T46">
            <v>0</v>
          </cell>
          <cell r="U46" t="str">
            <v>Gnd</v>
          </cell>
          <cell r="V46">
            <v>850</v>
          </cell>
          <cell r="W46" t="str">
            <v>BEU</v>
          </cell>
          <cell r="X46" t="str">
            <v>N</v>
          </cell>
          <cell r="Y46" t="str">
            <v>N</v>
          </cell>
          <cell r="Z46" t="str">
            <v>N</v>
          </cell>
          <cell r="AA46" t="str">
            <v>N</v>
          </cell>
          <cell r="AB46" t="str">
            <v>IV</v>
          </cell>
          <cell r="AC46" t="str">
            <v>IV</v>
          </cell>
          <cell r="AD46" t="str">
            <v>IV</v>
          </cell>
          <cell r="AE46" t="str">
            <v>IV</v>
          </cell>
          <cell r="AF46" t="str">
            <v xml:space="preserve"> MAR is entire inventory of radioactive material in HLWSS (Ref.WVNS-CAL-397, Table C-1, HLWSS).  </v>
          </cell>
          <cell r="AG46" t="str">
            <v>•  None</v>
          </cell>
          <cell r="AH46" t="str">
            <v>•  None</v>
          </cell>
          <cell r="AI46" t="str">
            <v>•  None</v>
          </cell>
          <cell r="AJ46" t="str">
            <v>•  None</v>
          </cell>
          <cell r="AK46" t="str">
            <v>•  None</v>
          </cell>
          <cell r="AL46"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6" t="str">
            <v>• SAC for APPROVED CONTAINER use</v>
          </cell>
          <cell r="AN46" t="str">
            <v>•  Radiological Protection Program
•  Emergency Response Program
•  Fire Protection Program
•  Performance Based Training Program
•  Conduct of Operations</v>
          </cell>
        </row>
        <row r="47">
          <cell r="A47" t="str">
            <v>HLWSS</v>
          </cell>
          <cell r="B47">
            <v>22</v>
          </cell>
          <cell r="C47" t="str">
            <v>Loss of airborne contamination confinement</v>
          </cell>
          <cell r="D47" t="str">
            <v>Weld degradation and waste form embrittlement results in loss of container integrity and airborne contamination release</v>
          </cell>
          <cell r="E47">
            <v>2500</v>
          </cell>
          <cell r="F47" t="str">
            <v>SS</v>
          </cell>
          <cell r="G47">
            <v>0</v>
          </cell>
          <cell r="H47" t="str">
            <v>Gnd</v>
          </cell>
          <cell r="I47">
            <v>850</v>
          </cell>
          <cell r="J47" t="str">
            <v>EU</v>
          </cell>
          <cell r="K47" t="str">
            <v>N</v>
          </cell>
          <cell r="L47" t="str">
            <v>N</v>
          </cell>
          <cell r="M47" t="str">
            <v>N</v>
          </cell>
          <cell r="N47" t="str">
            <v>N</v>
          </cell>
          <cell r="O47" t="str">
            <v>IV</v>
          </cell>
          <cell r="P47" t="str">
            <v>IV</v>
          </cell>
          <cell r="Q47" t="str">
            <v>IV</v>
          </cell>
          <cell r="R47" t="str">
            <v>IV</v>
          </cell>
          <cell r="S47" t="str">
            <v>SS</v>
          </cell>
          <cell r="T47">
            <v>0</v>
          </cell>
          <cell r="U47" t="str">
            <v>Gnd</v>
          </cell>
          <cell r="V47">
            <v>850</v>
          </cell>
          <cell r="W47" t="str">
            <v>BEU</v>
          </cell>
          <cell r="X47" t="str">
            <v>N</v>
          </cell>
          <cell r="Y47" t="str">
            <v>N</v>
          </cell>
          <cell r="Z47" t="str">
            <v>N</v>
          </cell>
          <cell r="AA47" t="str">
            <v>N</v>
          </cell>
          <cell r="AB47" t="str">
            <v>IV</v>
          </cell>
          <cell r="AC47" t="str">
            <v>IV</v>
          </cell>
          <cell r="AD47" t="str">
            <v>IV</v>
          </cell>
          <cell r="AE47" t="str">
            <v>IV</v>
          </cell>
          <cell r="AF47" t="str">
            <v xml:space="preserve"> MAR is cask containing 5 HLW canisters each containing an amount of activity equal to the maximum HLW canister (Ref. WVNS-CAL-396).  </v>
          </cell>
          <cell r="AG47" t="str">
            <v>•  None</v>
          </cell>
          <cell r="AH47" t="str">
            <v>•  Welded seals on HLW canister and MPC
•  HEPA filter vents on waste drums
•  Gasketed seals on waste drums on VSC</v>
          </cell>
          <cell r="AI47" t="str">
            <v>•  None</v>
          </cell>
          <cell r="AJ47" t="str">
            <v>•  Quality Assurance Program
•  Fire Protection Program
•  Performance Based Training Program
•  Maintenance Program
•  Conduct of Operations</v>
          </cell>
          <cell r="AK47" t="str">
            <v>•  None</v>
          </cell>
          <cell r="AL47" t="str">
            <v>•  Weld-sealed MPC
•  Weld-sealed steel HLW canister
•  Borosilicate waste matrix</v>
          </cell>
          <cell r="AM47" t="str">
            <v>•  None</v>
          </cell>
          <cell r="AN47" t="str">
            <v>•  Radiological Protection Program
•  Performance Based Training Program
•  Conduct of Operations</v>
          </cell>
        </row>
        <row r="48">
          <cell r="A48" t="str">
            <v>HLWSS</v>
          </cell>
          <cell r="B48">
            <v>23</v>
          </cell>
          <cell r="C48" t="str">
            <v>External vehicle accident</v>
          </cell>
          <cell r="D48" t="str">
            <v>Impact of waste on storage pad by vehicle having a speed that can't be reasonably assumed to be &lt;~10 mph</v>
          </cell>
          <cell r="E48">
            <v>83000</v>
          </cell>
          <cell r="F48" t="str">
            <v>E16</v>
          </cell>
          <cell r="G48">
            <v>0.1</v>
          </cell>
          <cell r="H48" t="str">
            <v>Gnd</v>
          </cell>
          <cell r="I48">
            <v>850</v>
          </cell>
          <cell r="J48" t="str">
            <v>U</v>
          </cell>
          <cell r="K48" t="str">
            <v>H</v>
          </cell>
          <cell r="L48" t="str">
            <v>H</v>
          </cell>
          <cell r="M48" t="str">
            <v>N</v>
          </cell>
          <cell r="N48" t="str">
            <v>N</v>
          </cell>
          <cell r="O48" t="str">
            <v>I</v>
          </cell>
          <cell r="P48" t="str">
            <v>I</v>
          </cell>
          <cell r="Q48" t="str">
            <v>IV</v>
          </cell>
          <cell r="R48" t="str">
            <v>IV</v>
          </cell>
          <cell r="S48" t="str">
            <v>E16</v>
          </cell>
          <cell r="T48">
            <v>0</v>
          </cell>
          <cell r="U48" t="str">
            <v>Gnd</v>
          </cell>
          <cell r="V48">
            <v>850</v>
          </cell>
          <cell r="W48" t="str">
            <v>EU</v>
          </cell>
          <cell r="X48" t="str">
            <v>N</v>
          </cell>
          <cell r="Y48" t="str">
            <v>N</v>
          </cell>
          <cell r="Z48" t="str">
            <v>N</v>
          </cell>
          <cell r="AA48" t="str">
            <v>N</v>
          </cell>
          <cell r="AB48" t="str">
            <v>IV</v>
          </cell>
          <cell r="AC48" t="str">
            <v>IV</v>
          </cell>
          <cell r="AD48" t="str">
            <v>IV</v>
          </cell>
          <cell r="AE48" t="str">
            <v>IV</v>
          </cell>
          <cell r="AF48" t="str">
            <v xml:space="preserve">Impact by vehicle having a speed that can't be reasonably assumed to be &lt;~10 mph (e.g., plow truck, vendor/ subcontractor vehicle, etc.).  MAR is entire inventory of radioactive material in HLWSS (Ref.WVNS-CAL-397, Table C-1, HLWSS).  </v>
          </cell>
          <cell r="AG48" t="str">
            <v>•  None</v>
          </cell>
          <cell r="AH48" t="str">
            <v>•  Physical barriers such as Jersey barriers to protect from vehicle impacts</v>
          </cell>
          <cell r="AI48" t="str">
            <v>• SAC for TRU waste drum fire protection
• SAC for TRU waste container physical protection</v>
          </cell>
          <cell r="AJ48" t="str">
            <v xml:space="preserve">•  Quality Assurance Program
•  Performance Based Training Program
•  Waste Management Program </v>
          </cell>
          <cell r="AK48" t="str">
            <v>•  None</v>
          </cell>
          <cell r="AL48"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8" t="str">
            <v>•  None</v>
          </cell>
          <cell r="AN48" t="str">
            <v>•  Emergency Response Program
•  Radiological Protection Program</v>
          </cell>
        </row>
        <row r="49">
          <cell r="A49" t="str">
            <v>HLWSS</v>
          </cell>
          <cell r="B49">
            <v>24</v>
          </cell>
          <cell r="C49" t="str">
            <v>External vehicle accident with fire</v>
          </cell>
          <cell r="D49" t="str">
            <v>Impact of waste on storage pad by vehicle having a speed that can't be reasonably assumed to be &lt;~10 mph accompanied by fire</v>
          </cell>
          <cell r="E49">
            <v>83000</v>
          </cell>
          <cell r="F49" t="str">
            <v>E17</v>
          </cell>
          <cell r="G49">
            <v>1</v>
          </cell>
          <cell r="H49" t="str">
            <v>Gnd</v>
          </cell>
          <cell r="I49">
            <v>850</v>
          </cell>
          <cell r="J49" t="str">
            <v>EU</v>
          </cell>
          <cell r="K49" t="str">
            <v>H</v>
          </cell>
          <cell r="L49" t="str">
            <v>H</v>
          </cell>
          <cell r="M49" t="str">
            <v>N</v>
          </cell>
          <cell r="N49" t="str">
            <v>N</v>
          </cell>
          <cell r="O49" t="str">
            <v>II</v>
          </cell>
          <cell r="P49" t="str">
            <v>II</v>
          </cell>
          <cell r="Q49" t="str">
            <v>IV</v>
          </cell>
          <cell r="R49" t="str">
            <v>IV</v>
          </cell>
          <cell r="S49" t="str">
            <v>E17</v>
          </cell>
          <cell r="T49">
            <v>0</v>
          </cell>
          <cell r="U49" t="str">
            <v>Gnd</v>
          </cell>
          <cell r="V49">
            <v>850</v>
          </cell>
          <cell r="W49" t="str">
            <v>EU</v>
          </cell>
          <cell r="X49" t="str">
            <v>N</v>
          </cell>
          <cell r="Y49" t="str">
            <v>N</v>
          </cell>
          <cell r="Z49" t="str">
            <v>N</v>
          </cell>
          <cell r="AA49" t="str">
            <v>N</v>
          </cell>
          <cell r="AB49" t="str">
            <v>IV</v>
          </cell>
          <cell r="AC49" t="str">
            <v>IV</v>
          </cell>
          <cell r="AD49" t="str">
            <v>IV</v>
          </cell>
          <cell r="AE49" t="str">
            <v>IV</v>
          </cell>
          <cell r="AF49" t="str">
            <v xml:space="preserve">Impact by vehicle having a speed that can't be reasonably assumed to be &lt;~10 mph (e.g., plow truck, vendor/ subcontractor vehicle, etc.).  MAR is entire inventory of radioactive material in HLWSS (Ref.WVNS-CAL-397, Table C-1, HLWSS).  </v>
          </cell>
          <cell r="AG49" t="str">
            <v>•  None</v>
          </cell>
          <cell r="AH49" t="str">
            <v>•  Physical barriers such as Jersey barriers to protect from vehicle impacts</v>
          </cell>
          <cell r="AI49" t="str">
            <v>• SAC for TRU waste drum fire protection
• SAC for TRU waste container physical protection</v>
          </cell>
          <cell r="AJ49" t="str">
            <v xml:space="preserve">•  Quality Assurance Program
•  Performance Based Training Program
•  Waste Management Program </v>
          </cell>
          <cell r="AK49" t="str">
            <v>•  None</v>
          </cell>
          <cell r="AL4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AM49" t="str">
            <v>•  None</v>
          </cell>
          <cell r="AN49" t="str">
            <v>•  Radiological Protection Program
•  Emergency Response Program
•  Fire Protection Program
•  Performance Based Training Program
•  Conduct of Operations</v>
          </cell>
        </row>
        <row r="50">
          <cell r="A50" t="str">
            <v>LSA</v>
          </cell>
          <cell r="B50">
            <v>1</v>
          </cell>
          <cell r="C50" t="str">
            <v>Localized flammable liquid pool fire</v>
          </cell>
          <cell r="D50"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50">
            <v>2100</v>
          </cell>
          <cell r="F50" t="str">
            <v>E01</v>
          </cell>
          <cell r="G50">
            <v>1</v>
          </cell>
          <cell r="H50" t="str">
            <v>Gnd</v>
          </cell>
          <cell r="I50">
            <v>850</v>
          </cell>
          <cell r="J50" t="str">
            <v>U</v>
          </cell>
          <cell r="K50" t="str">
            <v>H</v>
          </cell>
          <cell r="L50" t="str">
            <v>H</v>
          </cell>
          <cell r="M50" t="str">
            <v>N</v>
          </cell>
          <cell r="N50" t="str">
            <v>N</v>
          </cell>
          <cell r="O50" t="str">
            <v>I</v>
          </cell>
          <cell r="P50" t="str">
            <v>I</v>
          </cell>
          <cell r="Q50" t="str">
            <v>IV</v>
          </cell>
          <cell r="R50" t="str">
            <v>IV</v>
          </cell>
          <cell r="S50" t="str">
            <v>E01</v>
          </cell>
          <cell r="T50">
            <v>4.7999999999999996E-3</v>
          </cell>
          <cell r="U50" t="str">
            <v>Gnd</v>
          </cell>
          <cell r="V50">
            <v>850</v>
          </cell>
          <cell r="W50" t="str">
            <v>EU</v>
          </cell>
          <cell r="X50" t="str">
            <v>L</v>
          </cell>
          <cell r="Y50" t="str">
            <v>L</v>
          </cell>
          <cell r="Z50" t="str">
            <v>N</v>
          </cell>
          <cell r="AA50" t="str">
            <v>N</v>
          </cell>
          <cell r="AB50" t="str">
            <v>IV</v>
          </cell>
          <cell r="AC50" t="str">
            <v>IV</v>
          </cell>
          <cell r="AD50" t="str">
            <v>IV</v>
          </cell>
          <cell r="AE50" t="str">
            <v>IV</v>
          </cell>
          <cell r="AF50" t="str">
            <v>APPROVED CONTAINERS credited with limiting the propagation of fire in a storage array.  MAR is entire inventory of radioactive material in WVDP packaged waste (exclusive of HLW) (Ref.WVNS-CAL-397, Table C-1).  DR reflects TSR to protect arrays of TRU waste containing greater than 10 PE-Ci from spills of flammable/ combustible liquids</v>
          </cell>
          <cell r="AG50" t="str">
            <v>•  None</v>
          </cell>
          <cell r="AH50" t="str">
            <v>•  None</v>
          </cell>
          <cell r="AI50" t="str">
            <v>•  SAC for TRU waste drum fire protection
•  SAC for TRU waste container physical protection</v>
          </cell>
          <cell r="AJ50" t="str">
            <v xml:space="preserve">•  Quality Assurance Program
•  Fire Protection Program
•  Performance Based Training Program
•  Maintenance Program
•  Conduct of Operations
•  Waste Management Program </v>
          </cell>
          <cell r="AK50" t="str">
            <v>•  APPROVED CONTAINERS used for TRU waste storage
•  TSR-compliant packaging for high activity TRU waste</v>
          </cell>
          <cell r="AL50" t="str">
            <v>•  Steel-deck pallets that limit direct flame impingement on TRU containers
•  Banding of drums on pallets</v>
          </cell>
          <cell r="AM50" t="str">
            <v>•  SAC for APPROVED CONTAINER use
•  SAC for facility inventory control</v>
          </cell>
          <cell r="AN50" t="str">
            <v>•  Radiological Protection Program
•  Emergency Response Program
•  Fire Protection Program
•  Performance Based Training Program
•  Conduct of Operations</v>
          </cell>
        </row>
        <row r="51">
          <cell r="A51" t="str">
            <v>LSA</v>
          </cell>
          <cell r="B51">
            <v>2</v>
          </cell>
          <cell r="C51" t="str">
            <v>Small combustible material fire</v>
          </cell>
          <cell r="D51" t="str">
            <v>Fire occurs in a facility area that impacts TRU waste. Includes accidents initiated due to pyrophoric reactions or reactions involving incompatible wastes.</v>
          </cell>
          <cell r="E51">
            <v>360</v>
          </cell>
          <cell r="F51" t="str">
            <v>E02</v>
          </cell>
          <cell r="G51">
            <v>1</v>
          </cell>
          <cell r="H51" t="str">
            <v>Gnd</v>
          </cell>
          <cell r="I51">
            <v>850</v>
          </cell>
          <cell r="J51" t="str">
            <v>A</v>
          </cell>
          <cell r="K51" t="str">
            <v>H</v>
          </cell>
          <cell r="L51" t="str">
            <v>H</v>
          </cell>
          <cell r="M51" t="str">
            <v>N</v>
          </cell>
          <cell r="N51" t="str">
            <v>N</v>
          </cell>
          <cell r="O51" t="str">
            <v>I</v>
          </cell>
          <cell r="P51" t="str">
            <v>I</v>
          </cell>
          <cell r="Q51" t="str">
            <v>IV</v>
          </cell>
          <cell r="R51" t="str">
            <v>IV</v>
          </cell>
          <cell r="S51" t="str">
            <v>E02</v>
          </cell>
          <cell r="T51">
            <v>2.8E-3</v>
          </cell>
          <cell r="U51" t="str">
            <v>Gnd</v>
          </cell>
          <cell r="V51">
            <v>850</v>
          </cell>
          <cell r="W51" t="str">
            <v>U</v>
          </cell>
          <cell r="X51" t="str">
            <v>L</v>
          </cell>
          <cell r="Y51" t="str">
            <v>L</v>
          </cell>
          <cell r="Z51" t="str">
            <v>N</v>
          </cell>
          <cell r="AA51" t="str">
            <v>N</v>
          </cell>
          <cell r="AB51" t="str">
            <v>III</v>
          </cell>
          <cell r="AC51" t="str">
            <v>III</v>
          </cell>
          <cell r="AD51" t="str">
            <v>IV</v>
          </cell>
          <cell r="AE51" t="str">
            <v>IV</v>
          </cell>
          <cell r="AF51" t="str">
            <v>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51" t="str">
            <v>•  None</v>
          </cell>
          <cell r="AH51" t="str">
            <v>•  None</v>
          </cell>
          <cell r="AI51" t="str">
            <v>•  None</v>
          </cell>
          <cell r="AJ51" t="str">
            <v xml:space="preserve">•  Quality Assurance Program
•  Fire Protection Program
-   “Hot work” controls
-   Combustible material control program
•  Performance Based Training Program
•  Maintenance Program
•  Conduct of Operations
•  Waste Management Program </v>
          </cell>
          <cell r="AK51" t="str">
            <v>•  APPROVED CONTAINERS used for TRU waste storage
•  TSR-compliant packaging for high activity TRU waste</v>
          </cell>
          <cell r="AL51" t="str">
            <v>•  Automatic fixed FM-200 fire suppression system in CSPF</v>
          </cell>
          <cell r="AM51" t="str">
            <v>•  SAC for APPROVED CONTAINER use
•  SAC for facility inventory control</v>
          </cell>
          <cell r="AN51" t="str">
            <v>•  Radiological Protection Program
•  Emergency Response Program
•  Fire Protection Program
•  Performance Based Training Program
•  Conduct of Operations</v>
          </cell>
        </row>
        <row r="52">
          <cell r="A52" t="str">
            <v>LSA</v>
          </cell>
          <cell r="B52">
            <v>3</v>
          </cell>
          <cell r="C52" t="str">
            <v>Large fire</v>
          </cell>
          <cell r="D52" t="str">
            <v>Fire affecting a large portion of LSA-3 or LSA-4. Fire impacts more than a localized area containing TRU waste containers. Facility fire may be initiated by a liquid pool fire, but waste exposure is to burning combustible materials and not burning liquid.</v>
          </cell>
          <cell r="E52">
            <v>2100</v>
          </cell>
          <cell r="F52" t="str">
            <v>E04</v>
          </cell>
          <cell r="G52">
            <v>0.5</v>
          </cell>
          <cell r="H52" t="str">
            <v>Gnd</v>
          </cell>
          <cell r="I52">
            <v>850</v>
          </cell>
          <cell r="J52" t="str">
            <v>U</v>
          </cell>
          <cell r="K52" t="str">
            <v>H</v>
          </cell>
          <cell r="L52" t="str">
            <v>H</v>
          </cell>
          <cell r="M52" t="str">
            <v>N</v>
          </cell>
          <cell r="N52" t="str">
            <v>N</v>
          </cell>
          <cell r="O52" t="str">
            <v>I</v>
          </cell>
          <cell r="P52" t="str">
            <v>I</v>
          </cell>
          <cell r="Q52" t="str">
            <v>IV</v>
          </cell>
          <cell r="R52" t="str">
            <v>IV</v>
          </cell>
          <cell r="S52" t="str">
            <v>E04</v>
          </cell>
          <cell r="T52">
            <v>3.3500000000000002E-2</v>
          </cell>
          <cell r="U52" t="str">
            <v>Gnd</v>
          </cell>
          <cell r="V52">
            <v>850</v>
          </cell>
          <cell r="W52" t="str">
            <v>EU</v>
          </cell>
          <cell r="X52" t="str">
            <v>M</v>
          </cell>
          <cell r="Y52" t="str">
            <v>M</v>
          </cell>
          <cell r="Z52" t="str">
            <v>N</v>
          </cell>
          <cell r="AA52" t="str">
            <v>N</v>
          </cell>
          <cell r="AB52" t="str">
            <v>III</v>
          </cell>
          <cell r="AC52" t="str">
            <v>III</v>
          </cell>
          <cell r="AD52" t="str">
            <v>IV</v>
          </cell>
          <cell r="AE52" t="str">
            <v>IV</v>
          </cell>
          <cell r="AF52" t="str">
            <v>Combustibles in area are minimized through site combustible material control requirements. APPROVED CONTAINERS credited with limiting the propagation of fire in a storage array.  MAR is entire inventory of radioactive material in WVDP packaged waste (exclusive of HLW) (Ref.WVNS-CAL-397, Table C-1).  DR assumes impacted material to be all drummed CH TRU waste (i.e., waste not in shielded overpacks) per Exhibit 1 of WVNS-CAL-397. MAR very conservative since release fraction applies only to drums exposed to critical heat flux.</v>
          </cell>
          <cell r="AG52" t="str">
            <v>•  None</v>
          </cell>
          <cell r="AH52" t="str">
            <v>•  None</v>
          </cell>
          <cell r="AI52" t="str">
            <v>•  None</v>
          </cell>
          <cell r="AJ52" t="str">
            <v xml:space="preserve">•  Quality Assurance Program
•  Fire Protection Program
-   “Hot work” controls
-   Combustible material control program
•  Performance Based Training Program
•  Maintenance Program
•  Waste Management Program </v>
          </cell>
          <cell r="AK52" t="str">
            <v>•   APPROVED CONTAINERS used for TRU waste storage
•   TSR-compliant packaging for high activity TRU waste</v>
          </cell>
          <cell r="AL52" t="str">
            <v>•  Automatic fixed FM-200 fire suppression system in CSPF
•  Wet pipe sprinkler system in Shipping Depot</v>
          </cell>
          <cell r="AM52" t="str">
            <v>•  SAC for APPROVED CONTAINER use
•  SAC for facility inventory control</v>
          </cell>
          <cell r="AN52" t="str">
            <v>•  Radiological Protection Program
•  Emergency Response Program
•  Fire Protection Program
•  Performance Based Training Program
•  Conduct of Operations</v>
          </cell>
        </row>
        <row r="53">
          <cell r="A53" t="str">
            <v>LSA</v>
          </cell>
          <cell r="B53">
            <v>4</v>
          </cell>
          <cell r="C53" t="str">
            <v>Localized explosion external to container</v>
          </cell>
          <cell r="D53"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53">
            <v>360</v>
          </cell>
          <cell r="F53" t="str">
            <v>E05</v>
          </cell>
          <cell r="G53">
            <v>1</v>
          </cell>
          <cell r="H53" t="str">
            <v>Gnd</v>
          </cell>
          <cell r="I53">
            <v>850</v>
          </cell>
          <cell r="J53" t="str">
            <v>A</v>
          </cell>
          <cell r="K53" t="str">
            <v>H</v>
          </cell>
          <cell r="L53" t="str">
            <v>M</v>
          </cell>
          <cell r="M53" t="str">
            <v>N</v>
          </cell>
          <cell r="N53" t="str">
            <v>N</v>
          </cell>
          <cell r="O53" t="str">
            <v>I</v>
          </cell>
          <cell r="P53" t="str">
            <v>I</v>
          </cell>
          <cell r="Q53" t="str">
            <v>IV</v>
          </cell>
          <cell r="R53" t="str">
            <v>IV</v>
          </cell>
          <cell r="S53" t="str">
            <v>E05</v>
          </cell>
          <cell r="T53">
            <v>2.8000000000000001E-2</v>
          </cell>
          <cell r="U53" t="str">
            <v>Gnd</v>
          </cell>
          <cell r="V53">
            <v>850</v>
          </cell>
          <cell r="W53" t="str">
            <v>U</v>
          </cell>
          <cell r="X53" t="str">
            <v>L</v>
          </cell>
          <cell r="Y53" t="str">
            <v>L</v>
          </cell>
          <cell r="Z53" t="str">
            <v>N</v>
          </cell>
          <cell r="AA53" t="str">
            <v>N</v>
          </cell>
          <cell r="AB53" t="str">
            <v>III</v>
          </cell>
          <cell r="AC53" t="str">
            <v>III</v>
          </cell>
          <cell r="AD53" t="str">
            <v>IV</v>
          </cell>
          <cell r="AE53" t="str">
            <v>IV</v>
          </cell>
          <cell r="AF53"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53" t="str">
            <v>•  None</v>
          </cell>
          <cell r="AH53" t="str">
            <v>•  Flammable material storage lockers
•  Compressed gas storage racks</v>
          </cell>
          <cell r="AI53" t="str">
            <v>•  None</v>
          </cell>
          <cell r="AJ53" t="str">
            <v xml:space="preserve">•  Quality Assurance Program
•  Fire Protection Program
•  Performance Based Training Program
•  Maintenance Program
•  Waste Management Program </v>
          </cell>
          <cell r="AK53" t="str">
            <v>•   APPROVED CONTAINERS used for TRU waste storage
•   TSR-compliant packaging for high activity TRU waste</v>
          </cell>
          <cell r="AL53" t="str">
            <v>•  None</v>
          </cell>
          <cell r="AM53" t="str">
            <v>•  SAC for APPROVED CONTAINER use
•  SAC for facility inventory control</v>
          </cell>
          <cell r="AN53" t="str">
            <v>•  Radiological Protection Program
•  Emergency Response Program
•  Fire Protection Program
•  Performance Based Training Program
•  Conduct of Operations</v>
          </cell>
        </row>
        <row r="54">
          <cell r="A54" t="str">
            <v>LSA</v>
          </cell>
          <cell r="B54">
            <v>5</v>
          </cell>
          <cell r="C54" t="str">
            <v>Waste container deflagration</v>
          </cell>
          <cell r="D54" t="str">
            <v>Hydrogen or other flammable/explosive gases inside a container is ignited.</v>
          </cell>
          <cell r="E54">
            <v>360</v>
          </cell>
          <cell r="F54" t="str">
            <v>E06</v>
          </cell>
          <cell r="G54">
            <v>1</v>
          </cell>
          <cell r="H54" t="str">
            <v>Gnd</v>
          </cell>
          <cell r="I54">
            <v>850</v>
          </cell>
          <cell r="J54" t="str">
            <v>U</v>
          </cell>
          <cell r="K54" t="str">
            <v>H</v>
          </cell>
          <cell r="L54" t="str">
            <v>M</v>
          </cell>
          <cell r="M54" t="str">
            <v>N</v>
          </cell>
          <cell r="N54" t="str">
            <v>N</v>
          </cell>
          <cell r="O54" t="str">
            <v>I</v>
          </cell>
          <cell r="P54" t="str">
            <v>II</v>
          </cell>
          <cell r="Q54" t="str">
            <v>IV</v>
          </cell>
          <cell r="R54" t="str">
            <v>IV</v>
          </cell>
          <cell r="S54" t="str">
            <v>E06</v>
          </cell>
          <cell r="T54">
            <v>0.25</v>
          </cell>
          <cell r="U54" t="str">
            <v>Gnd</v>
          </cell>
          <cell r="V54">
            <v>850</v>
          </cell>
          <cell r="W54" t="str">
            <v>EU</v>
          </cell>
          <cell r="X54" t="str">
            <v>M</v>
          </cell>
          <cell r="Y54" t="str">
            <v>M</v>
          </cell>
          <cell r="Z54" t="str">
            <v>N</v>
          </cell>
          <cell r="AA54" t="str">
            <v>N</v>
          </cell>
          <cell r="AB54" t="str">
            <v>III</v>
          </cell>
          <cell r="AC54" t="str">
            <v>III</v>
          </cell>
          <cell r="AD54" t="str">
            <v>IV</v>
          </cell>
          <cell r="AE54" t="str">
            <v>IV</v>
          </cell>
          <cell r="AF54"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4" t="str">
            <v>•  None</v>
          </cell>
          <cell r="AH54" t="str">
            <v>•  HEPA filter vents on waste containers
•  Non-sparking tools for containers suspected of containing high concentrations of flammable gas</v>
          </cell>
          <cell r="AI54" t="str">
            <v>•  None</v>
          </cell>
          <cell r="AJ54" t="str">
            <v xml:space="preserve">•  Quality Assurance Program
•  Fire Protection Program
•  Performance Based Training Program
•  Maintenance Program
•  Waste Management Program </v>
          </cell>
          <cell r="AK54" t="str">
            <v>•   TSR-compliant packaging for high activity TRU waste</v>
          </cell>
          <cell r="AL54" t="str">
            <v>•  None</v>
          </cell>
          <cell r="AM54" t="str">
            <v>•  SAC for APPROVED CONTAINER use
•  SAC for facility inventory control</v>
          </cell>
          <cell r="AN54" t="str">
            <v>•  Radiological Protection Program
•  Emergency Response Program
•  Fire Protection Program
•  Performance Based Training Program
•  Conduct of Operations</v>
          </cell>
        </row>
        <row r="55">
          <cell r="A55" t="str">
            <v>LSA</v>
          </cell>
          <cell r="B55">
            <v>6</v>
          </cell>
          <cell r="C55" t="str">
            <v>Vehicle/equipment impacts waste/waste containers</v>
          </cell>
          <cell r="D55"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55">
            <v>360</v>
          </cell>
          <cell r="F55" t="str">
            <v>E09</v>
          </cell>
          <cell r="G55">
            <v>0.01</v>
          </cell>
          <cell r="H55" t="str">
            <v>Gnd</v>
          </cell>
          <cell r="I55">
            <v>850</v>
          </cell>
          <cell r="J55" t="str">
            <v>A</v>
          </cell>
          <cell r="K55" t="str">
            <v>N</v>
          </cell>
          <cell r="L55" t="str">
            <v>L</v>
          </cell>
          <cell r="M55" t="str">
            <v>N</v>
          </cell>
          <cell r="N55" t="str">
            <v>N</v>
          </cell>
          <cell r="O55" t="str">
            <v>IV</v>
          </cell>
          <cell r="P55" t="str">
            <v>III</v>
          </cell>
          <cell r="Q55" t="str">
            <v>IV</v>
          </cell>
          <cell r="R55" t="str">
            <v>IV</v>
          </cell>
          <cell r="S55" t="str">
            <v>E09</v>
          </cell>
          <cell r="T55">
            <v>0.01</v>
          </cell>
          <cell r="U55" t="str">
            <v>Gnd</v>
          </cell>
          <cell r="V55">
            <v>850</v>
          </cell>
          <cell r="W55" t="str">
            <v>A</v>
          </cell>
          <cell r="X55" t="str">
            <v>N</v>
          </cell>
          <cell r="Y55" t="str">
            <v>L</v>
          </cell>
          <cell r="Z55" t="str">
            <v>N</v>
          </cell>
          <cell r="AA55" t="str">
            <v>N</v>
          </cell>
          <cell r="AB55" t="str">
            <v>IV</v>
          </cell>
          <cell r="AC55" t="str">
            <v>III</v>
          </cell>
          <cell r="AD55" t="str">
            <v>IV</v>
          </cell>
          <cell r="AE55" t="str">
            <v>IV</v>
          </cell>
          <cell r="AF55" t="str">
            <v xml:space="preserve"> MAR is activity in maximally loaded 2-drum Interim Storage Container (Ref. WVNS-CAL-397, Table A-2).  </v>
          </cell>
          <cell r="AG55" t="str">
            <v>•  None</v>
          </cell>
          <cell r="AH55" t="str">
            <v>•  Physical barriers such as Jersey barriers or facility structure that protects waste containers from vehicle impacts</v>
          </cell>
          <cell r="AI55" t="str">
            <v>• SAC for TRU waste container physical protection
• SAC for TRU waste transportation</v>
          </cell>
          <cell r="AJ55" t="str">
            <v xml:space="preserve">•  Quality Assurance Program
•  Performance Based Training Program
•  Maintenance Program
•  Conduct of Operations
•  Waste Management Program </v>
          </cell>
          <cell r="AK55" t="str">
            <v>•   TSR-compliant packaging for high activity TRU waste</v>
          </cell>
          <cell r="AL55" t="str">
            <v>•  None</v>
          </cell>
          <cell r="AM55" t="str">
            <v>•  None</v>
          </cell>
          <cell r="AN55" t="str">
            <v>•  Radiological Protection Program
•  Emergency Response Program
•  Performance Based Training Program
•  Conduct of Operations</v>
          </cell>
        </row>
        <row r="56">
          <cell r="A56" t="str">
            <v>LSA</v>
          </cell>
          <cell r="B56">
            <v>7</v>
          </cell>
          <cell r="C56" t="str">
            <v>Drop/impact/spill</v>
          </cell>
          <cell r="D56" t="str">
            <v>This event is due to mishandling of containers; or to drops/impacts caused by equipment failure; or leaks caused by corrosion, construction defect, or improper closure.</v>
          </cell>
          <cell r="E56">
            <v>360</v>
          </cell>
          <cell r="F56" t="str">
            <v>E10</v>
          </cell>
          <cell r="G56">
            <v>0.1</v>
          </cell>
          <cell r="H56" t="str">
            <v>Gnd</v>
          </cell>
          <cell r="I56">
            <v>850</v>
          </cell>
          <cell r="J56" t="str">
            <v>A</v>
          </cell>
          <cell r="K56" t="str">
            <v>L</v>
          </cell>
          <cell r="L56" t="str">
            <v>L</v>
          </cell>
          <cell r="M56" t="str">
            <v>N</v>
          </cell>
          <cell r="N56" t="str">
            <v>N</v>
          </cell>
          <cell r="O56" t="str">
            <v>III</v>
          </cell>
          <cell r="P56" t="str">
            <v>III</v>
          </cell>
          <cell r="Q56" t="str">
            <v>IV</v>
          </cell>
          <cell r="R56" t="str">
            <v>IV</v>
          </cell>
          <cell r="S56" t="str">
            <v>E10</v>
          </cell>
          <cell r="T56">
            <v>0.1</v>
          </cell>
          <cell r="U56" t="str">
            <v>Gnd</v>
          </cell>
          <cell r="V56">
            <v>850</v>
          </cell>
          <cell r="W56" t="str">
            <v>U</v>
          </cell>
          <cell r="X56" t="str">
            <v>L</v>
          </cell>
          <cell r="Y56" t="str">
            <v>L</v>
          </cell>
          <cell r="Z56" t="str">
            <v>N</v>
          </cell>
          <cell r="AA56" t="str">
            <v>N</v>
          </cell>
          <cell r="AB56" t="str">
            <v>III</v>
          </cell>
          <cell r="AC56" t="str">
            <v>III</v>
          </cell>
          <cell r="AD56" t="str">
            <v>IV</v>
          </cell>
          <cell r="AE56" t="str">
            <v>IV</v>
          </cell>
          <cell r="AF56" t="str">
            <v xml:space="preserve">Event is a low energy breach of container confinement (e.g. tine puncture or container drop).  MAR is activity in maximally loaded 2-drum Interim Storage Container (Ref. WVNS-CAL-397, Table A-2).  </v>
          </cell>
          <cell r="AG56" t="str">
            <v>•  None</v>
          </cell>
          <cell r="AH56" t="str">
            <v>•  None</v>
          </cell>
          <cell r="AI56" t="str">
            <v>•  None</v>
          </cell>
          <cell r="AJ56" t="str">
            <v xml:space="preserve">•  Quality Assurance Program
•  Performance Based Training Program
•  Maintenance Program
•  Conduct of Operations
•  Waste Management Program </v>
          </cell>
          <cell r="AK56" t="str">
            <v>•   TSR-compliant packaging for high activity TRU waste</v>
          </cell>
          <cell r="AL56" t="str">
            <v>•  None</v>
          </cell>
          <cell r="AM56" t="str">
            <v>•  None</v>
          </cell>
          <cell r="AN56" t="str">
            <v>•  Radiological Protection Program
•  Emergency Response Program
•  Performance Based Training Program
•  Conduct of Operations</v>
          </cell>
        </row>
        <row r="57">
          <cell r="A57" t="str">
            <v>LSA</v>
          </cell>
          <cell r="B57">
            <v>8</v>
          </cell>
          <cell r="C57" t="str">
            <v>Collapse of stacked containers</v>
          </cell>
          <cell r="D57" t="str">
            <v>Collapse of a stacked array of containers due to corrosion, defective construction, or damage of containers, or due to improper stacking (e.g., exceeding limits, unstable array).</v>
          </cell>
          <cell r="E57">
            <v>1050</v>
          </cell>
          <cell r="F57" t="str">
            <v>E11</v>
          </cell>
          <cell r="G57">
            <v>0.1</v>
          </cell>
          <cell r="H57" t="str">
            <v>Gnd</v>
          </cell>
          <cell r="I57">
            <v>850</v>
          </cell>
          <cell r="J57" t="str">
            <v>A</v>
          </cell>
          <cell r="K57" t="str">
            <v>L</v>
          </cell>
          <cell r="L57" t="str">
            <v>L</v>
          </cell>
          <cell r="M57" t="str">
            <v>N</v>
          </cell>
          <cell r="N57" t="str">
            <v>N</v>
          </cell>
          <cell r="O57" t="str">
            <v>III</v>
          </cell>
          <cell r="P57" t="str">
            <v>III</v>
          </cell>
          <cell r="Q57" t="str">
            <v>IV</v>
          </cell>
          <cell r="R57" t="str">
            <v>IV</v>
          </cell>
          <cell r="S57" t="str">
            <v>E11</v>
          </cell>
          <cell r="T57">
            <v>0.1</v>
          </cell>
          <cell r="U57" t="str">
            <v>Gnd</v>
          </cell>
          <cell r="V57">
            <v>850</v>
          </cell>
          <cell r="W57" t="str">
            <v>U</v>
          </cell>
          <cell r="X57" t="str">
            <v>L</v>
          </cell>
          <cell r="Y57" t="str">
            <v>L</v>
          </cell>
          <cell r="Z57" t="str">
            <v>N</v>
          </cell>
          <cell r="AA57" t="str">
            <v>N</v>
          </cell>
          <cell r="AB57" t="str">
            <v>III</v>
          </cell>
          <cell r="AC57" t="str">
            <v>III</v>
          </cell>
          <cell r="AD57" t="str">
            <v>IV</v>
          </cell>
          <cell r="AE57" t="str">
            <v>IV</v>
          </cell>
          <cell r="AF57" t="str">
            <v xml:space="preserve">Event applies only to containers above 2nd tier of a storage array since Type 17C containers designed to withstand 4' drop.  MAR assumed to be half of activity in storage (i.e., activity in containers on 3rd and 4th tier of storage array (Ref. WVNS-CAL-397, Appendix A) </v>
          </cell>
          <cell r="AG57" t="str">
            <v>•  None</v>
          </cell>
          <cell r="AH57" t="str">
            <v>•  None</v>
          </cell>
          <cell r="AI57" t="str">
            <v>•  None</v>
          </cell>
          <cell r="AJ57" t="str">
            <v xml:space="preserve">•  Quality Assurance Program
•  Performance Based Training Program
•  Maintenance Program
•  Waste Management Program </v>
          </cell>
          <cell r="AK57" t="str">
            <v>•   APPROVED CONTAINERS used for TRU waste storage
•   TSR-compliant packaging for high activity TRU waste</v>
          </cell>
          <cell r="AL57" t="str">
            <v>•  Steel pallets used for TRU waste storage arrays
•  Banding of drums on pallets</v>
          </cell>
          <cell r="AM57" t="str">
            <v>•  None</v>
          </cell>
          <cell r="AN57" t="str">
            <v>•  Radiological Protection Program
•  Emergency Response Program
•  Performance Based Training Program
•  Conduct of Operations</v>
          </cell>
        </row>
        <row r="58">
          <cell r="A58" t="str">
            <v>LSA</v>
          </cell>
          <cell r="B58">
            <v>9</v>
          </cell>
          <cell r="C58" t="str">
            <v>Waste container over-pressurization</v>
          </cell>
          <cell r="D58" t="str">
            <v>Container failure occurs due to pressure buildup, possibly due to radiolysis of water or other hydrogenous material, thermal expansion of material/gases inside the container, or chemical reactions inside the container.</v>
          </cell>
          <cell r="E58">
            <v>360</v>
          </cell>
          <cell r="F58" t="str">
            <v>E12</v>
          </cell>
          <cell r="G58">
            <v>1</v>
          </cell>
          <cell r="H58" t="str">
            <v>Gnd</v>
          </cell>
          <cell r="I58">
            <v>850</v>
          </cell>
          <cell r="J58" t="str">
            <v>A</v>
          </cell>
          <cell r="K58" t="str">
            <v>M</v>
          </cell>
          <cell r="L58" t="str">
            <v>M</v>
          </cell>
          <cell r="M58" t="str">
            <v>N</v>
          </cell>
          <cell r="N58" t="str">
            <v>N</v>
          </cell>
          <cell r="O58" t="str">
            <v>I</v>
          </cell>
          <cell r="P58" t="str">
            <v>I</v>
          </cell>
          <cell r="Q58" t="str">
            <v>IV</v>
          </cell>
          <cell r="R58" t="str">
            <v>IV</v>
          </cell>
          <cell r="S58" t="str">
            <v>E12</v>
          </cell>
          <cell r="T58">
            <v>0.1</v>
          </cell>
          <cell r="U58" t="str">
            <v>Gnd</v>
          </cell>
          <cell r="V58">
            <v>850</v>
          </cell>
          <cell r="W58" t="str">
            <v>A</v>
          </cell>
          <cell r="X58" t="str">
            <v>L</v>
          </cell>
          <cell r="Y58" t="str">
            <v>L</v>
          </cell>
          <cell r="Z58" t="str">
            <v>N</v>
          </cell>
          <cell r="AA58" t="str">
            <v>N</v>
          </cell>
          <cell r="AB58" t="str">
            <v>III</v>
          </cell>
          <cell r="AC58" t="str">
            <v>III</v>
          </cell>
          <cell r="AD58" t="str">
            <v>IV</v>
          </cell>
          <cell r="AE58" t="str">
            <v>IV</v>
          </cell>
          <cell r="AF58"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58" t="str">
            <v>•  None</v>
          </cell>
          <cell r="AH58" t="str">
            <v>•  HEPA filter vents on waste containers</v>
          </cell>
          <cell r="AI58" t="str">
            <v>•  None</v>
          </cell>
          <cell r="AJ58" t="str">
            <v xml:space="preserve">•  Quality Assurance Program
•  Performance Based Training Program
•  Waste Management Program </v>
          </cell>
          <cell r="AK58" t="str">
            <v>•  None</v>
          </cell>
          <cell r="AL58" t="str">
            <v>•  Lid restraining devices for bulging drums</v>
          </cell>
          <cell r="AM58" t="str">
            <v>•  None</v>
          </cell>
          <cell r="AN58" t="str">
            <v>•  Radiological Protection Program
•  Emergency Response Program
•  Performance Based Training Program
•  Conduct of Operations</v>
          </cell>
        </row>
        <row r="59">
          <cell r="A59" t="str">
            <v>LSA</v>
          </cell>
          <cell r="B59">
            <v>10</v>
          </cell>
          <cell r="C59" t="str">
            <v>Direct exposure to radiation</v>
          </cell>
          <cell r="D59" t="str">
            <v>Exposure to ionizing radiation from the waste, possibly due to loss of proper shielding within a container or instrument miscalibration</v>
          </cell>
          <cell r="E59" t="str">
            <v>Not applicable.</v>
          </cell>
          <cell r="F59" t="str">
            <v>NA</v>
          </cell>
          <cell r="G59" t="str">
            <v>NA</v>
          </cell>
          <cell r="H59" t="str">
            <v>Gnd</v>
          </cell>
          <cell r="I59">
            <v>850</v>
          </cell>
          <cell r="J59" t="str">
            <v>A</v>
          </cell>
          <cell r="K59" t="str">
            <v>M</v>
          </cell>
          <cell r="L59" t="str">
            <v>N</v>
          </cell>
          <cell r="M59" t="str">
            <v>N</v>
          </cell>
          <cell r="N59" t="str">
            <v>N</v>
          </cell>
          <cell r="O59" t="str">
            <v>I</v>
          </cell>
          <cell r="P59" t="str">
            <v>IV</v>
          </cell>
          <cell r="Q59" t="str">
            <v>IV</v>
          </cell>
          <cell r="R59" t="str">
            <v>IV</v>
          </cell>
          <cell r="S59" t="str">
            <v>NA</v>
          </cell>
          <cell r="T59" t="str">
            <v>NA</v>
          </cell>
          <cell r="U59" t="str">
            <v>Gnd</v>
          </cell>
          <cell r="V59">
            <v>850</v>
          </cell>
          <cell r="W59" t="str">
            <v>U</v>
          </cell>
          <cell r="X59" t="str">
            <v>L</v>
          </cell>
          <cell r="Y59" t="str">
            <v>N</v>
          </cell>
          <cell r="Z59" t="str">
            <v>N</v>
          </cell>
          <cell r="AA59" t="str">
            <v>N</v>
          </cell>
          <cell r="AB59" t="str">
            <v>III</v>
          </cell>
          <cell r="AC59" t="str">
            <v>IV</v>
          </cell>
          <cell r="AD59" t="str">
            <v>IV</v>
          </cell>
          <cell r="AE59" t="str">
            <v>IV</v>
          </cell>
          <cell r="AF59" t="str">
            <v xml:space="preserve">None.  </v>
          </cell>
          <cell r="AG59" t="str">
            <v>•  None</v>
          </cell>
          <cell r="AH59" t="str">
            <v>•  Engineered radiation shielding on high dose rate waste containers</v>
          </cell>
          <cell r="AI59" t="str">
            <v>•  None</v>
          </cell>
          <cell r="AJ59" t="str">
            <v xml:space="preserve">•  Radiological Protection Program
•  Quality Assurance Program
•  Performance Based Training Program
•  Conduct of Operations
•  Waste Management Program </v>
          </cell>
          <cell r="AK59" t="str">
            <v>•  None</v>
          </cell>
          <cell r="AL59" t="str">
            <v>•  None</v>
          </cell>
          <cell r="AM59" t="str">
            <v>•  None</v>
          </cell>
          <cell r="AN59" t="str">
            <v>•  Radiological Protection Program
•  Performance Based Training Program
•  Conduct of Operations</v>
          </cell>
        </row>
        <row r="60">
          <cell r="A60" t="str">
            <v>LSA</v>
          </cell>
          <cell r="B60">
            <v>11</v>
          </cell>
          <cell r="C60" t="str">
            <v>Criticality</v>
          </cell>
          <cell r="D60" t="str">
            <v>Inadvertent criticality occurs due to multiple independent failures and/or highly improbable circumstances</v>
          </cell>
          <cell r="E60" t="str">
            <v>&gt;450 FGE
Pu-239</v>
          </cell>
          <cell r="F60" t="str">
            <v>NA</v>
          </cell>
          <cell r="G60" t="str">
            <v>NA</v>
          </cell>
          <cell r="H60" t="str">
            <v>Gnd</v>
          </cell>
          <cell r="I60">
            <v>850</v>
          </cell>
          <cell r="J60" t="str">
            <v>BEU</v>
          </cell>
          <cell r="K60" t="str">
            <v>H</v>
          </cell>
          <cell r="L60" t="str">
            <v>N</v>
          </cell>
          <cell r="M60" t="str">
            <v>N</v>
          </cell>
          <cell r="N60" t="str">
            <v>N</v>
          </cell>
          <cell r="O60" t="str">
            <v>III</v>
          </cell>
          <cell r="P60" t="str">
            <v>IV</v>
          </cell>
          <cell r="Q60" t="str">
            <v>IV</v>
          </cell>
          <cell r="R60" t="str">
            <v>IV</v>
          </cell>
          <cell r="S60" t="str">
            <v>NA</v>
          </cell>
          <cell r="T60" t="str">
            <v>NA</v>
          </cell>
          <cell r="U60" t="str">
            <v>Gnd</v>
          </cell>
          <cell r="V60">
            <v>850</v>
          </cell>
          <cell r="W60" t="str">
            <v>BEU</v>
          </cell>
          <cell r="X60" t="str">
            <v>H</v>
          </cell>
          <cell r="Y60" t="str">
            <v>N</v>
          </cell>
          <cell r="Z60" t="str">
            <v>N</v>
          </cell>
          <cell r="AA60" t="str">
            <v>N</v>
          </cell>
          <cell r="AB60" t="str">
            <v>III</v>
          </cell>
          <cell r="AC60" t="str">
            <v>IV</v>
          </cell>
          <cell r="AD60" t="str">
            <v>IV</v>
          </cell>
          <cell r="AE60" t="str">
            <v>IV</v>
          </cell>
          <cell r="AF60" t="str">
            <v xml:space="preserve">Nuclear criticality safety administrative controls ensure that only safe quantities of fissile material are placed in waste packages.   </v>
          </cell>
          <cell r="AG60" t="str">
            <v>• PSRs for fissile material storage container specifications</v>
          </cell>
          <cell r="AH60" t="str">
            <v>•  None</v>
          </cell>
          <cell r="AI60" t="str">
            <v>• PSR limits on container fissile mass
• PSR for fissile material storage containers</v>
          </cell>
          <cell r="AJ60" t="str">
            <v xml:space="preserve">•  Radiological Protection Program
•  Nuclear Criticality Safety Program
•  Quality Assurance Program
•  Performance Based Training Program
•  Conduct of Operations
•  Waste Management Program </v>
          </cell>
          <cell r="AK60" t="str">
            <v>•  None</v>
          </cell>
          <cell r="AL60" t="str">
            <v>•  None</v>
          </cell>
          <cell r="AM60" t="str">
            <v>•  None</v>
          </cell>
          <cell r="AN60" t="str">
            <v>•  Radiological Protection Program
•  Nuclear Criticality Safety Program
•  Emergency Response Program
•  Performance Based Training Program
•  Conduct of Operations</v>
          </cell>
        </row>
        <row r="61">
          <cell r="A61" t="str">
            <v>LSA</v>
          </cell>
          <cell r="B61">
            <v>12</v>
          </cell>
          <cell r="C61" t="str">
            <v>Aircraft impact with fire</v>
          </cell>
          <cell r="D61" t="str">
            <v>Small general aviation aircraft or helicopter crashes and a fire ensues</v>
          </cell>
          <cell r="E61">
            <v>2100</v>
          </cell>
          <cell r="F61" t="str">
            <v>E15</v>
          </cell>
          <cell r="G61">
            <v>1</v>
          </cell>
          <cell r="H61" t="str">
            <v>Gnd</v>
          </cell>
          <cell r="I61">
            <v>850</v>
          </cell>
          <cell r="J61" t="str">
            <v>BEU</v>
          </cell>
          <cell r="K61" t="str">
            <v>H</v>
          </cell>
          <cell r="L61" t="str">
            <v>H</v>
          </cell>
          <cell r="M61" t="str">
            <v>N</v>
          </cell>
          <cell r="N61" t="str">
            <v>N</v>
          </cell>
          <cell r="O61" t="str">
            <v>III</v>
          </cell>
          <cell r="P61" t="str">
            <v>III</v>
          </cell>
          <cell r="Q61" t="str">
            <v>IV</v>
          </cell>
          <cell r="R61" t="str">
            <v>IV</v>
          </cell>
          <cell r="S61" t="str">
            <v>E15</v>
          </cell>
          <cell r="T61">
            <v>1</v>
          </cell>
          <cell r="U61" t="str">
            <v>Gnd</v>
          </cell>
          <cell r="V61">
            <v>850</v>
          </cell>
          <cell r="W61" t="str">
            <v>BEU</v>
          </cell>
          <cell r="X61" t="str">
            <v>H</v>
          </cell>
          <cell r="Y61" t="str">
            <v>H</v>
          </cell>
          <cell r="Z61" t="str">
            <v>N</v>
          </cell>
          <cell r="AA61" t="str">
            <v>N</v>
          </cell>
          <cell r="AB61" t="str">
            <v>III</v>
          </cell>
          <cell r="AC61" t="str">
            <v>III</v>
          </cell>
          <cell r="AD61" t="str">
            <v>IV</v>
          </cell>
          <cell r="AE61" t="str">
            <v>IV</v>
          </cell>
          <cell r="AF61" t="str">
            <v xml:space="preserve">Event assumes waste containers breach in a manner similar to external vehicle accident event. Event BEU per WVNS-CAL-388. MAR is entire inventory of radioactive material in WVDP packaged waste (exclusive of HLW) (Ref.WVNS-CAL-397, Table C-1).  </v>
          </cell>
          <cell r="AG61" t="str">
            <v>•  None</v>
          </cell>
          <cell r="AH61" t="str">
            <v>•  None</v>
          </cell>
          <cell r="AI61" t="str">
            <v>•  None</v>
          </cell>
          <cell r="AJ61" t="str">
            <v>•  None</v>
          </cell>
          <cell r="AK61" t="str">
            <v>•   APPROVED CONTAINERS used for TRU waste storage
•   TSR-compliant packaging for high activity TRU waste</v>
          </cell>
          <cell r="AL61" t="str">
            <v>•  None</v>
          </cell>
          <cell r="AM61" t="str">
            <v>• SAC for APPROVED CONTAINER use</v>
          </cell>
          <cell r="AN61" t="str">
            <v>•  Radiological Protection Program
•  Emergency Response Program
•  Fire Protection Program
•  Performance Based Training Program
•  Conduct of Operations</v>
          </cell>
        </row>
        <row r="62">
          <cell r="A62" t="str">
            <v>LSA</v>
          </cell>
          <cell r="B62">
            <v>13</v>
          </cell>
          <cell r="C62" t="str">
            <v>External explosion</v>
          </cell>
          <cell r="D62" t="str">
            <v>Explosion involving failure of equipment not directly related to facility operations (e.g. natural gas line rupture) with possible missiles generated</v>
          </cell>
          <cell r="E62">
            <v>360</v>
          </cell>
          <cell r="F62" t="str">
            <v>E18</v>
          </cell>
          <cell r="G62">
            <v>1</v>
          </cell>
          <cell r="H62" t="str">
            <v>Gnd</v>
          </cell>
          <cell r="I62">
            <v>850</v>
          </cell>
          <cell r="J62" t="str">
            <v>U</v>
          </cell>
          <cell r="K62" t="str">
            <v>M</v>
          </cell>
          <cell r="L62" t="str">
            <v>M</v>
          </cell>
          <cell r="M62" t="str">
            <v>N</v>
          </cell>
          <cell r="N62" t="str">
            <v>N</v>
          </cell>
          <cell r="O62" t="str">
            <v>II</v>
          </cell>
          <cell r="P62" t="str">
            <v>II</v>
          </cell>
          <cell r="Q62" t="str">
            <v>IV</v>
          </cell>
          <cell r="R62" t="str">
            <v>IV</v>
          </cell>
          <cell r="S62" t="str">
            <v>E18</v>
          </cell>
          <cell r="T62">
            <v>1</v>
          </cell>
          <cell r="U62" t="str">
            <v>Gnd</v>
          </cell>
          <cell r="V62">
            <v>850</v>
          </cell>
          <cell r="W62" t="str">
            <v>EU</v>
          </cell>
          <cell r="X62" t="str">
            <v>M</v>
          </cell>
          <cell r="Y62" t="str">
            <v>M</v>
          </cell>
          <cell r="Z62" t="str">
            <v>N</v>
          </cell>
          <cell r="AA62" t="str">
            <v>N</v>
          </cell>
          <cell r="AB62" t="str">
            <v>III</v>
          </cell>
          <cell r="AC62" t="str">
            <v>III</v>
          </cell>
          <cell r="AD62" t="str">
            <v>IV</v>
          </cell>
          <cell r="AE62" t="str">
            <v>IV</v>
          </cell>
          <cell r="AF62" t="str">
            <v xml:space="preserve">Explosion assumed to be due to detonation of accumulated flammable gas associated with facility natural gas heaters.  MAR is activity in maximally loaded 2-drum Interim Storage Container (Ref. WVNS-CAL-397, Table A-2).  </v>
          </cell>
          <cell r="AG62" t="str">
            <v>•  None</v>
          </cell>
          <cell r="AH62" t="str">
            <v>•  None</v>
          </cell>
          <cell r="AI62" t="str">
            <v>• SAC for TRU waste container physical protection</v>
          </cell>
          <cell r="AJ62" t="str">
            <v>•  Quality Assurance Program
•  Performance Based Training Program
•  Maintenance Program</v>
          </cell>
          <cell r="AK62" t="str">
            <v>•   APPROVED CONTAINERS used for TRU waste storage
•   TSR-compliant packaging for high activity TRU waste</v>
          </cell>
          <cell r="AL62" t="str">
            <v>•  None</v>
          </cell>
          <cell r="AM62" t="str">
            <v>• SAC for APPROVED CONTAINER use</v>
          </cell>
          <cell r="AN62" t="str">
            <v>•  Radiological Protection Program
•  Emergency Response Program
•  Fire Protection Program
•  Performance Based Training Program
•  Conduct of Operations</v>
          </cell>
        </row>
        <row r="63">
          <cell r="A63" t="str">
            <v>LSA</v>
          </cell>
          <cell r="B63">
            <v>14</v>
          </cell>
          <cell r="C63" t="str">
            <v>External fire</v>
          </cell>
          <cell r="D63" t="str">
            <v>A fire begins outside of a facility and propagates to a facility/area where TRU waste is present. The external fire could be from a wildland fire, other facility, or another fire source.</v>
          </cell>
          <cell r="E63">
            <v>2100</v>
          </cell>
          <cell r="F63" t="str">
            <v>E19</v>
          </cell>
          <cell r="G63">
            <v>0.5</v>
          </cell>
          <cell r="H63" t="str">
            <v>Gnd</v>
          </cell>
          <cell r="I63">
            <v>850</v>
          </cell>
          <cell r="J63" t="str">
            <v>U</v>
          </cell>
          <cell r="K63" t="str">
            <v>H</v>
          </cell>
          <cell r="L63" t="str">
            <v>H</v>
          </cell>
          <cell r="M63" t="str">
            <v>N</v>
          </cell>
          <cell r="N63" t="str">
            <v>N</v>
          </cell>
          <cell r="O63" t="str">
            <v>I</v>
          </cell>
          <cell r="P63" t="str">
            <v>I</v>
          </cell>
          <cell r="Q63" t="str">
            <v>IV</v>
          </cell>
          <cell r="R63" t="str">
            <v>IV</v>
          </cell>
          <cell r="S63" t="str">
            <v>E19</v>
          </cell>
          <cell r="T63">
            <v>0.05</v>
          </cell>
          <cell r="U63" t="str">
            <v>Gnd</v>
          </cell>
          <cell r="V63">
            <v>850</v>
          </cell>
          <cell r="W63" t="str">
            <v>EU</v>
          </cell>
          <cell r="X63" t="str">
            <v>M</v>
          </cell>
          <cell r="Y63" t="str">
            <v>M</v>
          </cell>
          <cell r="Z63" t="str">
            <v>N</v>
          </cell>
          <cell r="AA63" t="str">
            <v>N</v>
          </cell>
          <cell r="AB63" t="str">
            <v>III</v>
          </cell>
          <cell r="AC63" t="str">
            <v>III</v>
          </cell>
          <cell r="AD63" t="str">
            <v>IV</v>
          </cell>
          <cell r="AE63" t="str">
            <v>IV</v>
          </cell>
          <cell r="AF63" t="str">
            <v>Unmitigated frequency very conservative since no exposure fire risks identified in WVNS-FHA-015. Even under EU wildland fire conditions virtually no waste would be exposed to critical heat flux due to facility construction.  MAR is entire inventory of radioactive material in WVDP packaged waste (exclusive of HLW) (Ref.WVNS-CAL-397, Table C-1).  DR assumes that 10% of array is exposed to critical heat flux.</v>
          </cell>
          <cell r="AG63" t="str">
            <v>•  None</v>
          </cell>
          <cell r="AH63" t="str">
            <v>•  None</v>
          </cell>
          <cell r="AI63" t="str">
            <v>• SAC for TRU waste container physical protection</v>
          </cell>
          <cell r="AJ63" t="str">
            <v>•  Fire Protection Program
•  Maintenance Program</v>
          </cell>
          <cell r="AK63" t="str">
            <v>•   APPROVED CONTAINERS used for TRU waste storage
•   TSR-compliant packaging for high activity TRU waste</v>
          </cell>
          <cell r="AL63" t="str">
            <v>•  Non-combustible facility sheathing/ exterior</v>
          </cell>
          <cell r="AM63" t="str">
            <v>• SAC for APPROVED CONTAINER use</v>
          </cell>
          <cell r="AN63" t="str">
            <v>•  Emergency Response Program
•  Fire Protection Program
•  Radiological Protection Program</v>
          </cell>
        </row>
        <row r="64">
          <cell r="A64" t="str">
            <v>LSA</v>
          </cell>
          <cell r="B64">
            <v>15</v>
          </cell>
          <cell r="C64" t="str">
            <v>Tornado</v>
          </cell>
          <cell r="D64" t="str">
            <v>Direct effects of tornado winds, falling objects, or tornado-produced missiles causing impacts to the facility. Event includes loss of contamination confinement resulting from abnormal facility differential pressures (backflow).</v>
          </cell>
          <cell r="E64">
            <v>2100</v>
          </cell>
          <cell r="F64" t="str">
            <v>E22</v>
          </cell>
          <cell r="G64">
            <v>1</v>
          </cell>
          <cell r="H64" t="str">
            <v>Gnd</v>
          </cell>
          <cell r="I64">
            <v>850</v>
          </cell>
          <cell r="J64" t="str">
            <v>U</v>
          </cell>
          <cell r="K64" t="str">
            <v>H</v>
          </cell>
          <cell r="L64" t="str">
            <v>M</v>
          </cell>
          <cell r="M64" t="str">
            <v>N</v>
          </cell>
          <cell r="N64" t="str">
            <v>N</v>
          </cell>
          <cell r="O64" t="str">
            <v>I</v>
          </cell>
          <cell r="P64" t="str">
            <v>II</v>
          </cell>
          <cell r="Q64" t="str">
            <v>IV</v>
          </cell>
          <cell r="R64" t="str">
            <v>IV</v>
          </cell>
          <cell r="S64" t="str">
            <v>E22</v>
          </cell>
          <cell r="T64">
            <v>0.18</v>
          </cell>
          <cell r="U64" t="str">
            <v>Gnd</v>
          </cell>
          <cell r="V64">
            <v>850</v>
          </cell>
          <cell r="W64" t="str">
            <v>EU</v>
          </cell>
          <cell r="X64" t="str">
            <v>M</v>
          </cell>
          <cell r="Y64" t="str">
            <v>M</v>
          </cell>
          <cell r="Z64" t="str">
            <v>N</v>
          </cell>
          <cell r="AA64" t="str">
            <v>N</v>
          </cell>
          <cell r="AB64" t="str">
            <v>III</v>
          </cell>
          <cell r="AC64" t="str">
            <v>III</v>
          </cell>
          <cell r="AD64" t="str">
            <v>IV</v>
          </cell>
          <cell r="AE64" t="str">
            <v>IV</v>
          </cell>
          <cell r="AF64" t="str">
            <v>High wind conditions would disperse any released material in a manner significantly greater than 95% meteorological condition assumptions.  MAR is entire inventory of radioactive material in WVDP packaged waste (exclusive of HLW) (Ref.WVNS-CAL-397, Table C-1).  Tornado borne missiles assumed to impact four TRU waste drums: max container and three at 99th percentile.</v>
          </cell>
          <cell r="AG64" t="str">
            <v>•  None</v>
          </cell>
          <cell r="AH64" t="str">
            <v>•  None</v>
          </cell>
          <cell r="AI64" t="str">
            <v>•  None</v>
          </cell>
          <cell r="AJ64" t="str">
            <v>•  None</v>
          </cell>
          <cell r="AK64" t="str">
            <v>•   TSR-compliant packaging for high activity TRU waste</v>
          </cell>
          <cell r="AL64" t="str">
            <v>•  None</v>
          </cell>
          <cell r="AM64" t="str">
            <v>•  None</v>
          </cell>
          <cell r="AN64" t="str">
            <v>•  Radiological Protection Program
•  Emergency Response Program
•  Performance Based Training Program
•  Conduct of Operations</v>
          </cell>
        </row>
        <row r="65">
          <cell r="A65" t="str">
            <v>LSA</v>
          </cell>
          <cell r="B65">
            <v>16</v>
          </cell>
          <cell r="C65" t="str">
            <v>Seismic event</v>
          </cell>
          <cell r="D65" t="str">
            <v>Seismic event causes structural collapse and/or failure of storage array resulting in damage to stored containers.</v>
          </cell>
          <cell r="E65">
            <v>2100</v>
          </cell>
          <cell r="F65" t="str">
            <v>E24</v>
          </cell>
          <cell r="G65">
            <v>0.01</v>
          </cell>
          <cell r="H65" t="str">
            <v>Gnd</v>
          </cell>
          <cell r="I65">
            <v>850</v>
          </cell>
          <cell r="J65" t="str">
            <v>U</v>
          </cell>
          <cell r="K65" t="str">
            <v>L</v>
          </cell>
          <cell r="L65" t="str">
            <v>L</v>
          </cell>
          <cell r="M65" t="str">
            <v>N</v>
          </cell>
          <cell r="N65" t="str">
            <v>N</v>
          </cell>
          <cell r="O65" t="str">
            <v>III</v>
          </cell>
          <cell r="P65" t="str">
            <v>III</v>
          </cell>
          <cell r="Q65" t="str">
            <v>IV</v>
          </cell>
          <cell r="R65" t="str">
            <v>IV</v>
          </cell>
          <cell r="S65" t="str">
            <v>E24</v>
          </cell>
          <cell r="T65">
            <v>0.01</v>
          </cell>
          <cell r="U65" t="str">
            <v>Gnd</v>
          </cell>
          <cell r="V65">
            <v>850</v>
          </cell>
          <cell r="W65" t="str">
            <v>U</v>
          </cell>
          <cell r="X65" t="str">
            <v>L</v>
          </cell>
          <cell r="Y65" t="str">
            <v>L</v>
          </cell>
          <cell r="Z65" t="str">
            <v>N</v>
          </cell>
          <cell r="AA65" t="str">
            <v>N</v>
          </cell>
          <cell r="AB65" t="str">
            <v>III</v>
          </cell>
          <cell r="AC65" t="str">
            <v>III</v>
          </cell>
          <cell r="AD65" t="str">
            <v>IV</v>
          </cell>
          <cell r="AE65" t="str">
            <v>IV</v>
          </cell>
          <cell r="AF65" t="str">
            <v xml:space="preserve">Facility expected to remain intact following EBE. Toppling of storage array addressed under event "Collapse of Stacked Containers."  MAR is entire inventory of radioactive material in WVDP packaged waste (exclusive of HLW) (Ref.WVNS-CAL-397, Table C-1).  </v>
          </cell>
          <cell r="AG65" t="str">
            <v>•  None</v>
          </cell>
          <cell r="AH65" t="str">
            <v>•  None</v>
          </cell>
          <cell r="AI65" t="str">
            <v>•  None</v>
          </cell>
          <cell r="AJ65" t="str">
            <v>•  None</v>
          </cell>
          <cell r="AK65" t="str">
            <v>•   APPROVED CONTAINERS used for TRU waste storage
•   TSR-compliant packaging for high activity TRU waste</v>
          </cell>
          <cell r="AL65" t="str">
            <v>•  None</v>
          </cell>
          <cell r="AM65" t="str">
            <v>•  None</v>
          </cell>
          <cell r="AN65" t="str">
            <v>•  Radiological Protection Program
•  Emergency Response Program
•  Performance Based Training Program
•  Conduct of Operations</v>
          </cell>
        </row>
        <row r="66">
          <cell r="A66" t="str">
            <v>LSA</v>
          </cell>
          <cell r="B66">
            <v>17</v>
          </cell>
          <cell r="C66" t="str">
            <v>HEPA filter failure</v>
          </cell>
          <cell r="D66" t="str">
            <v>Excess moisture or particulate on filters or area pressure excursion causes high filter differential pressure, resulting in filter failure</v>
          </cell>
          <cell r="E66">
            <v>1</v>
          </cell>
          <cell r="F66" t="str">
            <v>HB</v>
          </cell>
          <cell r="G66">
            <v>1</v>
          </cell>
          <cell r="H66" t="str">
            <v>Gnd</v>
          </cell>
          <cell r="I66">
            <v>850</v>
          </cell>
          <cell r="J66" t="str">
            <v>A</v>
          </cell>
          <cell r="K66" t="str">
            <v>L</v>
          </cell>
          <cell r="L66" t="str">
            <v>L</v>
          </cell>
          <cell r="M66" t="str">
            <v>N</v>
          </cell>
          <cell r="N66" t="str">
            <v>N</v>
          </cell>
          <cell r="O66" t="str">
            <v>III</v>
          </cell>
          <cell r="P66" t="str">
            <v>III</v>
          </cell>
          <cell r="Q66" t="str">
            <v>IV</v>
          </cell>
          <cell r="R66" t="str">
            <v>IV</v>
          </cell>
          <cell r="S66" t="str">
            <v>HB</v>
          </cell>
          <cell r="T66">
            <v>1</v>
          </cell>
          <cell r="U66" t="str">
            <v>Gnd</v>
          </cell>
          <cell r="V66">
            <v>850</v>
          </cell>
          <cell r="W66" t="str">
            <v>U</v>
          </cell>
          <cell r="X66" t="str">
            <v>L</v>
          </cell>
          <cell r="Y66" t="str">
            <v>L</v>
          </cell>
          <cell r="Z66" t="str">
            <v>N</v>
          </cell>
          <cell r="AA66" t="str">
            <v>N</v>
          </cell>
          <cell r="AB66" t="str">
            <v>III</v>
          </cell>
          <cell r="AC66" t="str">
            <v>III</v>
          </cell>
          <cell r="AD66" t="str">
            <v>IV</v>
          </cell>
          <cell r="AE66" t="str">
            <v>IV</v>
          </cell>
          <cell r="AF66" t="str">
            <v xml:space="preserve"> 10% of MPPB ventilation system MAR bounding for facility HEPA filters based on system environmental emission data </v>
          </cell>
          <cell r="AG66" t="str">
            <v>•  None</v>
          </cell>
          <cell r="AH66" t="str">
            <v>•  None</v>
          </cell>
          <cell r="AI66" t="str">
            <v>•  None</v>
          </cell>
          <cell r="AJ66" t="str">
            <v>•  Quality Assurance Program
•  Fire Protection Program
•  Performance Based Training Program
•  Maintenance Program
•  Conduct of Operations</v>
          </cell>
          <cell r="AK66" t="str">
            <v>•  None</v>
          </cell>
          <cell r="AL66" t="str">
            <v>•  None</v>
          </cell>
          <cell r="AM66" t="str">
            <v>•  None</v>
          </cell>
          <cell r="AN66" t="str">
            <v>•  Radiological Protection Program
•  Emergency Response Program
•  Performance Based Training Program
•  Conduct of Operations</v>
          </cell>
        </row>
        <row r="67">
          <cell r="A67" t="str">
            <v>LSA</v>
          </cell>
          <cell r="B67">
            <v>18</v>
          </cell>
          <cell r="C67" t="str">
            <v>HEPA filter fire</v>
          </cell>
          <cell r="D67" t="str">
            <v>Area fire propagates to HEPA filter bank</v>
          </cell>
          <cell r="E67">
            <v>1</v>
          </cell>
          <cell r="F67" t="str">
            <v>HF</v>
          </cell>
          <cell r="G67">
            <v>1</v>
          </cell>
          <cell r="H67" t="str">
            <v>Gnd</v>
          </cell>
          <cell r="I67">
            <v>850</v>
          </cell>
          <cell r="J67" t="str">
            <v>A</v>
          </cell>
          <cell r="K67" t="str">
            <v>N</v>
          </cell>
          <cell r="L67" t="str">
            <v>N</v>
          </cell>
          <cell r="M67" t="str">
            <v>N</v>
          </cell>
          <cell r="N67" t="str">
            <v>N</v>
          </cell>
          <cell r="O67" t="str">
            <v>IV</v>
          </cell>
          <cell r="P67" t="str">
            <v>IV</v>
          </cell>
          <cell r="Q67" t="str">
            <v>IV</v>
          </cell>
          <cell r="R67" t="str">
            <v>IV</v>
          </cell>
          <cell r="S67" t="str">
            <v>HF</v>
          </cell>
          <cell r="T67">
            <v>1</v>
          </cell>
          <cell r="U67" t="str">
            <v>Gnd</v>
          </cell>
          <cell r="V67">
            <v>850</v>
          </cell>
          <cell r="W67" t="str">
            <v>U</v>
          </cell>
          <cell r="X67" t="str">
            <v>N</v>
          </cell>
          <cell r="Y67" t="str">
            <v>N</v>
          </cell>
          <cell r="Z67" t="str">
            <v>N</v>
          </cell>
          <cell r="AA67" t="str">
            <v>N</v>
          </cell>
          <cell r="AB67" t="str">
            <v>IV</v>
          </cell>
          <cell r="AC67" t="str">
            <v>IV</v>
          </cell>
          <cell r="AD67" t="str">
            <v>IV</v>
          </cell>
          <cell r="AE67" t="str">
            <v>IV</v>
          </cell>
          <cell r="AF67" t="str">
            <v xml:space="preserve"> 10% of MPPB ventilation system MAR bounding for facility HEPA filters based on system environmental emission data </v>
          </cell>
          <cell r="AG67" t="str">
            <v>•  None</v>
          </cell>
          <cell r="AH67" t="str">
            <v>•  CSPF fire suppression system</v>
          </cell>
          <cell r="AI67" t="str">
            <v>•  None</v>
          </cell>
          <cell r="AJ67" t="str">
            <v>•  Quality Assurance Program
•  Fire Protection Program
•  Performance Based Training Program
•  Maintenance Program
•  Conduct of Operations</v>
          </cell>
          <cell r="AK67" t="str">
            <v>•  None</v>
          </cell>
          <cell r="AL67" t="str">
            <v>•  None</v>
          </cell>
          <cell r="AM67" t="str">
            <v>•  None</v>
          </cell>
          <cell r="AN67" t="str">
            <v>•  Radiological Protection Program
•  Emergency Response Program
•  Fire Protection Program
•  Performance Based Training Program
•  Conduct of Operations</v>
          </cell>
        </row>
        <row r="68">
          <cell r="A68" t="str">
            <v>LSA</v>
          </cell>
          <cell r="B68">
            <v>19</v>
          </cell>
          <cell r="C68" t="str">
            <v>Loss of airborne contamination confinement</v>
          </cell>
          <cell r="D68" t="str">
            <v>Loss of CSPF/WPA exhaust blowers operability; loss of adequate area negative; or other upset condition resulting in loss of airborne contamination confinement.</v>
          </cell>
          <cell r="E68">
            <v>360</v>
          </cell>
          <cell r="F68" t="str">
            <v>AER</v>
          </cell>
          <cell r="G68">
            <v>1</v>
          </cell>
          <cell r="H68" t="str">
            <v>Gnd</v>
          </cell>
          <cell r="I68">
            <v>850</v>
          </cell>
          <cell r="J68" t="str">
            <v>A</v>
          </cell>
          <cell r="K68" t="str">
            <v>L</v>
          </cell>
          <cell r="L68" t="str">
            <v>L</v>
          </cell>
          <cell r="M68" t="str">
            <v>N</v>
          </cell>
          <cell r="N68" t="str">
            <v>N</v>
          </cell>
          <cell r="O68" t="str">
            <v>III</v>
          </cell>
          <cell r="P68" t="str">
            <v>III</v>
          </cell>
          <cell r="Q68" t="str">
            <v>IV</v>
          </cell>
          <cell r="R68" t="str">
            <v>IV</v>
          </cell>
          <cell r="S68" t="str">
            <v>AER</v>
          </cell>
          <cell r="T68">
            <v>1</v>
          </cell>
          <cell r="U68" t="str">
            <v>Gnd</v>
          </cell>
          <cell r="V68">
            <v>850</v>
          </cell>
          <cell r="W68" t="str">
            <v>A</v>
          </cell>
          <cell r="X68" t="str">
            <v>L</v>
          </cell>
          <cell r="Y68" t="str">
            <v>L</v>
          </cell>
          <cell r="Z68" t="str">
            <v>N</v>
          </cell>
          <cell r="AA68" t="str">
            <v>N</v>
          </cell>
          <cell r="AB68" t="str">
            <v>III</v>
          </cell>
          <cell r="AC68" t="str">
            <v>III</v>
          </cell>
          <cell r="AD68" t="str">
            <v>IV</v>
          </cell>
          <cell r="AE68" t="str">
            <v>IV</v>
          </cell>
          <cell r="AF68"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68" t="str">
            <v>•  None</v>
          </cell>
          <cell r="AH68" t="str">
            <v>•  None</v>
          </cell>
          <cell r="AI68" t="str">
            <v>•  None</v>
          </cell>
          <cell r="AJ68" t="str">
            <v>•  Quality Assurance Program
•  Fire Protection Program
•  Performance Based Training Program
•  Maintenance Program
•  Conduct of Operations</v>
          </cell>
          <cell r="AK68" t="str">
            <v>•  None</v>
          </cell>
          <cell r="AL68" t="str">
            <v>•  None</v>
          </cell>
          <cell r="AM68" t="str">
            <v>•  None</v>
          </cell>
          <cell r="AN68" t="str">
            <v>•  None</v>
          </cell>
        </row>
        <row r="69">
          <cell r="A69" t="str">
            <v>LSA</v>
          </cell>
          <cell r="B69">
            <v>20</v>
          </cell>
          <cell r="C69" t="str">
            <v>Loss of liquid contamination confinement</v>
          </cell>
          <cell r="D69" t="str">
            <v>Waste container containing residual liquids fails, resulting in loss of liquid contamination to the environment</v>
          </cell>
          <cell r="E69">
            <v>1</v>
          </cell>
          <cell r="F69" t="str">
            <v>FFS</v>
          </cell>
          <cell r="G69">
            <v>0.5</v>
          </cell>
          <cell r="H69" t="str">
            <v>Gnd</v>
          </cell>
          <cell r="I69">
            <v>850</v>
          </cell>
          <cell r="J69" t="str">
            <v>A</v>
          </cell>
          <cell r="K69" t="str">
            <v>N</v>
          </cell>
          <cell r="L69" t="str">
            <v>N</v>
          </cell>
          <cell r="M69" t="str">
            <v>N</v>
          </cell>
          <cell r="N69" t="str">
            <v>N</v>
          </cell>
          <cell r="O69" t="str">
            <v>IV</v>
          </cell>
          <cell r="P69" t="str">
            <v>IV</v>
          </cell>
          <cell r="Q69" t="str">
            <v>IV</v>
          </cell>
          <cell r="R69" t="str">
            <v>IV</v>
          </cell>
          <cell r="S69" t="str">
            <v>FFS</v>
          </cell>
          <cell r="T69">
            <v>0.5</v>
          </cell>
          <cell r="U69" t="str">
            <v>Gnd</v>
          </cell>
          <cell r="V69">
            <v>850</v>
          </cell>
          <cell r="W69" t="str">
            <v>A</v>
          </cell>
          <cell r="X69" t="str">
            <v>N</v>
          </cell>
          <cell r="Y69" t="str">
            <v>N</v>
          </cell>
          <cell r="Z69" t="str">
            <v>N</v>
          </cell>
          <cell r="AA69" t="str">
            <v>N</v>
          </cell>
          <cell r="AB69" t="str">
            <v>IV</v>
          </cell>
          <cell r="AC69" t="str">
            <v>IV</v>
          </cell>
          <cell r="AD69" t="str">
            <v>IV</v>
          </cell>
          <cell r="AE69" t="str">
            <v>IV</v>
          </cell>
          <cell r="AF69" t="str">
            <v xml:space="preserve">None.  </v>
          </cell>
          <cell r="AG69" t="str">
            <v>•  None</v>
          </cell>
          <cell r="AH69" t="str">
            <v>•  Cell liners/sumps and/or area berms</v>
          </cell>
          <cell r="AI69" t="str">
            <v>•  None</v>
          </cell>
          <cell r="AJ69" t="str">
            <v xml:space="preserve">•  Quality Assurance Program
•  Performance Based Training Program
•  Maintenance Program
•  Conduct of Operations
•  Waste Management Program </v>
          </cell>
          <cell r="AK69" t="str">
            <v>•  None</v>
          </cell>
          <cell r="AL69" t="str">
            <v>•  Building berms</v>
          </cell>
          <cell r="AM69" t="str">
            <v>•  None</v>
          </cell>
          <cell r="AN69" t="str">
            <v>•  Radiological Protection Program
•  Performance Based Training Program
•  Conduct of Operations</v>
          </cell>
        </row>
        <row r="70">
          <cell r="A70" t="str">
            <v>LSA</v>
          </cell>
          <cell r="B70">
            <v>21</v>
          </cell>
          <cell r="C70" t="str">
            <v>Flood</v>
          </cell>
          <cell r="D70" t="str">
            <v>A greater than 100-yr  rain event results in sheet flow that floods the storage area. Flooding may be exacerbated by plugged drainage channels or culverts.</v>
          </cell>
          <cell r="E70">
            <v>2100</v>
          </cell>
          <cell r="F70" t="str">
            <v>NA</v>
          </cell>
          <cell r="G70" t="str">
            <v>NA</v>
          </cell>
          <cell r="H70" t="str">
            <v>Gnd</v>
          </cell>
          <cell r="I70">
            <v>850</v>
          </cell>
          <cell r="J70" t="str">
            <v>U</v>
          </cell>
          <cell r="K70" t="str">
            <v>N</v>
          </cell>
          <cell r="L70" t="str">
            <v>N</v>
          </cell>
          <cell r="M70" t="str">
            <v>N</v>
          </cell>
          <cell r="N70" t="str">
            <v>N</v>
          </cell>
          <cell r="O70" t="str">
            <v>IV</v>
          </cell>
          <cell r="P70" t="str">
            <v>IV</v>
          </cell>
          <cell r="Q70" t="str">
            <v>IV</v>
          </cell>
          <cell r="R70" t="str">
            <v>IV</v>
          </cell>
          <cell r="S70" t="str">
            <v>NA</v>
          </cell>
          <cell r="T70" t="str">
            <v>NA</v>
          </cell>
          <cell r="U70" t="str">
            <v>Gnd</v>
          </cell>
          <cell r="V70">
            <v>850</v>
          </cell>
          <cell r="W70" t="str">
            <v>U</v>
          </cell>
          <cell r="X70" t="str">
            <v>N</v>
          </cell>
          <cell r="Y70" t="str">
            <v>N</v>
          </cell>
          <cell r="Z70" t="str">
            <v>N</v>
          </cell>
          <cell r="AA70" t="str">
            <v>N</v>
          </cell>
          <cell r="AB70" t="str">
            <v>IV</v>
          </cell>
          <cell r="AC70" t="str">
            <v>IV</v>
          </cell>
          <cell r="AD70" t="str">
            <v>IV</v>
          </cell>
          <cell r="AE70" t="str">
            <v>IV</v>
          </cell>
          <cell r="AF70" t="str">
            <v xml:space="preserve">Site topography places facility outside area vulnerable to flooding (ref. Figure 1.4-6).  MAR is entire inventory of radioactive material in WVDP packaged waste (exclusive of HLW) (Ref.WVNS-CAL-397, Table C-1).  </v>
          </cell>
          <cell r="AG70" t="str">
            <v>•  None</v>
          </cell>
          <cell r="AH70" t="str">
            <v>•  Siting of storage array in area away from areas of anticipated flooding</v>
          </cell>
          <cell r="AI70" t="str">
            <v>•  None</v>
          </cell>
          <cell r="AJ70" t="str">
            <v>•  None</v>
          </cell>
          <cell r="AK70" t="str">
            <v>•  None</v>
          </cell>
          <cell r="AL70" t="str">
            <v>•  None</v>
          </cell>
          <cell r="AM70" t="str">
            <v>•  None</v>
          </cell>
          <cell r="AN70" t="str">
            <v>•  Radiological Protection Program
•  Performance Based Training Program
•  Conduct of Operations</v>
          </cell>
        </row>
        <row r="71">
          <cell r="A71" t="str">
            <v>MP</v>
          </cell>
          <cell r="B71">
            <v>1</v>
          </cell>
          <cell r="C71" t="str">
            <v>Small combustible material fire</v>
          </cell>
          <cell r="D71" t="str">
            <v>Fire occurs in a contaminated facility area. Includes accidents initiated due to pyrophoric reactions or reactions involving incompatible materials.</v>
          </cell>
          <cell r="E71">
            <v>360</v>
          </cell>
          <cell r="F71" t="str">
            <v>E02</v>
          </cell>
          <cell r="G71">
            <v>1</v>
          </cell>
          <cell r="H71" t="str">
            <v>60m</v>
          </cell>
          <cell r="I71">
            <v>1050</v>
          </cell>
          <cell r="J71" t="str">
            <v>A</v>
          </cell>
          <cell r="K71" t="str">
            <v>N</v>
          </cell>
          <cell r="L71" t="str">
            <v>M</v>
          </cell>
          <cell r="M71" t="str">
            <v>N</v>
          </cell>
          <cell r="N71" t="str">
            <v>N</v>
          </cell>
          <cell r="O71" t="str">
            <v>IV</v>
          </cell>
          <cell r="P71" t="str">
            <v>I</v>
          </cell>
          <cell r="Q71" t="str">
            <v>IV</v>
          </cell>
          <cell r="R71" t="str">
            <v>IV</v>
          </cell>
          <cell r="S71" t="str">
            <v>CWF</v>
          </cell>
          <cell r="T71">
            <v>1</v>
          </cell>
          <cell r="U71" t="str">
            <v>60m</v>
          </cell>
          <cell r="V71">
            <v>1050</v>
          </cell>
          <cell r="W71" t="str">
            <v>U</v>
          </cell>
          <cell r="X71" t="str">
            <v>N</v>
          </cell>
          <cell r="Y71" t="str">
            <v>L</v>
          </cell>
          <cell r="Z71" t="str">
            <v>N</v>
          </cell>
          <cell r="AA71" t="str">
            <v>N</v>
          </cell>
          <cell r="AB71" t="str">
            <v>IV</v>
          </cell>
          <cell r="AC71" t="str">
            <v>III</v>
          </cell>
          <cell r="AD71" t="str">
            <v>IV</v>
          </cell>
          <cell r="AE71" t="str">
            <v>IV</v>
          </cell>
          <cell r="AF71"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71" t="str">
            <v>•  None</v>
          </cell>
          <cell r="AH71" t="str">
            <v>•  None</v>
          </cell>
          <cell r="AI71" t="str">
            <v>•  None</v>
          </cell>
          <cell r="AJ71" t="str">
            <v xml:space="preserve">•  Quality Assurance Program
•  Fire Protection Program
-   “Hot work” controls
-   Combustible material control program
•  Performance Based Training Program
•  Maintenance Program
•  Conduct of Operations
•  Waste Management Program </v>
          </cell>
          <cell r="AK71" t="str">
            <v>•  None</v>
          </cell>
          <cell r="AL71" t="str">
            <v>•  Fire rated cell walls and shield doors</v>
          </cell>
          <cell r="AM71" t="str">
            <v>•  None</v>
          </cell>
          <cell r="AN71" t="str">
            <v>•  Radiological Protection Program
•  Emergency Response Program
•  Fire Protection Program
•  Performance Based Training Program
•  Conduct of Operations</v>
          </cell>
        </row>
        <row r="72">
          <cell r="A72" t="str">
            <v>MP</v>
          </cell>
          <cell r="B72">
            <v>2</v>
          </cell>
          <cell r="C72" t="str">
            <v>Large fire</v>
          </cell>
          <cell r="D72" t="str">
            <v>Large cell fire. Expected to be bounded by combustion of shield window mineral oil following window failure. Fire may initiate due to ignition of combustible or pyrophoric material in cell.</v>
          </cell>
          <cell r="E72">
            <v>2300</v>
          </cell>
          <cell r="F72" t="str">
            <v>E04</v>
          </cell>
          <cell r="G72">
            <v>0.5</v>
          </cell>
          <cell r="H72" t="str">
            <v>60m</v>
          </cell>
          <cell r="I72">
            <v>1050</v>
          </cell>
          <cell r="J72" t="str">
            <v>U</v>
          </cell>
          <cell r="K72" t="str">
            <v>N</v>
          </cell>
          <cell r="L72" t="str">
            <v>L</v>
          </cell>
          <cell r="M72" t="str">
            <v>N</v>
          </cell>
          <cell r="N72" t="str">
            <v>N</v>
          </cell>
          <cell r="O72" t="str">
            <v>IV</v>
          </cell>
          <cell r="P72" t="str">
            <v>III</v>
          </cell>
          <cell r="Q72" t="str">
            <v>IV</v>
          </cell>
          <cell r="R72" t="str">
            <v>IV</v>
          </cell>
          <cell r="S72" t="str">
            <v>E04</v>
          </cell>
          <cell r="T72">
            <v>0.5</v>
          </cell>
          <cell r="U72" t="str">
            <v>60m</v>
          </cell>
          <cell r="V72">
            <v>1050</v>
          </cell>
          <cell r="W72" t="str">
            <v>EU</v>
          </cell>
          <cell r="X72" t="str">
            <v>N</v>
          </cell>
          <cell r="Y72" t="str">
            <v>L</v>
          </cell>
          <cell r="Z72" t="str">
            <v>N</v>
          </cell>
          <cell r="AA72" t="str">
            <v>N</v>
          </cell>
          <cell r="AB72" t="str">
            <v>IV</v>
          </cell>
          <cell r="AC72" t="str">
            <v>IV</v>
          </cell>
          <cell r="AD72" t="str">
            <v>IV</v>
          </cell>
          <cell r="AE72" t="str">
            <v>IV</v>
          </cell>
          <cell r="AF72" t="str">
            <v xml:space="preserve">Releases are assumed to be through facility stack, even under loss of active ventilation, via stack chimney effect.  MAR is entire inventory of radioactive material in the MPPB  (exclusive of HLW) (Ref. WVNS-CAL-397, Table C-1).  </v>
          </cell>
          <cell r="AG72" t="str">
            <v>•  None</v>
          </cell>
          <cell r="AH72" t="str">
            <v>•  None</v>
          </cell>
          <cell r="AI72" t="str">
            <v>•  None</v>
          </cell>
          <cell r="AJ72" t="str">
            <v xml:space="preserve">•  Quality Assurance Program
•  Fire Protection Program
-   “Hot work” controls
-   Combustible material control program
•  Performance Based Training Program
•  Maintenance Program
•  Waste Management Program </v>
          </cell>
          <cell r="AK72" t="str">
            <v>•  None</v>
          </cell>
          <cell r="AL72" t="str">
            <v>•  Fire rated cell walls and shield doors</v>
          </cell>
          <cell r="AM72" t="str">
            <v>•  None</v>
          </cell>
          <cell r="AN72" t="str">
            <v>•  Radiological Protection Program
•  Emergency Response Program
•  Fire Protection Program
•  Performance Based Training Program
•  Conduct of Operations</v>
          </cell>
        </row>
        <row r="73">
          <cell r="A73" t="str">
            <v>MP</v>
          </cell>
          <cell r="B73">
            <v>3</v>
          </cell>
          <cell r="C73" t="str">
            <v>Waste container deflagration</v>
          </cell>
          <cell r="D73" t="str">
            <v>Hydrogen or other flammable/explosive gases inside a container is ignited.</v>
          </cell>
          <cell r="E73">
            <v>360</v>
          </cell>
          <cell r="F73" t="str">
            <v>E06</v>
          </cell>
          <cell r="G73">
            <v>1</v>
          </cell>
          <cell r="H73" t="str">
            <v>60m</v>
          </cell>
          <cell r="I73">
            <v>1050</v>
          </cell>
          <cell r="J73" t="str">
            <v>U</v>
          </cell>
          <cell r="K73" t="str">
            <v>N</v>
          </cell>
          <cell r="L73" t="str">
            <v>L</v>
          </cell>
          <cell r="M73" t="str">
            <v>N</v>
          </cell>
          <cell r="N73" t="str">
            <v>N</v>
          </cell>
          <cell r="O73" t="str">
            <v>IV</v>
          </cell>
          <cell r="P73" t="str">
            <v>III</v>
          </cell>
          <cell r="Q73" t="str">
            <v>IV</v>
          </cell>
          <cell r="R73" t="str">
            <v>IV</v>
          </cell>
          <cell r="S73" t="str">
            <v>E06</v>
          </cell>
          <cell r="T73">
            <v>1</v>
          </cell>
          <cell r="U73" t="str">
            <v>60m</v>
          </cell>
          <cell r="V73">
            <v>1050</v>
          </cell>
          <cell r="W73" t="str">
            <v>EU</v>
          </cell>
          <cell r="X73" t="str">
            <v>N</v>
          </cell>
          <cell r="Y73" t="str">
            <v>L</v>
          </cell>
          <cell r="Z73" t="str">
            <v>N</v>
          </cell>
          <cell r="AA73" t="str">
            <v>N</v>
          </cell>
          <cell r="AB73" t="str">
            <v>IV</v>
          </cell>
          <cell r="AC73" t="str">
            <v>IV</v>
          </cell>
          <cell r="AD73" t="str">
            <v>IV</v>
          </cell>
          <cell r="AE73" t="str">
            <v>IV</v>
          </cell>
          <cell r="AF73" t="str">
            <v xml:space="preserve">Waste form and waste package vent filters contribute to low probability of this event. Event is assumed to occur within shielded process cell.  MAR is activity in maximally loaded 2-drum Interim Storage Container (Ref. WVNS-CAL-397, Table A-2).  </v>
          </cell>
          <cell r="AG73" t="str">
            <v>•  None</v>
          </cell>
          <cell r="AH73" t="str">
            <v>•  HEPA filter vents on waste containers
•  Non-sparking tools for containers suspected of containing high concentrations of flammable gas</v>
          </cell>
          <cell r="AI73" t="str">
            <v>•  None</v>
          </cell>
          <cell r="AJ73" t="str">
            <v xml:space="preserve">•  Quality Assurance Program
•  Fire Protection Program
•  Performance Based Training Program
•  Maintenance Program
•  Waste Management Program </v>
          </cell>
          <cell r="AK73" t="str">
            <v>•  None</v>
          </cell>
          <cell r="AL73" t="str">
            <v>•  Confinement capability of cell structure
•  Fire rated cell walls and shield doors</v>
          </cell>
          <cell r="AM73" t="str">
            <v>•  None</v>
          </cell>
          <cell r="AN73" t="str">
            <v>•  Radiological Protection Program
•  Emergency Response Program
•  Fire Protection Program
•  Performance Based Training Program
•  Conduct of Operations</v>
          </cell>
        </row>
        <row r="74">
          <cell r="A74" t="str">
            <v>MP</v>
          </cell>
          <cell r="B74">
            <v>4</v>
          </cell>
          <cell r="C74" t="str">
            <v>Localized explosion within facility</v>
          </cell>
          <cell r="D74" t="str">
            <v>Localized explosion within facility.</v>
          </cell>
          <cell r="E74">
            <v>360</v>
          </cell>
          <cell r="F74" t="str">
            <v>ES</v>
          </cell>
          <cell r="G74">
            <v>1</v>
          </cell>
          <cell r="H74" t="str">
            <v>60m</v>
          </cell>
          <cell r="I74">
            <v>1050</v>
          </cell>
          <cell r="J74" t="str">
            <v>U</v>
          </cell>
          <cell r="K74" t="str">
            <v>N</v>
          </cell>
          <cell r="L74" t="str">
            <v>L</v>
          </cell>
          <cell r="M74" t="str">
            <v>N</v>
          </cell>
          <cell r="N74" t="str">
            <v>N</v>
          </cell>
          <cell r="O74" t="str">
            <v>IV</v>
          </cell>
          <cell r="P74" t="str">
            <v>III</v>
          </cell>
          <cell r="Q74" t="str">
            <v>IV</v>
          </cell>
          <cell r="R74" t="str">
            <v>IV</v>
          </cell>
          <cell r="S74" t="str">
            <v>ES</v>
          </cell>
          <cell r="T74">
            <v>1</v>
          </cell>
          <cell r="U74" t="str">
            <v>60m</v>
          </cell>
          <cell r="V74">
            <v>1050</v>
          </cell>
          <cell r="W74" t="str">
            <v>U</v>
          </cell>
          <cell r="X74" t="str">
            <v>N</v>
          </cell>
          <cell r="Y74" t="str">
            <v>L</v>
          </cell>
          <cell r="Z74" t="str">
            <v>N</v>
          </cell>
          <cell r="AA74" t="str">
            <v>N</v>
          </cell>
          <cell r="AB74" t="str">
            <v>IV</v>
          </cell>
          <cell r="AC74" t="str">
            <v>III</v>
          </cell>
          <cell r="AD74" t="str">
            <v>IV</v>
          </cell>
          <cell r="AE74" t="str">
            <v>IV</v>
          </cell>
          <cell r="AF74" t="str">
            <v xml:space="preserve">Event is assumed to be due to ignition of flammable gas associated with D&amp;D activities (e.g., cutting gases, pressurized decontamination gases, etc.).  MAR is activity in maximally loaded 2-drum Interim Storage Container (Ref. WVNS-CAL-397, Table A-2).  </v>
          </cell>
          <cell r="AG74" t="str">
            <v>•  None</v>
          </cell>
          <cell r="AH74" t="str">
            <v>•  None</v>
          </cell>
          <cell r="AI74" t="str">
            <v>•  None</v>
          </cell>
          <cell r="AJ74" t="str">
            <v>•  Quality Assurance Program
•  Fire Protection Program
•  Performance Based Training Program
•  Maintenance Program
•  Conduct of Operations</v>
          </cell>
          <cell r="AK74" t="str">
            <v>•  None</v>
          </cell>
          <cell r="AL74" t="str">
            <v>•  Reinforced concrete shield walls</v>
          </cell>
          <cell r="AM74" t="str">
            <v>•  None</v>
          </cell>
          <cell r="AN74" t="str">
            <v>•  Radiological Protection Program
•  Emergency Response Program
•  Fire Protection Program
•  Performance Based Training Program
•  Conduct of Operations</v>
          </cell>
        </row>
        <row r="75">
          <cell r="A75" t="str">
            <v>MP</v>
          </cell>
          <cell r="B75">
            <v>5</v>
          </cell>
          <cell r="C75" t="str">
            <v>Drop/impact/spill</v>
          </cell>
          <cell r="D75" t="str">
            <v>This event is due to mishandling of containers or to drops/impacts caused by equipment failure or leaks caused by corrosion, construction defect, or improper closure. Analysis includes impacts affecting vitrified waste canisters.</v>
          </cell>
          <cell r="E75">
            <v>360</v>
          </cell>
          <cell r="F75" t="str">
            <v>E10</v>
          </cell>
          <cell r="G75">
            <v>0.1</v>
          </cell>
          <cell r="H75" t="str">
            <v>60m</v>
          </cell>
          <cell r="I75">
            <v>1050</v>
          </cell>
          <cell r="J75" t="str">
            <v>A</v>
          </cell>
          <cell r="K75" t="str">
            <v>N</v>
          </cell>
          <cell r="L75" t="str">
            <v>N</v>
          </cell>
          <cell r="M75" t="str">
            <v>N</v>
          </cell>
          <cell r="N75" t="str">
            <v>N</v>
          </cell>
          <cell r="O75" t="str">
            <v>IV</v>
          </cell>
          <cell r="P75" t="str">
            <v>IV</v>
          </cell>
          <cell r="Q75" t="str">
            <v>IV</v>
          </cell>
          <cell r="R75" t="str">
            <v>IV</v>
          </cell>
          <cell r="S75" t="str">
            <v>E10</v>
          </cell>
          <cell r="T75">
            <v>0.1</v>
          </cell>
          <cell r="U75" t="str">
            <v>60m</v>
          </cell>
          <cell r="V75">
            <v>1050</v>
          </cell>
          <cell r="W75" t="str">
            <v>U</v>
          </cell>
          <cell r="X75" t="str">
            <v>N</v>
          </cell>
          <cell r="Y75" t="str">
            <v>N</v>
          </cell>
          <cell r="Z75" t="str">
            <v>N</v>
          </cell>
          <cell r="AA75" t="str">
            <v>N</v>
          </cell>
          <cell r="AB75" t="str">
            <v>IV</v>
          </cell>
          <cell r="AC75" t="str">
            <v>IV</v>
          </cell>
          <cell r="AD75" t="str">
            <v>IV</v>
          </cell>
          <cell r="AE75" t="str">
            <v>IV</v>
          </cell>
          <cell r="AF75" t="str">
            <v xml:space="preserve">Assumed to be bounded by one high activity TRU waste container in HLWIS dropped on another high activity TRU waste container.  No releases from HLW canister expected for this event.  MAR is activity in maximally loaded 2-drum Interim Storage Container (Ref. WVNS-CAL-397, Table A-2).  </v>
          </cell>
          <cell r="AG75" t="str">
            <v>•  None</v>
          </cell>
          <cell r="AH75" t="str">
            <v>•  None</v>
          </cell>
          <cell r="AI75" t="str">
            <v>•  None</v>
          </cell>
          <cell r="AJ75" t="str">
            <v xml:space="preserve">•  Quality Assurance Program
•  Performance Based Training Program
•  Maintenance Program
•  Conduct of Operations
•  Waste Management Program </v>
          </cell>
          <cell r="AK75" t="str">
            <v>•  None</v>
          </cell>
          <cell r="AL75" t="str">
            <v>•  Confinement capability of cell structure</v>
          </cell>
          <cell r="AM75" t="str">
            <v>•  None</v>
          </cell>
          <cell r="AN75" t="str">
            <v>•  Radiological Protection Program
•  Emergency Response Program
•  Performance Based Training Program
•  Conduct of Operations</v>
          </cell>
        </row>
        <row r="76">
          <cell r="A76" t="str">
            <v>MP</v>
          </cell>
          <cell r="B76">
            <v>6</v>
          </cell>
          <cell r="C76" t="str">
            <v>Waste container over-pressurization</v>
          </cell>
          <cell r="D76" t="str">
            <v>Container failure occurs due to pressure buildup, possibly due to radiolysis of water or other hydrogenous material, thermal expansion of material/gases inside the container, or chemical reactions inside the container.</v>
          </cell>
          <cell r="E76">
            <v>360</v>
          </cell>
          <cell r="F76" t="str">
            <v>E12</v>
          </cell>
          <cell r="G76">
            <v>1</v>
          </cell>
          <cell r="H76" t="str">
            <v>60m</v>
          </cell>
          <cell r="I76">
            <v>1050</v>
          </cell>
          <cell r="J76" t="str">
            <v>A</v>
          </cell>
          <cell r="K76" t="str">
            <v>N</v>
          </cell>
          <cell r="L76" t="str">
            <v>L</v>
          </cell>
          <cell r="M76" t="str">
            <v>N</v>
          </cell>
          <cell r="N76" t="str">
            <v>N</v>
          </cell>
          <cell r="O76" t="str">
            <v>IV</v>
          </cell>
          <cell r="P76" t="str">
            <v>III</v>
          </cell>
          <cell r="Q76" t="str">
            <v>IV</v>
          </cell>
          <cell r="R76" t="str">
            <v>IV</v>
          </cell>
          <cell r="S76" t="str">
            <v>E12</v>
          </cell>
          <cell r="T76">
            <v>1</v>
          </cell>
          <cell r="U76" t="str">
            <v>60m</v>
          </cell>
          <cell r="V76">
            <v>1050</v>
          </cell>
          <cell r="W76" t="str">
            <v>A</v>
          </cell>
          <cell r="X76" t="str">
            <v>N</v>
          </cell>
          <cell r="Y76" t="str">
            <v>L</v>
          </cell>
          <cell r="Z76" t="str">
            <v>N</v>
          </cell>
          <cell r="AA76" t="str">
            <v>N</v>
          </cell>
          <cell r="AB76" t="str">
            <v>IV</v>
          </cell>
          <cell r="AC76" t="str">
            <v>III</v>
          </cell>
          <cell r="AD76" t="str">
            <v>IV</v>
          </cell>
          <cell r="AE76" t="str">
            <v>IV</v>
          </cell>
          <cell r="AF7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76" t="str">
            <v>•  None</v>
          </cell>
          <cell r="AH76" t="str">
            <v>•  HEPA filter vents on waste containers</v>
          </cell>
          <cell r="AI76" t="str">
            <v>•  None</v>
          </cell>
          <cell r="AJ76" t="str">
            <v xml:space="preserve">•  Quality Assurance Program
•  Performance Based Training Program
•  Waste Management Program </v>
          </cell>
          <cell r="AK76" t="str">
            <v>•  None</v>
          </cell>
          <cell r="AL76" t="str">
            <v>•  None</v>
          </cell>
          <cell r="AM76" t="str">
            <v>•  None</v>
          </cell>
          <cell r="AN76" t="str">
            <v>•  Radiological Protection Program
•  Emergency Response Program
•  Performance Based Training Program
•  Conduct of Operations</v>
          </cell>
        </row>
        <row r="77">
          <cell r="A77" t="str">
            <v>MP</v>
          </cell>
          <cell r="B77">
            <v>7</v>
          </cell>
          <cell r="C77" t="str">
            <v>Direct exposure to radiation</v>
          </cell>
          <cell r="D77" t="str">
            <v>Exposure to ionizing radiation from the waste, possibly due to loss of proper shielding within a container or instrument miscalibration</v>
          </cell>
          <cell r="E77" t="str">
            <v>Not applicable.</v>
          </cell>
          <cell r="F77" t="str">
            <v>NA</v>
          </cell>
          <cell r="G77" t="str">
            <v>NA</v>
          </cell>
          <cell r="H77" t="str">
            <v>60m</v>
          </cell>
          <cell r="I77">
            <v>1050</v>
          </cell>
          <cell r="J77" t="str">
            <v>A</v>
          </cell>
          <cell r="K77" t="str">
            <v>M</v>
          </cell>
          <cell r="L77" t="str">
            <v>N</v>
          </cell>
          <cell r="M77" t="str">
            <v>N</v>
          </cell>
          <cell r="N77" t="str">
            <v>N</v>
          </cell>
          <cell r="O77" t="str">
            <v>I</v>
          </cell>
          <cell r="P77" t="str">
            <v>IV</v>
          </cell>
          <cell r="Q77" t="str">
            <v>IV</v>
          </cell>
          <cell r="R77" t="str">
            <v>IV</v>
          </cell>
          <cell r="S77" t="str">
            <v>NA</v>
          </cell>
          <cell r="T77" t="str">
            <v>NA</v>
          </cell>
          <cell r="U77" t="str">
            <v>60m</v>
          </cell>
          <cell r="V77">
            <v>1050</v>
          </cell>
          <cell r="W77" t="str">
            <v>U</v>
          </cell>
          <cell r="X77" t="str">
            <v>L</v>
          </cell>
          <cell r="Y77" t="str">
            <v>N</v>
          </cell>
          <cell r="Z77" t="str">
            <v>N</v>
          </cell>
          <cell r="AA77" t="str">
            <v>N</v>
          </cell>
          <cell r="AB77" t="str">
            <v>III</v>
          </cell>
          <cell r="AC77" t="str">
            <v>IV</v>
          </cell>
          <cell r="AD77" t="str">
            <v>IV</v>
          </cell>
          <cell r="AE77" t="str">
            <v>IV</v>
          </cell>
          <cell r="AF77" t="str">
            <v xml:space="preserve">None.  </v>
          </cell>
          <cell r="AG77" t="str">
            <v>•  None</v>
          </cell>
          <cell r="AH77" t="str">
            <v>•  Engineered radiation shielding on high dose rate waste containers</v>
          </cell>
          <cell r="AI77" t="str">
            <v>•  None</v>
          </cell>
          <cell r="AJ77" t="str">
            <v xml:space="preserve">•  Radiological Protection Program
•  Quality Assurance Program
•  Performance Based Training Program
•  Conduct of Operations
•  Waste Management Program </v>
          </cell>
          <cell r="AK77" t="str">
            <v>•  None</v>
          </cell>
          <cell r="AL77" t="str">
            <v>•  None</v>
          </cell>
          <cell r="AM77" t="str">
            <v>•  None</v>
          </cell>
          <cell r="AN77" t="str">
            <v>•  Radiological Protection Program
•  Performance Based Training Program
•  Conduct of Operations</v>
          </cell>
        </row>
        <row r="78">
          <cell r="A78" t="str">
            <v>MP</v>
          </cell>
          <cell r="B78">
            <v>8</v>
          </cell>
          <cell r="C78" t="str">
            <v>Criticality</v>
          </cell>
          <cell r="D78" t="str">
            <v>Inadvertent criticality occurs due to multiple independent failures and/or highly improbable circumstances</v>
          </cell>
          <cell r="E78" t="str">
            <v>&gt;450 FGE
Pu-239</v>
          </cell>
          <cell r="F78" t="str">
            <v>NA</v>
          </cell>
          <cell r="G78" t="str">
            <v>NA</v>
          </cell>
          <cell r="H78" t="str">
            <v>60m</v>
          </cell>
          <cell r="I78">
            <v>1050</v>
          </cell>
          <cell r="J78" t="str">
            <v>BEU</v>
          </cell>
          <cell r="K78" t="str">
            <v>L</v>
          </cell>
          <cell r="L78" t="str">
            <v>N</v>
          </cell>
          <cell r="M78" t="str">
            <v>N</v>
          </cell>
          <cell r="N78" t="str">
            <v>N</v>
          </cell>
          <cell r="O78" t="str">
            <v>IV</v>
          </cell>
          <cell r="P78" t="str">
            <v>IV</v>
          </cell>
          <cell r="Q78" t="str">
            <v>IV</v>
          </cell>
          <cell r="R78" t="str">
            <v>IV</v>
          </cell>
          <cell r="S78" t="str">
            <v>NA</v>
          </cell>
          <cell r="T78" t="str">
            <v>NA</v>
          </cell>
          <cell r="U78" t="str">
            <v>60m</v>
          </cell>
          <cell r="V78">
            <v>1050</v>
          </cell>
          <cell r="W78" t="str">
            <v>BEU</v>
          </cell>
          <cell r="X78" t="str">
            <v>L</v>
          </cell>
          <cell r="Y78" t="str">
            <v>N</v>
          </cell>
          <cell r="Z78" t="str">
            <v>N</v>
          </cell>
          <cell r="AA78" t="str">
            <v>N</v>
          </cell>
          <cell r="AB78" t="str">
            <v>IV</v>
          </cell>
          <cell r="AC78" t="str">
            <v>IV</v>
          </cell>
          <cell r="AD78" t="str">
            <v>IV</v>
          </cell>
          <cell r="AE78" t="str">
            <v>IV</v>
          </cell>
          <cell r="AF78" t="str">
            <v xml:space="preserve">Nuclear criticality safety administrative controls ensure criticality safety for all D&amp;D operations and waste packaging activities involving greater than a significant quantity of fissile material.   </v>
          </cell>
          <cell r="AG78" t="str">
            <v>• PSRs for fissile material storage container specifications</v>
          </cell>
          <cell r="AH78" t="str">
            <v>•  None</v>
          </cell>
          <cell r="AI78" t="str">
            <v>• PSR limits on container fissile mass
• PSR for fissile material storage containers</v>
          </cell>
          <cell r="AJ78" t="str">
            <v xml:space="preserve">•  Radiological Protection Program
•  Nuclear Criticality Safety Program
•  Quality Assurance Program
•  Performance Based Training Program
•  Conduct of Operations
•  Waste Management Program </v>
          </cell>
          <cell r="AK78" t="str">
            <v>•  None</v>
          </cell>
          <cell r="AL78" t="str">
            <v>•  None</v>
          </cell>
          <cell r="AM78" t="str">
            <v>•  None</v>
          </cell>
          <cell r="AN78" t="str">
            <v>•  Radiological Protection Program
•  Nuclear Criticality Safety Program
•  Emergency Response Program
•  Performance Based Training Program
•  Conduct of Operations</v>
          </cell>
        </row>
        <row r="79">
          <cell r="A79" t="str">
            <v>MP</v>
          </cell>
          <cell r="B79">
            <v>9</v>
          </cell>
          <cell r="C79" t="str">
            <v>Aircraft impact with fire</v>
          </cell>
          <cell r="D79" t="str">
            <v>Small general aviation aircraft or helicopter crashes and a fire ensues</v>
          </cell>
          <cell r="E79">
            <v>10</v>
          </cell>
          <cell r="F79" t="str">
            <v>HF</v>
          </cell>
          <cell r="G79">
            <v>1</v>
          </cell>
          <cell r="H79" t="str">
            <v>60m</v>
          </cell>
          <cell r="I79">
            <v>1050</v>
          </cell>
          <cell r="J79" t="str">
            <v>BEU</v>
          </cell>
          <cell r="K79" t="str">
            <v>N</v>
          </cell>
          <cell r="L79" t="str">
            <v>N</v>
          </cell>
          <cell r="M79" t="str">
            <v>N</v>
          </cell>
          <cell r="N79" t="str">
            <v>N</v>
          </cell>
          <cell r="O79" t="str">
            <v>IV</v>
          </cell>
          <cell r="P79" t="str">
            <v>IV</v>
          </cell>
          <cell r="Q79" t="str">
            <v>IV</v>
          </cell>
          <cell r="R79" t="str">
            <v>IV</v>
          </cell>
          <cell r="S79" t="str">
            <v>HF</v>
          </cell>
          <cell r="T79">
            <v>1</v>
          </cell>
          <cell r="U79" t="str">
            <v>60m</v>
          </cell>
          <cell r="V79">
            <v>1050</v>
          </cell>
          <cell r="W79" t="str">
            <v>BEU</v>
          </cell>
          <cell r="X79" t="str">
            <v>N</v>
          </cell>
          <cell r="Y79" t="str">
            <v>N</v>
          </cell>
          <cell r="Z79" t="str">
            <v>N</v>
          </cell>
          <cell r="AA79" t="str">
            <v>N</v>
          </cell>
          <cell r="AB79" t="str">
            <v>IV</v>
          </cell>
          <cell r="AC79" t="str">
            <v>IV</v>
          </cell>
          <cell r="AD79" t="str">
            <v>IV</v>
          </cell>
          <cell r="AE79" t="str">
            <v>IV</v>
          </cell>
          <cell r="AF79" t="str">
            <v xml:space="preserve">Event not expected to impact radioactive materials within heavily shielded cells. Only activity in ventilation system would be expected to be affected. Event BEU per WVNS-CAL-388. Only facility ventilation system vulnerable to event. MAR is inventory of radioactive material in bounding MPPB ventilation system 
(Ref. WVNS-CAL-397, Table A-1, "VEC") </v>
          </cell>
          <cell r="AG79" t="str">
            <v>•  None</v>
          </cell>
          <cell r="AH79" t="str">
            <v>•  None</v>
          </cell>
          <cell r="AI79" t="str">
            <v>•  None</v>
          </cell>
          <cell r="AJ79" t="str">
            <v>•  None</v>
          </cell>
          <cell r="AK79" t="str">
            <v>•  None</v>
          </cell>
          <cell r="AL79" t="str">
            <v>•  None</v>
          </cell>
          <cell r="AM79" t="str">
            <v>• SAC for APPROVED CONTAINER use</v>
          </cell>
          <cell r="AN79" t="str">
            <v>•  Radiological Protection Program
•  Emergency Response Program
•  Fire Protection Program
•  Performance Based Training Program
•  Conduct of Operations</v>
          </cell>
        </row>
        <row r="80">
          <cell r="A80" t="str">
            <v>MP</v>
          </cell>
          <cell r="B80">
            <v>10</v>
          </cell>
          <cell r="C80" t="str">
            <v>External explosion</v>
          </cell>
          <cell r="D80" t="str">
            <v>Explosion involving failure of equipment not directly related to facility operations (e.g. natural gas line rupture) with possible missiles generated.</v>
          </cell>
          <cell r="E80">
            <v>2300</v>
          </cell>
          <cell r="F80" t="str">
            <v>E18</v>
          </cell>
          <cell r="G80">
            <v>1</v>
          </cell>
          <cell r="H80" t="str">
            <v>60m</v>
          </cell>
          <cell r="I80">
            <v>1050</v>
          </cell>
          <cell r="J80" t="str">
            <v>U</v>
          </cell>
          <cell r="K80" t="str">
            <v>N</v>
          </cell>
          <cell r="L80" t="str">
            <v>L</v>
          </cell>
          <cell r="M80" t="str">
            <v>N</v>
          </cell>
          <cell r="N80" t="str">
            <v>N</v>
          </cell>
          <cell r="O80" t="str">
            <v>IV</v>
          </cell>
          <cell r="P80" t="str">
            <v>III</v>
          </cell>
          <cell r="Q80" t="str">
            <v>IV</v>
          </cell>
          <cell r="R80" t="str">
            <v>IV</v>
          </cell>
          <cell r="S80" t="str">
            <v>E18</v>
          </cell>
          <cell r="T80">
            <v>1</v>
          </cell>
          <cell r="U80" t="str">
            <v>60m</v>
          </cell>
          <cell r="V80">
            <v>1050</v>
          </cell>
          <cell r="W80" t="str">
            <v>U</v>
          </cell>
          <cell r="X80" t="str">
            <v>N</v>
          </cell>
          <cell r="Y80" t="str">
            <v>L</v>
          </cell>
          <cell r="Z80" t="str">
            <v>N</v>
          </cell>
          <cell r="AA80" t="str">
            <v>N</v>
          </cell>
          <cell r="AB80" t="str">
            <v>IV</v>
          </cell>
          <cell r="AC80" t="str">
            <v>III</v>
          </cell>
          <cell r="AD80" t="str">
            <v>IV</v>
          </cell>
          <cell r="AE80" t="str">
            <v>IV</v>
          </cell>
          <cell r="AF80" t="str">
            <v xml:space="preserve">Explosion assumed to be due to detonation of accumulated flammable gas associated with utility room or related operations.  MAR is entire inventory of radioactive material in the MPPB  (exclusive of HLW) (Ref. WVNS-CAL-397, Table C-1).  </v>
          </cell>
          <cell r="AG80" t="str">
            <v>•  None</v>
          </cell>
          <cell r="AH80" t="str">
            <v>•  None</v>
          </cell>
          <cell r="AI80" t="str">
            <v>•  None</v>
          </cell>
          <cell r="AJ80" t="str">
            <v>•  Quality Assurance Program
•  Performance Based Training Program
•  Maintenance Program</v>
          </cell>
          <cell r="AK80" t="str">
            <v>•  None</v>
          </cell>
          <cell r="AL80" t="str">
            <v>•  None</v>
          </cell>
          <cell r="AM80" t="str">
            <v>•  None</v>
          </cell>
          <cell r="AN80" t="str">
            <v>•  Radiological Protection Program
•  Emergency Response Program
•  Fire Protection Program
•  Performance Based Training Program
•  Conduct of Operations</v>
          </cell>
        </row>
        <row r="81">
          <cell r="A81" t="str">
            <v>MP</v>
          </cell>
          <cell r="B81">
            <v>11</v>
          </cell>
          <cell r="C81" t="str">
            <v>Tornado</v>
          </cell>
          <cell r="D81" t="str">
            <v>Direct effects of tornado winds, falling objects, or tornado-produced missiles causing impacts to the facility. Event includes loss of contamination confinement resulting from abnormal facility differential pressures (backflow).</v>
          </cell>
          <cell r="E81">
            <v>2300</v>
          </cell>
          <cell r="F81" t="str">
            <v>IS</v>
          </cell>
          <cell r="G81">
            <v>1</v>
          </cell>
          <cell r="H81" t="str">
            <v>60m</v>
          </cell>
          <cell r="I81">
            <v>1050</v>
          </cell>
          <cell r="J81" t="str">
            <v>U</v>
          </cell>
          <cell r="K81" t="str">
            <v>N</v>
          </cell>
          <cell r="L81" t="str">
            <v>L</v>
          </cell>
          <cell r="M81" t="str">
            <v>N</v>
          </cell>
          <cell r="N81" t="str">
            <v>N</v>
          </cell>
          <cell r="O81" t="str">
            <v>IV</v>
          </cell>
          <cell r="P81" t="str">
            <v>III</v>
          </cell>
          <cell r="Q81" t="str">
            <v>IV</v>
          </cell>
          <cell r="R81" t="str">
            <v>IV</v>
          </cell>
          <cell r="S81" t="str">
            <v>IS</v>
          </cell>
          <cell r="T81">
            <v>1</v>
          </cell>
          <cell r="U81" t="str">
            <v>60m</v>
          </cell>
          <cell r="V81">
            <v>1050</v>
          </cell>
          <cell r="W81" t="str">
            <v>U</v>
          </cell>
          <cell r="X81" t="str">
            <v>N</v>
          </cell>
          <cell r="Y81" t="str">
            <v>L</v>
          </cell>
          <cell r="Z81" t="str">
            <v>N</v>
          </cell>
          <cell r="AA81" t="str">
            <v>N</v>
          </cell>
          <cell r="AB81" t="str">
            <v>IV</v>
          </cell>
          <cell r="AC81" t="str">
            <v>III</v>
          </cell>
          <cell r="AD81" t="str">
            <v>IV</v>
          </cell>
          <cell r="AE81" t="str">
            <v>IV</v>
          </cell>
          <cell r="AF81"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MPPB  (exclusive of HLW) (Ref. WVNS-CAL-397, Table C-1).  </v>
          </cell>
          <cell r="AG81" t="str">
            <v>•  None</v>
          </cell>
          <cell r="AH81" t="str">
            <v>•  None</v>
          </cell>
          <cell r="AI81" t="str">
            <v>•  None</v>
          </cell>
          <cell r="AJ81" t="str">
            <v>•  None</v>
          </cell>
          <cell r="AK81" t="str">
            <v>•  None</v>
          </cell>
          <cell r="AL81" t="str">
            <v>•  Facility design capable of maintaining confinement integrity following design basis events</v>
          </cell>
          <cell r="AM81" t="str">
            <v>•  None</v>
          </cell>
          <cell r="AN81" t="str">
            <v>•  Radiological Protection Program
•  Emergency Response Program
•  Performance Based Training Program
•  Conduct of Operations</v>
          </cell>
        </row>
        <row r="82">
          <cell r="A82" t="str">
            <v>MP</v>
          </cell>
          <cell r="B82">
            <v>12</v>
          </cell>
          <cell r="C82" t="str">
            <v>Seismic event</v>
          </cell>
          <cell r="D82" t="str">
            <v>Seismic event causes failure of equipment or structure which impacts facility contamination and/or seismic event disturbs loose surface contamination. Confinement boundaries are expected to remain intact.</v>
          </cell>
          <cell r="E82">
            <v>2300</v>
          </cell>
          <cell r="F82" t="str">
            <v>EQ</v>
          </cell>
          <cell r="G82">
            <v>0.1</v>
          </cell>
          <cell r="H82" t="str">
            <v>60m</v>
          </cell>
          <cell r="I82">
            <v>1050</v>
          </cell>
          <cell r="J82" t="str">
            <v>U</v>
          </cell>
          <cell r="K82" t="str">
            <v>N</v>
          </cell>
          <cell r="L82" t="str">
            <v>L</v>
          </cell>
          <cell r="M82" t="str">
            <v>N</v>
          </cell>
          <cell r="N82" t="str">
            <v>N</v>
          </cell>
          <cell r="O82" t="str">
            <v>IV</v>
          </cell>
          <cell r="P82" t="str">
            <v>III</v>
          </cell>
          <cell r="Q82" t="str">
            <v>IV</v>
          </cell>
          <cell r="R82" t="str">
            <v>IV</v>
          </cell>
          <cell r="S82" t="str">
            <v>EQ</v>
          </cell>
          <cell r="T82">
            <v>0.1</v>
          </cell>
          <cell r="U82" t="str">
            <v>60m</v>
          </cell>
          <cell r="V82">
            <v>1050</v>
          </cell>
          <cell r="W82" t="str">
            <v>U</v>
          </cell>
          <cell r="X82" t="str">
            <v>N</v>
          </cell>
          <cell r="Y82" t="str">
            <v>L</v>
          </cell>
          <cell r="Z82" t="str">
            <v>N</v>
          </cell>
          <cell r="AA82" t="str">
            <v>N</v>
          </cell>
          <cell r="AB82" t="str">
            <v>IV</v>
          </cell>
          <cell r="AC82" t="str">
            <v>III</v>
          </cell>
          <cell r="AD82" t="str">
            <v>IV</v>
          </cell>
          <cell r="AE82" t="str">
            <v>IV</v>
          </cell>
          <cell r="AF82" t="str">
            <v xml:space="preserve">Facility confinement boundaries expected to remain intact following EBE.  MAR is entire inventory of radioactive material in the MPPB  (exclusive of HLW) (Ref. WVNS-CAL-397, Table C-1).  </v>
          </cell>
          <cell r="AG82" t="str">
            <v>•  None</v>
          </cell>
          <cell r="AH82" t="str">
            <v>•  None</v>
          </cell>
          <cell r="AI82" t="str">
            <v>•  None</v>
          </cell>
          <cell r="AJ82" t="str">
            <v>•  None</v>
          </cell>
          <cell r="AK82" t="str">
            <v>•  None</v>
          </cell>
          <cell r="AL82" t="str">
            <v>•  Facility design capable of maintaining confinement integrity following design basis events</v>
          </cell>
          <cell r="AM82" t="str">
            <v>•  None</v>
          </cell>
          <cell r="AN82" t="str">
            <v>•  Radiological Protection Program
•  Emergency Response Program
•  Performance Based Training Program
•  Conduct of Operations</v>
          </cell>
        </row>
        <row r="83">
          <cell r="A83" t="str">
            <v>MP</v>
          </cell>
          <cell r="B83">
            <v>13</v>
          </cell>
          <cell r="C83" t="str">
            <v>HEPA filter fire</v>
          </cell>
          <cell r="D83" t="str">
            <v>In-cell fire propagates to HEPA filter bank</v>
          </cell>
          <cell r="E83">
            <v>10</v>
          </cell>
          <cell r="F83" t="str">
            <v>HF</v>
          </cell>
          <cell r="G83">
            <v>1</v>
          </cell>
          <cell r="H83" t="str">
            <v>60m</v>
          </cell>
          <cell r="I83">
            <v>1050</v>
          </cell>
          <cell r="J83" t="str">
            <v>A</v>
          </cell>
          <cell r="K83" t="str">
            <v>N</v>
          </cell>
          <cell r="L83" t="str">
            <v>N</v>
          </cell>
          <cell r="M83" t="str">
            <v>N</v>
          </cell>
          <cell r="N83" t="str">
            <v>N</v>
          </cell>
          <cell r="O83" t="str">
            <v>IV</v>
          </cell>
          <cell r="P83" t="str">
            <v>IV</v>
          </cell>
          <cell r="Q83" t="str">
            <v>IV</v>
          </cell>
          <cell r="R83" t="str">
            <v>IV</v>
          </cell>
          <cell r="S83" t="str">
            <v>HF</v>
          </cell>
          <cell r="T83">
            <v>1</v>
          </cell>
          <cell r="U83" t="str">
            <v>60m</v>
          </cell>
          <cell r="V83">
            <v>1050</v>
          </cell>
          <cell r="W83" t="str">
            <v>U</v>
          </cell>
          <cell r="X83" t="str">
            <v>N</v>
          </cell>
          <cell r="Y83" t="str">
            <v>N</v>
          </cell>
          <cell r="Z83" t="str">
            <v>N</v>
          </cell>
          <cell r="AA83" t="str">
            <v>N</v>
          </cell>
          <cell r="AB83" t="str">
            <v>IV</v>
          </cell>
          <cell r="AC83" t="str">
            <v>IV</v>
          </cell>
          <cell r="AD83" t="str">
            <v>IV</v>
          </cell>
          <cell r="AE83" t="str">
            <v>IV</v>
          </cell>
          <cell r="AF83" t="str">
            <v xml:space="preserve"> MAR is inventory of radioactive material in bounding MPPB ventilation system (Ref. WVNS-CAL-397, Table A-1, "VEC"). </v>
          </cell>
          <cell r="AG83" t="str">
            <v>•  None</v>
          </cell>
          <cell r="AH83" t="str">
            <v>•  None</v>
          </cell>
          <cell r="AI83" t="str">
            <v>•  None</v>
          </cell>
          <cell r="AJ83" t="str">
            <v>•  Quality Assurance Program
•  Fire Protection Program
•  Performance Based Training Program
•  Maintenance Program
•  Conduct of Operations</v>
          </cell>
          <cell r="AK83" t="str">
            <v>•  None</v>
          </cell>
          <cell r="AL83" t="str">
            <v>•  Redundant ventilation system filter trains and blowers</v>
          </cell>
          <cell r="AM83" t="str">
            <v>•  None</v>
          </cell>
          <cell r="AN83" t="str">
            <v>•  Radiological Protection Program
•  Emergency Response Program
•  Fire Protection Program
•  Performance Based Training Program
•  Conduct of Operations</v>
          </cell>
        </row>
        <row r="84">
          <cell r="A84" t="str">
            <v>MP</v>
          </cell>
          <cell r="B84">
            <v>14</v>
          </cell>
          <cell r="C84" t="str">
            <v>HEPA filter failure</v>
          </cell>
          <cell r="D84" t="str">
            <v>Excess moisture or particulate on filters or area pressure excursion causes high filter differential pressure, resulting in filter failure</v>
          </cell>
          <cell r="E84">
            <v>10</v>
          </cell>
          <cell r="F84" t="str">
            <v>HB</v>
          </cell>
          <cell r="G84">
            <v>1</v>
          </cell>
          <cell r="H84" t="str">
            <v>60m</v>
          </cell>
          <cell r="I84">
            <v>1050</v>
          </cell>
          <cell r="J84" t="str">
            <v>A</v>
          </cell>
          <cell r="K84" t="str">
            <v>N</v>
          </cell>
          <cell r="L84" t="str">
            <v>L</v>
          </cell>
          <cell r="M84" t="str">
            <v>N</v>
          </cell>
          <cell r="N84" t="str">
            <v>N</v>
          </cell>
          <cell r="O84" t="str">
            <v>IV</v>
          </cell>
          <cell r="P84" t="str">
            <v>III</v>
          </cell>
          <cell r="Q84" t="str">
            <v>IV</v>
          </cell>
          <cell r="R84" t="str">
            <v>IV</v>
          </cell>
          <cell r="S84" t="str">
            <v>HB</v>
          </cell>
          <cell r="T84">
            <v>1</v>
          </cell>
          <cell r="U84" t="str">
            <v>60m</v>
          </cell>
          <cell r="V84">
            <v>1050</v>
          </cell>
          <cell r="W84" t="str">
            <v>U</v>
          </cell>
          <cell r="X84" t="str">
            <v>N</v>
          </cell>
          <cell r="Y84" t="str">
            <v>L</v>
          </cell>
          <cell r="Z84" t="str">
            <v>N</v>
          </cell>
          <cell r="AA84" t="str">
            <v>N</v>
          </cell>
          <cell r="AB84" t="str">
            <v>IV</v>
          </cell>
          <cell r="AC84" t="str">
            <v>III</v>
          </cell>
          <cell r="AD84" t="str">
            <v>IV</v>
          </cell>
          <cell r="AE84" t="str">
            <v>IV</v>
          </cell>
          <cell r="AF84" t="str">
            <v xml:space="preserve"> MAR is inventory of radioactive material in bounding MPPB ventilation system (Ref. WVNS-CAL-397, Table A-1, "VEC"). </v>
          </cell>
          <cell r="AG84" t="str">
            <v>•  None</v>
          </cell>
          <cell r="AH84" t="str">
            <v>•  Instrumentation and controls to switch trains on high differential pressure
•  Instrumentation and controls to provide backup ventilation blower capability</v>
          </cell>
          <cell r="AI84" t="str">
            <v>•  None</v>
          </cell>
          <cell r="AJ84" t="str">
            <v>•  Quality Assurance Program
•  Fire Protection Program
•  Performance Based Training Program
•  Maintenance Program
•  Conduct of Operations</v>
          </cell>
          <cell r="AK84" t="str">
            <v>•  None</v>
          </cell>
          <cell r="AL84" t="str">
            <v>•  Redundant ventilation system filter trains and blowers</v>
          </cell>
          <cell r="AM84" t="str">
            <v>•  None</v>
          </cell>
          <cell r="AN84" t="str">
            <v>•  Radiological Protection Program
•  Emergency Response Program
•  Performance Based Training Program
•  Conduct of Operations</v>
          </cell>
        </row>
        <row r="85">
          <cell r="A85" t="str">
            <v>MP</v>
          </cell>
          <cell r="B85">
            <v>15</v>
          </cell>
          <cell r="C85" t="str">
            <v>Loss of airborne contamination confinement</v>
          </cell>
          <cell r="D85" t="str">
            <v>Loss of power/redundancy resulting in loss of exhaust blower operability or other upset condition resulting in loss of airborne contamination confinement.</v>
          </cell>
          <cell r="E85">
            <v>2300</v>
          </cell>
          <cell r="F85" t="str">
            <v>AER</v>
          </cell>
          <cell r="G85">
            <v>1</v>
          </cell>
          <cell r="H85" t="str">
            <v>60m</v>
          </cell>
          <cell r="I85">
            <v>1050</v>
          </cell>
          <cell r="J85" t="str">
            <v>A</v>
          </cell>
          <cell r="K85" t="str">
            <v>N</v>
          </cell>
          <cell r="L85" t="str">
            <v>L</v>
          </cell>
          <cell r="M85" t="str">
            <v>N</v>
          </cell>
          <cell r="N85" t="str">
            <v>N</v>
          </cell>
          <cell r="O85" t="str">
            <v>IV</v>
          </cell>
          <cell r="P85" t="str">
            <v>III</v>
          </cell>
          <cell r="Q85" t="str">
            <v>IV</v>
          </cell>
          <cell r="R85" t="str">
            <v>IV</v>
          </cell>
          <cell r="S85" t="str">
            <v>AER</v>
          </cell>
          <cell r="T85">
            <v>1</v>
          </cell>
          <cell r="U85" t="str">
            <v>60m</v>
          </cell>
          <cell r="V85">
            <v>1050</v>
          </cell>
          <cell r="W85" t="str">
            <v>A</v>
          </cell>
          <cell r="X85" t="str">
            <v>N</v>
          </cell>
          <cell r="Y85" t="str">
            <v>L</v>
          </cell>
          <cell r="Z85" t="str">
            <v>N</v>
          </cell>
          <cell r="AA85" t="str">
            <v>N</v>
          </cell>
          <cell r="AB85" t="str">
            <v>IV</v>
          </cell>
          <cell r="AC85" t="str">
            <v>III</v>
          </cell>
          <cell r="AD85" t="str">
            <v>IV</v>
          </cell>
          <cell r="AE85" t="str">
            <v>IV</v>
          </cell>
          <cell r="AF85" t="str">
            <v xml:space="preserve">Contamination assumed to migrate from confinement boundary penetrations through aerodynamic entrainment and resuspension under static facility conditions. MAR is entire inventory of radioactive material in the MPPB  (exclusive of HLW) (Ref. WVNS-CAL-397, Table C-1).  </v>
          </cell>
          <cell r="AG85" t="str">
            <v>•  None</v>
          </cell>
          <cell r="AH85" t="str">
            <v>•  Facility ventilation exhaust stack which continues to provide nominal facility negative via chimney effect</v>
          </cell>
          <cell r="AI85" t="str">
            <v>•  None</v>
          </cell>
          <cell r="AJ85" t="str">
            <v>•  Quality Assurance Program
•  Fire Protection Program
•  Performance Based Training Program
•  Maintenance Program
•  Conduct of Operations</v>
          </cell>
          <cell r="AK85" t="str">
            <v>•  None</v>
          </cell>
          <cell r="AL85" t="str">
            <v>•  Confinement capability of facility envelope
•  Nominal facility negative maintained on facility even under loss of active ventilation through stack "chimney effect"</v>
          </cell>
          <cell r="AM85" t="str">
            <v>•  None</v>
          </cell>
          <cell r="AN85" t="str">
            <v>•  Radiological Protection Program
•  Performance Based Training Program
•  Conduct of Operations</v>
          </cell>
        </row>
        <row r="86">
          <cell r="A86" t="str">
            <v>MP</v>
          </cell>
          <cell r="B86">
            <v>16</v>
          </cell>
          <cell r="C86" t="str">
            <v>Stack failure</v>
          </cell>
          <cell r="D86" t="str">
            <v>Stack fails due to seismic event, impact of guy wires during equipment handling, or impact by aircraft, or similar event.</v>
          </cell>
          <cell r="E86">
            <v>10</v>
          </cell>
          <cell r="F86" t="str">
            <v>IS</v>
          </cell>
          <cell r="G86">
            <v>1</v>
          </cell>
          <cell r="H86" t="str">
            <v>60m</v>
          </cell>
          <cell r="I86">
            <v>1050</v>
          </cell>
          <cell r="J86" t="str">
            <v>U</v>
          </cell>
          <cell r="K86" t="str">
            <v>N</v>
          </cell>
          <cell r="L86" t="str">
            <v>N</v>
          </cell>
          <cell r="M86" t="str">
            <v>N</v>
          </cell>
          <cell r="N86" t="str">
            <v>N</v>
          </cell>
          <cell r="O86" t="str">
            <v>IV</v>
          </cell>
          <cell r="P86" t="str">
            <v>IV</v>
          </cell>
          <cell r="Q86" t="str">
            <v>IV</v>
          </cell>
          <cell r="R86" t="str">
            <v>IV</v>
          </cell>
          <cell r="S86" t="str">
            <v>IS</v>
          </cell>
          <cell r="T86">
            <v>1</v>
          </cell>
          <cell r="U86" t="str">
            <v>60m</v>
          </cell>
          <cell r="V86">
            <v>1050</v>
          </cell>
          <cell r="W86" t="str">
            <v>U</v>
          </cell>
          <cell r="X86" t="str">
            <v>N</v>
          </cell>
          <cell r="Y86" t="str">
            <v>N</v>
          </cell>
          <cell r="Z86" t="str">
            <v>N</v>
          </cell>
          <cell r="AA86" t="str">
            <v>N</v>
          </cell>
          <cell r="AB86" t="str">
            <v>IV</v>
          </cell>
          <cell r="AC86" t="str">
            <v>IV</v>
          </cell>
          <cell r="AD86" t="str">
            <v>IV</v>
          </cell>
          <cell r="AE86" t="str">
            <v>IV</v>
          </cell>
          <cell r="AF86" t="str">
            <v xml:space="preserve"> MAR is activity in MPPB Stack 
(Ref. WVNS-CAL-397, Table A-1) </v>
          </cell>
          <cell r="AG86" t="str">
            <v>•  None</v>
          </cell>
          <cell r="AH86" t="str">
            <v>•  Stack design capable of maintaining structural integrity following design basis events</v>
          </cell>
          <cell r="AI86" t="str">
            <v>•  None</v>
          </cell>
          <cell r="AJ86" t="str">
            <v>•  None</v>
          </cell>
          <cell r="AK86" t="str">
            <v>•  None</v>
          </cell>
          <cell r="AL86" t="str">
            <v>•  None</v>
          </cell>
          <cell r="AM86" t="str">
            <v>•  None</v>
          </cell>
          <cell r="AN86" t="str">
            <v>•  Radiological Protection Program
•  Emergency Response Program
•  Performance Based Training Program
•  Conduct of Operations</v>
          </cell>
        </row>
        <row r="87">
          <cell r="A87" t="str">
            <v>MP</v>
          </cell>
          <cell r="B87">
            <v>17</v>
          </cell>
          <cell r="C87" t="str">
            <v>Loss of liquid contamination confinement</v>
          </cell>
          <cell r="D87" t="str">
            <v>Vessel/line failure; sump overflow; roof leak; or other loss of contaminated liquid to an operating area or to the environment</v>
          </cell>
          <cell r="E87">
            <v>1</v>
          </cell>
          <cell r="F87" t="str">
            <v>FFS</v>
          </cell>
          <cell r="G87">
            <v>0.5</v>
          </cell>
          <cell r="H87" t="str">
            <v>60m</v>
          </cell>
          <cell r="I87">
            <v>1050</v>
          </cell>
          <cell r="J87" t="str">
            <v>A</v>
          </cell>
          <cell r="K87" t="str">
            <v>N</v>
          </cell>
          <cell r="L87" t="str">
            <v>N</v>
          </cell>
          <cell r="M87" t="str">
            <v>N</v>
          </cell>
          <cell r="N87" t="str">
            <v>N</v>
          </cell>
          <cell r="O87" t="str">
            <v>IV</v>
          </cell>
          <cell r="P87" t="str">
            <v>IV</v>
          </cell>
          <cell r="Q87" t="str">
            <v>IV</v>
          </cell>
          <cell r="R87" t="str">
            <v>IV</v>
          </cell>
          <cell r="S87" t="str">
            <v>FFS</v>
          </cell>
          <cell r="T87">
            <v>0.5</v>
          </cell>
          <cell r="U87" t="str">
            <v>60m</v>
          </cell>
          <cell r="V87">
            <v>1050</v>
          </cell>
          <cell r="W87" t="str">
            <v>A</v>
          </cell>
          <cell r="X87" t="str">
            <v>N</v>
          </cell>
          <cell r="Y87" t="str">
            <v>N</v>
          </cell>
          <cell r="Z87" t="str">
            <v>N</v>
          </cell>
          <cell r="AA87" t="str">
            <v>N</v>
          </cell>
          <cell r="AB87" t="str">
            <v>IV</v>
          </cell>
          <cell r="AC87" t="str">
            <v>IV</v>
          </cell>
          <cell r="AD87" t="str">
            <v>IV</v>
          </cell>
          <cell r="AE87" t="str">
            <v>IV</v>
          </cell>
          <cell r="AF87" t="str">
            <v xml:space="preserve">None.  </v>
          </cell>
          <cell r="AG87" t="str">
            <v>•  None</v>
          </cell>
          <cell r="AH87" t="str">
            <v>•  Cell liners/sumps and/or area berms</v>
          </cell>
          <cell r="AI87" t="str">
            <v>•  None</v>
          </cell>
          <cell r="AJ87" t="str">
            <v xml:space="preserve">•  Quality Assurance Program
•  Performance Based Training Program
•  Maintenance Program
•  Conduct of Operations
•  Waste Management Program </v>
          </cell>
          <cell r="AK87" t="str">
            <v>•  None</v>
          </cell>
          <cell r="AL87" t="str">
            <v>•  Cell sumps/liners</v>
          </cell>
          <cell r="AM87" t="str">
            <v>•  None</v>
          </cell>
          <cell r="AN87" t="str">
            <v>•  Radiological Protection Program
•  Performance Based Training Program
•  Conduct of Operations</v>
          </cell>
        </row>
        <row r="88">
          <cell r="A88" t="str">
            <v>MP</v>
          </cell>
          <cell r="B88">
            <v>18</v>
          </cell>
          <cell r="C88" t="str">
            <v>Flood</v>
          </cell>
          <cell r="D88" t="str">
            <v>A greater than 100-yr  rain event results in sheet flow that floods the storage area. Flooding may be exacerbated by plugged drainage channels or culverts.</v>
          </cell>
          <cell r="E88">
            <v>2300</v>
          </cell>
          <cell r="F88" t="str">
            <v>NA</v>
          </cell>
          <cell r="G88" t="str">
            <v>NA</v>
          </cell>
          <cell r="H88" t="str">
            <v>60m</v>
          </cell>
          <cell r="I88">
            <v>1050</v>
          </cell>
          <cell r="J88" t="str">
            <v>U</v>
          </cell>
          <cell r="K88" t="str">
            <v>N</v>
          </cell>
          <cell r="L88" t="str">
            <v>N</v>
          </cell>
          <cell r="M88" t="str">
            <v>N</v>
          </cell>
          <cell r="N88" t="str">
            <v>N</v>
          </cell>
          <cell r="O88" t="str">
            <v>IV</v>
          </cell>
          <cell r="P88" t="str">
            <v>IV</v>
          </cell>
          <cell r="Q88" t="str">
            <v>IV</v>
          </cell>
          <cell r="R88" t="str">
            <v>IV</v>
          </cell>
          <cell r="S88" t="str">
            <v>NA</v>
          </cell>
          <cell r="T88" t="str">
            <v>NA</v>
          </cell>
          <cell r="U88" t="str">
            <v>60m</v>
          </cell>
          <cell r="V88">
            <v>1050</v>
          </cell>
          <cell r="W88" t="str">
            <v>U</v>
          </cell>
          <cell r="X88" t="str">
            <v>N</v>
          </cell>
          <cell r="Y88" t="str">
            <v>N</v>
          </cell>
          <cell r="Z88" t="str">
            <v>N</v>
          </cell>
          <cell r="AA88" t="str">
            <v>N</v>
          </cell>
          <cell r="AB88" t="str">
            <v>IV</v>
          </cell>
          <cell r="AC88" t="str">
            <v>IV</v>
          </cell>
          <cell r="AD88" t="str">
            <v>IV</v>
          </cell>
          <cell r="AE88" t="str">
            <v>IV</v>
          </cell>
          <cell r="AF88" t="str">
            <v xml:space="preserve">Site topography places facility outside area vulnerable to flooding (ref. Figure 1.4-6).  MAR is entire inventory of radioactive material in the MPPB  (exclusive of HLW) (Ref. WVNS-CAL-397, Table C-1).  </v>
          </cell>
          <cell r="AG88" t="str">
            <v>•  None</v>
          </cell>
          <cell r="AH88" t="str">
            <v>•  Siting of storage array in area away from areas of anticipated flooding</v>
          </cell>
          <cell r="AI88" t="str">
            <v>•  None</v>
          </cell>
          <cell r="AJ88" t="str">
            <v>•  None</v>
          </cell>
          <cell r="AK88" t="str">
            <v>•  None</v>
          </cell>
          <cell r="AL88" t="str">
            <v>•  None</v>
          </cell>
          <cell r="AM88" t="str">
            <v>•  None</v>
          </cell>
          <cell r="AN88" t="str">
            <v>•  Radiological Protection Program
•  Performance Based Training Program
•  Conduct of Operations</v>
          </cell>
        </row>
        <row r="89">
          <cell r="A89" t="str">
            <v>MPA</v>
          </cell>
          <cell r="B89">
            <v>1</v>
          </cell>
          <cell r="C89" t="str">
            <v>Localized flammable liquid pool fire</v>
          </cell>
          <cell r="D89" t="str">
            <v>Fuel or other flammable fluid pool fire resulting from leaking equipment.  An unspecified ignition source ignites the fuel and a fire ensues that is of sufficient duration and intensity to lead to a release of radioactive material from containerized waste.</v>
          </cell>
          <cell r="E89">
            <v>360</v>
          </cell>
          <cell r="F89" t="str">
            <v>E01</v>
          </cell>
          <cell r="G89">
            <v>1</v>
          </cell>
          <cell r="H89" t="str">
            <v>Gnd</v>
          </cell>
          <cell r="I89">
            <v>850</v>
          </cell>
          <cell r="J89" t="str">
            <v>EU</v>
          </cell>
          <cell r="K89" t="str">
            <v>H</v>
          </cell>
          <cell r="L89" t="str">
            <v>H</v>
          </cell>
          <cell r="M89" t="str">
            <v>N</v>
          </cell>
          <cell r="N89" t="str">
            <v>N</v>
          </cell>
          <cell r="O89" t="str">
            <v>II</v>
          </cell>
          <cell r="P89" t="str">
            <v>II</v>
          </cell>
          <cell r="Q89" t="str">
            <v>IV</v>
          </cell>
          <cell r="R89" t="str">
            <v>IV</v>
          </cell>
          <cell r="S89" t="str">
            <v>E01</v>
          </cell>
          <cell r="T89">
            <v>2.8000000000000001E-2</v>
          </cell>
          <cell r="U89" t="str">
            <v>Gnd</v>
          </cell>
          <cell r="V89">
            <v>850</v>
          </cell>
          <cell r="W89" t="str">
            <v>EU</v>
          </cell>
          <cell r="X89" t="str">
            <v>L</v>
          </cell>
          <cell r="Y89" t="str">
            <v>L</v>
          </cell>
          <cell r="Z89" t="str">
            <v>N</v>
          </cell>
          <cell r="AA89" t="str">
            <v>N</v>
          </cell>
          <cell r="AB89" t="str">
            <v>IV</v>
          </cell>
          <cell r="AC89" t="str">
            <v>IV</v>
          </cell>
          <cell r="AD89" t="str">
            <v>IV</v>
          </cell>
          <cell r="AE89" t="str">
            <v>IV</v>
          </cell>
          <cell r="AF89" t="str">
            <v>Potentially affected areas are FRS or Vit LI/LO.  MAR is activity in maximally loaded 2-drum Interim Storage Container (Ref. WVNS-CAL-397, Table A-2).  DR reflects TSR to protect arrays of TRU waste containing greater than 10 PE-Ci from spills of flammable/ combustible liquids</v>
          </cell>
          <cell r="AG89" t="str">
            <v>•  None</v>
          </cell>
          <cell r="AH89" t="str">
            <v>•  None</v>
          </cell>
          <cell r="AI89" t="str">
            <v>•  SAC for TRU waste drum fire protection
•  SAC for TRU waste container physical protection</v>
          </cell>
          <cell r="AJ89" t="str">
            <v xml:space="preserve">•  Quality Assurance Program
•  Fire Protection Program
•  Performance Based Training Program
•  Maintenance Program
•  Conduct of Operations
•  Waste Management Program </v>
          </cell>
          <cell r="AK89" t="str">
            <v>•  APPROVED CONTAINERS used for TRU waste storage
•  TSR-compliant packaging for high activity TRU waste</v>
          </cell>
          <cell r="AL89" t="str">
            <v>•  Steel-deck pallets that limit direct flame impingement on TRU containers</v>
          </cell>
          <cell r="AM89" t="str">
            <v>•  SAC for APPROVED CONTAINER use
•  SAC for facility inventory control</v>
          </cell>
          <cell r="AN89" t="str">
            <v>•  Radiological Protection Program
•  Emergency Response Program
•  Fire Protection Program
•  Performance Based Training Program
•  Conduct of Operations</v>
          </cell>
        </row>
        <row r="90">
          <cell r="A90" t="str">
            <v>MPA</v>
          </cell>
          <cell r="B90">
            <v>2</v>
          </cell>
          <cell r="C90" t="str">
            <v>Small combustible material fire</v>
          </cell>
          <cell r="D90" t="str">
            <v>Fire occurs in a facility area that impacts TRU waste. Includes accidents initiated due to pyrophoric reactions or reactions involving incompatible wastes.</v>
          </cell>
          <cell r="E90">
            <v>360</v>
          </cell>
          <cell r="F90" t="str">
            <v>E02</v>
          </cell>
          <cell r="G90">
            <v>1</v>
          </cell>
          <cell r="H90" t="str">
            <v>Gnd</v>
          </cell>
          <cell r="I90">
            <v>850</v>
          </cell>
          <cell r="J90" t="str">
            <v>A</v>
          </cell>
          <cell r="K90" t="str">
            <v>H</v>
          </cell>
          <cell r="L90" t="str">
            <v>H</v>
          </cell>
          <cell r="M90" t="str">
            <v>N</v>
          </cell>
          <cell r="N90" t="str">
            <v>N</v>
          </cell>
          <cell r="O90" t="str">
            <v>I</v>
          </cell>
          <cell r="P90" t="str">
            <v>I</v>
          </cell>
          <cell r="Q90" t="str">
            <v>IV</v>
          </cell>
          <cell r="R90" t="str">
            <v>IV</v>
          </cell>
          <cell r="S90" t="str">
            <v>E02</v>
          </cell>
          <cell r="T90">
            <v>2.8E-3</v>
          </cell>
          <cell r="U90" t="str">
            <v>Gnd</v>
          </cell>
          <cell r="V90">
            <v>850</v>
          </cell>
          <cell r="W90" t="str">
            <v>U</v>
          </cell>
          <cell r="X90" t="str">
            <v>L</v>
          </cell>
          <cell r="Y90" t="str">
            <v>L</v>
          </cell>
          <cell r="Z90" t="str">
            <v>N</v>
          </cell>
          <cell r="AA90" t="str">
            <v>N</v>
          </cell>
          <cell r="AB90" t="str">
            <v>III</v>
          </cell>
          <cell r="AC90" t="str">
            <v>III</v>
          </cell>
          <cell r="AD90" t="str">
            <v>IV</v>
          </cell>
          <cell r="AE90" t="str">
            <v>IV</v>
          </cell>
          <cell r="AF90" t="str">
            <v>MAR limit imposed on exposed waste operations. Fire Protection (hot work controls), Radiation Protection, and Waste Management Programs credited with minimizing probability and consequences of fire event.  MAR assumes that waste is unconfined combustible. MAR is activity in maximally loaded 2-drum Interim Storage Container (Ref. WVNS-CAL-397, Table A-2).  DR reflects TSR that limits the amount of TRU waste that may be outside of an APPROVED CONTAINER to 1.0 PE-Ci.</v>
          </cell>
          <cell r="AG90" t="str">
            <v>•  None</v>
          </cell>
          <cell r="AH90" t="str">
            <v>•  None</v>
          </cell>
          <cell r="AI90" t="str">
            <v>•  None</v>
          </cell>
          <cell r="AJ90" t="str">
            <v xml:space="preserve">•  Quality Assurance Program
•  Fire Protection Program
-   “Hot work” controls
-   Combustible material control program
•  Performance Based Training Program
•  Maintenance Program
•  Conduct of Operations
•  Waste Management Program </v>
          </cell>
          <cell r="AK90" t="str">
            <v>•  APPROVED CONTAINERS used for TRU waste storage
•  TSR-compliant packaging for high activity TRU waste</v>
          </cell>
          <cell r="AL90" t="str">
            <v>•  Wet pipe sprinkler system in Load In Facility</v>
          </cell>
          <cell r="AM90" t="str">
            <v>•  SAC for APPROVED CONTAINER use
•  SAC for facility inventory control</v>
          </cell>
          <cell r="AN90" t="str">
            <v>•  Radiological Protection Program
•  Emergency Response Program
•  Fire Protection Program
•  Performance Based Training Program
•  Conduct of Operations</v>
          </cell>
        </row>
        <row r="91">
          <cell r="A91" t="str">
            <v>MPA</v>
          </cell>
          <cell r="B91">
            <v>3</v>
          </cell>
          <cell r="C91" t="str">
            <v>Localized explosion external to container</v>
          </cell>
          <cell r="D9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91">
            <v>360</v>
          </cell>
          <cell r="F91" t="str">
            <v>E05</v>
          </cell>
          <cell r="G91">
            <v>1</v>
          </cell>
          <cell r="H91" t="str">
            <v>Gnd</v>
          </cell>
          <cell r="I91">
            <v>850</v>
          </cell>
          <cell r="J91" t="str">
            <v>A</v>
          </cell>
          <cell r="K91" t="str">
            <v>H</v>
          </cell>
          <cell r="L91" t="str">
            <v>M</v>
          </cell>
          <cell r="M91" t="str">
            <v>N</v>
          </cell>
          <cell r="N91" t="str">
            <v>N</v>
          </cell>
          <cell r="O91" t="str">
            <v>I</v>
          </cell>
          <cell r="P91" t="str">
            <v>I</v>
          </cell>
          <cell r="Q91" t="str">
            <v>IV</v>
          </cell>
          <cell r="R91" t="str">
            <v>IV</v>
          </cell>
          <cell r="S91" t="str">
            <v>E05</v>
          </cell>
          <cell r="T91">
            <v>2.8000000000000001E-2</v>
          </cell>
          <cell r="U91" t="str">
            <v>Gnd</v>
          </cell>
          <cell r="V91">
            <v>850</v>
          </cell>
          <cell r="W91" t="str">
            <v>U</v>
          </cell>
          <cell r="X91" t="str">
            <v>L</v>
          </cell>
          <cell r="Y91" t="str">
            <v>L</v>
          </cell>
          <cell r="Z91" t="str">
            <v>N</v>
          </cell>
          <cell r="AA91" t="str">
            <v>N</v>
          </cell>
          <cell r="AB91" t="str">
            <v>III</v>
          </cell>
          <cell r="AC91" t="str">
            <v>III</v>
          </cell>
          <cell r="AD91" t="str">
            <v>IV</v>
          </cell>
          <cell r="AE91" t="str">
            <v>IV</v>
          </cell>
          <cell r="AF91" t="str">
            <v>APPROVED CONTAINERS recognized as mitigating consequences. MAR is activity in maximally loaded 2-drum Interim Storage Container (Ref. WVNS-CAL-397, Table A-2).  DR credits SAC that requires TRU waste containing &gt;10 PE-Ci be in containers capable of meeting SAC physical protection functional requirements.</v>
          </cell>
          <cell r="AG91" t="str">
            <v>•  None</v>
          </cell>
          <cell r="AH91" t="str">
            <v>•  None</v>
          </cell>
          <cell r="AI91" t="str">
            <v>•  None</v>
          </cell>
          <cell r="AJ91" t="str">
            <v xml:space="preserve">•  Quality Assurance Program
•  Fire Protection Program
•  Performance Based Training Program
•  Maintenance Program
•  Waste Management Program </v>
          </cell>
          <cell r="AK91" t="str">
            <v>•   APPROVED CONTAINERS used for TRU waste storage
•   TSR-compliant packaging for high activity TRU waste</v>
          </cell>
          <cell r="AL91" t="str">
            <v>•  None</v>
          </cell>
          <cell r="AM91" t="str">
            <v>•  SAC for APPROVED CONTAINER use
•  SAC for facility inventory control</v>
          </cell>
          <cell r="AN91" t="str">
            <v>•  Radiological Protection Program
•  Emergency Response Program
•  Fire Protection Program
•  Performance Based Training Program
•  Conduct of Operations</v>
          </cell>
        </row>
        <row r="92">
          <cell r="A92" t="str">
            <v>MPA</v>
          </cell>
          <cell r="B92">
            <v>4</v>
          </cell>
          <cell r="C92" t="str">
            <v>Waste container deflagration</v>
          </cell>
          <cell r="D92" t="str">
            <v>Hydrogen or other flammable/explosive gases inside a container is ignited.</v>
          </cell>
          <cell r="E92">
            <v>360</v>
          </cell>
          <cell r="F92" t="str">
            <v>E06</v>
          </cell>
          <cell r="G92">
            <v>1</v>
          </cell>
          <cell r="H92" t="str">
            <v>Gnd</v>
          </cell>
          <cell r="I92">
            <v>850</v>
          </cell>
          <cell r="J92" t="str">
            <v>U</v>
          </cell>
          <cell r="K92" t="str">
            <v>H</v>
          </cell>
          <cell r="L92" t="str">
            <v>M</v>
          </cell>
          <cell r="M92" t="str">
            <v>N</v>
          </cell>
          <cell r="N92" t="str">
            <v>N</v>
          </cell>
          <cell r="O92" t="str">
            <v>I</v>
          </cell>
          <cell r="P92" t="str">
            <v>II</v>
          </cell>
          <cell r="Q92" t="str">
            <v>IV</v>
          </cell>
          <cell r="R92" t="str">
            <v>IV</v>
          </cell>
          <cell r="S92" t="str">
            <v>E06</v>
          </cell>
          <cell r="T92">
            <v>0.25</v>
          </cell>
          <cell r="U92" t="str">
            <v>Gnd</v>
          </cell>
          <cell r="V92">
            <v>850</v>
          </cell>
          <cell r="W92" t="str">
            <v>EU</v>
          </cell>
          <cell r="X92" t="str">
            <v>M</v>
          </cell>
          <cell r="Y92" t="str">
            <v>M</v>
          </cell>
          <cell r="Z92" t="str">
            <v>N</v>
          </cell>
          <cell r="AA92" t="str">
            <v>N</v>
          </cell>
          <cell r="AB92" t="str">
            <v>III</v>
          </cell>
          <cell r="AC92" t="str">
            <v>III</v>
          </cell>
          <cell r="AD92" t="str">
            <v>IV</v>
          </cell>
          <cell r="AE92" t="str">
            <v>IV</v>
          </cell>
          <cell r="AF92"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2" t="str">
            <v>•  None</v>
          </cell>
          <cell r="AH92" t="str">
            <v>•  HEPA filter vents on waste containers
•  Non-sparking tools for containers suspected of containing high concentrations of flammable gas</v>
          </cell>
          <cell r="AI92" t="str">
            <v>•  None</v>
          </cell>
          <cell r="AJ92" t="str">
            <v xml:space="preserve">•  Quality Assurance Program
•  Fire Protection Program
•  Performance Based Training Program
•  Maintenance Program
•  Waste Management Program </v>
          </cell>
          <cell r="AK92" t="str">
            <v>•   TSR-compliant packaging for high activity TRU waste</v>
          </cell>
          <cell r="AL92" t="str">
            <v>•  None</v>
          </cell>
          <cell r="AM92" t="str">
            <v>•  SAC for APPROVED CONTAINER use
•  SAC for facility inventory control</v>
          </cell>
          <cell r="AN92" t="str">
            <v>•  Radiological Protection Program
•  Emergency Response Program
•  Fire Protection Program
•  Performance Based Training Program
•  Conduct of Operations</v>
          </cell>
        </row>
        <row r="93">
          <cell r="A93" t="str">
            <v>MPA</v>
          </cell>
          <cell r="B93">
            <v>5</v>
          </cell>
          <cell r="C93" t="str">
            <v>Vehicle/equipment impacts waste/waste containers</v>
          </cell>
          <cell r="D93"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93">
            <v>360</v>
          </cell>
          <cell r="F93" t="str">
            <v>E09</v>
          </cell>
          <cell r="G93">
            <v>0.01</v>
          </cell>
          <cell r="H93" t="str">
            <v>Gnd</v>
          </cell>
          <cell r="I93">
            <v>850</v>
          </cell>
          <cell r="J93" t="str">
            <v>A</v>
          </cell>
          <cell r="K93" t="str">
            <v>N</v>
          </cell>
          <cell r="L93" t="str">
            <v>L</v>
          </cell>
          <cell r="M93" t="str">
            <v>N</v>
          </cell>
          <cell r="N93" t="str">
            <v>N</v>
          </cell>
          <cell r="O93" t="str">
            <v>IV</v>
          </cell>
          <cell r="P93" t="str">
            <v>III</v>
          </cell>
          <cell r="Q93" t="str">
            <v>IV</v>
          </cell>
          <cell r="R93" t="str">
            <v>IV</v>
          </cell>
          <cell r="S93" t="str">
            <v>E09</v>
          </cell>
          <cell r="T93">
            <v>0.01</v>
          </cell>
          <cell r="U93" t="str">
            <v>Gnd</v>
          </cell>
          <cell r="V93">
            <v>850</v>
          </cell>
          <cell r="W93" t="str">
            <v>A</v>
          </cell>
          <cell r="X93" t="str">
            <v>N</v>
          </cell>
          <cell r="Y93" t="str">
            <v>L</v>
          </cell>
          <cell r="Z93" t="str">
            <v>N</v>
          </cell>
          <cell r="AA93" t="str">
            <v>N</v>
          </cell>
          <cell r="AB93" t="str">
            <v>IV</v>
          </cell>
          <cell r="AC93" t="str">
            <v>III</v>
          </cell>
          <cell r="AD93" t="str">
            <v>IV</v>
          </cell>
          <cell r="AE93" t="str">
            <v>IV</v>
          </cell>
          <cell r="AF93" t="str">
            <v xml:space="preserve">Containers assumed to be impacted by handling equipment travelling &lt;10 mph.  MAR is activity in maximally loaded 2-drum Interim Storage Container (Ref. WVNS-CAL-397, Table A-2).  </v>
          </cell>
          <cell r="AG93" t="str">
            <v>•  None</v>
          </cell>
          <cell r="AH93" t="str">
            <v>•  Physical barriers such as Jersey barriers or facility structure that protects waste containers from vehicle impacts</v>
          </cell>
          <cell r="AI93" t="str">
            <v>•  None</v>
          </cell>
          <cell r="AJ93" t="str">
            <v xml:space="preserve">•  Quality Assurance Program
•  Performance Based Training Program
•  Maintenance Program
•  Conduct of Operations
•  Waste Management Program </v>
          </cell>
          <cell r="AK93" t="str">
            <v>•   TSR-compliant packaging for high activity TRU waste</v>
          </cell>
          <cell r="AL93" t="str">
            <v>•  None</v>
          </cell>
          <cell r="AM93" t="str">
            <v>•  None</v>
          </cell>
          <cell r="AN93" t="str">
            <v>•  Radiological Protection Program
•  Emergency Response Program
•  Performance Based Training Program
•  Conduct of Operations</v>
          </cell>
        </row>
        <row r="94">
          <cell r="A94" t="str">
            <v>MPA</v>
          </cell>
          <cell r="B94">
            <v>6</v>
          </cell>
          <cell r="C94" t="str">
            <v>Drop/impact/spill</v>
          </cell>
          <cell r="D94" t="str">
            <v>This event is due to mishandling of containers; or to drops/impacts caused by equipment failure; or leaks caused by corrosion, construction defect, or improper closure.</v>
          </cell>
          <cell r="E94">
            <v>360</v>
          </cell>
          <cell r="F94" t="str">
            <v>E10</v>
          </cell>
          <cell r="G94">
            <v>0.1</v>
          </cell>
          <cell r="H94" t="str">
            <v>Gnd</v>
          </cell>
          <cell r="I94">
            <v>850</v>
          </cell>
          <cell r="J94" t="str">
            <v>A</v>
          </cell>
          <cell r="K94" t="str">
            <v>L</v>
          </cell>
          <cell r="L94" t="str">
            <v>L</v>
          </cell>
          <cell r="M94" t="str">
            <v>N</v>
          </cell>
          <cell r="N94" t="str">
            <v>N</v>
          </cell>
          <cell r="O94" t="str">
            <v>III</v>
          </cell>
          <cell r="P94" t="str">
            <v>III</v>
          </cell>
          <cell r="Q94" t="str">
            <v>IV</v>
          </cell>
          <cell r="R94" t="str">
            <v>IV</v>
          </cell>
          <cell r="S94" t="str">
            <v>E10</v>
          </cell>
          <cell r="T94">
            <v>0.1</v>
          </cell>
          <cell r="U94" t="str">
            <v>Gnd</v>
          </cell>
          <cell r="V94">
            <v>850</v>
          </cell>
          <cell r="W94" t="str">
            <v>U</v>
          </cell>
          <cell r="X94" t="str">
            <v>L</v>
          </cell>
          <cell r="Y94" t="str">
            <v>L</v>
          </cell>
          <cell r="Z94" t="str">
            <v>N</v>
          </cell>
          <cell r="AA94" t="str">
            <v>N</v>
          </cell>
          <cell r="AB94" t="str">
            <v>III</v>
          </cell>
          <cell r="AC94" t="str">
            <v>III</v>
          </cell>
          <cell r="AD94" t="str">
            <v>IV</v>
          </cell>
          <cell r="AE94" t="str">
            <v>IV</v>
          </cell>
          <cell r="AF94" t="str">
            <v xml:space="preserve">Event is a low energy breach of container confinement (e.g. tine puncture or container drop).  MAR is activity in maximally loaded 2-drum Interim Storage Container (Ref. WVNS-CAL-397, Table A-2).  </v>
          </cell>
          <cell r="AG94" t="str">
            <v>•  None</v>
          </cell>
          <cell r="AH94" t="str">
            <v>•  None</v>
          </cell>
          <cell r="AI94" t="str">
            <v>•  None</v>
          </cell>
          <cell r="AJ94" t="str">
            <v xml:space="preserve">•  Quality Assurance Program
•  Performance Based Training Program
•  Maintenance Program
•  Conduct of Operations
•  Waste Management Program </v>
          </cell>
          <cell r="AK94" t="str">
            <v>•   TSR-compliant packaging for high activity TRU waste</v>
          </cell>
          <cell r="AL94" t="str">
            <v>•  None</v>
          </cell>
          <cell r="AM94" t="str">
            <v>•  None</v>
          </cell>
          <cell r="AN94" t="str">
            <v>•  Radiological Protection Program
•  Emergency Response Program
•  Performance Based Training Program
•  Conduct of Operations</v>
          </cell>
        </row>
        <row r="95">
          <cell r="A95" t="str">
            <v>MPA</v>
          </cell>
          <cell r="B95">
            <v>7</v>
          </cell>
          <cell r="C95" t="str">
            <v>Waste container over-pressurization</v>
          </cell>
          <cell r="D95" t="str">
            <v>Container failure occurs due to pressure buildup, possibly due to radiolysis of water or other hydrogenous material, thermal expansion of material/gases inside the container, or chemical reactions inside the container.</v>
          </cell>
          <cell r="E95">
            <v>360</v>
          </cell>
          <cell r="F95" t="str">
            <v>E12</v>
          </cell>
          <cell r="G95">
            <v>1</v>
          </cell>
          <cell r="H95" t="str">
            <v>Gnd</v>
          </cell>
          <cell r="I95">
            <v>850</v>
          </cell>
          <cell r="J95" t="str">
            <v>A</v>
          </cell>
          <cell r="K95" t="str">
            <v>M</v>
          </cell>
          <cell r="L95" t="str">
            <v>M</v>
          </cell>
          <cell r="M95" t="str">
            <v>N</v>
          </cell>
          <cell r="N95" t="str">
            <v>N</v>
          </cell>
          <cell r="O95" t="str">
            <v>I</v>
          </cell>
          <cell r="P95" t="str">
            <v>I</v>
          </cell>
          <cell r="Q95" t="str">
            <v>IV</v>
          </cell>
          <cell r="R95" t="str">
            <v>IV</v>
          </cell>
          <cell r="S95" t="str">
            <v>E12</v>
          </cell>
          <cell r="T95">
            <v>0.1</v>
          </cell>
          <cell r="U95" t="str">
            <v>Gnd</v>
          </cell>
          <cell r="V95">
            <v>850</v>
          </cell>
          <cell r="W95" t="str">
            <v>A</v>
          </cell>
          <cell r="X95" t="str">
            <v>L</v>
          </cell>
          <cell r="Y95" t="str">
            <v>L</v>
          </cell>
          <cell r="Z95" t="str">
            <v>N</v>
          </cell>
          <cell r="AA95" t="str">
            <v>N</v>
          </cell>
          <cell r="AB95" t="str">
            <v>III</v>
          </cell>
          <cell r="AC95" t="str">
            <v>III</v>
          </cell>
          <cell r="AD95" t="str">
            <v>IV</v>
          </cell>
          <cell r="AE95" t="str">
            <v>IV</v>
          </cell>
          <cell r="AF95"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95" t="str">
            <v>•  None</v>
          </cell>
          <cell r="AH95" t="str">
            <v>•  HEPA filter vents on waste containers</v>
          </cell>
          <cell r="AI95" t="str">
            <v>•  None</v>
          </cell>
          <cell r="AJ95" t="str">
            <v xml:space="preserve">•  Quality Assurance Program
•  Performance Based Training Program
•  Waste Management Program </v>
          </cell>
          <cell r="AK95" t="str">
            <v>•  None</v>
          </cell>
          <cell r="AL95" t="str">
            <v>•  Lid restraining devices for bulging drums</v>
          </cell>
          <cell r="AM95" t="str">
            <v>•  None</v>
          </cell>
          <cell r="AN95" t="str">
            <v>•  Radiological Protection Program
•  Emergency Response Program
•  Performance Based Training Program
•  Conduct of Operations</v>
          </cell>
        </row>
        <row r="96">
          <cell r="A96" t="str">
            <v>MPA</v>
          </cell>
          <cell r="B96">
            <v>8</v>
          </cell>
          <cell r="C96" t="str">
            <v>Direct exposure to radiation</v>
          </cell>
          <cell r="D96" t="str">
            <v>Exposure to ionizing radiation from the waste, possibly due to loss of proper shielding within a container or instrument miscalibration</v>
          </cell>
          <cell r="E96" t="str">
            <v>Not applicable.</v>
          </cell>
          <cell r="F96" t="str">
            <v>NA</v>
          </cell>
          <cell r="G96" t="str">
            <v>NA</v>
          </cell>
          <cell r="H96" t="str">
            <v>Gnd</v>
          </cell>
          <cell r="I96">
            <v>850</v>
          </cell>
          <cell r="J96" t="str">
            <v>A</v>
          </cell>
          <cell r="K96" t="str">
            <v>M</v>
          </cell>
          <cell r="L96" t="str">
            <v>N</v>
          </cell>
          <cell r="M96" t="str">
            <v>N</v>
          </cell>
          <cell r="N96" t="str">
            <v>N</v>
          </cell>
          <cell r="O96" t="str">
            <v>I</v>
          </cell>
          <cell r="P96" t="str">
            <v>IV</v>
          </cell>
          <cell r="Q96" t="str">
            <v>IV</v>
          </cell>
          <cell r="R96" t="str">
            <v>IV</v>
          </cell>
          <cell r="S96" t="str">
            <v>NA</v>
          </cell>
          <cell r="T96" t="str">
            <v>NA</v>
          </cell>
          <cell r="U96" t="str">
            <v>Gnd</v>
          </cell>
          <cell r="V96">
            <v>850</v>
          </cell>
          <cell r="W96" t="str">
            <v>U</v>
          </cell>
          <cell r="X96" t="str">
            <v>L</v>
          </cell>
          <cell r="Y96" t="str">
            <v>N</v>
          </cell>
          <cell r="Z96" t="str">
            <v>N</v>
          </cell>
          <cell r="AA96" t="str">
            <v>N</v>
          </cell>
          <cell r="AB96" t="str">
            <v>III</v>
          </cell>
          <cell r="AC96" t="str">
            <v>IV</v>
          </cell>
          <cell r="AD96" t="str">
            <v>IV</v>
          </cell>
          <cell r="AE96" t="str">
            <v>IV</v>
          </cell>
          <cell r="AF96" t="str">
            <v xml:space="preserve">None.  </v>
          </cell>
          <cell r="AG96" t="str">
            <v>•  None</v>
          </cell>
          <cell r="AH96" t="str">
            <v>•  Engineered radiation shielding on high dose rate waste containers</v>
          </cell>
          <cell r="AI96" t="str">
            <v>•  None</v>
          </cell>
          <cell r="AJ96" t="str">
            <v xml:space="preserve">•  Radiological Protection Program
•  Quality Assurance Program
•  Performance Based Training Program
•  Conduct of Operations
•  Waste Management Program </v>
          </cell>
          <cell r="AK96" t="str">
            <v>•  None</v>
          </cell>
          <cell r="AL96" t="str">
            <v>•  None</v>
          </cell>
          <cell r="AM96" t="str">
            <v>•  None</v>
          </cell>
          <cell r="AN96" t="str">
            <v>•  Radiological Protection Program
•  Performance Based Training Program
•  Conduct of Operations</v>
          </cell>
        </row>
        <row r="97">
          <cell r="A97" t="str">
            <v>MPA</v>
          </cell>
          <cell r="B97">
            <v>9</v>
          </cell>
          <cell r="C97" t="str">
            <v>Criticality</v>
          </cell>
          <cell r="D97" t="str">
            <v>Inadvertent criticality occurs due to multiple independent failures and/or highly improbable circumstances</v>
          </cell>
          <cell r="E97" t="str">
            <v>&gt;450 FGE
Pu-239</v>
          </cell>
          <cell r="F97" t="str">
            <v>NA</v>
          </cell>
          <cell r="G97" t="str">
            <v>NA</v>
          </cell>
          <cell r="H97" t="str">
            <v>Gnd</v>
          </cell>
          <cell r="I97">
            <v>850</v>
          </cell>
          <cell r="J97" t="str">
            <v>BEU</v>
          </cell>
          <cell r="K97" t="str">
            <v>H</v>
          </cell>
          <cell r="L97" t="str">
            <v>N</v>
          </cell>
          <cell r="M97" t="str">
            <v>N</v>
          </cell>
          <cell r="N97" t="str">
            <v>N</v>
          </cell>
          <cell r="O97" t="str">
            <v>III</v>
          </cell>
          <cell r="P97" t="str">
            <v>IV</v>
          </cell>
          <cell r="Q97" t="str">
            <v>IV</v>
          </cell>
          <cell r="R97" t="str">
            <v>IV</v>
          </cell>
          <cell r="S97" t="str">
            <v>NA</v>
          </cell>
          <cell r="T97" t="str">
            <v>NA</v>
          </cell>
          <cell r="U97" t="str">
            <v>Gnd</v>
          </cell>
          <cell r="V97">
            <v>850</v>
          </cell>
          <cell r="W97" t="str">
            <v>BEU</v>
          </cell>
          <cell r="X97" t="str">
            <v>H</v>
          </cell>
          <cell r="Y97" t="str">
            <v>N</v>
          </cell>
          <cell r="Z97" t="str">
            <v>N</v>
          </cell>
          <cell r="AA97" t="str">
            <v>N</v>
          </cell>
          <cell r="AB97" t="str">
            <v>III</v>
          </cell>
          <cell r="AC97" t="str">
            <v>IV</v>
          </cell>
          <cell r="AD97" t="str">
            <v>IV</v>
          </cell>
          <cell r="AE97" t="str">
            <v>IV</v>
          </cell>
          <cell r="AF97" t="str">
            <v xml:space="preserve">Nuclear criticality safety administrative controls ensure that only safe quantities of fissile material are placed in waste packages.   </v>
          </cell>
          <cell r="AG97" t="str">
            <v>• PSRs for fissile material storage container specifications</v>
          </cell>
          <cell r="AH97" t="str">
            <v>•  None</v>
          </cell>
          <cell r="AI97" t="str">
            <v>• PSR limits on container fissile mass
• PSR for fissile material storage containers</v>
          </cell>
          <cell r="AJ97" t="str">
            <v xml:space="preserve">•  Radiological Protection Program
•  Nuclear Criticality Safety Program
•  Quality Assurance Program
•  Performance Based Training Program
•  Conduct of Operations
•  Waste Management Program </v>
          </cell>
          <cell r="AK97" t="str">
            <v>•  None</v>
          </cell>
          <cell r="AL97" t="str">
            <v>•  None</v>
          </cell>
          <cell r="AM97" t="str">
            <v>•  None</v>
          </cell>
          <cell r="AN97" t="str">
            <v>•  Radiological Protection Program
•  Nuclear Criticality Safety Program
•  Emergency Response Program
•  Performance Based Training Program
•  Conduct of Operations</v>
          </cell>
        </row>
        <row r="98">
          <cell r="A98" t="str">
            <v>MPA</v>
          </cell>
          <cell r="B98">
            <v>10</v>
          </cell>
          <cell r="C98" t="str">
            <v>Aircraft impact with fire</v>
          </cell>
          <cell r="D98" t="str">
            <v>Small general aviation aircraft or helicopter crashes and a fire ensues</v>
          </cell>
          <cell r="E98">
            <v>360</v>
          </cell>
          <cell r="F98" t="str">
            <v>E15</v>
          </cell>
          <cell r="G98">
            <v>1</v>
          </cell>
          <cell r="H98" t="str">
            <v>Gnd</v>
          </cell>
          <cell r="I98">
            <v>850</v>
          </cell>
          <cell r="J98" t="str">
            <v>BEU</v>
          </cell>
          <cell r="K98" t="str">
            <v>H</v>
          </cell>
          <cell r="L98" t="str">
            <v>H</v>
          </cell>
          <cell r="M98" t="str">
            <v>N</v>
          </cell>
          <cell r="N98" t="str">
            <v>N</v>
          </cell>
          <cell r="O98" t="str">
            <v>III</v>
          </cell>
          <cell r="P98" t="str">
            <v>III</v>
          </cell>
          <cell r="Q98" t="str">
            <v>IV</v>
          </cell>
          <cell r="R98" t="str">
            <v>IV</v>
          </cell>
          <cell r="S98" t="str">
            <v>E15</v>
          </cell>
          <cell r="T98">
            <v>1</v>
          </cell>
          <cell r="U98" t="str">
            <v>Gnd</v>
          </cell>
          <cell r="V98">
            <v>850</v>
          </cell>
          <cell r="W98" t="str">
            <v>BEU</v>
          </cell>
          <cell r="X98" t="str">
            <v>H</v>
          </cell>
          <cell r="Y98" t="str">
            <v>H</v>
          </cell>
          <cell r="Z98" t="str">
            <v>N</v>
          </cell>
          <cell r="AA98" t="str">
            <v>N</v>
          </cell>
          <cell r="AB98" t="str">
            <v>III</v>
          </cell>
          <cell r="AC98" t="str">
            <v>III</v>
          </cell>
          <cell r="AD98" t="str">
            <v>IV</v>
          </cell>
          <cell r="AE98" t="str">
            <v>IV</v>
          </cell>
          <cell r="AF98" t="str">
            <v xml:space="preserve">Event assumes waste containers breach in a manner similar to external vehicle accident event. Event BEU per WVNS-CAL-388. MAR is activity in maximally loaded 2-drum Interim Storage Container (Ref. WVNS-CAL-397, Table A-2).  </v>
          </cell>
          <cell r="AG98" t="str">
            <v>•  None</v>
          </cell>
          <cell r="AH98" t="str">
            <v>•  None</v>
          </cell>
          <cell r="AI98" t="str">
            <v>•  None</v>
          </cell>
          <cell r="AJ98" t="str">
            <v>•  None</v>
          </cell>
          <cell r="AK98" t="str">
            <v>•   APPROVED CONTAINERS used for TRU waste storage
•   TSR-compliant packaging for high activity TRU waste</v>
          </cell>
          <cell r="AL98" t="str">
            <v>•  None</v>
          </cell>
          <cell r="AM98" t="str">
            <v>• SAC for APPROVED CONTAINER use</v>
          </cell>
          <cell r="AN98" t="str">
            <v>•  Radiological Protection Program
•  Emergency Response Program
•  Fire Protection Program
•  Performance Based Training Program
•  Conduct of Operations</v>
          </cell>
        </row>
        <row r="99">
          <cell r="A99" t="str">
            <v>MPA</v>
          </cell>
          <cell r="B99">
            <v>11</v>
          </cell>
          <cell r="C99" t="str">
            <v>Tornado</v>
          </cell>
          <cell r="D99" t="str">
            <v>Direct effects of tornado winds, falling objects, or tornado-produced missiles causing impacts to the facility. Event includes loss of contamination confinement resulting from abnormal facility differential pressures (backflow).</v>
          </cell>
          <cell r="E99">
            <v>360</v>
          </cell>
          <cell r="F99" t="str">
            <v>E22</v>
          </cell>
          <cell r="G99">
            <v>1</v>
          </cell>
          <cell r="H99" t="str">
            <v>Gnd</v>
          </cell>
          <cell r="I99">
            <v>850</v>
          </cell>
          <cell r="J99" t="str">
            <v>U</v>
          </cell>
          <cell r="K99" t="str">
            <v>M</v>
          </cell>
          <cell r="L99" t="str">
            <v>M</v>
          </cell>
          <cell r="M99" t="str">
            <v>N</v>
          </cell>
          <cell r="N99" t="str">
            <v>N</v>
          </cell>
          <cell r="O99" t="str">
            <v>II</v>
          </cell>
          <cell r="P99" t="str">
            <v>II</v>
          </cell>
          <cell r="Q99" t="str">
            <v>IV</v>
          </cell>
          <cell r="R99" t="str">
            <v>IV</v>
          </cell>
          <cell r="S99" t="str">
            <v>E22</v>
          </cell>
          <cell r="T99">
            <v>1</v>
          </cell>
          <cell r="U99" t="str">
            <v>Gnd</v>
          </cell>
          <cell r="V99">
            <v>850</v>
          </cell>
          <cell r="W99" t="str">
            <v>EU</v>
          </cell>
          <cell r="X99" t="str">
            <v>M</v>
          </cell>
          <cell r="Y99" t="str">
            <v>M</v>
          </cell>
          <cell r="Z99" t="str">
            <v>N</v>
          </cell>
          <cell r="AA99" t="str">
            <v>N</v>
          </cell>
          <cell r="AB99" t="str">
            <v>III</v>
          </cell>
          <cell r="AC99" t="str">
            <v>III</v>
          </cell>
          <cell r="AD99" t="str">
            <v>IV</v>
          </cell>
          <cell r="AE99" t="str">
            <v>IV</v>
          </cell>
          <cell r="AF99" t="str">
            <v xml:space="preserve"> MAR is activity in maximally loaded 2-drum Interim Storage Container (Ref. WVNS-CAL-397, Table A-2).  </v>
          </cell>
          <cell r="AG99" t="str">
            <v>•  None</v>
          </cell>
          <cell r="AH99" t="str">
            <v>•  None</v>
          </cell>
          <cell r="AI99" t="str">
            <v>•  None</v>
          </cell>
          <cell r="AJ99" t="str">
            <v>•  None</v>
          </cell>
          <cell r="AK99" t="str">
            <v>•  None</v>
          </cell>
          <cell r="AL99" t="str">
            <v>•  Facility design capable of maintaining confinement integrity following design basis events</v>
          </cell>
          <cell r="AM99" t="str">
            <v>•  None</v>
          </cell>
          <cell r="AN99" t="str">
            <v>•  Radiological Protection Program
•  Emergency Response Program
•  Performance Based Training Program
•  Conduct of Operations</v>
          </cell>
        </row>
        <row r="100">
          <cell r="A100" t="str">
            <v>MPA</v>
          </cell>
          <cell r="B100">
            <v>12</v>
          </cell>
          <cell r="C100" t="str">
            <v>Seismic event</v>
          </cell>
          <cell r="D100" t="str">
            <v>Seismic event causes failure of equipment or structure which impacts facility contamination and/or seismic event disturbs loose surface contamination. Confinement boundaries are expected to remain intact.</v>
          </cell>
          <cell r="E100">
            <v>360</v>
          </cell>
          <cell r="F100" t="str">
            <v>E24</v>
          </cell>
          <cell r="G100">
            <v>0.01</v>
          </cell>
          <cell r="H100" t="str">
            <v>Gnd</v>
          </cell>
          <cell r="I100">
            <v>850</v>
          </cell>
          <cell r="J100" t="str">
            <v>U</v>
          </cell>
          <cell r="K100" t="str">
            <v>N</v>
          </cell>
          <cell r="L100" t="str">
            <v>L</v>
          </cell>
          <cell r="M100" t="str">
            <v>N</v>
          </cell>
          <cell r="N100" t="str">
            <v>N</v>
          </cell>
          <cell r="O100" t="str">
            <v>IV</v>
          </cell>
          <cell r="P100" t="str">
            <v>III</v>
          </cell>
          <cell r="Q100" t="str">
            <v>IV</v>
          </cell>
          <cell r="R100" t="str">
            <v>IV</v>
          </cell>
          <cell r="S100" t="str">
            <v>E24</v>
          </cell>
          <cell r="T100">
            <v>0.01</v>
          </cell>
          <cell r="U100" t="str">
            <v>Gnd</v>
          </cell>
          <cell r="V100">
            <v>850</v>
          </cell>
          <cell r="W100" t="str">
            <v>U</v>
          </cell>
          <cell r="X100" t="str">
            <v>N</v>
          </cell>
          <cell r="Y100" t="str">
            <v>L</v>
          </cell>
          <cell r="Z100" t="str">
            <v>N</v>
          </cell>
          <cell r="AA100" t="str">
            <v>N</v>
          </cell>
          <cell r="AB100" t="str">
            <v>IV</v>
          </cell>
          <cell r="AC100" t="str">
            <v>III</v>
          </cell>
          <cell r="AD100" t="str">
            <v>IV</v>
          </cell>
          <cell r="AE100" t="str">
            <v>IV</v>
          </cell>
          <cell r="AF100" t="str">
            <v xml:space="preserve">Facility confinement boundaries expected to remain intact following EBE.  MAR is activity in maximally loaded 2-drum Interim Storage Container (Ref. WVNS-CAL-397, Table A-2).  </v>
          </cell>
          <cell r="AG100" t="str">
            <v>•  None</v>
          </cell>
          <cell r="AH100" t="str">
            <v>•  None</v>
          </cell>
          <cell r="AI100" t="str">
            <v>•  None</v>
          </cell>
          <cell r="AJ100" t="str">
            <v>•  None</v>
          </cell>
          <cell r="AK100" t="str">
            <v>•  None</v>
          </cell>
          <cell r="AL100" t="str">
            <v>•  Facility design capable of maintaining confinement integrity following design basis events</v>
          </cell>
          <cell r="AM100" t="str">
            <v>•  None</v>
          </cell>
          <cell r="AN100" t="str">
            <v>•  Radiological Protection Program
•  Emergency Response Program
•  Performance Based Training Program
•  Conduct of Operations</v>
          </cell>
        </row>
        <row r="101">
          <cell r="A101" t="str">
            <v>MPA</v>
          </cell>
          <cell r="B101">
            <v>13</v>
          </cell>
          <cell r="C101" t="str">
            <v>Loss of airborne contamination confinement</v>
          </cell>
          <cell r="D101" t="str">
            <v>Loss of power resulting in loss of exhaust blower operability or other upset condition resulting in loss of airborne contamination confinement.</v>
          </cell>
          <cell r="E101">
            <v>360</v>
          </cell>
          <cell r="F101" t="str">
            <v>AER</v>
          </cell>
          <cell r="G101">
            <v>1</v>
          </cell>
          <cell r="H101" t="str">
            <v>Gnd</v>
          </cell>
          <cell r="I101">
            <v>850</v>
          </cell>
          <cell r="J101" t="str">
            <v>A</v>
          </cell>
          <cell r="K101" t="str">
            <v>L</v>
          </cell>
          <cell r="L101" t="str">
            <v>L</v>
          </cell>
          <cell r="M101" t="str">
            <v>N</v>
          </cell>
          <cell r="N101" t="str">
            <v>N</v>
          </cell>
          <cell r="O101" t="str">
            <v>III</v>
          </cell>
          <cell r="P101" t="str">
            <v>III</v>
          </cell>
          <cell r="Q101" t="str">
            <v>IV</v>
          </cell>
          <cell r="R101" t="str">
            <v>IV</v>
          </cell>
          <cell r="S101" t="str">
            <v>AER</v>
          </cell>
          <cell r="T101">
            <v>1</v>
          </cell>
          <cell r="U101" t="str">
            <v>Gnd</v>
          </cell>
          <cell r="V101">
            <v>850</v>
          </cell>
          <cell r="W101" t="str">
            <v>A</v>
          </cell>
          <cell r="X101" t="str">
            <v>L</v>
          </cell>
          <cell r="Y101" t="str">
            <v>L</v>
          </cell>
          <cell r="Z101" t="str">
            <v>N</v>
          </cell>
          <cell r="AA101" t="str">
            <v>N</v>
          </cell>
          <cell r="AB101" t="str">
            <v>III</v>
          </cell>
          <cell r="AC101" t="str">
            <v>III</v>
          </cell>
          <cell r="AD101" t="str">
            <v>IV</v>
          </cell>
          <cell r="AE101" t="str">
            <v>IV</v>
          </cell>
          <cell r="AF101" t="str">
            <v xml:space="preserve">Contamination assumed to migrate from confinement boundary penetrations through aerodynamic entrainment and resuspension under static facility conditions. MAR is activity in maximally loaded 2-drum Interim Storage Container (Ref. WVNS-CAL-397, Table A-2).  </v>
          </cell>
          <cell r="AG101" t="str">
            <v>•  None</v>
          </cell>
          <cell r="AH101" t="str">
            <v>•  None</v>
          </cell>
          <cell r="AI101" t="str">
            <v>•  None</v>
          </cell>
          <cell r="AJ101" t="str">
            <v>•  Quality Assurance Program
•  Fire Protection Program
•  Performance Based Training Program
•  Maintenance Program
•  Conduct of Operations</v>
          </cell>
          <cell r="AK101" t="str">
            <v>•  None</v>
          </cell>
          <cell r="AL101" t="str">
            <v>•  None</v>
          </cell>
          <cell r="AM101" t="str">
            <v>•  None</v>
          </cell>
          <cell r="AN101" t="str">
            <v>•  None</v>
          </cell>
        </row>
        <row r="102">
          <cell r="A102" t="str">
            <v>MPA</v>
          </cell>
          <cell r="B102">
            <v>14</v>
          </cell>
          <cell r="C102" t="str">
            <v>Loss of liquid contamination confinement</v>
          </cell>
          <cell r="D102" t="str">
            <v>Waste container containing residual liquids fails, resulting in loss of liquid contamination to the environment</v>
          </cell>
          <cell r="E102">
            <v>1</v>
          </cell>
          <cell r="F102" t="str">
            <v>FFS</v>
          </cell>
          <cell r="G102">
            <v>0.5</v>
          </cell>
          <cell r="H102" t="str">
            <v>Gnd</v>
          </cell>
          <cell r="I102">
            <v>850</v>
          </cell>
          <cell r="J102" t="str">
            <v>A</v>
          </cell>
          <cell r="K102" t="str">
            <v>N</v>
          </cell>
          <cell r="L102" t="str">
            <v>N</v>
          </cell>
          <cell r="M102" t="str">
            <v>N</v>
          </cell>
          <cell r="N102" t="str">
            <v>N</v>
          </cell>
          <cell r="O102" t="str">
            <v>IV</v>
          </cell>
          <cell r="P102" t="str">
            <v>IV</v>
          </cell>
          <cell r="Q102" t="str">
            <v>IV</v>
          </cell>
          <cell r="R102" t="str">
            <v>IV</v>
          </cell>
          <cell r="S102" t="str">
            <v>FFS</v>
          </cell>
          <cell r="T102">
            <v>0.5</v>
          </cell>
          <cell r="U102" t="str">
            <v>Gnd</v>
          </cell>
          <cell r="V102">
            <v>850</v>
          </cell>
          <cell r="W102" t="str">
            <v>A</v>
          </cell>
          <cell r="X102" t="str">
            <v>N</v>
          </cell>
          <cell r="Y102" t="str">
            <v>N</v>
          </cell>
          <cell r="Z102" t="str">
            <v>N</v>
          </cell>
          <cell r="AA102" t="str">
            <v>N</v>
          </cell>
          <cell r="AB102" t="str">
            <v>IV</v>
          </cell>
          <cell r="AC102" t="str">
            <v>IV</v>
          </cell>
          <cell r="AD102" t="str">
            <v>IV</v>
          </cell>
          <cell r="AE102" t="str">
            <v>IV</v>
          </cell>
          <cell r="AF102" t="str">
            <v xml:space="preserve">None.  </v>
          </cell>
          <cell r="AG102" t="str">
            <v>•  None</v>
          </cell>
          <cell r="AH102" t="str">
            <v>•  Cell liners/sumps and/or area berms</v>
          </cell>
          <cell r="AI102" t="str">
            <v>•  None</v>
          </cell>
          <cell r="AJ102" t="str">
            <v xml:space="preserve">•  Quality Assurance Program
•  Performance Based Training Program
•  Maintenance Program
•  Conduct of Operations
•  Waste Management Program </v>
          </cell>
          <cell r="AK102" t="str">
            <v>•  None</v>
          </cell>
          <cell r="AL102" t="str">
            <v>•  None</v>
          </cell>
          <cell r="AM102" t="str">
            <v>•  None</v>
          </cell>
          <cell r="AN102" t="str">
            <v>•  Radiological Protection Program
•  Performance Based Training Program
•  Conduct of Operations</v>
          </cell>
        </row>
        <row r="103">
          <cell r="A103" t="str">
            <v>MPA</v>
          </cell>
          <cell r="B103">
            <v>15</v>
          </cell>
          <cell r="C103" t="str">
            <v>HEPA filter failure</v>
          </cell>
          <cell r="D103" t="str">
            <v>Excess moisture or particulate on filters or area pressure excursion causes high filter differential pressure, resulting in filter failure</v>
          </cell>
          <cell r="E103">
            <v>1</v>
          </cell>
          <cell r="F103" t="str">
            <v>HB</v>
          </cell>
          <cell r="G103">
            <v>1</v>
          </cell>
          <cell r="H103" t="str">
            <v>Gnd</v>
          </cell>
          <cell r="I103">
            <v>850</v>
          </cell>
          <cell r="J103" t="str">
            <v>A</v>
          </cell>
          <cell r="K103" t="str">
            <v>L</v>
          </cell>
          <cell r="L103" t="str">
            <v>L</v>
          </cell>
          <cell r="M103" t="str">
            <v>N</v>
          </cell>
          <cell r="N103" t="str">
            <v>N</v>
          </cell>
          <cell r="O103" t="str">
            <v>III</v>
          </cell>
          <cell r="P103" t="str">
            <v>III</v>
          </cell>
          <cell r="Q103" t="str">
            <v>IV</v>
          </cell>
          <cell r="R103" t="str">
            <v>IV</v>
          </cell>
          <cell r="S103" t="str">
            <v>HB</v>
          </cell>
          <cell r="T103">
            <v>1</v>
          </cell>
          <cell r="U103" t="str">
            <v>Gnd</v>
          </cell>
          <cell r="V103">
            <v>850</v>
          </cell>
          <cell r="W103" t="str">
            <v>U</v>
          </cell>
          <cell r="X103" t="str">
            <v>L</v>
          </cell>
          <cell r="Y103" t="str">
            <v>L</v>
          </cell>
          <cell r="Z103" t="str">
            <v>N</v>
          </cell>
          <cell r="AA103" t="str">
            <v>N</v>
          </cell>
          <cell r="AB103" t="str">
            <v>III</v>
          </cell>
          <cell r="AC103" t="str">
            <v>III</v>
          </cell>
          <cell r="AD103" t="str">
            <v>IV</v>
          </cell>
          <cell r="AE103" t="str">
            <v>IV</v>
          </cell>
          <cell r="AF103" t="str">
            <v xml:space="preserve"> 10% of MPPB ventilation system MAR bounding for facility HEPA filters based on system environmental emission data </v>
          </cell>
          <cell r="AG103" t="str">
            <v>•  None</v>
          </cell>
          <cell r="AH103" t="str">
            <v>•  None</v>
          </cell>
          <cell r="AI103" t="str">
            <v>•  None</v>
          </cell>
          <cell r="AJ103" t="str">
            <v>•  Quality Assurance Program
•  Fire Protection Program
•  Performance Based Training Program
•  Maintenance Program
•  Conduct of Operations</v>
          </cell>
          <cell r="AK103" t="str">
            <v>•  None</v>
          </cell>
          <cell r="AL103" t="str">
            <v>•  None</v>
          </cell>
          <cell r="AM103" t="str">
            <v>•  None</v>
          </cell>
          <cell r="AN103" t="str">
            <v>•  Radiological Protection Program
•  Emergency Response Program
•  Performance Based Training Program
•  Conduct of Operations</v>
          </cell>
        </row>
        <row r="104">
          <cell r="A104" t="str">
            <v>MPA</v>
          </cell>
          <cell r="B104">
            <v>16</v>
          </cell>
          <cell r="C104" t="str">
            <v>HEPA filter fire</v>
          </cell>
          <cell r="D104" t="str">
            <v>Area fire propagates to HEPA filter bank</v>
          </cell>
          <cell r="E104">
            <v>1</v>
          </cell>
          <cell r="F104" t="str">
            <v>HF</v>
          </cell>
          <cell r="G104">
            <v>1</v>
          </cell>
          <cell r="H104" t="str">
            <v>Gnd</v>
          </cell>
          <cell r="I104">
            <v>850</v>
          </cell>
          <cell r="J104" t="str">
            <v>A</v>
          </cell>
          <cell r="K104" t="str">
            <v>N</v>
          </cell>
          <cell r="L104" t="str">
            <v>N</v>
          </cell>
          <cell r="M104" t="str">
            <v>N</v>
          </cell>
          <cell r="N104" t="str">
            <v>N</v>
          </cell>
          <cell r="O104" t="str">
            <v>IV</v>
          </cell>
          <cell r="P104" t="str">
            <v>IV</v>
          </cell>
          <cell r="Q104" t="str">
            <v>IV</v>
          </cell>
          <cell r="R104" t="str">
            <v>IV</v>
          </cell>
          <cell r="S104" t="str">
            <v>HF</v>
          </cell>
          <cell r="T104">
            <v>1</v>
          </cell>
          <cell r="U104" t="str">
            <v>Gnd</v>
          </cell>
          <cell r="V104">
            <v>850</v>
          </cell>
          <cell r="W104" t="str">
            <v>U</v>
          </cell>
          <cell r="X104" t="str">
            <v>N</v>
          </cell>
          <cell r="Y104" t="str">
            <v>N</v>
          </cell>
          <cell r="Z104" t="str">
            <v>N</v>
          </cell>
          <cell r="AA104" t="str">
            <v>N</v>
          </cell>
          <cell r="AB104" t="str">
            <v>IV</v>
          </cell>
          <cell r="AC104" t="str">
            <v>IV</v>
          </cell>
          <cell r="AD104" t="str">
            <v>IV</v>
          </cell>
          <cell r="AE104" t="str">
            <v>IV</v>
          </cell>
          <cell r="AF104" t="str">
            <v xml:space="preserve"> 10% of MPPB ventilation system MAR bounding for facility HEPA filters based on system environmental emission data </v>
          </cell>
          <cell r="AG104" t="str">
            <v>•  None</v>
          </cell>
          <cell r="AH104" t="str">
            <v>•  None</v>
          </cell>
          <cell r="AI104" t="str">
            <v>•  None</v>
          </cell>
          <cell r="AJ104" t="str">
            <v>•  Quality Assurance Program
•  Fire Protection Program
•  Performance Based Training Program
•  Maintenance Program
•  Conduct of Operations</v>
          </cell>
          <cell r="AK104" t="str">
            <v>•  None</v>
          </cell>
          <cell r="AL104" t="str">
            <v>•  None</v>
          </cell>
          <cell r="AM104" t="str">
            <v>•  None</v>
          </cell>
          <cell r="AN104" t="str">
            <v>•  Radiological Protection Program
•  Emergency Response Program
•  Fire Protection Program
•  Performance Based Training Program
•  Conduct of Operations</v>
          </cell>
        </row>
        <row r="105">
          <cell r="A105" t="str">
            <v>MPA</v>
          </cell>
          <cell r="B105">
            <v>17</v>
          </cell>
          <cell r="C105" t="str">
            <v>Flood</v>
          </cell>
          <cell r="D105" t="str">
            <v>A greater than 100-yr  rain event results in sheet flow that floods the storage area. Flooding may be exacerbated by plugged drainage channels or culverts.</v>
          </cell>
          <cell r="E105">
            <v>360</v>
          </cell>
          <cell r="F105" t="str">
            <v>NA</v>
          </cell>
          <cell r="G105" t="str">
            <v>NA</v>
          </cell>
          <cell r="H105" t="str">
            <v>Gnd</v>
          </cell>
          <cell r="I105">
            <v>850</v>
          </cell>
          <cell r="J105" t="str">
            <v>U</v>
          </cell>
          <cell r="K105" t="str">
            <v>N</v>
          </cell>
          <cell r="L105" t="str">
            <v>N</v>
          </cell>
          <cell r="M105" t="str">
            <v>N</v>
          </cell>
          <cell r="N105" t="str">
            <v>N</v>
          </cell>
          <cell r="O105" t="str">
            <v>IV</v>
          </cell>
          <cell r="P105" t="str">
            <v>IV</v>
          </cell>
          <cell r="Q105" t="str">
            <v>IV</v>
          </cell>
          <cell r="R105" t="str">
            <v>IV</v>
          </cell>
          <cell r="S105" t="str">
            <v>NA</v>
          </cell>
          <cell r="T105" t="str">
            <v>NA</v>
          </cell>
          <cell r="U105" t="str">
            <v>Gnd</v>
          </cell>
          <cell r="V105">
            <v>850</v>
          </cell>
          <cell r="W105" t="str">
            <v>U</v>
          </cell>
          <cell r="X105" t="str">
            <v>N</v>
          </cell>
          <cell r="Y105" t="str">
            <v>N</v>
          </cell>
          <cell r="Z105" t="str">
            <v>N</v>
          </cell>
          <cell r="AA105" t="str">
            <v>N</v>
          </cell>
          <cell r="AB105" t="str">
            <v>IV</v>
          </cell>
          <cell r="AC105" t="str">
            <v>IV</v>
          </cell>
          <cell r="AD105" t="str">
            <v>IV</v>
          </cell>
          <cell r="AE105" t="str">
            <v>IV</v>
          </cell>
          <cell r="AF105" t="str">
            <v xml:space="preserve">Site topography places facility outside area vulnerable to flooding (ref. Figure 1.4-6).  MAR is activity in maximally loaded 2-drum Interim Storage Container (Ref. WVNS-CAL-397, Table A-2).  </v>
          </cell>
          <cell r="AG105" t="str">
            <v>•  None</v>
          </cell>
          <cell r="AH105" t="str">
            <v>•  Siting of storage array in area away from areas of anticipated flooding</v>
          </cell>
          <cell r="AI105" t="str">
            <v>•  None</v>
          </cell>
          <cell r="AJ105" t="str">
            <v>•  None</v>
          </cell>
          <cell r="AK105" t="str">
            <v>•  None</v>
          </cell>
          <cell r="AL105" t="str">
            <v>•  None</v>
          </cell>
          <cell r="AM105" t="str">
            <v>•  None</v>
          </cell>
          <cell r="AN105" t="str">
            <v>•  Radiological Protection Program
•  Performance Based Training Program
•  Conduct of Operations</v>
          </cell>
        </row>
        <row r="106">
          <cell r="A106" t="str">
            <v>OUT</v>
          </cell>
          <cell r="B106">
            <v>1</v>
          </cell>
          <cell r="C106" t="str">
            <v>Localized flammable liquid pool fire</v>
          </cell>
          <cell r="D106"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06">
            <v>2100</v>
          </cell>
          <cell r="F106" t="str">
            <v>E01</v>
          </cell>
          <cell r="G106">
            <v>1</v>
          </cell>
          <cell r="H106" t="str">
            <v>Gnd</v>
          </cell>
          <cell r="I106">
            <v>850</v>
          </cell>
          <cell r="J106" t="str">
            <v>U</v>
          </cell>
          <cell r="K106" t="str">
            <v>H</v>
          </cell>
          <cell r="L106" t="str">
            <v>H</v>
          </cell>
          <cell r="M106" t="str">
            <v>N</v>
          </cell>
          <cell r="N106" t="str">
            <v>N</v>
          </cell>
          <cell r="O106" t="str">
            <v>I</v>
          </cell>
          <cell r="P106" t="str">
            <v>I</v>
          </cell>
          <cell r="Q106" t="str">
            <v>IV</v>
          </cell>
          <cell r="R106" t="str">
            <v>IV</v>
          </cell>
          <cell r="S106" t="str">
            <v>E01</v>
          </cell>
          <cell r="T106">
            <v>4.7999999999999996E-3</v>
          </cell>
          <cell r="U106" t="str">
            <v>Gnd</v>
          </cell>
          <cell r="V106">
            <v>850</v>
          </cell>
          <cell r="W106" t="str">
            <v>EU</v>
          </cell>
          <cell r="X106" t="str">
            <v>L</v>
          </cell>
          <cell r="Y106" t="str">
            <v>L</v>
          </cell>
          <cell r="Z106" t="str">
            <v>N</v>
          </cell>
          <cell r="AA106" t="str">
            <v>N</v>
          </cell>
          <cell r="AB106" t="str">
            <v>IV</v>
          </cell>
          <cell r="AC106" t="str">
            <v>IV</v>
          </cell>
          <cell r="AD106" t="str">
            <v>IV</v>
          </cell>
          <cell r="AE106" t="str">
            <v>IV</v>
          </cell>
          <cell r="AF106" t="str">
            <v>Topography and soil conditions in outdoor hardstand areas limit the spatial extent of any fuel spill in the area. MAR is entire inventory of radioactive material in WVDP packaged waste (exclusive of HLW) (Ref.WVNS-CAL-397, Table C-1, Lag Storage).  DR reflects TSR to protect arrays of TRU waste containing greater than 10 PE-Ci from spills of flammable/ combustible liquids</v>
          </cell>
          <cell r="AG106" t="str">
            <v>•  None</v>
          </cell>
          <cell r="AH106" t="str">
            <v>•  None</v>
          </cell>
          <cell r="AI106" t="str">
            <v>• SAC for TRU waste drum fire protection
• SAC for TRU waste container physical protection
• SAC for TRU WASTE AREAS</v>
          </cell>
          <cell r="AJ106" t="str">
            <v xml:space="preserve">•  Quality Assurance Program
•  Fire Protection Program
•  Performance Based Training Program
•  Maintenance Program
•  Conduct of Operations
•  Waste Management Program </v>
          </cell>
          <cell r="AK106" t="str">
            <v>•  APPROVED CONTAINERS used for TRU waste storage
•  TSR-compliant packaging for high activity TRU waste</v>
          </cell>
          <cell r="AL106" t="str">
            <v>•  Steel-deck pallets that limit direct flame impingement on TRU containers
•  Banding of drums on pallets</v>
          </cell>
          <cell r="AM106" t="str">
            <v>•  SAC for APPROVED CONTAINER use
•  SAC for facility inventory control
• SAC for TRU WASTE AREAS</v>
          </cell>
          <cell r="AN106" t="str">
            <v>•  Radiological Protection Program
•  Emergency Response Program
•  Fire Protection Program
•  Performance Based Training Program
•  Conduct of Operations</v>
          </cell>
        </row>
        <row r="107">
          <cell r="A107" t="str">
            <v>OUT</v>
          </cell>
          <cell r="B107">
            <v>2</v>
          </cell>
          <cell r="C107" t="str">
            <v>Small combustible material fire</v>
          </cell>
          <cell r="D107" t="str">
            <v>Fire occurs in a facility area that impacts TRU waste. Includes accidents initiated due to pyrophoric reactions or reactions involving incompatible wastes.</v>
          </cell>
          <cell r="E107">
            <v>360</v>
          </cell>
          <cell r="F107" t="str">
            <v>E02</v>
          </cell>
          <cell r="G107">
            <v>1</v>
          </cell>
          <cell r="H107" t="str">
            <v>Gnd</v>
          </cell>
          <cell r="I107">
            <v>850</v>
          </cell>
          <cell r="J107" t="str">
            <v>U</v>
          </cell>
          <cell r="K107" t="str">
            <v>H</v>
          </cell>
          <cell r="L107" t="str">
            <v>H</v>
          </cell>
          <cell r="M107" t="str">
            <v>N</v>
          </cell>
          <cell r="N107" t="str">
            <v>N</v>
          </cell>
          <cell r="O107" t="str">
            <v>I</v>
          </cell>
          <cell r="P107" t="str">
            <v>I</v>
          </cell>
          <cell r="Q107" t="str">
            <v>IV</v>
          </cell>
          <cell r="R107" t="str">
            <v>IV</v>
          </cell>
          <cell r="S107" t="str">
            <v>E02</v>
          </cell>
          <cell r="T107">
            <v>2.8E-3</v>
          </cell>
          <cell r="U107" t="str">
            <v>Gnd</v>
          </cell>
          <cell r="V107">
            <v>850</v>
          </cell>
          <cell r="W107" t="str">
            <v>U</v>
          </cell>
          <cell r="X107" t="str">
            <v>L</v>
          </cell>
          <cell r="Y107" t="str">
            <v>L</v>
          </cell>
          <cell r="Z107" t="str">
            <v>N</v>
          </cell>
          <cell r="AA107" t="str">
            <v>N</v>
          </cell>
          <cell r="AB107" t="str">
            <v>III</v>
          </cell>
          <cell r="AC107" t="str">
            <v>III</v>
          </cell>
          <cell r="AD107" t="str">
            <v>IV</v>
          </cell>
          <cell r="AE107" t="str">
            <v>IV</v>
          </cell>
          <cell r="AF107" t="str">
            <v>Amount of combustible material in radiologically-controlled areas controlled by WVDP Fire Protection Program. Credit taken for storage of waste in APPROVED CONTAINERS in assuming mitigated event progresses as contained waste fire.  MAR is activity in maximally loaded 2-drum Interim Storage Container (Ref. WVNS-CAL-397, Table A-2).  DR reflects TSR that limits the amount of TRU waste that may be outside of an APPROVED CONTAINER to 1.0 PE-Ci.</v>
          </cell>
          <cell r="AG107" t="str">
            <v>•  None</v>
          </cell>
          <cell r="AH107" t="str">
            <v>•  None</v>
          </cell>
          <cell r="AI107" t="str">
            <v>•  None</v>
          </cell>
          <cell r="AJ107" t="str">
            <v xml:space="preserve">•  Quality Assurance Program
•  Fire Protection Program
-   “Hot work” controls
-   Combustible material control program
•  Performance Based Training Program
•  Maintenance Program
•  Conduct of Operations
•  Waste Management Program </v>
          </cell>
          <cell r="AK107" t="str">
            <v>•  APPROVED CONTAINERS used for TRU waste storage
•  TSR-compliant packaging for high activity TRU waste</v>
          </cell>
          <cell r="AL107" t="str">
            <v>•  None</v>
          </cell>
          <cell r="AM107" t="str">
            <v>•  SAC for APPROVED CONTAINER use
•  SAC for facility inventory control
• SAC for TRU WASTE AREAS</v>
          </cell>
          <cell r="AN107" t="str">
            <v>•  Radiological Protection Program
•  Emergency Response Program
•  Fire Protection Program
•  Performance Based Training Program
•  Conduct of Operations</v>
          </cell>
        </row>
        <row r="108">
          <cell r="A108" t="str">
            <v>OUT</v>
          </cell>
          <cell r="B108">
            <v>3</v>
          </cell>
          <cell r="C108" t="str">
            <v>Localized explosion external to container</v>
          </cell>
          <cell r="D108"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08">
            <v>360</v>
          </cell>
          <cell r="F108" t="str">
            <v>E05</v>
          </cell>
          <cell r="G108">
            <v>1</v>
          </cell>
          <cell r="H108" t="str">
            <v>Gnd</v>
          </cell>
          <cell r="I108">
            <v>850</v>
          </cell>
          <cell r="J108" t="str">
            <v>A</v>
          </cell>
          <cell r="K108" t="str">
            <v>H</v>
          </cell>
          <cell r="L108" t="str">
            <v>M</v>
          </cell>
          <cell r="M108" t="str">
            <v>N</v>
          </cell>
          <cell r="N108" t="str">
            <v>N</v>
          </cell>
          <cell r="O108" t="str">
            <v>I</v>
          </cell>
          <cell r="P108" t="str">
            <v>I</v>
          </cell>
          <cell r="Q108" t="str">
            <v>IV</v>
          </cell>
          <cell r="R108" t="str">
            <v>IV</v>
          </cell>
          <cell r="S108" t="str">
            <v>E05</v>
          </cell>
          <cell r="T108">
            <v>2.8000000000000001E-2</v>
          </cell>
          <cell r="U108" t="str">
            <v>Gnd</v>
          </cell>
          <cell r="V108">
            <v>850</v>
          </cell>
          <cell r="W108" t="str">
            <v>U</v>
          </cell>
          <cell r="X108" t="str">
            <v>L</v>
          </cell>
          <cell r="Y108" t="str">
            <v>L</v>
          </cell>
          <cell r="Z108" t="str">
            <v>N</v>
          </cell>
          <cell r="AA108" t="str">
            <v>N</v>
          </cell>
          <cell r="AB108" t="str">
            <v>III</v>
          </cell>
          <cell r="AC108" t="str">
            <v>III</v>
          </cell>
          <cell r="AD108" t="str">
            <v>IV</v>
          </cell>
          <cell r="AE108" t="str">
            <v>IV</v>
          </cell>
          <cell r="AF108"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08" t="str">
            <v>•  None</v>
          </cell>
          <cell r="AH108" t="str">
            <v>•  None</v>
          </cell>
          <cell r="AI108" t="str">
            <v>•  None</v>
          </cell>
          <cell r="AJ108" t="str">
            <v xml:space="preserve">•  Quality Assurance Program
•  Fire Protection Program
•  Performance Based Training Program
•  Maintenance Program
•  Waste Management Program </v>
          </cell>
          <cell r="AK108" t="str">
            <v>•   APPROVED CONTAINERS used for TRU waste storage
•   TSR-compliant packaging for high activity TRU waste</v>
          </cell>
          <cell r="AL108" t="str">
            <v>•  None</v>
          </cell>
          <cell r="AM108" t="str">
            <v>•  SAC for APPROVED CONTAINER use
•  SAC for facility inventory control</v>
          </cell>
          <cell r="AN108" t="str">
            <v>•  Radiological Protection Program
•  Emergency Response Program
•  Fire Protection Program
•  Performance Based Training Program
•  Conduct of Operations</v>
          </cell>
        </row>
        <row r="109">
          <cell r="A109" t="str">
            <v>OUT</v>
          </cell>
          <cell r="B109">
            <v>4</v>
          </cell>
          <cell r="C109" t="str">
            <v>Waste container deflagration</v>
          </cell>
          <cell r="D109" t="str">
            <v>Hydrogen or other flammable/explosive gases inside a container is ignited.</v>
          </cell>
          <cell r="E109">
            <v>360</v>
          </cell>
          <cell r="F109" t="str">
            <v>E06</v>
          </cell>
          <cell r="G109">
            <v>1</v>
          </cell>
          <cell r="H109" t="str">
            <v>Gnd</v>
          </cell>
          <cell r="I109">
            <v>850</v>
          </cell>
          <cell r="J109" t="str">
            <v>U</v>
          </cell>
          <cell r="K109" t="str">
            <v>H</v>
          </cell>
          <cell r="L109" t="str">
            <v>M</v>
          </cell>
          <cell r="M109" t="str">
            <v>N</v>
          </cell>
          <cell r="N109" t="str">
            <v>N</v>
          </cell>
          <cell r="O109" t="str">
            <v>I</v>
          </cell>
          <cell r="P109" t="str">
            <v>II</v>
          </cell>
          <cell r="Q109" t="str">
            <v>IV</v>
          </cell>
          <cell r="R109" t="str">
            <v>IV</v>
          </cell>
          <cell r="S109" t="str">
            <v>E06</v>
          </cell>
          <cell r="T109">
            <v>0.25</v>
          </cell>
          <cell r="U109" t="str">
            <v>Gnd</v>
          </cell>
          <cell r="V109">
            <v>850</v>
          </cell>
          <cell r="W109" t="str">
            <v>EU</v>
          </cell>
          <cell r="X109" t="str">
            <v>M</v>
          </cell>
          <cell r="Y109" t="str">
            <v>M</v>
          </cell>
          <cell r="Z109" t="str">
            <v>N</v>
          </cell>
          <cell r="AA109" t="str">
            <v>N</v>
          </cell>
          <cell r="AB109" t="str">
            <v>III</v>
          </cell>
          <cell r="AC109" t="str">
            <v>III</v>
          </cell>
          <cell r="AD109" t="str">
            <v>IV</v>
          </cell>
          <cell r="AE109" t="str">
            <v>IV</v>
          </cell>
          <cell r="AF109" t="str">
            <v>Waste form and waste package vent filters contribute to low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09" t="str">
            <v>•  None</v>
          </cell>
          <cell r="AH109" t="str">
            <v>•  HEPA filter vents on waste containers</v>
          </cell>
          <cell r="AI109" t="str">
            <v>•  None</v>
          </cell>
          <cell r="AJ109" t="str">
            <v xml:space="preserve">•  Quality Assurance Program
•  Fire Protection Program
•  Performance Based Training Program
•  Maintenance Program
•  Waste Management Program </v>
          </cell>
          <cell r="AK109" t="str">
            <v>•   TSR-compliant packaging for high activity TRU waste</v>
          </cell>
          <cell r="AL109" t="str">
            <v>•  None</v>
          </cell>
          <cell r="AM109" t="str">
            <v>•  SAC for APPROVED CONTAINER use
•  SAC for facility inventory control</v>
          </cell>
          <cell r="AN109" t="str">
            <v>•  Radiological Protection Program
•  Emergency Response Program
•  Fire Protection Program
•  Performance Based Training Program
•  Conduct of Operations</v>
          </cell>
        </row>
        <row r="110">
          <cell r="A110" t="str">
            <v>OUT</v>
          </cell>
          <cell r="B110">
            <v>5</v>
          </cell>
          <cell r="C110" t="str">
            <v>Vehicle/equipment impacts waste/waste containers</v>
          </cell>
          <cell r="D110"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10">
            <v>360</v>
          </cell>
          <cell r="F110" t="str">
            <v>E09</v>
          </cell>
          <cell r="G110">
            <v>0.01</v>
          </cell>
          <cell r="H110" t="str">
            <v>Gnd</v>
          </cell>
          <cell r="I110">
            <v>850</v>
          </cell>
          <cell r="J110" t="str">
            <v>A</v>
          </cell>
          <cell r="K110" t="str">
            <v>N</v>
          </cell>
          <cell r="L110" t="str">
            <v>L</v>
          </cell>
          <cell r="M110" t="str">
            <v>N</v>
          </cell>
          <cell r="N110" t="str">
            <v>N</v>
          </cell>
          <cell r="O110" t="str">
            <v>IV</v>
          </cell>
          <cell r="P110" t="str">
            <v>III</v>
          </cell>
          <cell r="Q110" t="str">
            <v>IV</v>
          </cell>
          <cell r="R110" t="str">
            <v>IV</v>
          </cell>
          <cell r="S110" t="str">
            <v>E09</v>
          </cell>
          <cell r="T110">
            <v>0.01</v>
          </cell>
          <cell r="U110" t="str">
            <v>Gnd</v>
          </cell>
          <cell r="V110">
            <v>850</v>
          </cell>
          <cell r="W110" t="str">
            <v>A</v>
          </cell>
          <cell r="X110" t="str">
            <v>N</v>
          </cell>
          <cell r="Y110" t="str">
            <v>L</v>
          </cell>
          <cell r="Z110" t="str">
            <v>N</v>
          </cell>
          <cell r="AA110" t="str">
            <v>N</v>
          </cell>
          <cell r="AB110" t="str">
            <v>IV</v>
          </cell>
          <cell r="AC110" t="str">
            <v>III</v>
          </cell>
          <cell r="AD110" t="str">
            <v>IV</v>
          </cell>
          <cell r="AE110" t="str">
            <v>IV</v>
          </cell>
          <cell r="AF110" t="str">
            <v xml:space="preserve">Containers assumed to be impacted by handling equipment travelling &lt;10 mph.  MAR is activity in maximally loaded 2-drum Interim Storage Container (Ref. WVNS-CAL-397, Table A-2).  </v>
          </cell>
          <cell r="AG110" t="str">
            <v>•  None</v>
          </cell>
          <cell r="AH110" t="str">
            <v>•  Physical barriers such as Jersey barriers or facility structure that protects waste containers from vehicle impacts</v>
          </cell>
          <cell r="AI110" t="str">
            <v>• SAC for TRU waste container physical protection
• SAC for TRU WASTE AREAS</v>
          </cell>
          <cell r="AJ110" t="str">
            <v xml:space="preserve">•  Quality Assurance Program
•  Performance Based Training Program
•  Maintenance Program
•  Conduct of Operations
•  Waste Management Program </v>
          </cell>
          <cell r="AK110" t="str">
            <v>•   TSR-compliant packaging for high activity TRU waste</v>
          </cell>
          <cell r="AL110" t="str">
            <v>•  None</v>
          </cell>
          <cell r="AM110" t="str">
            <v>• SAC for TRU WASTE AREAS</v>
          </cell>
          <cell r="AN110" t="str">
            <v>•  Radiological Protection Program
•  Emergency Response Program
•  Performance Based Training Program
•  Conduct of Operations</v>
          </cell>
        </row>
        <row r="111">
          <cell r="A111" t="str">
            <v>OUT</v>
          </cell>
          <cell r="B111">
            <v>6</v>
          </cell>
          <cell r="C111" t="str">
            <v>Drop/impact/spill</v>
          </cell>
          <cell r="D111" t="str">
            <v>This event is due to mishandling of containers; or to drops/impacts caused by equipment failure; or leaks caused by corrosion, construction defect, or improper closure.</v>
          </cell>
          <cell r="E111">
            <v>360</v>
          </cell>
          <cell r="F111" t="str">
            <v>E10</v>
          </cell>
          <cell r="G111">
            <v>0.1</v>
          </cell>
          <cell r="H111" t="str">
            <v>Gnd</v>
          </cell>
          <cell r="I111">
            <v>850</v>
          </cell>
          <cell r="J111" t="str">
            <v>A</v>
          </cell>
          <cell r="K111" t="str">
            <v>L</v>
          </cell>
          <cell r="L111" t="str">
            <v>L</v>
          </cell>
          <cell r="M111" t="str">
            <v>N</v>
          </cell>
          <cell r="N111" t="str">
            <v>N</v>
          </cell>
          <cell r="O111" t="str">
            <v>III</v>
          </cell>
          <cell r="P111" t="str">
            <v>III</v>
          </cell>
          <cell r="Q111" t="str">
            <v>IV</v>
          </cell>
          <cell r="R111" t="str">
            <v>IV</v>
          </cell>
          <cell r="S111" t="str">
            <v>E10</v>
          </cell>
          <cell r="T111">
            <v>0.1</v>
          </cell>
          <cell r="U111" t="str">
            <v>Gnd</v>
          </cell>
          <cell r="V111">
            <v>850</v>
          </cell>
          <cell r="W111" t="str">
            <v>U</v>
          </cell>
          <cell r="X111" t="str">
            <v>L</v>
          </cell>
          <cell r="Y111" t="str">
            <v>L</v>
          </cell>
          <cell r="Z111" t="str">
            <v>N</v>
          </cell>
          <cell r="AA111" t="str">
            <v>N</v>
          </cell>
          <cell r="AB111" t="str">
            <v>III</v>
          </cell>
          <cell r="AC111" t="str">
            <v>III</v>
          </cell>
          <cell r="AD111" t="str">
            <v>IV</v>
          </cell>
          <cell r="AE111" t="str">
            <v>IV</v>
          </cell>
          <cell r="AF111" t="str">
            <v xml:space="preserve">Event is a low energy breach of container confinement (e.g. tine puncture or container drop).  MAR is activity in maximally loaded 2-drum Interim Storage Container (Ref. WVNS-CAL-397, Table A-2).  </v>
          </cell>
          <cell r="AG111" t="str">
            <v>•  None</v>
          </cell>
          <cell r="AH111" t="str">
            <v>•  None</v>
          </cell>
          <cell r="AI111" t="str">
            <v>•  None</v>
          </cell>
          <cell r="AJ111" t="str">
            <v xml:space="preserve">•  Quality Assurance Program
•  Performance Based Training Program
•  Maintenance Program
•  Conduct of Operations
•  Waste Management Program </v>
          </cell>
          <cell r="AK111" t="str">
            <v>•   TSR-compliant packaging for high activity TRU waste</v>
          </cell>
          <cell r="AL111" t="str">
            <v>•  None</v>
          </cell>
          <cell r="AM111" t="str">
            <v>• SAC for TRU WASTE AREAS</v>
          </cell>
          <cell r="AN111" t="str">
            <v>•  Radiological Protection Program
•  Emergency Response Program
•  Performance Based Training Program
•  Conduct of Operations</v>
          </cell>
        </row>
        <row r="112">
          <cell r="A112" t="str">
            <v>OUT</v>
          </cell>
          <cell r="B112">
            <v>7</v>
          </cell>
          <cell r="C112" t="str">
            <v>Collapse of stacked containers</v>
          </cell>
          <cell r="D112" t="str">
            <v>Collapse of a stacked array of containers due to corrosion, defective construction, or damage of containers, or due to improper stacking (e.g., exceeding limits, unstable array).</v>
          </cell>
          <cell r="E112">
            <v>1050</v>
          </cell>
          <cell r="F112" t="str">
            <v>E11</v>
          </cell>
          <cell r="G112">
            <v>0.1</v>
          </cell>
          <cell r="H112" t="str">
            <v>Gnd</v>
          </cell>
          <cell r="I112">
            <v>850</v>
          </cell>
          <cell r="J112" t="str">
            <v>A</v>
          </cell>
          <cell r="K112" t="str">
            <v>L</v>
          </cell>
          <cell r="L112" t="str">
            <v>L</v>
          </cell>
          <cell r="M112" t="str">
            <v>N</v>
          </cell>
          <cell r="N112" t="str">
            <v>N</v>
          </cell>
          <cell r="O112" t="str">
            <v>III</v>
          </cell>
          <cell r="P112" t="str">
            <v>III</v>
          </cell>
          <cell r="Q112" t="str">
            <v>IV</v>
          </cell>
          <cell r="R112" t="str">
            <v>IV</v>
          </cell>
          <cell r="S112" t="str">
            <v>E11</v>
          </cell>
          <cell r="T112">
            <v>0.1</v>
          </cell>
          <cell r="U112" t="str">
            <v>Gnd</v>
          </cell>
          <cell r="V112">
            <v>850</v>
          </cell>
          <cell r="W112" t="str">
            <v>U</v>
          </cell>
          <cell r="X112" t="str">
            <v>L</v>
          </cell>
          <cell r="Y112" t="str">
            <v>L</v>
          </cell>
          <cell r="Z112" t="str">
            <v>N</v>
          </cell>
          <cell r="AA112" t="str">
            <v>N</v>
          </cell>
          <cell r="AB112" t="str">
            <v>III</v>
          </cell>
          <cell r="AC112" t="str">
            <v>III</v>
          </cell>
          <cell r="AD112" t="str">
            <v>IV</v>
          </cell>
          <cell r="AE112" t="str">
            <v>IV</v>
          </cell>
          <cell r="AF112" t="str">
            <v xml:space="preserve"> MAR assumed to be half of activity in storage (i.e., activity in containers on 3rd and 4th tier of storage array (Ref. WVNS-CAL-397, Appendix A) </v>
          </cell>
          <cell r="AG112" t="str">
            <v>•  None</v>
          </cell>
          <cell r="AH112" t="str">
            <v>•  None</v>
          </cell>
          <cell r="AI112" t="str">
            <v>•  None</v>
          </cell>
          <cell r="AJ112" t="str">
            <v xml:space="preserve">•  Quality Assurance Program
•  Performance Based Training Program
•  Maintenance Program
•  Waste Management Program </v>
          </cell>
          <cell r="AK112" t="str">
            <v>•   APPROVED CONTAINERS used for TRU waste storage
•   TSR-compliant packaging for high activity TRU waste</v>
          </cell>
          <cell r="AL112" t="str">
            <v>•  Steel pallets used for TRU waste storage arrays
•  Banding of drums on pallets</v>
          </cell>
          <cell r="AM112" t="str">
            <v>•  None</v>
          </cell>
          <cell r="AN112" t="str">
            <v>•  Radiological Protection Program
•  Emergency Response Program
•  Performance Based Training Program
•  Conduct of Operations</v>
          </cell>
        </row>
        <row r="113">
          <cell r="A113" t="str">
            <v>OUT</v>
          </cell>
          <cell r="B113">
            <v>8</v>
          </cell>
          <cell r="C113" t="str">
            <v>Waste container over-pressurization</v>
          </cell>
          <cell r="D113" t="str">
            <v>Container failure occurs due to pressure buildup, possibly due to radiolysis of water or other hydrogenous material, thermal expansion of material/gases inside the container, or chemical reactions inside the container.</v>
          </cell>
          <cell r="E113">
            <v>360</v>
          </cell>
          <cell r="F113" t="str">
            <v>E12</v>
          </cell>
          <cell r="G113">
            <v>1</v>
          </cell>
          <cell r="H113" t="str">
            <v>Gnd</v>
          </cell>
          <cell r="I113">
            <v>850</v>
          </cell>
          <cell r="J113" t="str">
            <v>A</v>
          </cell>
          <cell r="K113" t="str">
            <v>M</v>
          </cell>
          <cell r="L113" t="str">
            <v>M</v>
          </cell>
          <cell r="M113" t="str">
            <v>N</v>
          </cell>
          <cell r="N113" t="str">
            <v>N</v>
          </cell>
          <cell r="O113" t="str">
            <v>I</v>
          </cell>
          <cell r="P113" t="str">
            <v>I</v>
          </cell>
          <cell r="Q113" t="str">
            <v>IV</v>
          </cell>
          <cell r="R113" t="str">
            <v>IV</v>
          </cell>
          <cell r="S113" t="str">
            <v>E12</v>
          </cell>
          <cell r="T113">
            <v>0.1</v>
          </cell>
          <cell r="U113" t="str">
            <v>Gnd</v>
          </cell>
          <cell r="V113">
            <v>850</v>
          </cell>
          <cell r="W113" t="str">
            <v>A</v>
          </cell>
          <cell r="X113" t="str">
            <v>L</v>
          </cell>
          <cell r="Y113" t="str">
            <v>L</v>
          </cell>
          <cell r="Z113" t="str">
            <v>N</v>
          </cell>
          <cell r="AA113" t="str">
            <v>N</v>
          </cell>
          <cell r="AB113" t="str">
            <v>III</v>
          </cell>
          <cell r="AC113" t="str">
            <v>III</v>
          </cell>
          <cell r="AD113" t="str">
            <v>IV</v>
          </cell>
          <cell r="AE113" t="str">
            <v>IV</v>
          </cell>
          <cell r="AF113" t="str">
            <v>Waste form and waste package vent filters contribute to reducing the probability of this event.  MAR is activity in maximally loaded 2-drum Interim Storage Container (Ref. WVNS-CAL-397, Table A-2).  High PE-Ci waste is overpacked. DR reflects credit allowed per Section 4.4.2 of STD-5506. Resultant MAR bounds credible conservative non-overpacked MAR (10 PE-Ci)</v>
          </cell>
          <cell r="AG113" t="str">
            <v>•  None</v>
          </cell>
          <cell r="AH113" t="str">
            <v>•  HEPA filter vents on waste containers</v>
          </cell>
          <cell r="AI113" t="str">
            <v>•  None</v>
          </cell>
          <cell r="AJ113" t="str">
            <v xml:space="preserve">•  Quality Assurance Program
•  Performance Based Training Program
•  Waste Management Program </v>
          </cell>
          <cell r="AK113" t="str">
            <v>•  None</v>
          </cell>
          <cell r="AL113" t="str">
            <v>•  Lid restraining devices for bulging drums</v>
          </cell>
          <cell r="AM113" t="str">
            <v>• SAC for TRU WASTE AREAS</v>
          </cell>
          <cell r="AN113" t="str">
            <v>•  Radiological Protection Program
•  Emergency Response Program
•  Performance Based Training Program
•  Conduct of Operations</v>
          </cell>
        </row>
        <row r="114">
          <cell r="A114" t="str">
            <v>OUT</v>
          </cell>
          <cell r="B114">
            <v>9</v>
          </cell>
          <cell r="C114" t="str">
            <v>Direct exposure to radiation</v>
          </cell>
          <cell r="D114" t="str">
            <v>Exposure to ionizing radiation from the waste, possibly due to loss of proper shielding within a container or instrument miscalibration</v>
          </cell>
          <cell r="E114" t="str">
            <v>Not applicable.</v>
          </cell>
          <cell r="F114" t="str">
            <v>NA</v>
          </cell>
          <cell r="G114" t="str">
            <v>NA</v>
          </cell>
          <cell r="H114" t="str">
            <v>Gnd</v>
          </cell>
          <cell r="I114">
            <v>850</v>
          </cell>
          <cell r="J114" t="str">
            <v>A</v>
          </cell>
          <cell r="K114" t="str">
            <v>M</v>
          </cell>
          <cell r="L114" t="str">
            <v>N</v>
          </cell>
          <cell r="M114" t="str">
            <v>N</v>
          </cell>
          <cell r="N114" t="str">
            <v>N</v>
          </cell>
          <cell r="O114" t="str">
            <v>I</v>
          </cell>
          <cell r="P114" t="str">
            <v>IV</v>
          </cell>
          <cell r="Q114" t="str">
            <v>IV</v>
          </cell>
          <cell r="R114" t="str">
            <v>IV</v>
          </cell>
          <cell r="S114" t="str">
            <v>NA</v>
          </cell>
          <cell r="T114" t="str">
            <v>NA</v>
          </cell>
          <cell r="U114" t="str">
            <v>Gnd</v>
          </cell>
          <cell r="V114">
            <v>850</v>
          </cell>
          <cell r="W114" t="str">
            <v>U</v>
          </cell>
          <cell r="X114" t="str">
            <v>L</v>
          </cell>
          <cell r="Y114" t="str">
            <v>N</v>
          </cell>
          <cell r="Z114" t="str">
            <v>N</v>
          </cell>
          <cell r="AA114" t="str">
            <v>N</v>
          </cell>
          <cell r="AB114" t="str">
            <v>III</v>
          </cell>
          <cell r="AC114" t="str">
            <v>IV</v>
          </cell>
          <cell r="AD114" t="str">
            <v>IV</v>
          </cell>
          <cell r="AE114" t="str">
            <v>IV</v>
          </cell>
          <cell r="AF114" t="str">
            <v xml:space="preserve">None.  </v>
          </cell>
          <cell r="AG114" t="str">
            <v>•  None</v>
          </cell>
          <cell r="AH114" t="str">
            <v>•  Engineered radiation shielding on high dose rate waste containers</v>
          </cell>
          <cell r="AI114" t="str">
            <v>•  None</v>
          </cell>
          <cell r="AJ114" t="str">
            <v xml:space="preserve">•  Radiological Protection Program
•  Quality Assurance Program
•  Performance Based Training Program
•  Conduct of Operations
•  Waste Management Program </v>
          </cell>
          <cell r="AK114" t="str">
            <v>•  None</v>
          </cell>
          <cell r="AL114" t="str">
            <v>•  None</v>
          </cell>
          <cell r="AM114" t="str">
            <v>•  None</v>
          </cell>
          <cell r="AN114" t="str">
            <v>•  Radiological Protection Program
•  Performance Based Training Program
•  Conduct of Operations</v>
          </cell>
        </row>
        <row r="115">
          <cell r="A115" t="str">
            <v>OUT</v>
          </cell>
          <cell r="B115">
            <v>10</v>
          </cell>
          <cell r="C115" t="str">
            <v>Criticality</v>
          </cell>
          <cell r="D115" t="str">
            <v>Inadvertent criticality occurs due to multiple independent failures and/or highly improbable circumstances</v>
          </cell>
          <cell r="E115" t="str">
            <v>&gt;450 FGE
Pu-239</v>
          </cell>
          <cell r="F115" t="str">
            <v>NA</v>
          </cell>
          <cell r="G115" t="str">
            <v>NA</v>
          </cell>
          <cell r="H115" t="str">
            <v>Gnd</v>
          </cell>
          <cell r="I115">
            <v>850</v>
          </cell>
          <cell r="J115" t="str">
            <v>BEU</v>
          </cell>
          <cell r="K115" t="str">
            <v>H</v>
          </cell>
          <cell r="L115" t="str">
            <v>N</v>
          </cell>
          <cell r="M115" t="str">
            <v>N</v>
          </cell>
          <cell r="N115" t="str">
            <v>N</v>
          </cell>
          <cell r="O115" t="str">
            <v>III</v>
          </cell>
          <cell r="P115" t="str">
            <v>IV</v>
          </cell>
          <cell r="Q115" t="str">
            <v>IV</v>
          </cell>
          <cell r="R115" t="str">
            <v>IV</v>
          </cell>
          <cell r="S115" t="str">
            <v>NA</v>
          </cell>
          <cell r="T115" t="str">
            <v>NA</v>
          </cell>
          <cell r="U115" t="str">
            <v>Gnd</v>
          </cell>
          <cell r="V115">
            <v>850</v>
          </cell>
          <cell r="W115" t="str">
            <v>BEU</v>
          </cell>
          <cell r="X115" t="str">
            <v>H</v>
          </cell>
          <cell r="Y115" t="str">
            <v>N</v>
          </cell>
          <cell r="Z115" t="str">
            <v>N</v>
          </cell>
          <cell r="AA115" t="str">
            <v>N</v>
          </cell>
          <cell r="AB115" t="str">
            <v>III</v>
          </cell>
          <cell r="AC115" t="str">
            <v>IV</v>
          </cell>
          <cell r="AD115" t="str">
            <v>IV</v>
          </cell>
          <cell r="AE115" t="str">
            <v>IV</v>
          </cell>
          <cell r="AF115" t="str">
            <v xml:space="preserve">Nuclear criticality safety administrative controls ensure that only safe quantities of fissile material are placed in waste packages.   </v>
          </cell>
          <cell r="AG115" t="str">
            <v>• PSRs for fissile material storage container specifications</v>
          </cell>
          <cell r="AH115" t="str">
            <v>•  None</v>
          </cell>
          <cell r="AI115" t="str">
            <v>• PSR limits on container fissile mass
• PSR for fissile material storage containers</v>
          </cell>
          <cell r="AJ115" t="str">
            <v xml:space="preserve">•  Radiological Protection Program
•  Nuclear Criticality Safety Program
•  Quality Assurance Program
•  Performance Based Training Program
•  Conduct of Operations
•  Waste Management Program </v>
          </cell>
          <cell r="AK115" t="str">
            <v>•  None</v>
          </cell>
          <cell r="AL115" t="str">
            <v>•  None</v>
          </cell>
          <cell r="AM115" t="str">
            <v>•  None</v>
          </cell>
          <cell r="AN115" t="str">
            <v>•  Radiological Protection Program
•  Nuclear Criticality Safety Program
•  Emergency Response Program
•  Performance Based Training Program
•  Conduct of Operations</v>
          </cell>
        </row>
        <row r="116">
          <cell r="A116" t="str">
            <v>OUT</v>
          </cell>
          <cell r="B116">
            <v>11</v>
          </cell>
          <cell r="C116" t="str">
            <v>Aircraft impact with fire</v>
          </cell>
          <cell r="D116" t="str">
            <v>Small general aviation aircraft or helicopter crashes and a fire ensues</v>
          </cell>
          <cell r="E116">
            <v>2100</v>
          </cell>
          <cell r="F116" t="str">
            <v>E15</v>
          </cell>
          <cell r="G116">
            <v>1</v>
          </cell>
          <cell r="H116" t="str">
            <v>Gnd</v>
          </cell>
          <cell r="I116">
            <v>850</v>
          </cell>
          <cell r="J116" t="str">
            <v>BEU</v>
          </cell>
          <cell r="K116" t="str">
            <v>H</v>
          </cell>
          <cell r="L116" t="str">
            <v>H</v>
          </cell>
          <cell r="M116" t="str">
            <v>N</v>
          </cell>
          <cell r="N116" t="str">
            <v>N</v>
          </cell>
          <cell r="O116" t="str">
            <v>III</v>
          </cell>
          <cell r="P116" t="str">
            <v>III</v>
          </cell>
          <cell r="Q116" t="str">
            <v>IV</v>
          </cell>
          <cell r="R116" t="str">
            <v>IV</v>
          </cell>
          <cell r="S116" t="str">
            <v>E15</v>
          </cell>
          <cell r="T116">
            <v>1</v>
          </cell>
          <cell r="U116" t="str">
            <v>Gnd</v>
          </cell>
          <cell r="V116">
            <v>850</v>
          </cell>
          <cell r="W116" t="str">
            <v>BEU</v>
          </cell>
          <cell r="X116" t="str">
            <v>H</v>
          </cell>
          <cell r="Y116" t="str">
            <v>H</v>
          </cell>
          <cell r="Z116" t="str">
            <v>N</v>
          </cell>
          <cell r="AA116" t="str">
            <v>N</v>
          </cell>
          <cell r="AB116" t="str">
            <v>III</v>
          </cell>
          <cell r="AC116" t="str">
            <v>III</v>
          </cell>
          <cell r="AD116" t="str">
            <v>IV</v>
          </cell>
          <cell r="AE116" t="str">
            <v>IV</v>
          </cell>
          <cell r="AF116" t="str">
            <v xml:space="preserve">Event assumes waste containers breach in a manner similar to external vehicle accident event. Event BEU per WVNS-CAL-388. MAR is entire inventory of radioactive material in WVDP packaged waste (exclusive of HLW) (Ref.WVNS-CAL-397, Table C-1, Lag Storage).  </v>
          </cell>
          <cell r="AG116" t="str">
            <v>•  None</v>
          </cell>
          <cell r="AH116" t="str">
            <v>•  None</v>
          </cell>
          <cell r="AI116" t="str">
            <v>•  None</v>
          </cell>
          <cell r="AJ116" t="str">
            <v>•  None</v>
          </cell>
          <cell r="AK116" t="str">
            <v>•   APPROVED CONTAINERS used for TRU waste storage
•   TSR-compliant packaging for high activity TRU waste</v>
          </cell>
          <cell r="AL116" t="str">
            <v>•  None</v>
          </cell>
          <cell r="AM116" t="str">
            <v>• SAC for APPROVED CONTAINER use
• SAC for TRU WASTE AREAS</v>
          </cell>
          <cell r="AN116" t="str">
            <v>•  Radiological Protection Program
•  Emergency Response Program
•  Fire Protection Program
•  Performance Based Training Program
•  Conduct of Operations</v>
          </cell>
        </row>
        <row r="117">
          <cell r="A117" t="str">
            <v>OUT</v>
          </cell>
          <cell r="B117">
            <v>12</v>
          </cell>
          <cell r="C117" t="str">
            <v>External vehicle accident</v>
          </cell>
          <cell r="D117" t="str">
            <v>Impact of waste on hardstand by vehicle having a speed that can't be reasonably assumed to be &lt;~10 mph</v>
          </cell>
          <cell r="E117">
            <v>2100</v>
          </cell>
          <cell r="F117" t="str">
            <v>E16</v>
          </cell>
          <cell r="G117">
            <v>0.1</v>
          </cell>
          <cell r="H117" t="str">
            <v>Gnd</v>
          </cell>
          <cell r="I117">
            <v>850</v>
          </cell>
          <cell r="J117" t="str">
            <v>A</v>
          </cell>
          <cell r="K117" t="str">
            <v>H</v>
          </cell>
          <cell r="L117" t="str">
            <v>H</v>
          </cell>
          <cell r="M117" t="str">
            <v>N</v>
          </cell>
          <cell r="N117" t="str">
            <v>N</v>
          </cell>
          <cell r="O117" t="str">
            <v>I</v>
          </cell>
          <cell r="P117" t="str">
            <v>I</v>
          </cell>
          <cell r="Q117" t="str">
            <v>IV</v>
          </cell>
          <cell r="R117" t="str">
            <v>IV</v>
          </cell>
          <cell r="S117" t="str">
            <v>E16</v>
          </cell>
          <cell r="T117">
            <v>0.1</v>
          </cell>
          <cell r="U117" t="str">
            <v>Gnd</v>
          </cell>
          <cell r="V117">
            <v>850</v>
          </cell>
          <cell r="W117" t="str">
            <v>BEU</v>
          </cell>
          <cell r="X117" t="str">
            <v>H</v>
          </cell>
          <cell r="Y117" t="str">
            <v>H</v>
          </cell>
          <cell r="Z117" t="str">
            <v>N</v>
          </cell>
          <cell r="AA117" t="str">
            <v>N</v>
          </cell>
          <cell r="AB117" t="str">
            <v>III</v>
          </cell>
          <cell r="AC117" t="str">
            <v>III</v>
          </cell>
          <cell r="AD117" t="str">
            <v>IV</v>
          </cell>
          <cell r="AE117" t="str">
            <v>IV</v>
          </cell>
          <cell r="AF117"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7" t="str">
            <v>•  None</v>
          </cell>
          <cell r="AH117" t="str">
            <v>•  Physical barriers such as Jersey barriers to protect from vehicle impacts</v>
          </cell>
          <cell r="AI117" t="str">
            <v>• SAC for TRU waste drum fire protection
• SAC for TRU waste container physical protection</v>
          </cell>
          <cell r="AJ117" t="str">
            <v xml:space="preserve">•  Quality Assurance Program
•  Performance Based Training Program
•  Waste Management Program </v>
          </cell>
          <cell r="AK117" t="str">
            <v>•   TSR-compliant packaging for high activity TRU waste</v>
          </cell>
          <cell r="AL117" t="str">
            <v>•  None</v>
          </cell>
          <cell r="AM117" t="str">
            <v>• SAC for TRU WASTE AREAS</v>
          </cell>
          <cell r="AN117" t="str">
            <v>•  Emergency Response Program
•  Radiological Protection Program</v>
          </cell>
        </row>
        <row r="118">
          <cell r="A118" t="str">
            <v>OUT</v>
          </cell>
          <cell r="B118">
            <v>13</v>
          </cell>
          <cell r="C118" t="str">
            <v>External vehicle accident with fire</v>
          </cell>
          <cell r="D118" t="str">
            <v>Impact of waste on hardstand by vehicle having a speed that can't be reasonably assumed to be &lt;~10 mph accompanied by fire</v>
          </cell>
          <cell r="E118">
            <v>2100</v>
          </cell>
          <cell r="F118" t="str">
            <v>E17</v>
          </cell>
          <cell r="G118">
            <v>1</v>
          </cell>
          <cell r="H118" t="str">
            <v>Gnd</v>
          </cell>
          <cell r="I118">
            <v>850</v>
          </cell>
          <cell r="J118" t="str">
            <v>U</v>
          </cell>
          <cell r="K118" t="str">
            <v>H</v>
          </cell>
          <cell r="L118" t="str">
            <v>H</v>
          </cell>
          <cell r="M118" t="str">
            <v>N</v>
          </cell>
          <cell r="N118" t="str">
            <v>N</v>
          </cell>
          <cell r="O118" t="str">
            <v>I</v>
          </cell>
          <cell r="P118" t="str">
            <v>I</v>
          </cell>
          <cell r="Q118" t="str">
            <v>IV</v>
          </cell>
          <cell r="R118" t="str">
            <v>IV</v>
          </cell>
          <cell r="S118" t="str">
            <v>E17</v>
          </cell>
          <cell r="T118">
            <v>1</v>
          </cell>
          <cell r="U118" t="str">
            <v>Gnd</v>
          </cell>
          <cell r="V118">
            <v>850</v>
          </cell>
          <cell r="W118" t="str">
            <v>BEU</v>
          </cell>
          <cell r="X118" t="str">
            <v>H</v>
          </cell>
          <cell r="Y118" t="str">
            <v>H</v>
          </cell>
          <cell r="Z118" t="str">
            <v>N</v>
          </cell>
          <cell r="AA118" t="str">
            <v>N</v>
          </cell>
          <cell r="AB118" t="str">
            <v>III</v>
          </cell>
          <cell r="AC118" t="str">
            <v>III</v>
          </cell>
          <cell r="AD118" t="str">
            <v>IV</v>
          </cell>
          <cell r="AE118" t="str">
            <v>IV</v>
          </cell>
          <cell r="AF118" t="str">
            <v xml:space="preserve">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 MAR is entire inventory of radioactive material in WVDP packaged waste (exclusive of HLW) (Ref.WVNS-CAL-397, Table C-1, Lag Storage).  </v>
          </cell>
          <cell r="AG118" t="str">
            <v>•  None</v>
          </cell>
          <cell r="AH118" t="str">
            <v>•  Physical barriers such as Jersey barriers to protect from vehicle impacts</v>
          </cell>
          <cell r="AI118" t="str">
            <v>• SAC for TRU waste drum fire protection
• SAC for TRU waste container physical protection</v>
          </cell>
          <cell r="AJ118" t="str">
            <v xml:space="preserve">•  Quality Assurance Program
•  Performance Based Training Program
•  Waste Management Program </v>
          </cell>
          <cell r="AK118" t="str">
            <v>•   APPROVED CONTAINERS used for TRU waste storage
•   TSR-compliant packaging for high activity TRU waste</v>
          </cell>
          <cell r="AL118" t="str">
            <v>•  None</v>
          </cell>
          <cell r="AM118" t="str">
            <v>• SAC for APPROVED CONTAINER use</v>
          </cell>
          <cell r="AN118" t="str">
            <v>•  Radiological Protection Program
•  Emergency Response Program
•  Fire Protection Program
•  Performance Based Training Program
•  Conduct of Operations</v>
          </cell>
        </row>
        <row r="119">
          <cell r="A119" t="str">
            <v>OUT</v>
          </cell>
          <cell r="B119">
            <v>14</v>
          </cell>
          <cell r="C119" t="str">
            <v>External explosion</v>
          </cell>
          <cell r="D119" t="str">
            <v>Explosion involving failure of equipment not directly related to facility operations (e.g. natural gas line rupture) with possible missiles generated</v>
          </cell>
          <cell r="E119">
            <v>360</v>
          </cell>
          <cell r="F119" t="str">
            <v>E18</v>
          </cell>
          <cell r="G119">
            <v>1</v>
          </cell>
          <cell r="H119" t="str">
            <v>Gnd</v>
          </cell>
          <cell r="I119">
            <v>850</v>
          </cell>
          <cell r="J119" t="str">
            <v>U</v>
          </cell>
          <cell r="K119" t="str">
            <v>M</v>
          </cell>
          <cell r="L119" t="str">
            <v>M</v>
          </cell>
          <cell r="M119" t="str">
            <v>N</v>
          </cell>
          <cell r="N119" t="str">
            <v>N</v>
          </cell>
          <cell r="O119" t="str">
            <v>II</v>
          </cell>
          <cell r="P119" t="str">
            <v>II</v>
          </cell>
          <cell r="Q119" t="str">
            <v>IV</v>
          </cell>
          <cell r="R119" t="str">
            <v>IV</v>
          </cell>
          <cell r="S119" t="str">
            <v>E18</v>
          </cell>
          <cell r="T119">
            <v>1</v>
          </cell>
          <cell r="U119" t="str">
            <v>Gnd</v>
          </cell>
          <cell r="V119">
            <v>850</v>
          </cell>
          <cell r="W119" t="str">
            <v>EU</v>
          </cell>
          <cell r="X119" t="str">
            <v>M</v>
          </cell>
          <cell r="Y119" t="str">
            <v>M</v>
          </cell>
          <cell r="Z119" t="str">
            <v>N</v>
          </cell>
          <cell r="AA119" t="str">
            <v>N</v>
          </cell>
          <cell r="AB119" t="str">
            <v>III</v>
          </cell>
          <cell r="AC119" t="str">
            <v>III</v>
          </cell>
          <cell r="AD119" t="str">
            <v>IV</v>
          </cell>
          <cell r="AE119" t="str">
            <v>IV</v>
          </cell>
          <cell r="AF119" t="str">
            <v xml:space="preserve">Event assumed to be due to explosion of passing (onsite) vehicle payload (e.g., bottled gas, flammable liquids, etc.).  MAR is activity in maximally loaded 2-drum Interim Storage Container (Ref. WVNS-CAL-397, Table A-2).  </v>
          </cell>
          <cell r="AG119" t="str">
            <v>•  None</v>
          </cell>
          <cell r="AH119" t="str">
            <v>•  None</v>
          </cell>
          <cell r="AI119" t="str">
            <v>• SAC for TRU waste container physical protection</v>
          </cell>
          <cell r="AJ119" t="str">
            <v>•  Quality Assurance Program
•  Performance Based Training Program
•  Maintenance Program</v>
          </cell>
          <cell r="AK119" t="str">
            <v>•   APPROVED CONTAINERS used for TRU waste storage
•   TSR-compliant packaging for high activity TRU waste</v>
          </cell>
          <cell r="AL119" t="str">
            <v>•  None</v>
          </cell>
          <cell r="AM119" t="str">
            <v>• SAC for APPROVED CONTAINER use</v>
          </cell>
          <cell r="AN119" t="str">
            <v>•  Radiological Protection Program
•  Emergency Response Program
•  Fire Protection Program
•  Performance Based Training Program
•  Conduct of Operations</v>
          </cell>
        </row>
        <row r="120">
          <cell r="A120" t="str">
            <v>OUT</v>
          </cell>
          <cell r="B120">
            <v>15</v>
          </cell>
          <cell r="C120" t="str">
            <v>External fire</v>
          </cell>
          <cell r="D120" t="str">
            <v>A fire begins away from an outdoor waste staging or storage area and propagates to a staging or storage area. The external fire could be from a wildland fire, other facility, or another fire source.</v>
          </cell>
          <cell r="E120">
            <v>2100</v>
          </cell>
          <cell r="F120" t="str">
            <v>E19</v>
          </cell>
          <cell r="G120">
            <v>0.5</v>
          </cell>
          <cell r="H120" t="str">
            <v>Gnd</v>
          </cell>
          <cell r="I120">
            <v>850</v>
          </cell>
          <cell r="J120" t="str">
            <v>U</v>
          </cell>
          <cell r="K120" t="str">
            <v>H</v>
          </cell>
          <cell r="L120" t="str">
            <v>H</v>
          </cell>
          <cell r="M120" t="str">
            <v>N</v>
          </cell>
          <cell r="N120" t="str">
            <v>N</v>
          </cell>
          <cell r="O120" t="str">
            <v>I</v>
          </cell>
          <cell r="P120" t="str">
            <v>I</v>
          </cell>
          <cell r="Q120" t="str">
            <v>IV</v>
          </cell>
          <cell r="R120" t="str">
            <v>IV</v>
          </cell>
          <cell r="S120" t="str">
            <v>E19</v>
          </cell>
          <cell r="T120">
            <v>0.05</v>
          </cell>
          <cell r="U120" t="str">
            <v>Gnd</v>
          </cell>
          <cell r="V120">
            <v>850</v>
          </cell>
          <cell r="W120" t="str">
            <v>EU</v>
          </cell>
          <cell r="X120" t="str">
            <v>M</v>
          </cell>
          <cell r="Y120" t="str">
            <v>M</v>
          </cell>
          <cell r="Z120" t="str">
            <v>N</v>
          </cell>
          <cell r="AA120" t="str">
            <v>N</v>
          </cell>
          <cell r="AB120" t="str">
            <v>III</v>
          </cell>
          <cell r="AC120" t="str">
            <v>III</v>
          </cell>
          <cell r="AD120" t="str">
            <v>IV</v>
          </cell>
          <cell r="AE120" t="str">
            <v>IV</v>
          </cell>
          <cell r="AF120" t="str">
            <v>Use of APPROVED CONTAINERS recognized as mitigating consequences of event. Fire Protection Program recognized as mitigating probability of event.  MAR is entire inventory of radioactive material in WVDP packaged waste (exclusive of HLW) (Ref.WVNS-CAL-397, Table C-1, Lag Storage).  DR assumes that 10% of array is exposed to critical heat flux.</v>
          </cell>
          <cell r="AG120" t="str">
            <v>•  None</v>
          </cell>
          <cell r="AH120" t="str">
            <v>•  None</v>
          </cell>
          <cell r="AI120" t="str">
            <v>• SAC for TRU waste container physical protection</v>
          </cell>
          <cell r="AJ120" t="str">
            <v>•  Fire Protection Program
•  Maintenance Program</v>
          </cell>
          <cell r="AK120" t="str">
            <v>•   APPROVED CONTAINERS used for TRU waste storage
•   TSR-compliant packaging for high activity TRU waste</v>
          </cell>
          <cell r="AL120" t="str">
            <v>•  Non-combustible facility sheathing/ exterior</v>
          </cell>
          <cell r="AM120" t="str">
            <v>• SAC for APPROVED CONTAINER use</v>
          </cell>
          <cell r="AN120" t="str">
            <v>•  Emergency Response Program
•  Fire Protection Program
•  Radiological Protection Program</v>
          </cell>
        </row>
        <row r="121">
          <cell r="A121" t="str">
            <v>OUT</v>
          </cell>
          <cell r="B121">
            <v>16</v>
          </cell>
          <cell r="C121" t="str">
            <v>Lightning</v>
          </cell>
          <cell r="D121" t="str">
            <v>Lightning strikes a storage container</v>
          </cell>
          <cell r="E121">
            <v>360</v>
          </cell>
          <cell r="F121" t="str">
            <v>E20</v>
          </cell>
          <cell r="G121">
            <v>1</v>
          </cell>
          <cell r="H121" t="str">
            <v>Gnd</v>
          </cell>
          <cell r="I121">
            <v>850</v>
          </cell>
          <cell r="J121" t="str">
            <v>U</v>
          </cell>
          <cell r="K121" t="str">
            <v>M</v>
          </cell>
          <cell r="L121" t="str">
            <v>M</v>
          </cell>
          <cell r="M121" t="str">
            <v>N</v>
          </cell>
          <cell r="N121" t="str">
            <v>N</v>
          </cell>
          <cell r="O121" t="str">
            <v>II</v>
          </cell>
          <cell r="P121" t="str">
            <v>II</v>
          </cell>
          <cell r="Q121" t="str">
            <v>IV</v>
          </cell>
          <cell r="R121" t="str">
            <v>IV</v>
          </cell>
          <cell r="S121" t="str">
            <v>E20</v>
          </cell>
          <cell r="T121">
            <v>2.8000000000000001E-2</v>
          </cell>
          <cell r="U121" t="str">
            <v>Gnd</v>
          </cell>
          <cell r="V121">
            <v>850</v>
          </cell>
          <cell r="W121" t="str">
            <v>U</v>
          </cell>
          <cell r="X121" t="str">
            <v>L</v>
          </cell>
          <cell r="Y121" t="str">
            <v>L</v>
          </cell>
          <cell r="Z121" t="str">
            <v>N</v>
          </cell>
          <cell r="AA121" t="str">
            <v>N</v>
          </cell>
          <cell r="AB121" t="str">
            <v>III</v>
          </cell>
          <cell r="AC121" t="str">
            <v>III</v>
          </cell>
          <cell r="AD121" t="str">
            <v>IV</v>
          </cell>
          <cell r="AE121" t="str">
            <v>IV</v>
          </cell>
          <cell r="AF121" t="str">
            <v>Rapid heating of waste container could induce seal/lid failure with ejected waste.  MAR is activity in maximally loaded 2-drum Interim Storage Container (Ref. WVNS-CAL-397, Table A-2).  DR credits SAC that requires TRU waste containing &gt;10 PE-Ci be in containers capable of meeting SAC physical protection functional requirements.</v>
          </cell>
          <cell r="AG121" t="str">
            <v>•  None</v>
          </cell>
          <cell r="AH121" t="str">
            <v>•  None</v>
          </cell>
          <cell r="AI121" t="str">
            <v>•  None</v>
          </cell>
          <cell r="AJ121" t="str">
            <v xml:space="preserve">•  Quality Assurance Program
•  Waste Management Program </v>
          </cell>
          <cell r="AK121" t="str">
            <v>•  None</v>
          </cell>
          <cell r="AL121" t="str">
            <v>•  None</v>
          </cell>
          <cell r="AM121" t="str">
            <v>•  None</v>
          </cell>
          <cell r="AN121" t="str">
            <v>•  Radiological Protection Program
•  Emergency Response Program
•  Fire Protection Program
•  Performance Based Training Program
•  Conduct of Operations</v>
          </cell>
        </row>
        <row r="122">
          <cell r="A122" t="str">
            <v>OUT</v>
          </cell>
          <cell r="B122">
            <v>17</v>
          </cell>
          <cell r="C122" t="str">
            <v>High wind</v>
          </cell>
          <cell r="D122" t="str">
            <v>High winds cause impacts to outdoor waste containers via falling objects or flipping of waste containers. The falling objects may be cranes or parts from a nearby facility structure.</v>
          </cell>
          <cell r="E122">
            <v>2100</v>
          </cell>
          <cell r="F122" t="str">
            <v>E21</v>
          </cell>
          <cell r="G122">
            <v>0.01</v>
          </cell>
          <cell r="H122" t="str">
            <v>Gnd</v>
          </cell>
          <cell r="I122">
            <v>850</v>
          </cell>
          <cell r="J122" t="str">
            <v>A</v>
          </cell>
          <cell r="K122" t="str">
            <v>L</v>
          </cell>
          <cell r="L122" t="str">
            <v>L</v>
          </cell>
          <cell r="M122" t="str">
            <v>N</v>
          </cell>
          <cell r="N122" t="str">
            <v>N</v>
          </cell>
          <cell r="O122" t="str">
            <v>III</v>
          </cell>
          <cell r="P122" t="str">
            <v>III</v>
          </cell>
          <cell r="Q122" t="str">
            <v>IV</v>
          </cell>
          <cell r="R122" t="str">
            <v>IV</v>
          </cell>
          <cell r="S122" t="str">
            <v>E21</v>
          </cell>
          <cell r="T122">
            <v>0.01</v>
          </cell>
          <cell r="U122" t="str">
            <v>Gnd</v>
          </cell>
          <cell r="V122">
            <v>850</v>
          </cell>
          <cell r="W122" t="str">
            <v>U</v>
          </cell>
          <cell r="X122" t="str">
            <v>L</v>
          </cell>
          <cell r="Y122" t="str">
            <v>L</v>
          </cell>
          <cell r="Z122" t="str">
            <v>N</v>
          </cell>
          <cell r="AA122" t="str">
            <v>N</v>
          </cell>
          <cell r="AB122" t="str">
            <v>III</v>
          </cell>
          <cell r="AC122" t="str">
            <v>III</v>
          </cell>
          <cell r="AD122" t="str">
            <v>IV</v>
          </cell>
          <cell r="AE122" t="str">
            <v>IV</v>
          </cell>
          <cell r="AF122" t="str">
            <v xml:space="preserve">Stored waste containers potentially affected by blown objects. High wind conditions would disperse any release material in a manner significantly greater than 95% meteorological condition assumptions.  MAR is entire inventory of radioactive material in WVDP packaged waste (exclusive of HLW) (Ref.WVNS-CAL-397, Table C-1, Lag Storage).  </v>
          </cell>
          <cell r="AG122" t="str">
            <v>•  None</v>
          </cell>
          <cell r="AH122" t="str">
            <v>•  None</v>
          </cell>
          <cell r="AI122" t="str">
            <v>•  None</v>
          </cell>
          <cell r="AJ122" t="str">
            <v xml:space="preserve">•  Quality Assurance Program
•  Performance Based Training Program
•  Waste Management Program </v>
          </cell>
          <cell r="AK122" t="str">
            <v>•   TSR-compliant packaging for high activity TRU waste</v>
          </cell>
          <cell r="AL122" t="str">
            <v>•  None</v>
          </cell>
          <cell r="AM122" t="str">
            <v>•  None</v>
          </cell>
          <cell r="AN122" t="str">
            <v>•  Radiological Protection Program
•  Emergency Response Program
•  Performance Based Training Program
•  Conduct of Operations</v>
          </cell>
        </row>
        <row r="123">
          <cell r="A123" t="str">
            <v>OUT</v>
          </cell>
          <cell r="B123">
            <v>18</v>
          </cell>
          <cell r="C123" t="str">
            <v>Tornado</v>
          </cell>
          <cell r="D123" t="str">
            <v>Direct effects of tornado winds, falling objects, or tornado-produced missiles causing impacts to the facility.</v>
          </cell>
          <cell r="E123">
            <v>2100</v>
          </cell>
          <cell r="F123" t="str">
            <v>E22</v>
          </cell>
          <cell r="G123">
            <v>1</v>
          </cell>
          <cell r="H123" t="str">
            <v>Gnd</v>
          </cell>
          <cell r="I123">
            <v>850</v>
          </cell>
          <cell r="J123" t="str">
            <v>U</v>
          </cell>
          <cell r="K123" t="str">
            <v>H</v>
          </cell>
          <cell r="L123" t="str">
            <v>M</v>
          </cell>
          <cell r="M123" t="str">
            <v>N</v>
          </cell>
          <cell r="N123" t="str">
            <v>N</v>
          </cell>
          <cell r="O123" t="str">
            <v>I</v>
          </cell>
          <cell r="P123" t="str">
            <v>II</v>
          </cell>
          <cell r="Q123" t="str">
            <v>IV</v>
          </cell>
          <cell r="R123" t="str">
            <v>IV</v>
          </cell>
          <cell r="S123" t="str">
            <v>E22</v>
          </cell>
          <cell r="T123">
            <v>0.18</v>
          </cell>
          <cell r="U123" t="str">
            <v>Gnd</v>
          </cell>
          <cell r="V123">
            <v>850</v>
          </cell>
          <cell r="W123" t="str">
            <v>EU</v>
          </cell>
          <cell r="X123" t="str">
            <v>M</v>
          </cell>
          <cell r="Y123" t="str">
            <v>M</v>
          </cell>
          <cell r="Z123" t="str">
            <v>N</v>
          </cell>
          <cell r="AA123" t="str">
            <v>N</v>
          </cell>
          <cell r="AB123" t="str">
            <v>III</v>
          </cell>
          <cell r="AC123" t="str">
            <v>III</v>
          </cell>
          <cell r="AD123" t="str">
            <v>IV</v>
          </cell>
          <cell r="AE123" t="str">
            <v>IV</v>
          </cell>
          <cell r="AF123" t="str">
            <v>High wind conditions would disperse any released material in a manner significantly greater than 95% meteorological condition assumptions.  MAR is entire inventory of radioactive material in WVDP packaged waste (exclusive of HLW) (Ref.WVNS-CAL-397, Table C-1, Lag Storage).  Tornado borne missiles assumed to impact four TRU waste drums: max container and three at 99th percentile.</v>
          </cell>
          <cell r="AG123" t="str">
            <v>•  None</v>
          </cell>
          <cell r="AH123" t="str">
            <v>•  None</v>
          </cell>
          <cell r="AI123" t="str">
            <v>•  None</v>
          </cell>
          <cell r="AJ123" t="str">
            <v>•  None</v>
          </cell>
          <cell r="AK123" t="str">
            <v>•   TSR-compliant packaging for high activity TRU waste</v>
          </cell>
          <cell r="AL123" t="str">
            <v>•  None</v>
          </cell>
          <cell r="AM123" t="str">
            <v>•  None</v>
          </cell>
          <cell r="AN123" t="str">
            <v>•  Radiological Protection Program
•  Emergency Response Program
•  Performance Based Training Program
•  Conduct of Operations</v>
          </cell>
        </row>
        <row r="124">
          <cell r="A124" t="str">
            <v>OUT</v>
          </cell>
          <cell r="B124">
            <v>19</v>
          </cell>
          <cell r="C124" t="str">
            <v>Snow and/or ice buildup</v>
          </cell>
          <cell r="D124" t="str">
            <v>Snow and/or ice buildup causes failure of stored waste container</v>
          </cell>
          <cell r="E124">
            <v>2100</v>
          </cell>
          <cell r="F124" t="str">
            <v>E23</v>
          </cell>
          <cell r="G124">
            <v>1E-3</v>
          </cell>
          <cell r="H124" t="str">
            <v>Gnd</v>
          </cell>
          <cell r="I124">
            <v>850</v>
          </cell>
          <cell r="J124" t="str">
            <v>U</v>
          </cell>
          <cell r="K124" t="str">
            <v>N</v>
          </cell>
          <cell r="L124" t="str">
            <v>L</v>
          </cell>
          <cell r="M124" t="str">
            <v>N</v>
          </cell>
          <cell r="N124" t="str">
            <v>N</v>
          </cell>
          <cell r="O124" t="str">
            <v>IV</v>
          </cell>
          <cell r="P124" t="str">
            <v>III</v>
          </cell>
          <cell r="Q124" t="str">
            <v>IV</v>
          </cell>
          <cell r="R124" t="str">
            <v>IV</v>
          </cell>
          <cell r="S124" t="str">
            <v>E23</v>
          </cell>
          <cell r="T124">
            <v>1E-3</v>
          </cell>
          <cell r="U124" t="str">
            <v>Gnd</v>
          </cell>
          <cell r="V124">
            <v>850</v>
          </cell>
          <cell r="W124" t="str">
            <v>U</v>
          </cell>
          <cell r="X124" t="str">
            <v>N</v>
          </cell>
          <cell r="Y124" t="str">
            <v>L</v>
          </cell>
          <cell r="Z124" t="str">
            <v>N</v>
          </cell>
          <cell r="AA124" t="str">
            <v>N</v>
          </cell>
          <cell r="AB124" t="str">
            <v>IV</v>
          </cell>
          <cell r="AC124" t="str">
            <v>III</v>
          </cell>
          <cell r="AD124" t="str">
            <v>IV</v>
          </cell>
          <cell r="AE124" t="str">
            <v>IV</v>
          </cell>
          <cell r="AF124" t="str">
            <v xml:space="preserve">Construction of waste storage containers more than adequate to support anticipated snow/ice loadings.  MAR is entire inventory of radioactive material in WVDP packaged waste (exclusive of HLW) (Ref.WVNS-CAL-397, Table C-1, Lag Storage).  </v>
          </cell>
          <cell r="AG124" t="str">
            <v>•  None</v>
          </cell>
          <cell r="AH124" t="str">
            <v>•  None</v>
          </cell>
          <cell r="AI124" t="str">
            <v>•  None</v>
          </cell>
          <cell r="AJ124" t="str">
            <v xml:space="preserve">•  Quality Assurance Program
•  Performance Based Training Program
•  Waste Management Program </v>
          </cell>
          <cell r="AK124" t="str">
            <v>•  None</v>
          </cell>
          <cell r="AL124" t="str">
            <v>•  None</v>
          </cell>
          <cell r="AM124" t="str">
            <v>•  None</v>
          </cell>
          <cell r="AN124" t="str">
            <v>•  Radiological Protection Program
•  Performance Based Training Program
•  Conduct of Operations</v>
          </cell>
        </row>
        <row r="125">
          <cell r="A125" t="str">
            <v>OUT</v>
          </cell>
          <cell r="B125">
            <v>20</v>
          </cell>
          <cell r="C125" t="str">
            <v>Seismic event</v>
          </cell>
          <cell r="D125" t="str">
            <v>Seismic event causes toppling of outdoor waste containers.</v>
          </cell>
          <cell r="E125">
            <v>2100</v>
          </cell>
          <cell r="F125" t="str">
            <v>E24</v>
          </cell>
          <cell r="G125">
            <v>0.01</v>
          </cell>
          <cell r="H125" t="str">
            <v>Gnd</v>
          </cell>
          <cell r="I125">
            <v>850</v>
          </cell>
          <cell r="J125" t="str">
            <v>U</v>
          </cell>
          <cell r="K125" t="str">
            <v>L</v>
          </cell>
          <cell r="L125" t="str">
            <v>L</v>
          </cell>
          <cell r="M125" t="str">
            <v>N</v>
          </cell>
          <cell r="N125" t="str">
            <v>N</v>
          </cell>
          <cell r="O125" t="str">
            <v>III</v>
          </cell>
          <cell r="P125" t="str">
            <v>III</v>
          </cell>
          <cell r="Q125" t="str">
            <v>IV</v>
          </cell>
          <cell r="R125" t="str">
            <v>IV</v>
          </cell>
          <cell r="S125" t="str">
            <v>E24</v>
          </cell>
          <cell r="T125">
            <v>0.01</v>
          </cell>
          <cell r="U125" t="str">
            <v>Gnd</v>
          </cell>
          <cell r="V125">
            <v>850</v>
          </cell>
          <cell r="W125" t="str">
            <v>U</v>
          </cell>
          <cell r="X125" t="str">
            <v>L</v>
          </cell>
          <cell r="Y125" t="str">
            <v>L</v>
          </cell>
          <cell r="Z125" t="str">
            <v>N</v>
          </cell>
          <cell r="AA125" t="str">
            <v>N</v>
          </cell>
          <cell r="AB125" t="str">
            <v>III</v>
          </cell>
          <cell r="AC125" t="str">
            <v>III</v>
          </cell>
          <cell r="AD125" t="str">
            <v>IV</v>
          </cell>
          <cell r="AE125" t="str">
            <v>IV</v>
          </cell>
          <cell r="AF125" t="str">
            <v xml:space="preserve"> MAR is entire inventory of radioactive material in WVDP packaged waste (exclusive of HLW) (Ref.WVNS-CAL-397, Table C-1, Lag Storage).  </v>
          </cell>
          <cell r="AG125" t="str">
            <v>•  None</v>
          </cell>
          <cell r="AH125" t="str">
            <v>•  None</v>
          </cell>
          <cell r="AI125" t="str">
            <v>•  None</v>
          </cell>
          <cell r="AJ125" t="str">
            <v>•  None</v>
          </cell>
          <cell r="AK125" t="str">
            <v>•   APPROVED CONTAINERS used for TRU waste storage
•   TSR-compliant packaging for high activity TRU waste</v>
          </cell>
          <cell r="AL125" t="str">
            <v>•  None</v>
          </cell>
          <cell r="AM125" t="str">
            <v>•  None</v>
          </cell>
          <cell r="AN125" t="str">
            <v>•  Radiological Protection Program
•  Emergency Response Program
•  Performance Based Training Program
•  Conduct of Operations</v>
          </cell>
        </row>
        <row r="126">
          <cell r="A126" t="str">
            <v>OUT</v>
          </cell>
          <cell r="B126">
            <v>21</v>
          </cell>
          <cell r="C126" t="str">
            <v>Loss of liquid contamination confinement</v>
          </cell>
          <cell r="D126" t="str">
            <v>Waste container containing residual liquids fails, resulting in loss of liquid contamination to the environment</v>
          </cell>
          <cell r="E126">
            <v>1</v>
          </cell>
          <cell r="F126" t="str">
            <v>FFS</v>
          </cell>
          <cell r="G126">
            <v>0.5</v>
          </cell>
          <cell r="H126" t="str">
            <v>Gnd</v>
          </cell>
          <cell r="I126">
            <v>850</v>
          </cell>
          <cell r="J126" t="str">
            <v>A</v>
          </cell>
          <cell r="K126" t="str">
            <v>N</v>
          </cell>
          <cell r="L126" t="str">
            <v>N</v>
          </cell>
          <cell r="M126" t="str">
            <v>N</v>
          </cell>
          <cell r="N126" t="str">
            <v>N</v>
          </cell>
          <cell r="O126" t="str">
            <v>IV</v>
          </cell>
          <cell r="P126" t="str">
            <v>IV</v>
          </cell>
          <cell r="Q126" t="str">
            <v>IV</v>
          </cell>
          <cell r="R126" t="str">
            <v>IV</v>
          </cell>
          <cell r="S126" t="str">
            <v>FFS</v>
          </cell>
          <cell r="T126">
            <v>0.5</v>
          </cell>
          <cell r="U126" t="str">
            <v>Gnd</v>
          </cell>
          <cell r="V126">
            <v>850</v>
          </cell>
          <cell r="W126" t="str">
            <v>A</v>
          </cell>
          <cell r="X126" t="str">
            <v>N</v>
          </cell>
          <cell r="Y126" t="str">
            <v>N</v>
          </cell>
          <cell r="Z126" t="str">
            <v>N</v>
          </cell>
          <cell r="AA126" t="str">
            <v>N</v>
          </cell>
          <cell r="AB126" t="str">
            <v>IV</v>
          </cell>
          <cell r="AC126" t="str">
            <v>IV</v>
          </cell>
          <cell r="AD126" t="str">
            <v>IV</v>
          </cell>
          <cell r="AE126" t="str">
            <v>IV</v>
          </cell>
          <cell r="AF126" t="str">
            <v xml:space="preserve">None.  </v>
          </cell>
          <cell r="AG126" t="str">
            <v>•  None</v>
          </cell>
          <cell r="AH126" t="str">
            <v>•  Cell liners/sumps and/or area berms</v>
          </cell>
          <cell r="AI126" t="str">
            <v>•  None</v>
          </cell>
          <cell r="AJ126" t="str">
            <v xml:space="preserve">•  Quality Assurance Program
•  Performance Based Training Program
•  Maintenance Program
•  Conduct of Operations
•  Waste Management Program </v>
          </cell>
          <cell r="AK126" t="str">
            <v>•  None</v>
          </cell>
          <cell r="AL126" t="str">
            <v>•  None</v>
          </cell>
          <cell r="AM126" t="str">
            <v>•  None</v>
          </cell>
          <cell r="AN126" t="str">
            <v>•  Radiological Protection Program
•  Performance Based Training Program
•  Conduct of Operations</v>
          </cell>
        </row>
        <row r="127">
          <cell r="A127" t="str">
            <v>OUT</v>
          </cell>
          <cell r="B127">
            <v>22</v>
          </cell>
          <cell r="C127" t="str">
            <v>Flood</v>
          </cell>
          <cell r="D127" t="str">
            <v>A greater than 100-yr  rain event results in sheet flow that floods the storage area. Flooding may be exacerbated by plugged drainage channels or culverts.</v>
          </cell>
          <cell r="E127">
            <v>2100</v>
          </cell>
          <cell r="F127" t="str">
            <v>NA</v>
          </cell>
          <cell r="G127" t="str">
            <v>NA</v>
          </cell>
          <cell r="H127" t="str">
            <v>Gnd</v>
          </cell>
          <cell r="I127">
            <v>850</v>
          </cell>
          <cell r="J127" t="str">
            <v>U</v>
          </cell>
          <cell r="K127" t="str">
            <v>N</v>
          </cell>
          <cell r="L127" t="str">
            <v>N</v>
          </cell>
          <cell r="M127" t="str">
            <v>N</v>
          </cell>
          <cell r="N127" t="str">
            <v>N</v>
          </cell>
          <cell r="O127" t="str">
            <v>IV</v>
          </cell>
          <cell r="P127" t="str">
            <v>IV</v>
          </cell>
          <cell r="Q127" t="str">
            <v>IV</v>
          </cell>
          <cell r="R127" t="str">
            <v>IV</v>
          </cell>
          <cell r="S127" t="str">
            <v>NA</v>
          </cell>
          <cell r="T127" t="str">
            <v>NA</v>
          </cell>
          <cell r="U127" t="str">
            <v>Gnd</v>
          </cell>
          <cell r="V127">
            <v>850</v>
          </cell>
          <cell r="W127" t="str">
            <v>U</v>
          </cell>
          <cell r="X127" t="str">
            <v>N</v>
          </cell>
          <cell r="Y127" t="str">
            <v>N</v>
          </cell>
          <cell r="Z127" t="str">
            <v>N</v>
          </cell>
          <cell r="AA127" t="str">
            <v>N</v>
          </cell>
          <cell r="AB127" t="str">
            <v>IV</v>
          </cell>
          <cell r="AC127" t="str">
            <v>IV</v>
          </cell>
          <cell r="AD127" t="str">
            <v>IV</v>
          </cell>
          <cell r="AE127" t="str">
            <v>IV</v>
          </cell>
          <cell r="AF127" t="str">
            <v xml:space="preserve">Site topography places facility outside area vulnerable to flooding (ref. Figure 1.4-6).  MAR is entire inventory of radioactive material in WVDP packaged waste (exclusive of HLW) (Ref.WVNS-CAL-397, Table C-1, Lag Storage).  </v>
          </cell>
          <cell r="AG127" t="str">
            <v>•  None</v>
          </cell>
          <cell r="AH127" t="str">
            <v>•  Siting of storage array in area away from areas of anticipated flooding</v>
          </cell>
          <cell r="AI127" t="str">
            <v>•  None</v>
          </cell>
          <cell r="AJ127" t="str">
            <v>•  None</v>
          </cell>
          <cell r="AK127" t="str">
            <v>•  None</v>
          </cell>
          <cell r="AL127" t="str">
            <v>•  None</v>
          </cell>
          <cell r="AM127" t="str">
            <v>•  None</v>
          </cell>
          <cell r="AN127" t="str">
            <v>•  Radiological Protection Program
•  Performance Based Training Program
•  Conduct of Operations</v>
          </cell>
        </row>
        <row r="128">
          <cell r="A128" t="str">
            <v>RH</v>
          </cell>
          <cell r="B128">
            <v>1</v>
          </cell>
          <cell r="C128" t="str">
            <v>Localized flammable liquid pool fire</v>
          </cell>
          <cell r="D128" t="str">
            <v>Fuel or other flammable fluid pool fire resulting from leaking equipment or vehicle.  An unspecified ignition source ignites the fuel and a fire ensues that is of sufficient duration and intensity to lead to a release of radioactive material from containerized waste.</v>
          </cell>
          <cell r="E128">
            <v>1000</v>
          </cell>
          <cell r="F128" t="str">
            <v>E01</v>
          </cell>
          <cell r="G128">
            <v>1</v>
          </cell>
          <cell r="H128" t="str">
            <v>20m</v>
          </cell>
          <cell r="I128">
            <v>850</v>
          </cell>
          <cell r="J128" t="str">
            <v>EU</v>
          </cell>
          <cell r="K128" t="str">
            <v>N</v>
          </cell>
          <cell r="L128" t="str">
            <v>M</v>
          </cell>
          <cell r="M128" t="str">
            <v>N</v>
          </cell>
          <cell r="N128" t="str">
            <v>N</v>
          </cell>
          <cell r="O128" t="str">
            <v>IV</v>
          </cell>
          <cell r="P128" t="str">
            <v>III</v>
          </cell>
          <cell r="Q128" t="str">
            <v>IV</v>
          </cell>
          <cell r="R128" t="str">
            <v>IV</v>
          </cell>
          <cell r="S128" t="str">
            <v>E01</v>
          </cell>
          <cell r="T128">
            <v>0.01</v>
          </cell>
          <cell r="U128" t="str">
            <v>20m</v>
          </cell>
          <cell r="V128">
            <v>850</v>
          </cell>
          <cell r="W128" t="str">
            <v>EU</v>
          </cell>
          <cell r="X128" t="str">
            <v>N</v>
          </cell>
          <cell r="Y128" t="str">
            <v>L</v>
          </cell>
          <cell r="Z128" t="str">
            <v>N</v>
          </cell>
          <cell r="AA128" t="str">
            <v>N</v>
          </cell>
          <cell r="AB128" t="str">
            <v>IV</v>
          </cell>
          <cell r="AC128" t="str">
            <v>IV</v>
          </cell>
          <cell r="AD128" t="str">
            <v>IV</v>
          </cell>
          <cell r="AE128" t="str">
            <v>IV</v>
          </cell>
          <cell r="AF128"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 MAR is all waste originating from the HECs (Ref. WVNS-CAL-397, Table A-2, HC Gen Area = "HEC" or "PBS") plus ICA inventory limit.  DR reflects TSR to protect arrays of TRU waste containing greater than 10 PE-Ci from spills of flammable/ combustible liquids</v>
          </cell>
          <cell r="AG128" t="str">
            <v>•  None</v>
          </cell>
          <cell r="AH128" t="str">
            <v>•  None</v>
          </cell>
          <cell r="AI128" t="str">
            <v>•  SAC for TRU waste drum fire protection
•  SAC for TRU waste container physical protection</v>
          </cell>
          <cell r="AJ128" t="str">
            <v xml:space="preserve">•  Quality Assurance Program
•  Fire Protection Program
•  Performance Based Training Program
•  Maintenance Program
•  Conduct of Operations
•  Waste Management Program </v>
          </cell>
          <cell r="AK128" t="str">
            <v>•  APPROVED CONTAINERS used for TRU waste storage
•  TSR-compliant packaging for high activity TRU waste</v>
          </cell>
          <cell r="AL128" t="str">
            <v xml:space="preserve">•  Steel-deck pallets that limit direct flame impingement on TRU containers
•  Wet pipe sprinkler system in Receiving Area and Load Out
</v>
          </cell>
          <cell r="AM128" t="str">
            <v>•  SAC for APPROVED CONTAINER use
•  SAC for facility inventory control</v>
          </cell>
          <cell r="AN128" t="str">
            <v>•  Radiological Protection Program
•  Emergency Response Program
•  Fire Protection Program
•  Performance Based Training Program
•  Conduct of Operations</v>
          </cell>
        </row>
        <row r="129">
          <cell r="A129" t="str">
            <v>RH</v>
          </cell>
          <cell r="B129">
            <v>2</v>
          </cell>
          <cell r="C129" t="str">
            <v>Small combustible material fire</v>
          </cell>
          <cell r="D129" t="str">
            <v>Fire occurs in a contaminated facility area. Includes accidents initiated due to pyrophoric reactions or reactions involving incompatible materials.</v>
          </cell>
          <cell r="E129">
            <v>360</v>
          </cell>
          <cell r="F129" t="str">
            <v>E02</v>
          </cell>
          <cell r="G129">
            <v>1</v>
          </cell>
          <cell r="H129" t="str">
            <v>20m</v>
          </cell>
          <cell r="I129">
            <v>850</v>
          </cell>
          <cell r="J129" t="str">
            <v>A</v>
          </cell>
          <cell r="K129" t="str">
            <v>N</v>
          </cell>
          <cell r="L129" t="str">
            <v>M</v>
          </cell>
          <cell r="M129" t="str">
            <v>N</v>
          </cell>
          <cell r="N129" t="str">
            <v>N</v>
          </cell>
          <cell r="O129" t="str">
            <v>IV</v>
          </cell>
          <cell r="P129" t="str">
            <v>I</v>
          </cell>
          <cell r="Q129" t="str">
            <v>IV</v>
          </cell>
          <cell r="R129" t="str">
            <v>IV</v>
          </cell>
          <cell r="S129" t="str">
            <v>CWF</v>
          </cell>
          <cell r="T129">
            <v>1</v>
          </cell>
          <cell r="U129" t="str">
            <v>20m</v>
          </cell>
          <cell r="V129">
            <v>850</v>
          </cell>
          <cell r="W129" t="str">
            <v>U</v>
          </cell>
          <cell r="X129" t="str">
            <v>N</v>
          </cell>
          <cell r="Y129" t="str">
            <v>L</v>
          </cell>
          <cell r="Z129" t="str">
            <v>N</v>
          </cell>
          <cell r="AA129" t="str">
            <v>N</v>
          </cell>
          <cell r="AB129" t="str">
            <v>IV</v>
          </cell>
          <cell r="AC129" t="str">
            <v>III</v>
          </cell>
          <cell r="AD129" t="str">
            <v>IV</v>
          </cell>
          <cell r="AE129" t="str">
            <v>IV</v>
          </cell>
          <cell r="AF129"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29" t="str">
            <v>•  None</v>
          </cell>
          <cell r="AH129" t="str">
            <v>•  None</v>
          </cell>
          <cell r="AI129" t="str">
            <v>•  None</v>
          </cell>
          <cell r="AJ129" t="str">
            <v xml:space="preserve">•  Quality Assurance Program
•  Fire Protection Program
-   “Hot work” controls
-   Combustible material control program
•  Performance Based Training Program
•  Maintenance Program
•  Conduct of Operations
•  Waste Management Program </v>
          </cell>
          <cell r="AK129" t="str">
            <v>•  None</v>
          </cell>
          <cell r="AL129" t="str">
            <v>•  Wet pipe sprinkler system in Receiving Area and Load Out/Truck Bay</v>
          </cell>
          <cell r="AM129" t="str">
            <v>•  SAC for APPROVED CONTAINER use
•  SAC for facility inventory control</v>
          </cell>
          <cell r="AN129" t="str">
            <v>•  Radiological Protection Program
•  Emergency Response Program
•  Fire Protection Program
•  Performance Based Training Program
•  Conduct of Operations</v>
          </cell>
        </row>
        <row r="130">
          <cell r="A130" t="str">
            <v>RH</v>
          </cell>
          <cell r="B130">
            <v>3</v>
          </cell>
          <cell r="C130" t="str">
            <v>Large fire</v>
          </cell>
          <cell r="D130" t="str">
            <v>Large cell fire. Expected to be bounded by combustion of shield window mineral oil following window failure. Fire may initiate due to ignition of combustible or pyrophoric material in cell.</v>
          </cell>
          <cell r="E130">
            <v>1000</v>
          </cell>
          <cell r="F130" t="str">
            <v>E04</v>
          </cell>
          <cell r="G130">
            <v>0.5</v>
          </cell>
          <cell r="H130" t="str">
            <v>20m</v>
          </cell>
          <cell r="I130">
            <v>850</v>
          </cell>
          <cell r="J130" t="str">
            <v>U</v>
          </cell>
          <cell r="K130" t="str">
            <v>N</v>
          </cell>
          <cell r="L130" t="str">
            <v>L</v>
          </cell>
          <cell r="M130" t="str">
            <v>N</v>
          </cell>
          <cell r="N130" t="str">
            <v>N</v>
          </cell>
          <cell r="O130" t="str">
            <v>IV</v>
          </cell>
          <cell r="P130" t="str">
            <v>III</v>
          </cell>
          <cell r="Q130" t="str">
            <v>IV</v>
          </cell>
          <cell r="R130" t="str">
            <v>IV</v>
          </cell>
          <cell r="S130" t="str">
            <v>E04</v>
          </cell>
          <cell r="T130">
            <v>0.5</v>
          </cell>
          <cell r="U130" t="str">
            <v>20m</v>
          </cell>
          <cell r="V130">
            <v>850</v>
          </cell>
          <cell r="W130" t="str">
            <v>EU</v>
          </cell>
          <cell r="X130" t="str">
            <v>N</v>
          </cell>
          <cell r="Y130" t="str">
            <v>L</v>
          </cell>
          <cell r="Z130" t="str">
            <v>N</v>
          </cell>
          <cell r="AA130" t="str">
            <v>N</v>
          </cell>
          <cell r="AB130" t="str">
            <v>IV</v>
          </cell>
          <cell r="AC130" t="str">
            <v>IV</v>
          </cell>
          <cell r="AD130" t="str">
            <v>IV</v>
          </cell>
          <cell r="AE130" t="str">
            <v>IV</v>
          </cell>
          <cell r="AF130" t="str">
            <v xml:space="preserve">Releases are assumed to be through facility stack, even under loss of active ventilation, via stack chimney effect. MAR is all waste originating from the HECs (Ref. WVNS-CAL-397, Table A-2, HC Gen Area = "HEC" or "PBS") plus ICA inventory limit.  </v>
          </cell>
          <cell r="AG130" t="str">
            <v>•  None</v>
          </cell>
          <cell r="AH130" t="str">
            <v>•  None</v>
          </cell>
          <cell r="AI130" t="str">
            <v>•  None</v>
          </cell>
          <cell r="AJ130" t="str">
            <v xml:space="preserve">•  Quality Assurance Program
•  Fire Protection Program
-   “Hot work” controls
-   Combustible material control program
•  Performance Based Training Program
•  Maintenance Program
•  Waste Management Program </v>
          </cell>
          <cell r="AK130" t="str">
            <v>•  None</v>
          </cell>
          <cell r="AL130" t="str">
            <v>•  Fire rated cell walls and shield doors</v>
          </cell>
          <cell r="AM130" t="str">
            <v>•  SAC for APPROVED CONTAINER use
•  SAC for facility inventory control</v>
          </cell>
          <cell r="AN130" t="str">
            <v>•  Radiological Protection Program
•  Emergency Response Program
•  Fire Protection Program
•  Performance Based Training Program
•  Conduct of Operations</v>
          </cell>
        </row>
        <row r="131">
          <cell r="A131" t="str">
            <v>RH</v>
          </cell>
          <cell r="B131">
            <v>4</v>
          </cell>
          <cell r="C131" t="str">
            <v>Localized explosion external to container</v>
          </cell>
          <cell r="D13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31">
            <v>360</v>
          </cell>
          <cell r="F131" t="str">
            <v>E05</v>
          </cell>
          <cell r="G131">
            <v>1</v>
          </cell>
          <cell r="H131" t="str">
            <v>20m</v>
          </cell>
          <cell r="I131">
            <v>850</v>
          </cell>
          <cell r="J131" t="str">
            <v>A</v>
          </cell>
          <cell r="K131" t="str">
            <v>N</v>
          </cell>
          <cell r="L131" t="str">
            <v>L</v>
          </cell>
          <cell r="M131" t="str">
            <v>N</v>
          </cell>
          <cell r="N131" t="str">
            <v>N</v>
          </cell>
          <cell r="O131" t="str">
            <v>IV</v>
          </cell>
          <cell r="P131" t="str">
            <v>III</v>
          </cell>
          <cell r="Q131" t="str">
            <v>IV</v>
          </cell>
          <cell r="R131" t="str">
            <v>IV</v>
          </cell>
          <cell r="S131" t="str">
            <v>E05</v>
          </cell>
          <cell r="T131">
            <v>2.8000000000000001E-2</v>
          </cell>
          <cell r="U131" t="str">
            <v>20m</v>
          </cell>
          <cell r="V131">
            <v>850</v>
          </cell>
          <cell r="W131" t="str">
            <v>U</v>
          </cell>
          <cell r="X131" t="str">
            <v>N</v>
          </cell>
          <cell r="Y131" t="str">
            <v>L</v>
          </cell>
          <cell r="Z131" t="str">
            <v>N</v>
          </cell>
          <cell r="AA131" t="str">
            <v>N</v>
          </cell>
          <cell r="AB131" t="str">
            <v>IV</v>
          </cell>
          <cell r="AC131" t="str">
            <v>III</v>
          </cell>
          <cell r="AD131" t="str">
            <v>IV</v>
          </cell>
          <cell r="AE131" t="str">
            <v>IV</v>
          </cell>
          <cell r="AF131"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31" t="str">
            <v>•  None</v>
          </cell>
          <cell r="AH131" t="str">
            <v>•  None</v>
          </cell>
          <cell r="AI131" t="str">
            <v>•  None</v>
          </cell>
          <cell r="AJ131" t="str">
            <v xml:space="preserve">•  Quality Assurance Program
•  Fire Protection Program
•  Performance Based Training Program
•  Maintenance Program
•  Waste Management Program </v>
          </cell>
          <cell r="AK131" t="str">
            <v>•   APPROVED CONTAINERS used for TRU waste storage
•   TSR-compliant packaging for high activity TRU waste</v>
          </cell>
          <cell r="AL131" t="str">
            <v>•  None</v>
          </cell>
          <cell r="AM131" t="str">
            <v>•  None</v>
          </cell>
          <cell r="AN131" t="str">
            <v>•  Radiological Protection Program
•  Emergency Response Program
•  Fire Protection Program
•  Performance Based Training Program
•  Conduct of Operations</v>
          </cell>
        </row>
        <row r="132">
          <cell r="A132" t="str">
            <v>RH</v>
          </cell>
          <cell r="B132">
            <v>5</v>
          </cell>
          <cell r="C132" t="str">
            <v>Localized explosion within facility</v>
          </cell>
          <cell r="D132" t="str">
            <v>Localized explosion within facility.</v>
          </cell>
          <cell r="E132">
            <v>360</v>
          </cell>
          <cell r="F132" t="str">
            <v>ES</v>
          </cell>
          <cell r="G132">
            <v>1</v>
          </cell>
          <cell r="H132" t="str">
            <v>20m</v>
          </cell>
          <cell r="I132">
            <v>850</v>
          </cell>
          <cell r="J132" t="str">
            <v>U</v>
          </cell>
          <cell r="K132" t="str">
            <v>N</v>
          </cell>
          <cell r="L132" t="str">
            <v>L</v>
          </cell>
          <cell r="M132" t="str">
            <v>N</v>
          </cell>
          <cell r="N132" t="str">
            <v>N</v>
          </cell>
          <cell r="O132" t="str">
            <v>IV</v>
          </cell>
          <cell r="P132" t="str">
            <v>III</v>
          </cell>
          <cell r="Q132" t="str">
            <v>IV</v>
          </cell>
          <cell r="R132" t="str">
            <v>IV</v>
          </cell>
          <cell r="S132" t="str">
            <v>ES</v>
          </cell>
          <cell r="T132">
            <v>1</v>
          </cell>
          <cell r="U132" t="str">
            <v>20m</v>
          </cell>
          <cell r="V132">
            <v>850</v>
          </cell>
          <cell r="W132" t="str">
            <v>U</v>
          </cell>
          <cell r="X132" t="str">
            <v>N</v>
          </cell>
          <cell r="Y132" t="str">
            <v>L</v>
          </cell>
          <cell r="Z132" t="str">
            <v>N</v>
          </cell>
          <cell r="AA132" t="str">
            <v>N</v>
          </cell>
          <cell r="AB132" t="str">
            <v>IV</v>
          </cell>
          <cell r="AC132" t="str">
            <v>III</v>
          </cell>
          <cell r="AD132" t="str">
            <v>IV</v>
          </cell>
          <cell r="AE132" t="str">
            <v>IV</v>
          </cell>
          <cell r="AF132" t="str">
            <v xml:space="preserve">Event is assumed to be due to ignition of flammable gas associated with D&amp;D activities (e.g., cutting gases, pressurized decontamination gases, etc.).  MAR is activity in maximally loaded 2-drum Interim Storage Container (Ref. WVNS-CAL-397, Table A-2).  </v>
          </cell>
          <cell r="AG132" t="str">
            <v>•  None</v>
          </cell>
          <cell r="AH132" t="str">
            <v>•  None</v>
          </cell>
          <cell r="AI132" t="str">
            <v>•  None</v>
          </cell>
          <cell r="AJ132" t="str">
            <v>•  Quality Assurance Program
•  Fire Protection Program
•  Performance Based Training Program
•  Maintenance Program
•  Conduct of Operations</v>
          </cell>
          <cell r="AK132" t="str">
            <v>•  None</v>
          </cell>
          <cell r="AL132" t="str">
            <v>•  Reinforced concrete shield walls</v>
          </cell>
          <cell r="AM132" t="str">
            <v>•  None</v>
          </cell>
          <cell r="AN132" t="str">
            <v>•  Radiological Protection Program
•  Emergency Response Program
•  Fire Protection Program
•  Performance Based Training Program
•  Conduct of Operations</v>
          </cell>
        </row>
        <row r="133">
          <cell r="A133" t="str">
            <v>RH</v>
          </cell>
          <cell r="B133">
            <v>6</v>
          </cell>
          <cell r="C133" t="str">
            <v>Waste container deflagration</v>
          </cell>
          <cell r="D133" t="str">
            <v>Hydrogen or other flammable/explosive gases inside a container is ignited.</v>
          </cell>
          <cell r="E133">
            <v>360</v>
          </cell>
          <cell r="F133" t="str">
            <v>E06</v>
          </cell>
          <cell r="G133">
            <v>1</v>
          </cell>
          <cell r="H133" t="str">
            <v>20m</v>
          </cell>
          <cell r="I133">
            <v>850</v>
          </cell>
          <cell r="J133" t="str">
            <v>U</v>
          </cell>
          <cell r="K133" t="str">
            <v>N</v>
          </cell>
          <cell r="L133" t="str">
            <v>L</v>
          </cell>
          <cell r="M133" t="str">
            <v>N</v>
          </cell>
          <cell r="N133" t="str">
            <v>N</v>
          </cell>
          <cell r="O133" t="str">
            <v>IV</v>
          </cell>
          <cell r="P133" t="str">
            <v>III</v>
          </cell>
          <cell r="Q133" t="str">
            <v>IV</v>
          </cell>
          <cell r="R133" t="str">
            <v>IV</v>
          </cell>
          <cell r="S133" t="str">
            <v>E06</v>
          </cell>
          <cell r="T133">
            <v>1</v>
          </cell>
          <cell r="U133" t="str">
            <v>20m</v>
          </cell>
          <cell r="V133">
            <v>850</v>
          </cell>
          <cell r="W133" t="str">
            <v>EU</v>
          </cell>
          <cell r="X133" t="str">
            <v>N</v>
          </cell>
          <cell r="Y133" t="str">
            <v>L</v>
          </cell>
          <cell r="Z133" t="str">
            <v>N</v>
          </cell>
          <cell r="AA133" t="str">
            <v>N</v>
          </cell>
          <cell r="AB133" t="str">
            <v>IV</v>
          </cell>
          <cell r="AC133" t="str">
            <v>IV</v>
          </cell>
          <cell r="AD133" t="str">
            <v>IV</v>
          </cell>
          <cell r="AE133" t="str">
            <v>IV</v>
          </cell>
          <cell r="AF133" t="str">
            <v xml:space="preserve">Waste form and waste package vent filters contribute to low probability of this event. Event is assumed to occur within shielded process cell.  MAR is activity in maximally loaded 2-drum Interim Storage Container (Ref. WVNS-CAL-397, Table A-2).  </v>
          </cell>
          <cell r="AG133" t="str">
            <v>•  None</v>
          </cell>
          <cell r="AH133" t="str">
            <v>•  HEPA filter vents on waste containers
•  Non-sparking tools for containers suspected of containing high concentrations of flammable gas</v>
          </cell>
          <cell r="AI133" t="str">
            <v>•  None</v>
          </cell>
          <cell r="AJ133" t="str">
            <v xml:space="preserve">•  Quality Assurance Program
•  Fire Protection Program
•  Performance Based Training Program
•  Maintenance Program
•  Waste Management Program </v>
          </cell>
          <cell r="AK133" t="str">
            <v>•   TSR-compliant packaging for high activity TRU waste</v>
          </cell>
          <cell r="AL133" t="str">
            <v>•  Confinement capability of cell structure
•  Fire rated cell walls and shield doors</v>
          </cell>
          <cell r="AM133" t="str">
            <v>•  None</v>
          </cell>
          <cell r="AN133" t="str">
            <v>•  Radiological Protection Program
•  Emergency Response Program
•  Fire Protection Program
•  Performance Based Training Program
•  Conduct of Operations</v>
          </cell>
        </row>
        <row r="134">
          <cell r="A134" t="str">
            <v>RH</v>
          </cell>
          <cell r="B134">
            <v>7</v>
          </cell>
          <cell r="C134" t="str">
            <v>Vehicle/equipment impacts waste/waste containers</v>
          </cell>
          <cell r="D134"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34">
            <v>360</v>
          </cell>
          <cell r="F134" t="str">
            <v>E09</v>
          </cell>
          <cell r="G134">
            <v>0.01</v>
          </cell>
          <cell r="H134" t="str">
            <v>20m</v>
          </cell>
          <cell r="I134">
            <v>850</v>
          </cell>
          <cell r="J134" t="str">
            <v>A</v>
          </cell>
          <cell r="K134" t="str">
            <v>N</v>
          </cell>
          <cell r="L134" t="str">
            <v>N</v>
          </cell>
          <cell r="M134" t="str">
            <v>N</v>
          </cell>
          <cell r="N134" t="str">
            <v>N</v>
          </cell>
          <cell r="O134" t="str">
            <v>IV</v>
          </cell>
          <cell r="P134" t="str">
            <v>IV</v>
          </cell>
          <cell r="Q134" t="str">
            <v>IV</v>
          </cell>
          <cell r="R134" t="str">
            <v>IV</v>
          </cell>
          <cell r="S134" t="str">
            <v>E09</v>
          </cell>
          <cell r="T134">
            <v>0.01</v>
          </cell>
          <cell r="U134" t="str">
            <v>20m</v>
          </cell>
          <cell r="V134">
            <v>850</v>
          </cell>
          <cell r="W134" t="str">
            <v>A</v>
          </cell>
          <cell r="X134" t="str">
            <v>N</v>
          </cell>
          <cell r="Y134" t="str">
            <v>N</v>
          </cell>
          <cell r="Z134" t="str">
            <v>N</v>
          </cell>
          <cell r="AA134" t="str">
            <v>N</v>
          </cell>
          <cell r="AB134" t="str">
            <v>IV</v>
          </cell>
          <cell r="AC134" t="str">
            <v>IV</v>
          </cell>
          <cell r="AD134" t="str">
            <v>IV</v>
          </cell>
          <cell r="AE134" t="str">
            <v>IV</v>
          </cell>
          <cell r="AF134" t="str">
            <v xml:space="preserve">Wastes in Receiving Area or WPA/LO could potentially be affected by this event. Containers assumed to be impacted by handling equipment travelling &lt;10 mph.  MAR is activity in maximally loaded 2-drum Interim Storage Container (Ref. WVNS-CAL-397, Table A-2).  </v>
          </cell>
          <cell r="AG134" t="str">
            <v>•  None</v>
          </cell>
          <cell r="AH134" t="str">
            <v>•  Physical barriers such as Jersey barriers or facility structure that protects waste containers from vehicle impacts</v>
          </cell>
          <cell r="AI134" t="str">
            <v>•  None</v>
          </cell>
          <cell r="AJ134" t="str">
            <v xml:space="preserve">•  Quality Assurance Program
•  Performance Based Training Program
•  Maintenance Program
•  Conduct of Operations
•  Waste Management Program </v>
          </cell>
          <cell r="AK134" t="str">
            <v>•   TSR-compliant packaging for high activity TRU waste</v>
          </cell>
          <cell r="AL134" t="str">
            <v>•  None</v>
          </cell>
          <cell r="AM134" t="str">
            <v>•  None</v>
          </cell>
          <cell r="AN134" t="str">
            <v>•  Radiological Protection Program
•  Emergency Response Program
•  Performance Based Training Program
•  Conduct of Operations</v>
          </cell>
        </row>
        <row r="135">
          <cell r="A135" t="str">
            <v>RH</v>
          </cell>
          <cell r="B135">
            <v>8</v>
          </cell>
          <cell r="C135" t="str">
            <v>Drop/impact/spill</v>
          </cell>
          <cell r="D135" t="str">
            <v>This event is due to mishandling of containers; or to drops/impacts caused by equipment failure; or leaks caused by corrosion, construction defect, or improper closure.</v>
          </cell>
          <cell r="E135">
            <v>360</v>
          </cell>
          <cell r="F135" t="str">
            <v>E10</v>
          </cell>
          <cell r="G135">
            <v>0.1</v>
          </cell>
          <cell r="H135" t="str">
            <v>20m</v>
          </cell>
          <cell r="I135">
            <v>850</v>
          </cell>
          <cell r="J135" t="str">
            <v>A</v>
          </cell>
          <cell r="K135" t="str">
            <v>N</v>
          </cell>
          <cell r="L135" t="str">
            <v>N</v>
          </cell>
          <cell r="M135" t="str">
            <v>N</v>
          </cell>
          <cell r="N135" t="str">
            <v>N</v>
          </cell>
          <cell r="O135" t="str">
            <v>IV</v>
          </cell>
          <cell r="P135" t="str">
            <v>IV</v>
          </cell>
          <cell r="Q135" t="str">
            <v>IV</v>
          </cell>
          <cell r="R135" t="str">
            <v>IV</v>
          </cell>
          <cell r="S135" t="str">
            <v>E10</v>
          </cell>
          <cell r="T135">
            <v>0.1</v>
          </cell>
          <cell r="U135" t="str">
            <v>20m</v>
          </cell>
          <cell r="V135">
            <v>850</v>
          </cell>
          <cell r="W135" t="str">
            <v>U</v>
          </cell>
          <cell r="X135" t="str">
            <v>N</v>
          </cell>
          <cell r="Y135" t="str">
            <v>N</v>
          </cell>
          <cell r="Z135" t="str">
            <v>N</v>
          </cell>
          <cell r="AA135" t="str">
            <v>N</v>
          </cell>
          <cell r="AB135" t="str">
            <v>IV</v>
          </cell>
          <cell r="AC135" t="str">
            <v>IV</v>
          </cell>
          <cell r="AD135" t="str">
            <v>IV</v>
          </cell>
          <cell r="AE135" t="str">
            <v>IV</v>
          </cell>
          <cell r="AF135" t="str">
            <v xml:space="preserve">Event is a low energy breach of container confinement (e.g. tine puncture or container drop).  MAR is activity in maximally loaded 2-drum Interim Storage Container (Ref. WVNS-CAL-397, Table A-2).  </v>
          </cell>
          <cell r="AG135" t="str">
            <v>•  None</v>
          </cell>
          <cell r="AH135" t="str">
            <v>•  None</v>
          </cell>
          <cell r="AI135" t="str">
            <v>•  None</v>
          </cell>
          <cell r="AJ135" t="str">
            <v xml:space="preserve">•  Quality Assurance Program
•  Performance Based Training Program
•  Maintenance Program
•  Conduct of Operations
•  Waste Management Program </v>
          </cell>
          <cell r="AK135" t="str">
            <v>•   TSR-compliant packaging for high activity TRU waste</v>
          </cell>
          <cell r="AL135" t="str">
            <v>•  Confinement capability of cell structure</v>
          </cell>
          <cell r="AM135" t="str">
            <v>•  None</v>
          </cell>
          <cell r="AN135" t="str">
            <v>•  Radiological Protection Program
•  Emergency Response Program
•  Performance Based Training Program
•  Conduct of Operations</v>
          </cell>
        </row>
        <row r="136">
          <cell r="A136" t="str">
            <v>RH</v>
          </cell>
          <cell r="B136">
            <v>9</v>
          </cell>
          <cell r="C136" t="str">
            <v>Waste container over-pressurization</v>
          </cell>
          <cell r="D136" t="str">
            <v>Container failure occurs due to pressure buildup, possibly due to radiolysis of water or other hydrogenous material, thermal expansion of material/gases inside the container, or chemical reactions inside the container.</v>
          </cell>
          <cell r="E136">
            <v>360</v>
          </cell>
          <cell r="F136" t="str">
            <v>E12</v>
          </cell>
          <cell r="G136">
            <v>1</v>
          </cell>
          <cell r="H136" t="str">
            <v>20m</v>
          </cell>
          <cell r="I136">
            <v>850</v>
          </cell>
          <cell r="J136" t="str">
            <v>A</v>
          </cell>
          <cell r="K136" t="str">
            <v>N</v>
          </cell>
          <cell r="L136" t="str">
            <v>L</v>
          </cell>
          <cell r="M136" t="str">
            <v>N</v>
          </cell>
          <cell r="N136" t="str">
            <v>N</v>
          </cell>
          <cell r="O136" t="str">
            <v>IV</v>
          </cell>
          <cell r="P136" t="str">
            <v>III</v>
          </cell>
          <cell r="Q136" t="str">
            <v>IV</v>
          </cell>
          <cell r="R136" t="str">
            <v>IV</v>
          </cell>
          <cell r="S136" t="str">
            <v>E12</v>
          </cell>
          <cell r="T136">
            <v>1</v>
          </cell>
          <cell r="U136" t="str">
            <v>20m</v>
          </cell>
          <cell r="V136">
            <v>850</v>
          </cell>
          <cell r="W136" t="str">
            <v>A</v>
          </cell>
          <cell r="X136" t="str">
            <v>N</v>
          </cell>
          <cell r="Y136" t="str">
            <v>L</v>
          </cell>
          <cell r="Z136" t="str">
            <v>N</v>
          </cell>
          <cell r="AA136" t="str">
            <v>N</v>
          </cell>
          <cell r="AB136" t="str">
            <v>IV</v>
          </cell>
          <cell r="AC136" t="str">
            <v>III</v>
          </cell>
          <cell r="AD136" t="str">
            <v>IV</v>
          </cell>
          <cell r="AE136" t="str">
            <v>IV</v>
          </cell>
          <cell r="AF136"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36" t="str">
            <v>•  None</v>
          </cell>
          <cell r="AH136" t="str">
            <v>•  HEPA filter vents on waste containers</v>
          </cell>
          <cell r="AI136" t="str">
            <v>•  None</v>
          </cell>
          <cell r="AJ136" t="str">
            <v xml:space="preserve">•  Quality Assurance Program
•  Performance Based Training Program
•  Waste Management Program </v>
          </cell>
          <cell r="AK136" t="str">
            <v>•  None</v>
          </cell>
          <cell r="AL136" t="str">
            <v>•  Lid restraining devices for bulging drums</v>
          </cell>
          <cell r="AM136" t="str">
            <v>•  None</v>
          </cell>
          <cell r="AN136" t="str">
            <v>•  Radiological Protection Program
•  Emergency Response Program
•  Performance Based Training Program
•  Conduct of Operations</v>
          </cell>
        </row>
        <row r="137">
          <cell r="A137" t="str">
            <v>RH</v>
          </cell>
          <cell r="B137">
            <v>10</v>
          </cell>
          <cell r="C137" t="str">
            <v>Direct exposure to radiation</v>
          </cell>
          <cell r="D137" t="str">
            <v>Exposure to ionizing radiation from the waste, possibly due to loss of proper shielding within a container or instrument miscalibration</v>
          </cell>
          <cell r="E137" t="str">
            <v>Not applicable.</v>
          </cell>
          <cell r="F137" t="str">
            <v>NA</v>
          </cell>
          <cell r="G137" t="str">
            <v>NA</v>
          </cell>
          <cell r="H137" t="str">
            <v>20m</v>
          </cell>
          <cell r="I137">
            <v>850</v>
          </cell>
          <cell r="J137" t="str">
            <v>A</v>
          </cell>
          <cell r="K137" t="str">
            <v>M</v>
          </cell>
          <cell r="L137" t="str">
            <v>N</v>
          </cell>
          <cell r="M137" t="str">
            <v>N</v>
          </cell>
          <cell r="N137" t="str">
            <v>N</v>
          </cell>
          <cell r="O137" t="str">
            <v>I</v>
          </cell>
          <cell r="P137" t="str">
            <v>IV</v>
          </cell>
          <cell r="Q137" t="str">
            <v>IV</v>
          </cell>
          <cell r="R137" t="str">
            <v>IV</v>
          </cell>
          <cell r="S137" t="str">
            <v>NA</v>
          </cell>
          <cell r="T137" t="str">
            <v>NA</v>
          </cell>
          <cell r="U137" t="str">
            <v>20m</v>
          </cell>
          <cell r="V137">
            <v>850</v>
          </cell>
          <cell r="W137" t="str">
            <v>U</v>
          </cell>
          <cell r="X137" t="str">
            <v>L</v>
          </cell>
          <cell r="Y137" t="str">
            <v>N</v>
          </cell>
          <cell r="Z137" t="str">
            <v>N</v>
          </cell>
          <cell r="AA137" t="str">
            <v>N</v>
          </cell>
          <cell r="AB137" t="str">
            <v>III</v>
          </cell>
          <cell r="AC137" t="str">
            <v>IV</v>
          </cell>
          <cell r="AD137" t="str">
            <v>IV</v>
          </cell>
          <cell r="AE137" t="str">
            <v>IV</v>
          </cell>
          <cell r="AF137" t="str">
            <v xml:space="preserve">None.  </v>
          </cell>
          <cell r="AG137" t="str">
            <v>•  None</v>
          </cell>
          <cell r="AH137" t="str">
            <v>•  Engineered radiation shielding on high dose rate waste containers</v>
          </cell>
          <cell r="AI137" t="str">
            <v>•  None</v>
          </cell>
          <cell r="AJ137" t="str">
            <v xml:space="preserve">•  Radiological Protection Program
•  Quality Assurance Program
•  Performance Based Training Program
•  Conduct of Operations
•  Waste Management Program </v>
          </cell>
          <cell r="AK137" t="str">
            <v>•  None</v>
          </cell>
          <cell r="AL137" t="str">
            <v>•  None</v>
          </cell>
          <cell r="AM137" t="str">
            <v>•  None</v>
          </cell>
          <cell r="AN137" t="str">
            <v>•  Radiological Protection Program
•  Performance Based Training Program
•  Conduct of Operations</v>
          </cell>
        </row>
        <row r="138">
          <cell r="A138" t="str">
            <v>RH</v>
          </cell>
          <cell r="B138">
            <v>11</v>
          </cell>
          <cell r="C138" t="str">
            <v>Criticality</v>
          </cell>
          <cell r="D138" t="str">
            <v>Inadvertent criticality occurs due to multiple independent failures and/or highly improbable circumstances</v>
          </cell>
          <cell r="E138" t="str">
            <v>&gt;450 FGE
Pu-239</v>
          </cell>
          <cell r="F138" t="str">
            <v>NA</v>
          </cell>
          <cell r="G138" t="str">
            <v>NA</v>
          </cell>
          <cell r="H138" t="str">
            <v>20m</v>
          </cell>
          <cell r="I138">
            <v>850</v>
          </cell>
          <cell r="J138" t="str">
            <v>BEU</v>
          </cell>
          <cell r="K138" t="str">
            <v>H</v>
          </cell>
          <cell r="L138" t="str">
            <v>N</v>
          </cell>
          <cell r="M138" t="str">
            <v>N</v>
          </cell>
          <cell r="N138" t="str">
            <v>N</v>
          </cell>
          <cell r="O138" t="str">
            <v>III</v>
          </cell>
          <cell r="P138" t="str">
            <v>IV</v>
          </cell>
          <cell r="Q138" t="str">
            <v>IV</v>
          </cell>
          <cell r="R138" t="str">
            <v>IV</v>
          </cell>
          <cell r="S138" t="str">
            <v>NA</v>
          </cell>
          <cell r="T138" t="str">
            <v>NA</v>
          </cell>
          <cell r="U138" t="str">
            <v>20m</v>
          </cell>
          <cell r="V138">
            <v>850</v>
          </cell>
          <cell r="W138" t="str">
            <v>BEU</v>
          </cell>
          <cell r="X138" t="str">
            <v>H</v>
          </cell>
          <cell r="Y138" t="str">
            <v>N</v>
          </cell>
          <cell r="Z138" t="str">
            <v>N</v>
          </cell>
          <cell r="AA138" t="str">
            <v>N</v>
          </cell>
          <cell r="AB138" t="str">
            <v>III</v>
          </cell>
          <cell r="AC138" t="str">
            <v>IV</v>
          </cell>
          <cell r="AD138" t="str">
            <v>IV</v>
          </cell>
          <cell r="AE138" t="str">
            <v>IV</v>
          </cell>
          <cell r="AF138" t="str">
            <v xml:space="preserve">Nuclear criticality safety administrative controls ensure criticality safety for all D&amp;D operations and waste packaging activities involving greater than a significant quantity of fissile material.   </v>
          </cell>
          <cell r="AG138" t="str">
            <v>• PSRs for fissile material storage container specifications</v>
          </cell>
          <cell r="AH138" t="str">
            <v>•  None</v>
          </cell>
          <cell r="AI138" t="str">
            <v>• PSR limits on container fissile mass
• PSR for fissile material storage containers</v>
          </cell>
          <cell r="AJ138" t="str">
            <v xml:space="preserve">•  Radiological Protection Program
•  Nuclear Criticality Safety Program
•  Quality Assurance Program
•  Performance Based Training Program
•  Conduct of Operations
•  Waste Management Program </v>
          </cell>
          <cell r="AK138" t="str">
            <v>•  None</v>
          </cell>
          <cell r="AL138" t="str">
            <v>•  None</v>
          </cell>
          <cell r="AM138" t="str">
            <v>•  None</v>
          </cell>
          <cell r="AN138" t="str">
            <v>•  Radiological Protection Program
•  Nuclear Criticality Safety Program
•  Emergency Response Program
•  Performance Based Training Program
•  Conduct of Operations</v>
          </cell>
        </row>
        <row r="139">
          <cell r="A139" t="str">
            <v>RH</v>
          </cell>
          <cell r="B139">
            <v>12</v>
          </cell>
          <cell r="C139" t="str">
            <v>Aircraft impact with fire</v>
          </cell>
          <cell r="D139" t="str">
            <v>Small general aviation aircraft or helicopter crashes and a fire ensues</v>
          </cell>
          <cell r="E139">
            <v>1000</v>
          </cell>
          <cell r="F139" t="str">
            <v>E15</v>
          </cell>
          <cell r="G139">
            <v>1</v>
          </cell>
          <cell r="H139" t="str">
            <v>20m</v>
          </cell>
          <cell r="I139">
            <v>850</v>
          </cell>
          <cell r="J139" t="str">
            <v>BEU</v>
          </cell>
          <cell r="K139" t="str">
            <v>N</v>
          </cell>
          <cell r="L139" t="str">
            <v>M</v>
          </cell>
          <cell r="M139" t="str">
            <v>N</v>
          </cell>
          <cell r="N139" t="str">
            <v>N</v>
          </cell>
          <cell r="O139" t="str">
            <v>IV</v>
          </cell>
          <cell r="P139" t="str">
            <v>IV</v>
          </cell>
          <cell r="Q139" t="str">
            <v>IV</v>
          </cell>
          <cell r="R139" t="str">
            <v>IV</v>
          </cell>
          <cell r="S139" t="str">
            <v>E15</v>
          </cell>
          <cell r="T139">
            <v>1</v>
          </cell>
          <cell r="U139" t="str">
            <v>20m</v>
          </cell>
          <cell r="V139">
            <v>850</v>
          </cell>
          <cell r="W139" t="str">
            <v>BEU</v>
          </cell>
          <cell r="X139" t="str">
            <v>N</v>
          </cell>
          <cell r="Y139" t="str">
            <v>M</v>
          </cell>
          <cell r="Z139" t="str">
            <v>N</v>
          </cell>
          <cell r="AA139" t="str">
            <v>N</v>
          </cell>
          <cell r="AB139" t="str">
            <v>IV</v>
          </cell>
          <cell r="AC139" t="str">
            <v>IV</v>
          </cell>
          <cell r="AD139" t="str">
            <v>IV</v>
          </cell>
          <cell r="AE139" t="str">
            <v>IV</v>
          </cell>
          <cell r="AF139" t="str">
            <v xml:space="preserve">Event not expected to impact radioactive materials within heavily shielded cells. Only activity in ventilation system would be expected to be affected. Event BEU per WVNS-CAL-388. MAR is all waste originating from the HECs (Ref. WVNS-CAL-397, Table A-2, HC Gen Area = "HEC" or "PBS") plus ICA inventory limit.  </v>
          </cell>
          <cell r="AG139" t="str">
            <v>•  None</v>
          </cell>
          <cell r="AH139" t="str">
            <v>•  None</v>
          </cell>
          <cell r="AI139" t="str">
            <v>•  None</v>
          </cell>
          <cell r="AJ139" t="str">
            <v>•  None</v>
          </cell>
          <cell r="AK139" t="str">
            <v>•  None</v>
          </cell>
          <cell r="AL139" t="str">
            <v>•  None</v>
          </cell>
          <cell r="AM139" t="str">
            <v>• SAC for APPROVED CONTAINER use</v>
          </cell>
          <cell r="AN139" t="str">
            <v>•  Radiological Protection Program
•  Emergency Response Program
•  Fire Protection Program
•  Performance Based Training Program
•  Conduct of Operations</v>
          </cell>
        </row>
        <row r="140">
          <cell r="A140" t="str">
            <v>RH</v>
          </cell>
          <cell r="B140">
            <v>13</v>
          </cell>
          <cell r="C140" t="str">
            <v>External explosion</v>
          </cell>
          <cell r="D140" t="str">
            <v>Explosion involving failure of equipment not directly related to facility operations (e.g. natural gas line rupture) with possible missiles generated.</v>
          </cell>
          <cell r="E140">
            <v>360</v>
          </cell>
          <cell r="F140" t="str">
            <v>E18</v>
          </cell>
          <cell r="G140">
            <v>1</v>
          </cell>
          <cell r="H140" t="str">
            <v>20m</v>
          </cell>
          <cell r="I140">
            <v>850</v>
          </cell>
          <cell r="J140" t="str">
            <v>U</v>
          </cell>
          <cell r="K140" t="str">
            <v>N</v>
          </cell>
          <cell r="L140" t="str">
            <v>L</v>
          </cell>
          <cell r="M140" t="str">
            <v>N</v>
          </cell>
          <cell r="N140" t="str">
            <v>N</v>
          </cell>
          <cell r="O140" t="str">
            <v>IV</v>
          </cell>
          <cell r="P140" t="str">
            <v>III</v>
          </cell>
          <cell r="Q140" t="str">
            <v>IV</v>
          </cell>
          <cell r="R140" t="str">
            <v>IV</v>
          </cell>
          <cell r="S140" t="str">
            <v>E18</v>
          </cell>
          <cell r="T140">
            <v>1</v>
          </cell>
          <cell r="U140" t="str">
            <v>20m</v>
          </cell>
          <cell r="V140">
            <v>850</v>
          </cell>
          <cell r="W140" t="str">
            <v>U</v>
          </cell>
          <cell r="X140" t="str">
            <v>N</v>
          </cell>
          <cell r="Y140" t="str">
            <v>L</v>
          </cell>
          <cell r="Z140" t="str">
            <v>N</v>
          </cell>
          <cell r="AA140" t="str">
            <v>N</v>
          </cell>
          <cell r="AB140" t="str">
            <v>IV</v>
          </cell>
          <cell r="AC140" t="str">
            <v>III</v>
          </cell>
          <cell r="AD140" t="str">
            <v>IV</v>
          </cell>
          <cell r="AE140" t="str">
            <v>IV</v>
          </cell>
          <cell r="AF140" t="str">
            <v xml:space="preserve">Explosion assumed to be due to detonation of accumulated flammable gas associated with facility natural gas heaters.  MAR is activity in maximally loaded 2-drum Interim Storage Container (Ref. WVNS-CAL-397, Table A-2).  </v>
          </cell>
          <cell r="AG140" t="str">
            <v>•  None</v>
          </cell>
          <cell r="AH140" t="str">
            <v>•  None</v>
          </cell>
          <cell r="AI140" t="str">
            <v>• SAC for TRU waste container physical protection</v>
          </cell>
          <cell r="AJ140" t="str">
            <v>•  Quality Assurance Program
•  Performance Based Training Program
•  Maintenance Program</v>
          </cell>
          <cell r="AK140" t="str">
            <v>•   APPROVED CONTAINERS used for TRU waste storage
•   TSR-compliant packaging for high activity TRU waste</v>
          </cell>
          <cell r="AL140" t="str">
            <v>•  None</v>
          </cell>
          <cell r="AM140" t="str">
            <v>• SAC for APPROVED CONTAINER use</v>
          </cell>
          <cell r="AN140" t="str">
            <v>•  Radiological Protection Program
•  Emergency Response Program
•  Fire Protection Program
•  Performance Based Training Program
•  Conduct of Operations</v>
          </cell>
        </row>
        <row r="141">
          <cell r="A141" t="str">
            <v>RH</v>
          </cell>
          <cell r="B141">
            <v>14</v>
          </cell>
          <cell r="C141" t="str">
            <v>External fire</v>
          </cell>
          <cell r="D141" t="str">
            <v>A fire begins outside of the RHWF and propagates to an area in the RHWF where waste is present. The external fire could be from a wildland fire, other facility, or another fire source.</v>
          </cell>
          <cell r="E141">
            <v>1000</v>
          </cell>
          <cell r="F141" t="str">
            <v>E19</v>
          </cell>
          <cell r="G141">
            <v>0.5</v>
          </cell>
          <cell r="H141" t="str">
            <v>20m</v>
          </cell>
          <cell r="I141">
            <v>850</v>
          </cell>
          <cell r="J141" t="str">
            <v>U</v>
          </cell>
          <cell r="K141" t="str">
            <v>N</v>
          </cell>
          <cell r="L141" t="str">
            <v>L</v>
          </cell>
          <cell r="M141" t="str">
            <v>N</v>
          </cell>
          <cell r="N141" t="str">
            <v>N</v>
          </cell>
          <cell r="O141" t="str">
            <v>IV</v>
          </cell>
          <cell r="P141" t="str">
            <v>III</v>
          </cell>
          <cell r="Q141" t="str">
            <v>IV</v>
          </cell>
          <cell r="R141" t="str">
            <v>IV</v>
          </cell>
          <cell r="S141" t="str">
            <v>E19</v>
          </cell>
          <cell r="T141">
            <v>0.05</v>
          </cell>
          <cell r="U141" t="str">
            <v>20m</v>
          </cell>
          <cell r="V141">
            <v>850</v>
          </cell>
          <cell r="W141" t="str">
            <v>EU</v>
          </cell>
          <cell r="X141" t="str">
            <v>N</v>
          </cell>
          <cell r="Y141" t="str">
            <v>L</v>
          </cell>
          <cell r="Z141" t="str">
            <v>N</v>
          </cell>
          <cell r="AA141" t="str">
            <v>N</v>
          </cell>
          <cell r="AB141" t="str">
            <v>IV</v>
          </cell>
          <cell r="AC141" t="str">
            <v>IV</v>
          </cell>
          <cell r="AD141" t="str">
            <v>IV</v>
          </cell>
          <cell r="AE141" t="str">
            <v>IV</v>
          </cell>
          <cell r="AF141" t="str">
            <v>Unmitigated frequency very conservative since no exposure fire risks per WVNS-FHA-014. Even under EU wildland fire conditions virtually no waste would be exposed to critical heat flux due to facility construction.  MAR is all waste originating from the HECs (Ref. WVNS-CAL-397, Table A-2, HC Gen Area = "HEC" or "PBS") plus ICA inventory limit.  DR assumes that 10% of array is exposed to critical heat flux.</v>
          </cell>
          <cell r="AG141" t="str">
            <v>•  None</v>
          </cell>
          <cell r="AH141" t="str">
            <v>•  None</v>
          </cell>
          <cell r="AI141" t="str">
            <v>• SAC for TRU waste container physical protection</v>
          </cell>
          <cell r="AJ141" t="str">
            <v>•  Fire Protection Program
•  Maintenance Program</v>
          </cell>
          <cell r="AK141" t="str">
            <v>•   APPROVED CONTAINERS used for TRU waste storage
•   TSR-compliant packaging for high activity TRU waste</v>
          </cell>
          <cell r="AL141" t="str">
            <v>•  Non-combustible facility sheathing/ exterior</v>
          </cell>
          <cell r="AM141" t="str">
            <v>• SAC for APPROVED CONTAINER use</v>
          </cell>
          <cell r="AN141" t="str">
            <v>•  Emergency Response Program
•  Fire Protection Program
•  Radiological Protection Program</v>
          </cell>
        </row>
        <row r="142">
          <cell r="A142" t="str">
            <v>RH</v>
          </cell>
          <cell r="B142">
            <v>15</v>
          </cell>
          <cell r="C142" t="str">
            <v>Tornado</v>
          </cell>
          <cell r="D142" t="str">
            <v>Direct effects of tornado winds, falling objects, or tornado-produced missiles causing impacts to the facility. Event includes loss of contamination confinement resulting from abnormal facility differential pressures (backflow).</v>
          </cell>
          <cell r="E142">
            <v>360</v>
          </cell>
          <cell r="F142" t="str">
            <v>IS</v>
          </cell>
          <cell r="G142">
            <v>1</v>
          </cell>
          <cell r="H142" t="str">
            <v>20m</v>
          </cell>
          <cell r="I142">
            <v>850</v>
          </cell>
          <cell r="J142" t="str">
            <v>U</v>
          </cell>
          <cell r="K142" t="str">
            <v>N</v>
          </cell>
          <cell r="L142" t="str">
            <v>L</v>
          </cell>
          <cell r="M142" t="str">
            <v>N</v>
          </cell>
          <cell r="N142" t="str">
            <v>N</v>
          </cell>
          <cell r="O142" t="str">
            <v>IV</v>
          </cell>
          <cell r="P142" t="str">
            <v>III</v>
          </cell>
          <cell r="Q142" t="str">
            <v>IV</v>
          </cell>
          <cell r="R142" t="str">
            <v>IV</v>
          </cell>
          <cell r="S142" t="str">
            <v>IS</v>
          </cell>
          <cell r="T142">
            <v>1</v>
          </cell>
          <cell r="U142" t="str">
            <v>20m</v>
          </cell>
          <cell r="V142">
            <v>850</v>
          </cell>
          <cell r="W142" t="str">
            <v>U</v>
          </cell>
          <cell r="X142" t="str">
            <v>N</v>
          </cell>
          <cell r="Y142" t="str">
            <v>L</v>
          </cell>
          <cell r="Z142" t="str">
            <v>N</v>
          </cell>
          <cell r="AA142" t="str">
            <v>N</v>
          </cell>
          <cell r="AB142" t="str">
            <v>IV</v>
          </cell>
          <cell r="AC142" t="str">
            <v>III</v>
          </cell>
          <cell r="AD142" t="str">
            <v>IV</v>
          </cell>
          <cell r="AE142" t="str">
            <v>IV</v>
          </cell>
          <cell r="AF142" t="str">
            <v xml:space="preserve">Source term for event expected to be limited to airborne contamination affected by large negative pressure associated with direct strike by a tornado. Facility confinement not expected to be affected by missiles of EBE.  MAR is activity in maximally loaded 2-drum Interim Storage Container (Ref. WVNS-CAL-397, Table A-2).  </v>
          </cell>
          <cell r="AG142" t="str">
            <v>•  None</v>
          </cell>
          <cell r="AH142" t="str">
            <v>•  None</v>
          </cell>
          <cell r="AI142" t="str">
            <v>•  None</v>
          </cell>
          <cell r="AJ142" t="str">
            <v>•  None</v>
          </cell>
          <cell r="AK142" t="str">
            <v>•  None</v>
          </cell>
          <cell r="AL142" t="str">
            <v>•  Facility design capable of maintaining confinement integrity following design basis events</v>
          </cell>
          <cell r="AM142" t="str">
            <v>•  None</v>
          </cell>
          <cell r="AN142" t="str">
            <v>•  Radiological Protection Program
•  Emergency Response Program
•  Performance Based Training Program
•  Conduct of Operations</v>
          </cell>
        </row>
        <row r="143">
          <cell r="A143" t="str">
            <v>RH</v>
          </cell>
          <cell r="B143">
            <v>16</v>
          </cell>
          <cell r="C143" t="str">
            <v>Seismic event</v>
          </cell>
          <cell r="D143" t="str">
            <v>Seismic event causes failure of equipment or structure which impacts facility contamination and/or seismic event disturbs loose surface contamination. Confinement boundaries are expected to remain intact.</v>
          </cell>
          <cell r="E143">
            <v>1000</v>
          </cell>
          <cell r="F143" t="str">
            <v>EQ</v>
          </cell>
          <cell r="G143">
            <v>0.1</v>
          </cell>
          <cell r="H143" t="str">
            <v>20m</v>
          </cell>
          <cell r="I143">
            <v>850</v>
          </cell>
          <cell r="J143" t="str">
            <v>U</v>
          </cell>
          <cell r="K143" t="str">
            <v>N</v>
          </cell>
          <cell r="L143" t="str">
            <v>L</v>
          </cell>
          <cell r="M143" t="str">
            <v>N</v>
          </cell>
          <cell r="N143" t="str">
            <v>N</v>
          </cell>
          <cell r="O143" t="str">
            <v>IV</v>
          </cell>
          <cell r="P143" t="str">
            <v>III</v>
          </cell>
          <cell r="Q143" t="str">
            <v>IV</v>
          </cell>
          <cell r="R143" t="str">
            <v>IV</v>
          </cell>
          <cell r="S143" t="str">
            <v>EQ</v>
          </cell>
          <cell r="T143">
            <v>0.1</v>
          </cell>
          <cell r="U143" t="str">
            <v>20m</v>
          </cell>
          <cell r="V143">
            <v>850</v>
          </cell>
          <cell r="W143" t="str">
            <v>U</v>
          </cell>
          <cell r="X143" t="str">
            <v>N</v>
          </cell>
          <cell r="Y143" t="str">
            <v>L</v>
          </cell>
          <cell r="Z143" t="str">
            <v>N</v>
          </cell>
          <cell r="AA143" t="str">
            <v>N</v>
          </cell>
          <cell r="AB143" t="str">
            <v>IV</v>
          </cell>
          <cell r="AC143" t="str">
            <v>III</v>
          </cell>
          <cell r="AD143" t="str">
            <v>IV</v>
          </cell>
          <cell r="AE143" t="str">
            <v>IV</v>
          </cell>
          <cell r="AF143" t="str">
            <v xml:space="preserve">Facility confinement boundaries expected to remain intact following EBE.  MAR is all waste originating from the HECs (Ref. WVNS-CAL-397, Table A-2, HC Gen Area = "HEC" or "PBS") plus ICA inventory limit.  </v>
          </cell>
          <cell r="AG143" t="str">
            <v>•  None</v>
          </cell>
          <cell r="AH143" t="str">
            <v>•  None</v>
          </cell>
          <cell r="AI143" t="str">
            <v>•  None</v>
          </cell>
          <cell r="AJ143" t="str">
            <v>•  None</v>
          </cell>
          <cell r="AK143" t="str">
            <v>•  None</v>
          </cell>
          <cell r="AL143" t="str">
            <v>•  Facility design capable of maintaining confinement integrity following design basis events</v>
          </cell>
          <cell r="AM143" t="str">
            <v>•  None</v>
          </cell>
          <cell r="AN143" t="str">
            <v>•  Radiological Protection Program
•  Emergency Response Program
•  Performance Based Training Program
•  Conduct of Operations</v>
          </cell>
        </row>
        <row r="144">
          <cell r="A144" t="str">
            <v>RH</v>
          </cell>
          <cell r="B144">
            <v>17</v>
          </cell>
          <cell r="C144" t="str">
            <v>HEPA filter fire</v>
          </cell>
          <cell r="D144" t="str">
            <v>In-cell fire propagates to HEPA filter bank</v>
          </cell>
          <cell r="E144">
            <v>1</v>
          </cell>
          <cell r="F144" t="str">
            <v>HF</v>
          </cell>
          <cell r="G144">
            <v>1</v>
          </cell>
          <cell r="H144" t="str">
            <v>20m</v>
          </cell>
          <cell r="I144">
            <v>850</v>
          </cell>
          <cell r="J144" t="str">
            <v>A</v>
          </cell>
          <cell r="K144" t="str">
            <v>N</v>
          </cell>
          <cell r="L144" t="str">
            <v>N</v>
          </cell>
          <cell r="M144" t="str">
            <v>N</v>
          </cell>
          <cell r="N144" t="str">
            <v>N</v>
          </cell>
          <cell r="O144" t="str">
            <v>IV</v>
          </cell>
          <cell r="P144" t="str">
            <v>IV</v>
          </cell>
          <cell r="Q144" t="str">
            <v>IV</v>
          </cell>
          <cell r="R144" t="str">
            <v>IV</v>
          </cell>
          <cell r="S144" t="str">
            <v>HF</v>
          </cell>
          <cell r="T144">
            <v>1</v>
          </cell>
          <cell r="U144" t="str">
            <v>20m</v>
          </cell>
          <cell r="V144">
            <v>850</v>
          </cell>
          <cell r="W144" t="str">
            <v>U</v>
          </cell>
          <cell r="X144" t="str">
            <v>N</v>
          </cell>
          <cell r="Y144" t="str">
            <v>N</v>
          </cell>
          <cell r="Z144" t="str">
            <v>N</v>
          </cell>
          <cell r="AA144" t="str">
            <v>N</v>
          </cell>
          <cell r="AB144" t="str">
            <v>IV</v>
          </cell>
          <cell r="AC144" t="str">
            <v>IV</v>
          </cell>
          <cell r="AD144" t="str">
            <v>IV</v>
          </cell>
          <cell r="AE144" t="str">
            <v>IV</v>
          </cell>
          <cell r="AF144" t="str">
            <v xml:space="preserve"> 10% of MPPB ventilation system MAR bounding for facility HEPA filters based on system environmental emission data </v>
          </cell>
          <cell r="AG144" t="str">
            <v>•  None</v>
          </cell>
          <cell r="AH144" t="str">
            <v>•  None</v>
          </cell>
          <cell r="AI144" t="str">
            <v>•  None</v>
          </cell>
          <cell r="AJ144" t="str">
            <v>•  Quality Assurance Program
•  Fire Protection Program
•  Performance Based Training Program
•  Maintenance Program
•  Conduct of Operations</v>
          </cell>
          <cell r="AK144" t="str">
            <v>•  None</v>
          </cell>
          <cell r="AL144" t="str">
            <v>•  Redundant ventilation system filter trains and blowers</v>
          </cell>
          <cell r="AM144" t="str">
            <v>•  None</v>
          </cell>
          <cell r="AN144" t="str">
            <v>•  Radiological Protection Program
•  Emergency Response Program
•  Fire Protection Program
•  Performance Based Training Program
•  Conduct of Operations</v>
          </cell>
        </row>
        <row r="145">
          <cell r="A145" t="str">
            <v>RH</v>
          </cell>
          <cell r="B145">
            <v>18</v>
          </cell>
          <cell r="C145" t="str">
            <v>HEPA filter failure</v>
          </cell>
          <cell r="D145" t="str">
            <v>Excess moisture or particulate on filters or area pressure excursion causes high filter differential pressure, resulting in filter failure</v>
          </cell>
          <cell r="E145">
            <v>1</v>
          </cell>
          <cell r="F145" t="str">
            <v>HB</v>
          </cell>
          <cell r="G145">
            <v>1</v>
          </cell>
          <cell r="H145" t="str">
            <v>20m</v>
          </cell>
          <cell r="I145">
            <v>850</v>
          </cell>
          <cell r="J145" t="str">
            <v>A</v>
          </cell>
          <cell r="K145" t="str">
            <v>N</v>
          </cell>
          <cell r="L145" t="str">
            <v>L</v>
          </cell>
          <cell r="M145" t="str">
            <v>N</v>
          </cell>
          <cell r="N145" t="str">
            <v>N</v>
          </cell>
          <cell r="O145" t="str">
            <v>IV</v>
          </cell>
          <cell r="P145" t="str">
            <v>III</v>
          </cell>
          <cell r="Q145" t="str">
            <v>IV</v>
          </cell>
          <cell r="R145" t="str">
            <v>IV</v>
          </cell>
          <cell r="S145" t="str">
            <v>HB</v>
          </cell>
          <cell r="T145">
            <v>1</v>
          </cell>
          <cell r="U145" t="str">
            <v>20m</v>
          </cell>
          <cell r="V145">
            <v>850</v>
          </cell>
          <cell r="W145" t="str">
            <v>U</v>
          </cell>
          <cell r="X145" t="str">
            <v>N</v>
          </cell>
          <cell r="Y145" t="str">
            <v>L</v>
          </cell>
          <cell r="Z145" t="str">
            <v>N</v>
          </cell>
          <cell r="AA145" t="str">
            <v>N</v>
          </cell>
          <cell r="AB145" t="str">
            <v>IV</v>
          </cell>
          <cell r="AC145" t="str">
            <v>III</v>
          </cell>
          <cell r="AD145" t="str">
            <v>IV</v>
          </cell>
          <cell r="AE145" t="str">
            <v>IV</v>
          </cell>
          <cell r="AF145" t="str">
            <v xml:space="preserve"> 10% of MPPB ventilation system MAR bounding for facility HEPA filters based on system environmental emission data </v>
          </cell>
          <cell r="AG145" t="str">
            <v>•  None</v>
          </cell>
          <cell r="AH145" t="str">
            <v>•  Instrumentation and controls to switch trains on high differential pressure
•  Instrumentation and controls to provide backup ventilation blower capability</v>
          </cell>
          <cell r="AI145" t="str">
            <v>•  None</v>
          </cell>
          <cell r="AJ145" t="str">
            <v>•  Quality Assurance Program
•  Fire Protection Program
•  Performance Based Training Program
•  Maintenance Program
•  Conduct of Operations</v>
          </cell>
          <cell r="AK145" t="str">
            <v>•  None</v>
          </cell>
          <cell r="AL145" t="str">
            <v>•  Redundant ventilation system filter trains and blowers</v>
          </cell>
          <cell r="AM145" t="str">
            <v>•  None</v>
          </cell>
          <cell r="AN145" t="str">
            <v>•  Radiological Protection Program
•  Emergency Response Program
•  Performance Based Training Program
•  Conduct of Operations</v>
          </cell>
        </row>
        <row r="146">
          <cell r="A146" t="str">
            <v>RH</v>
          </cell>
          <cell r="B146">
            <v>19</v>
          </cell>
          <cell r="C146" t="str">
            <v>Loss of airborne contamination confinement</v>
          </cell>
          <cell r="D146" t="str">
            <v>Loss of power/redundancy resulting in loss of exhaust blower operability or other upset condition resulting in loss of airborne contamination confinement.</v>
          </cell>
          <cell r="E146">
            <v>1000</v>
          </cell>
          <cell r="F146" t="str">
            <v>AER</v>
          </cell>
          <cell r="G146">
            <v>1</v>
          </cell>
          <cell r="H146" t="str">
            <v>20m</v>
          </cell>
          <cell r="I146">
            <v>850</v>
          </cell>
          <cell r="J146" t="str">
            <v>A</v>
          </cell>
          <cell r="K146" t="str">
            <v>N</v>
          </cell>
          <cell r="L146" t="str">
            <v>L</v>
          </cell>
          <cell r="M146" t="str">
            <v>N</v>
          </cell>
          <cell r="N146" t="str">
            <v>N</v>
          </cell>
          <cell r="O146" t="str">
            <v>IV</v>
          </cell>
          <cell r="P146" t="str">
            <v>III</v>
          </cell>
          <cell r="Q146" t="str">
            <v>IV</v>
          </cell>
          <cell r="R146" t="str">
            <v>IV</v>
          </cell>
          <cell r="S146" t="str">
            <v>AER</v>
          </cell>
          <cell r="T146">
            <v>1</v>
          </cell>
          <cell r="U146" t="str">
            <v>20m</v>
          </cell>
          <cell r="V146">
            <v>850</v>
          </cell>
          <cell r="W146" t="str">
            <v>A</v>
          </cell>
          <cell r="X146" t="str">
            <v>N</v>
          </cell>
          <cell r="Y146" t="str">
            <v>L</v>
          </cell>
          <cell r="Z146" t="str">
            <v>N</v>
          </cell>
          <cell r="AA146" t="str">
            <v>N</v>
          </cell>
          <cell r="AB146" t="str">
            <v>IV</v>
          </cell>
          <cell r="AC146" t="str">
            <v>III</v>
          </cell>
          <cell r="AD146" t="str">
            <v>IV</v>
          </cell>
          <cell r="AE146" t="str">
            <v>IV</v>
          </cell>
          <cell r="AF146" t="str">
            <v xml:space="preserve">Contamination assumed to migrate from confinement boundary penetrations through aerodynamic entrainment and resuspension under static facility conditions. MAR is all waste originating from the HECs (Ref. WVNS-CAL-397, Table A-2, HC Gen Area = "HEC" or "PBS") plus ICA inventory limit.  </v>
          </cell>
          <cell r="AG146" t="str">
            <v>•  None</v>
          </cell>
          <cell r="AH146" t="str">
            <v>•  Facility ventilation exhaust stack which continues to provide nominal facility negative via chimney effect</v>
          </cell>
          <cell r="AI146" t="str">
            <v>•  None</v>
          </cell>
          <cell r="AJ146" t="str">
            <v>•  Quality Assurance Program
•  Fire Protection Program
•  Performance Based Training Program
•  Maintenance Program
•  Conduct of Operations</v>
          </cell>
          <cell r="AK146" t="str">
            <v>•  None</v>
          </cell>
          <cell r="AL146" t="str">
            <v>•  Confinement capability of facility envelope
•  Nominal facility negative maintained on facility even under loss of active ventilation through stack "chimney effect"</v>
          </cell>
          <cell r="AM146" t="str">
            <v>•  None</v>
          </cell>
          <cell r="AN146" t="str">
            <v>•  Radiological Protection Program
•  Performance Based Training Program
•  Conduct of Operations</v>
          </cell>
        </row>
        <row r="147">
          <cell r="A147" t="str">
            <v>RH</v>
          </cell>
          <cell r="B147">
            <v>20</v>
          </cell>
          <cell r="C147" t="str">
            <v>Loss of liquid contamination confinement</v>
          </cell>
          <cell r="D147" t="str">
            <v>Vessel/line failure; sump overflow; roof leak; or other loss of contaminated liquid to an operating area or to the environment</v>
          </cell>
          <cell r="E147">
            <v>1</v>
          </cell>
          <cell r="F147" t="str">
            <v>FFS</v>
          </cell>
          <cell r="G147">
            <v>0.5</v>
          </cell>
          <cell r="H147" t="str">
            <v>20m</v>
          </cell>
          <cell r="I147">
            <v>850</v>
          </cell>
          <cell r="J147" t="str">
            <v>A</v>
          </cell>
          <cell r="K147" t="str">
            <v>N</v>
          </cell>
          <cell r="L147" t="str">
            <v>N</v>
          </cell>
          <cell r="M147" t="str">
            <v>N</v>
          </cell>
          <cell r="N147" t="str">
            <v>N</v>
          </cell>
          <cell r="O147" t="str">
            <v>IV</v>
          </cell>
          <cell r="P147" t="str">
            <v>IV</v>
          </cell>
          <cell r="Q147" t="str">
            <v>IV</v>
          </cell>
          <cell r="R147" t="str">
            <v>IV</v>
          </cell>
          <cell r="S147" t="str">
            <v>FFS</v>
          </cell>
          <cell r="T147">
            <v>0.5</v>
          </cell>
          <cell r="U147" t="str">
            <v>20m</v>
          </cell>
          <cell r="V147">
            <v>850</v>
          </cell>
          <cell r="W147" t="str">
            <v>A</v>
          </cell>
          <cell r="X147" t="str">
            <v>N</v>
          </cell>
          <cell r="Y147" t="str">
            <v>N</v>
          </cell>
          <cell r="Z147" t="str">
            <v>N</v>
          </cell>
          <cell r="AA147" t="str">
            <v>N</v>
          </cell>
          <cell r="AB147" t="str">
            <v>IV</v>
          </cell>
          <cell r="AC147" t="str">
            <v>IV</v>
          </cell>
          <cell r="AD147" t="str">
            <v>IV</v>
          </cell>
          <cell r="AE147" t="str">
            <v>IV</v>
          </cell>
          <cell r="AF147" t="str">
            <v xml:space="preserve">None.  </v>
          </cell>
          <cell r="AG147" t="str">
            <v>•  None</v>
          </cell>
          <cell r="AH147" t="str">
            <v>•  Cell liners/sumps and/or area berms</v>
          </cell>
          <cell r="AI147" t="str">
            <v>•  None</v>
          </cell>
          <cell r="AJ147" t="str">
            <v xml:space="preserve">•  Quality Assurance Program
•  Performance Based Training Program
•  Maintenance Program
•  Conduct of Operations
•  Waste Management Program </v>
          </cell>
          <cell r="AK147" t="str">
            <v>•  None</v>
          </cell>
          <cell r="AL147" t="str">
            <v>•  Cell sumps/liners</v>
          </cell>
          <cell r="AM147" t="str">
            <v>•  None</v>
          </cell>
          <cell r="AN147" t="str">
            <v>•  Radiological Protection Program
•  Performance Based Training Program
•  Conduct of Operations</v>
          </cell>
        </row>
        <row r="148">
          <cell r="A148" t="str">
            <v>RH</v>
          </cell>
          <cell r="B148">
            <v>21</v>
          </cell>
          <cell r="C148" t="str">
            <v>Flood</v>
          </cell>
          <cell r="D148" t="str">
            <v>A greater than 100-yr  rain event results in sheet flow that floods the storage area. Flooding may be exacerbated by plugged drainage channels or culverts.</v>
          </cell>
          <cell r="E148">
            <v>1000</v>
          </cell>
          <cell r="F148" t="str">
            <v>NA</v>
          </cell>
          <cell r="G148" t="str">
            <v>NA</v>
          </cell>
          <cell r="H148" t="str">
            <v>20m</v>
          </cell>
          <cell r="I148">
            <v>850</v>
          </cell>
          <cell r="J148" t="str">
            <v>U</v>
          </cell>
          <cell r="K148" t="str">
            <v>N</v>
          </cell>
          <cell r="L148" t="str">
            <v>N</v>
          </cell>
          <cell r="M148" t="str">
            <v>N</v>
          </cell>
          <cell r="N148" t="str">
            <v>N</v>
          </cell>
          <cell r="O148" t="str">
            <v>IV</v>
          </cell>
          <cell r="P148" t="str">
            <v>IV</v>
          </cell>
          <cell r="Q148" t="str">
            <v>IV</v>
          </cell>
          <cell r="R148" t="str">
            <v>IV</v>
          </cell>
          <cell r="S148" t="str">
            <v>NA</v>
          </cell>
          <cell r="T148" t="str">
            <v>NA</v>
          </cell>
          <cell r="U148" t="str">
            <v>20m</v>
          </cell>
          <cell r="V148">
            <v>850</v>
          </cell>
          <cell r="W148" t="str">
            <v>U</v>
          </cell>
          <cell r="X148" t="str">
            <v>N</v>
          </cell>
          <cell r="Y148" t="str">
            <v>N</v>
          </cell>
          <cell r="Z148" t="str">
            <v>N</v>
          </cell>
          <cell r="AA148" t="str">
            <v>N</v>
          </cell>
          <cell r="AB148" t="str">
            <v>IV</v>
          </cell>
          <cell r="AC148" t="str">
            <v>IV</v>
          </cell>
          <cell r="AD148" t="str">
            <v>IV</v>
          </cell>
          <cell r="AE148" t="str">
            <v>IV</v>
          </cell>
          <cell r="AF148" t="str">
            <v xml:space="preserve">Site topography places facility outside area vulnerable to flooding (ref. Figure 1.4-6).  MAR is all waste originating from the HECs (Ref. WVNS-CAL-397, Table A-2, HC Gen Area = "HEC" or "PBS") plus ICA inventory limit.  </v>
          </cell>
          <cell r="AG148" t="str">
            <v>•  None</v>
          </cell>
          <cell r="AH148" t="str">
            <v>•  Siting of storage array in area away from areas of anticipated flooding</v>
          </cell>
          <cell r="AI148" t="str">
            <v>•  None</v>
          </cell>
          <cell r="AJ148" t="str">
            <v>•  None</v>
          </cell>
          <cell r="AK148" t="str">
            <v>•  None</v>
          </cell>
          <cell r="AL148" t="str">
            <v>•  None</v>
          </cell>
          <cell r="AM148" t="str">
            <v>•  None</v>
          </cell>
          <cell r="AN148" t="str">
            <v>•  Radiological Protection Program
•  Performance Based Training Program
•  Conduct of Operations</v>
          </cell>
        </row>
        <row r="149">
          <cell r="A149" t="str">
            <v>TRN</v>
          </cell>
          <cell r="B149">
            <v>1</v>
          </cell>
          <cell r="C149" t="str">
            <v>Localized flammable liquid pool fire</v>
          </cell>
          <cell r="D149" t="str">
            <v>Fire or waste container(s) breach with fire ensuing while in transport, resulting in an uncontrolled release of hazardous material. Causes of breach include vehicle accident, container(s) improperly secured to vehicle, and lids(s) not secured adequately. Includes transport with trucks and powered industrial trucks.</v>
          </cell>
          <cell r="E149">
            <v>360</v>
          </cell>
          <cell r="F149" t="str">
            <v>E01</v>
          </cell>
          <cell r="G149">
            <v>1</v>
          </cell>
          <cell r="H149" t="str">
            <v>Gnd</v>
          </cell>
          <cell r="I149">
            <v>850</v>
          </cell>
          <cell r="J149" t="str">
            <v>EU</v>
          </cell>
          <cell r="K149" t="str">
            <v>H</v>
          </cell>
          <cell r="L149" t="str">
            <v>H</v>
          </cell>
          <cell r="M149" t="str">
            <v>N</v>
          </cell>
          <cell r="N149" t="str">
            <v>N</v>
          </cell>
          <cell r="O149" t="str">
            <v>II</v>
          </cell>
          <cell r="P149" t="str">
            <v>II</v>
          </cell>
          <cell r="Q149" t="str">
            <v>IV</v>
          </cell>
          <cell r="R149" t="str">
            <v>IV</v>
          </cell>
          <cell r="S149" t="str">
            <v>E01</v>
          </cell>
          <cell r="T149">
            <v>2.8000000000000001E-2</v>
          </cell>
          <cell r="U149" t="str">
            <v>Gnd</v>
          </cell>
          <cell r="V149">
            <v>850</v>
          </cell>
          <cell r="W149" t="str">
            <v>EU</v>
          </cell>
          <cell r="X149" t="str">
            <v>L</v>
          </cell>
          <cell r="Y149" t="str">
            <v>L</v>
          </cell>
          <cell r="Z149" t="str">
            <v>N</v>
          </cell>
          <cell r="AA149" t="str">
            <v>N</v>
          </cell>
          <cell r="AB149" t="str">
            <v>IV</v>
          </cell>
          <cell r="AC149" t="str">
            <v>IV</v>
          </cell>
          <cell r="AD149" t="str">
            <v>IV</v>
          </cell>
          <cell r="AE149" t="str">
            <v>IV</v>
          </cell>
          <cell r="AF149" t="str">
            <v>SAC for transportation of high activity waste recognized as for providing protection under accident conditions.  MAR is activity in maximally loaded 2-drum Interim Storage Container (Ref. WVNS-CAL-397, Table A-2).  DR reflects TSR to protect TRU waste containing greater than 10 PE-Ci from spills of flammable/ combustible liquids</v>
          </cell>
          <cell r="AG149" t="str">
            <v>•  None</v>
          </cell>
          <cell r="AH149" t="str">
            <v>•  None</v>
          </cell>
          <cell r="AI149" t="str">
            <v>• SAC for TRU waste transportation</v>
          </cell>
          <cell r="AJ149" t="str">
            <v xml:space="preserve">•  Quality Assurance Program
•  Fire Protection Program
•  Performance Based Training Program
•  Maintenance Program
•  Conduct of Operations
•  Waste Management Program </v>
          </cell>
          <cell r="AK149" t="str">
            <v>•  APPROVED CONTAINERS used for TRU waste storage
•  TSR-compliant packaging for high activity TRU waste</v>
          </cell>
          <cell r="AL149" t="str">
            <v>•  Steel-deck pallets that limit direct flame impingement on TRU containers</v>
          </cell>
          <cell r="AM149" t="str">
            <v>•  SAC for APPROVED CONTAINER use
•  SAC for facility inventory control</v>
          </cell>
          <cell r="AN149" t="str">
            <v>•  Radiological Protection Program
•  Emergency Response Program
•  Fire Protection Program
•  Performance Based Training Program
•  Conduct of Operations</v>
          </cell>
        </row>
        <row r="150">
          <cell r="A150" t="str">
            <v>TRN</v>
          </cell>
          <cell r="B150">
            <v>2</v>
          </cell>
          <cell r="C150" t="str">
            <v>Small combustible material fire</v>
          </cell>
          <cell r="D150" t="str">
            <v>Fire impacts TRU waste during transport, possibly due to impact. Includes accidents initiated due to pyrophoric reactions or reactions involving incompatible wastes.</v>
          </cell>
          <cell r="E150">
            <v>360</v>
          </cell>
          <cell r="F150" t="str">
            <v>E02</v>
          </cell>
          <cell r="G150">
            <v>1</v>
          </cell>
          <cell r="H150" t="str">
            <v>Gnd</v>
          </cell>
          <cell r="I150">
            <v>850</v>
          </cell>
          <cell r="J150" t="str">
            <v>U</v>
          </cell>
          <cell r="K150" t="str">
            <v>H</v>
          </cell>
          <cell r="L150" t="str">
            <v>H</v>
          </cell>
          <cell r="M150" t="str">
            <v>N</v>
          </cell>
          <cell r="N150" t="str">
            <v>N</v>
          </cell>
          <cell r="O150" t="str">
            <v>I</v>
          </cell>
          <cell r="P150" t="str">
            <v>I</v>
          </cell>
          <cell r="Q150" t="str">
            <v>IV</v>
          </cell>
          <cell r="R150" t="str">
            <v>IV</v>
          </cell>
          <cell r="S150" t="str">
            <v>E02</v>
          </cell>
          <cell r="T150">
            <v>2.8E-3</v>
          </cell>
          <cell r="U150" t="str">
            <v>Gnd</v>
          </cell>
          <cell r="V150">
            <v>850</v>
          </cell>
          <cell r="W150" t="str">
            <v>U</v>
          </cell>
          <cell r="X150" t="str">
            <v>L</v>
          </cell>
          <cell r="Y150" t="str">
            <v>L</v>
          </cell>
          <cell r="Z150" t="str">
            <v>N</v>
          </cell>
          <cell r="AA150" t="str">
            <v>N</v>
          </cell>
          <cell r="AB150" t="str">
            <v>III</v>
          </cell>
          <cell r="AC150" t="str">
            <v>III</v>
          </cell>
          <cell r="AD150" t="str">
            <v>IV</v>
          </cell>
          <cell r="AE150" t="str">
            <v>IV</v>
          </cell>
          <cell r="AF150" t="str">
            <v xml:space="preserve"> MAR is activity in maximally loaded 2-drum Interim Storage Container (Ref. WVNS-CAL-397, Table A-2).  DR reflects TSR that limits the amount of TRU waste that may be outside of an APPROVED CONTAINER to 1.0 PE-Ci.</v>
          </cell>
          <cell r="AG150" t="str">
            <v>•  None</v>
          </cell>
          <cell r="AH150" t="str">
            <v>•  None</v>
          </cell>
          <cell r="AI150" t="str">
            <v>•  None</v>
          </cell>
          <cell r="AJ150" t="str">
            <v xml:space="preserve">•  Quality Assurance Program
•  Performance Based Training Program
•  Waste Management Program </v>
          </cell>
          <cell r="AK150" t="str">
            <v>•  APPROVED CONTAINERS used for TRU waste storage
•  TSR-compliant packaging for high activity TRU waste</v>
          </cell>
          <cell r="AL150" t="str">
            <v>•  None</v>
          </cell>
          <cell r="AM150" t="str">
            <v>•  SAC for APPROVED CONTAINER use
•  SAC for facility inventory control</v>
          </cell>
          <cell r="AN150" t="str">
            <v>•  Radiological Protection Program
•  Emergency Response Program
•  Fire Protection Program
•  Performance Based Training Program
•  Conduct of Operations</v>
          </cell>
        </row>
        <row r="151">
          <cell r="A151" t="str">
            <v>TRN</v>
          </cell>
          <cell r="B151">
            <v>3</v>
          </cell>
          <cell r="C151" t="str">
            <v>Localized explosion external to container</v>
          </cell>
          <cell r="D151" t="str">
            <v xml:space="preserve">This event is assumed to be caused by an explosion involving a forktruck propane cylinder or other cylinder containing flammable gas (e.g. acetylene) that is associated with facility operations. In addition to explosion overpressures, an explosion could produce missiles that could impact MAR. </v>
          </cell>
          <cell r="E151">
            <v>360</v>
          </cell>
          <cell r="F151" t="str">
            <v>E05</v>
          </cell>
          <cell r="G151">
            <v>1</v>
          </cell>
          <cell r="H151" t="str">
            <v>Gnd</v>
          </cell>
          <cell r="I151">
            <v>850</v>
          </cell>
          <cell r="J151" t="str">
            <v>A</v>
          </cell>
          <cell r="K151" t="str">
            <v>H</v>
          </cell>
          <cell r="L151" t="str">
            <v>M</v>
          </cell>
          <cell r="M151" t="str">
            <v>N</v>
          </cell>
          <cell r="N151" t="str">
            <v>N</v>
          </cell>
          <cell r="O151" t="str">
            <v>I</v>
          </cell>
          <cell r="P151" t="str">
            <v>I</v>
          </cell>
          <cell r="Q151" t="str">
            <v>IV</v>
          </cell>
          <cell r="R151" t="str">
            <v>IV</v>
          </cell>
          <cell r="S151" t="str">
            <v>E05</v>
          </cell>
          <cell r="T151">
            <v>2.8000000000000001E-2</v>
          </cell>
          <cell r="U151" t="str">
            <v>Gnd</v>
          </cell>
          <cell r="V151">
            <v>850</v>
          </cell>
          <cell r="W151" t="str">
            <v>U</v>
          </cell>
          <cell r="X151" t="str">
            <v>L</v>
          </cell>
          <cell r="Y151" t="str">
            <v>L</v>
          </cell>
          <cell r="Z151" t="str">
            <v>N</v>
          </cell>
          <cell r="AA151" t="str">
            <v>N</v>
          </cell>
          <cell r="AB151" t="str">
            <v>III</v>
          </cell>
          <cell r="AC151" t="str">
            <v>III</v>
          </cell>
          <cell r="AD151" t="str">
            <v>IV</v>
          </cell>
          <cell r="AE151" t="str">
            <v>IV</v>
          </cell>
          <cell r="AF151" t="str">
            <v>APPROVED CONTAINERS credited with mitigating consequences. MAR is activity in maximally loaded 2-drum Interim Storage Container (Ref. WVNS-CAL-397, Table A-2).  DR credits SAC that requires TRU waste containing &gt;10 PE-Ci be in containers capable of meeting SAC physical protection functional requirements.</v>
          </cell>
          <cell r="AG151" t="str">
            <v>•  None</v>
          </cell>
          <cell r="AH151" t="str">
            <v>•  None</v>
          </cell>
          <cell r="AI151" t="str">
            <v>•  None</v>
          </cell>
          <cell r="AJ151" t="str">
            <v xml:space="preserve">•  Quality Assurance Program
•  Fire Protection Program
•  Performance Based Training Program
•  Maintenance Program
•  Waste Management Program </v>
          </cell>
          <cell r="AK151" t="str">
            <v>•   APPROVED CONTAINERS used for TRU waste storage
•   TSR-compliant packaging for high activity TRU waste</v>
          </cell>
          <cell r="AL151" t="str">
            <v>•  None</v>
          </cell>
          <cell r="AM151" t="str">
            <v>•  SAC for APPROVED CONTAINER use
•  SAC for facility inventory control</v>
          </cell>
          <cell r="AN151" t="str">
            <v>•  Radiological Protection Program
•  Emergency Response Program
•  Fire Protection Program
•  Performance Based Training Program
•  Conduct of Operations</v>
          </cell>
        </row>
        <row r="152">
          <cell r="A152" t="str">
            <v>TRN</v>
          </cell>
          <cell r="B152">
            <v>4</v>
          </cell>
          <cell r="C152" t="str">
            <v>Vehicle/equipment impacts waste/waste containers</v>
          </cell>
          <cell r="D152" t="str">
            <v>A mishap associated with the operation of vehicles at low speed (&lt;10 mph) or impact with handling equipment. Event assumed to result in loss of airborne contamination confinement due to puncture by forklift tines;  stacked drum array falling; or other similar causes.</v>
          </cell>
          <cell r="E152">
            <v>360</v>
          </cell>
          <cell r="F152" t="str">
            <v>E09</v>
          </cell>
          <cell r="G152">
            <v>0.01</v>
          </cell>
          <cell r="H152" t="str">
            <v>Gnd</v>
          </cell>
          <cell r="I152">
            <v>850</v>
          </cell>
          <cell r="J152" t="str">
            <v>A</v>
          </cell>
          <cell r="K152" t="str">
            <v>N</v>
          </cell>
          <cell r="L152" t="str">
            <v>L</v>
          </cell>
          <cell r="M152" t="str">
            <v>N</v>
          </cell>
          <cell r="N152" t="str">
            <v>N</v>
          </cell>
          <cell r="O152" t="str">
            <v>IV</v>
          </cell>
          <cell r="P152" t="str">
            <v>III</v>
          </cell>
          <cell r="Q152" t="str">
            <v>IV</v>
          </cell>
          <cell r="R152" t="str">
            <v>IV</v>
          </cell>
          <cell r="S152" t="str">
            <v>E09</v>
          </cell>
          <cell r="T152">
            <v>0.01</v>
          </cell>
          <cell r="U152" t="str">
            <v>Gnd</v>
          </cell>
          <cell r="V152">
            <v>850</v>
          </cell>
          <cell r="W152" t="str">
            <v>A</v>
          </cell>
          <cell r="X152" t="str">
            <v>N</v>
          </cell>
          <cell r="Y152" t="str">
            <v>L</v>
          </cell>
          <cell r="Z152" t="str">
            <v>N</v>
          </cell>
          <cell r="AA152" t="str">
            <v>N</v>
          </cell>
          <cell r="AB152" t="str">
            <v>IV</v>
          </cell>
          <cell r="AC152" t="str">
            <v>III</v>
          </cell>
          <cell r="AD152" t="str">
            <v>IV</v>
          </cell>
          <cell r="AE152" t="str">
            <v>IV</v>
          </cell>
          <cell r="AF152" t="str">
            <v xml:space="preserve">Containers assumed to be impacted by handling equipment travelling &lt;10 mph.  MAR is activity in maximally loaded 2-drum Interim Storage Container (Ref. WVNS-CAL-397, Table A-2).  </v>
          </cell>
          <cell r="AG152" t="str">
            <v>•  None</v>
          </cell>
          <cell r="AH152" t="str">
            <v>•  Physical barriers such as Jersey barriers or facility structure that protects waste containers from vehicle impacts</v>
          </cell>
          <cell r="AI152" t="str">
            <v>• SAC for TRU waste transportation</v>
          </cell>
          <cell r="AJ152" t="str">
            <v xml:space="preserve">•  Quality Assurance Program
•  Performance Based Training Program
•  Maintenance Program
•  Conduct of Operations
•  Waste Management Program </v>
          </cell>
          <cell r="AK152" t="str">
            <v>•   TSR-compliant packaging for high activity TRU waste</v>
          </cell>
          <cell r="AL152" t="str">
            <v>•  None</v>
          </cell>
          <cell r="AM152" t="str">
            <v>•  None</v>
          </cell>
          <cell r="AN152" t="str">
            <v>•  Radiological Protection Program
•  Emergency Response Program
•  Performance Based Training Program
•  Conduct of Operations</v>
          </cell>
        </row>
        <row r="153">
          <cell r="A153" t="str">
            <v>TRN</v>
          </cell>
          <cell r="B153">
            <v>5</v>
          </cell>
          <cell r="C153" t="str">
            <v>Drop/impact/spill</v>
          </cell>
          <cell r="D153" t="str">
            <v>This event is due to mishandling of containers; or to drops/impacts caused by equipment failure; or leaks caused by corrosion, construction defect, or improper closure. Causes of breach include vehicle accident; container improperly secured to vehicle; and lids not secured adequately. Includes crane drops.</v>
          </cell>
          <cell r="E153">
            <v>360</v>
          </cell>
          <cell r="F153" t="str">
            <v>E10</v>
          </cell>
          <cell r="G153">
            <v>0.1</v>
          </cell>
          <cell r="H153" t="str">
            <v>Gnd</v>
          </cell>
          <cell r="I153">
            <v>850</v>
          </cell>
          <cell r="J153" t="str">
            <v>A</v>
          </cell>
          <cell r="K153" t="str">
            <v>L</v>
          </cell>
          <cell r="L153" t="str">
            <v>L</v>
          </cell>
          <cell r="M153" t="str">
            <v>N</v>
          </cell>
          <cell r="N153" t="str">
            <v>N</v>
          </cell>
          <cell r="O153" t="str">
            <v>III</v>
          </cell>
          <cell r="P153" t="str">
            <v>III</v>
          </cell>
          <cell r="Q153" t="str">
            <v>IV</v>
          </cell>
          <cell r="R153" t="str">
            <v>IV</v>
          </cell>
          <cell r="S153" t="str">
            <v>E10</v>
          </cell>
          <cell r="T153">
            <v>0.1</v>
          </cell>
          <cell r="U153" t="str">
            <v>Gnd</v>
          </cell>
          <cell r="V153">
            <v>850</v>
          </cell>
          <cell r="W153" t="str">
            <v>U</v>
          </cell>
          <cell r="X153" t="str">
            <v>L</v>
          </cell>
          <cell r="Y153" t="str">
            <v>L</v>
          </cell>
          <cell r="Z153" t="str">
            <v>N</v>
          </cell>
          <cell r="AA153" t="str">
            <v>N</v>
          </cell>
          <cell r="AB153" t="str">
            <v>III</v>
          </cell>
          <cell r="AC153" t="str">
            <v>III</v>
          </cell>
          <cell r="AD153" t="str">
            <v>IV</v>
          </cell>
          <cell r="AE153" t="str">
            <v>IV</v>
          </cell>
          <cell r="AF153" t="str">
            <v xml:space="preserve">Event is a low energy breach of container confinement (e.g. tine puncture or container drop).  MAR is activity in maximally loaded 2-drum Interim Storage Container (Ref. WVNS-CAL-397, Table A-2).  </v>
          </cell>
          <cell r="AG153" t="str">
            <v>•  None</v>
          </cell>
          <cell r="AH153" t="str">
            <v>•  None</v>
          </cell>
          <cell r="AI153" t="str">
            <v>•  None</v>
          </cell>
          <cell r="AJ153" t="str">
            <v xml:space="preserve">•  Quality Assurance Program
•  Performance Based Training Program
•  Maintenance Program
•  Conduct of Operations
•  Waste Management Program </v>
          </cell>
          <cell r="AK153" t="str">
            <v>•   TSR-compliant packaging for high activity TRU waste</v>
          </cell>
          <cell r="AL153" t="str">
            <v>•  None</v>
          </cell>
          <cell r="AM153" t="str">
            <v>•  None</v>
          </cell>
          <cell r="AN153" t="str">
            <v>•  Radiological Protection Program
•  Emergency Response Program
•  Performance Based Training Program
•  Conduct of Operations</v>
          </cell>
        </row>
        <row r="154">
          <cell r="A154" t="str">
            <v>TRN</v>
          </cell>
          <cell r="B154">
            <v>6</v>
          </cell>
          <cell r="C154" t="str">
            <v>Criticality</v>
          </cell>
          <cell r="D154" t="str">
            <v>Inadvertent criticality occurs due to multiple independent failures and/or highly improbable circumstances</v>
          </cell>
          <cell r="E154" t="str">
            <v>&gt;450 FGE
Pu-239</v>
          </cell>
          <cell r="F154" t="str">
            <v>NA</v>
          </cell>
          <cell r="G154" t="str">
            <v>NA</v>
          </cell>
          <cell r="H154" t="str">
            <v>Gnd</v>
          </cell>
          <cell r="I154">
            <v>850</v>
          </cell>
          <cell r="J154" t="str">
            <v>BEU</v>
          </cell>
          <cell r="K154" t="str">
            <v>H</v>
          </cell>
          <cell r="L154" t="str">
            <v>N</v>
          </cell>
          <cell r="M154" t="str">
            <v>N</v>
          </cell>
          <cell r="N154" t="str">
            <v>N</v>
          </cell>
          <cell r="O154" t="str">
            <v>III</v>
          </cell>
          <cell r="P154" t="str">
            <v>IV</v>
          </cell>
          <cell r="Q154" t="str">
            <v>IV</v>
          </cell>
          <cell r="R154" t="str">
            <v>IV</v>
          </cell>
          <cell r="S154" t="str">
            <v>NA</v>
          </cell>
          <cell r="T154" t="str">
            <v>NA</v>
          </cell>
          <cell r="U154" t="str">
            <v>Gnd</v>
          </cell>
          <cell r="V154">
            <v>850</v>
          </cell>
          <cell r="W154" t="str">
            <v>BEU</v>
          </cell>
          <cell r="X154" t="str">
            <v>H</v>
          </cell>
          <cell r="Y154" t="str">
            <v>N</v>
          </cell>
          <cell r="Z154" t="str">
            <v>N</v>
          </cell>
          <cell r="AA154" t="str">
            <v>N</v>
          </cell>
          <cell r="AB154" t="str">
            <v>III</v>
          </cell>
          <cell r="AC154" t="str">
            <v>IV</v>
          </cell>
          <cell r="AD154" t="str">
            <v>IV</v>
          </cell>
          <cell r="AE154" t="str">
            <v>IV</v>
          </cell>
          <cell r="AF154" t="str">
            <v xml:space="preserve">Wastes containing significant quantities of fissile material transported in TSR-compliant containers which would ensure that container spacing is maintained in the event of credible accident conditions.  </v>
          </cell>
          <cell r="AG154" t="str">
            <v>• PSRs for fissile material storage container specifications</v>
          </cell>
          <cell r="AH154" t="str">
            <v>•  None</v>
          </cell>
          <cell r="AI154" t="str">
            <v>• PSR limits on container fissile mass
• PSR for fissile material storage containers</v>
          </cell>
          <cell r="AJ154" t="str">
            <v xml:space="preserve">•  Radiological Protection Program
•  Nuclear Criticality Safety Program
•  Quality Assurance Program
•  Performance Based Training Program
•  Conduct of Operations
•  Waste Management Program </v>
          </cell>
          <cell r="AK154" t="str">
            <v>•  None</v>
          </cell>
          <cell r="AL154" t="str">
            <v>•  None</v>
          </cell>
          <cell r="AM154" t="str">
            <v>•  None</v>
          </cell>
          <cell r="AN154" t="str">
            <v>•  Radiological Protection Program
•  Nuclear Criticality Safety Program
•  Emergency Response Program
•  Performance Based Training Program
•  Conduct of Operations</v>
          </cell>
        </row>
        <row r="155">
          <cell r="A155" t="str">
            <v>TRN</v>
          </cell>
          <cell r="B155">
            <v>7</v>
          </cell>
          <cell r="C155" t="str">
            <v>Direct exposure to radiation</v>
          </cell>
          <cell r="D155" t="str">
            <v>Vehicle accident while transporting waste container(s) results in container damage/shielding reconfiguration such that dose to worker(s) on the order of tens of rem potentially occurs.</v>
          </cell>
          <cell r="E155" t="str">
            <v>Not applicable.</v>
          </cell>
          <cell r="F155" t="str">
            <v>NA</v>
          </cell>
          <cell r="G155" t="str">
            <v>NA</v>
          </cell>
          <cell r="H155" t="str">
            <v>Gnd</v>
          </cell>
          <cell r="I155">
            <v>850</v>
          </cell>
          <cell r="J155" t="str">
            <v>A</v>
          </cell>
          <cell r="K155" t="str">
            <v>M</v>
          </cell>
          <cell r="L155" t="str">
            <v>N</v>
          </cell>
          <cell r="M155" t="str">
            <v>N</v>
          </cell>
          <cell r="N155" t="str">
            <v>N</v>
          </cell>
          <cell r="O155" t="str">
            <v>I</v>
          </cell>
          <cell r="P155" t="str">
            <v>IV</v>
          </cell>
          <cell r="Q155" t="str">
            <v>IV</v>
          </cell>
          <cell r="R155" t="str">
            <v>IV</v>
          </cell>
          <cell r="S155" t="str">
            <v>NA</v>
          </cell>
          <cell r="T155" t="str">
            <v>NA</v>
          </cell>
          <cell r="U155" t="str">
            <v>Gnd</v>
          </cell>
          <cell r="V155">
            <v>850</v>
          </cell>
          <cell r="W155" t="str">
            <v>U</v>
          </cell>
          <cell r="X155" t="str">
            <v>L</v>
          </cell>
          <cell r="Y155" t="str">
            <v>N</v>
          </cell>
          <cell r="Z155" t="str">
            <v>N</v>
          </cell>
          <cell r="AA155" t="str">
            <v>N</v>
          </cell>
          <cell r="AB155" t="str">
            <v>III</v>
          </cell>
          <cell r="AC155" t="str">
            <v>IV</v>
          </cell>
          <cell r="AD155" t="str">
            <v>IV</v>
          </cell>
          <cell r="AE155" t="str">
            <v>IV</v>
          </cell>
          <cell r="AF155" t="str">
            <v xml:space="preserve">Radiation Protection Program credited with ensuring that personnel exposures are within DOE accepted guidelines.   </v>
          </cell>
          <cell r="AG155" t="str">
            <v>•  None</v>
          </cell>
          <cell r="AH155" t="str">
            <v>•  Engineered radiation shielding on high dose rate waste containers</v>
          </cell>
          <cell r="AI155" t="str">
            <v>•  None</v>
          </cell>
          <cell r="AJ155" t="str">
            <v xml:space="preserve">•  Radiological Protection Program
•  Quality Assurance Program
•  Performance Based Training Program
•  Conduct of Operations
•  Waste Management Program </v>
          </cell>
          <cell r="AK155" t="str">
            <v>•  None</v>
          </cell>
          <cell r="AL155" t="str">
            <v>•  None</v>
          </cell>
          <cell r="AM155" t="str">
            <v>•  None</v>
          </cell>
          <cell r="AN155" t="str">
            <v>•  Radiological Protection Program
•  Performance Based Training Program
•  Conduct of Operations</v>
          </cell>
        </row>
        <row r="156">
          <cell r="A156" t="str">
            <v>TRN</v>
          </cell>
          <cell r="B156">
            <v>8</v>
          </cell>
          <cell r="C156" t="str">
            <v>Loss of liquid contamination confinement</v>
          </cell>
          <cell r="D156" t="str">
            <v>Waste container containing residual liquids fails, resulting in loss of liquid contamination to the environment</v>
          </cell>
          <cell r="E156">
            <v>1</v>
          </cell>
          <cell r="F156" t="str">
            <v>FFS</v>
          </cell>
          <cell r="G156">
            <v>0.5</v>
          </cell>
          <cell r="H156" t="str">
            <v>Gnd</v>
          </cell>
          <cell r="I156">
            <v>850</v>
          </cell>
          <cell r="J156" t="str">
            <v>A</v>
          </cell>
          <cell r="K156" t="str">
            <v>N</v>
          </cell>
          <cell r="L156" t="str">
            <v>N</v>
          </cell>
          <cell r="M156" t="str">
            <v>N</v>
          </cell>
          <cell r="N156" t="str">
            <v>N</v>
          </cell>
          <cell r="O156" t="str">
            <v>IV</v>
          </cell>
          <cell r="P156" t="str">
            <v>IV</v>
          </cell>
          <cell r="Q156" t="str">
            <v>IV</v>
          </cell>
          <cell r="R156" t="str">
            <v>IV</v>
          </cell>
          <cell r="S156" t="str">
            <v>FFS</v>
          </cell>
          <cell r="T156">
            <v>0.5</v>
          </cell>
          <cell r="U156" t="str">
            <v>Gnd</v>
          </cell>
          <cell r="V156">
            <v>850</v>
          </cell>
          <cell r="W156" t="str">
            <v>A</v>
          </cell>
          <cell r="X156" t="str">
            <v>N</v>
          </cell>
          <cell r="Y156" t="str">
            <v>N</v>
          </cell>
          <cell r="Z156" t="str">
            <v>N</v>
          </cell>
          <cell r="AA156" t="str">
            <v>N</v>
          </cell>
          <cell r="AB156" t="str">
            <v>IV</v>
          </cell>
          <cell r="AC156" t="str">
            <v>IV</v>
          </cell>
          <cell r="AD156" t="str">
            <v>IV</v>
          </cell>
          <cell r="AE156" t="str">
            <v>IV</v>
          </cell>
          <cell r="AF156" t="str">
            <v xml:space="preserve">None.  </v>
          </cell>
          <cell r="AG156" t="str">
            <v>•  None</v>
          </cell>
          <cell r="AH156" t="str">
            <v>•  Cell liners/sumps and/or area berms</v>
          </cell>
          <cell r="AI156" t="str">
            <v>•  None</v>
          </cell>
          <cell r="AJ156" t="str">
            <v xml:space="preserve">•  Quality Assurance Program
•  Performance Based Training Program
•  Maintenance Program
•  Conduct of Operations
•  Waste Management Program </v>
          </cell>
          <cell r="AK156" t="str">
            <v>•  None</v>
          </cell>
          <cell r="AL156" t="str">
            <v>•  None</v>
          </cell>
          <cell r="AM156" t="str">
            <v>•  None</v>
          </cell>
          <cell r="AN156" t="str">
            <v>•  Radiological Protection Program
•  Performance Based Training Program
•  Conduct of Operations</v>
          </cell>
        </row>
        <row r="157">
          <cell r="A157" t="str">
            <v>VF</v>
          </cell>
          <cell r="B157">
            <v>1</v>
          </cell>
          <cell r="C157" t="str">
            <v>Small combustible material fire</v>
          </cell>
          <cell r="D157" t="str">
            <v>Fire occurs in a contaminated facility area. Includes accidents initiated due to pyrophoric reactions or reactions involving incompatible materials.</v>
          </cell>
          <cell r="E157">
            <v>360</v>
          </cell>
          <cell r="F157" t="str">
            <v>E02</v>
          </cell>
          <cell r="G157">
            <v>1</v>
          </cell>
          <cell r="H157" t="str">
            <v>20m</v>
          </cell>
          <cell r="I157">
            <v>850</v>
          </cell>
          <cell r="J157" t="str">
            <v>A</v>
          </cell>
          <cell r="K157" t="str">
            <v>N</v>
          </cell>
          <cell r="L157" t="str">
            <v>M</v>
          </cell>
          <cell r="M157" t="str">
            <v>N</v>
          </cell>
          <cell r="N157" t="str">
            <v>N</v>
          </cell>
          <cell r="O157" t="str">
            <v>IV</v>
          </cell>
          <cell r="P157" t="str">
            <v>I</v>
          </cell>
          <cell r="Q157" t="str">
            <v>IV</v>
          </cell>
          <cell r="R157" t="str">
            <v>IV</v>
          </cell>
          <cell r="S157" t="str">
            <v>CWF</v>
          </cell>
          <cell r="T157">
            <v>1</v>
          </cell>
          <cell r="U157" t="str">
            <v>20m</v>
          </cell>
          <cell r="V157">
            <v>850</v>
          </cell>
          <cell r="W157" t="str">
            <v>U</v>
          </cell>
          <cell r="X157" t="str">
            <v>N</v>
          </cell>
          <cell r="Y157" t="str">
            <v>L</v>
          </cell>
          <cell r="Z157" t="str">
            <v>N</v>
          </cell>
          <cell r="AA157" t="str">
            <v>N</v>
          </cell>
          <cell r="AB157" t="str">
            <v>IV</v>
          </cell>
          <cell r="AC157" t="str">
            <v>III</v>
          </cell>
          <cell r="AD157" t="str">
            <v>IV</v>
          </cell>
          <cell r="AE157" t="str">
            <v>IV</v>
          </cell>
          <cell r="AF157" t="str">
            <v xml:space="preserve">Releases are assumed to be through facility stack, even under loss of active ventilation, via stack chimney effect.  Credit taken for Fire Protection Program controls in assuming mitigated event progresses as contained waste fire.  MAR is activity in maximally loaded 2-drum Interim Storage Container (Ref. WVNS-CAL-397, Table A-2).  </v>
          </cell>
          <cell r="AG157" t="str">
            <v>•  None</v>
          </cell>
          <cell r="AH157" t="str">
            <v>•  None</v>
          </cell>
          <cell r="AI157" t="str">
            <v>•  None</v>
          </cell>
          <cell r="AJ157" t="str">
            <v xml:space="preserve">•  Quality Assurance Program
•  Fire Protection Program
-   “Hot work” controls
-   Combustible material control program
•  Performance Based Training Program
•  Maintenance Program
•  Conduct of Operations
•  Waste Management Program </v>
          </cell>
          <cell r="AK157" t="str">
            <v>•  None</v>
          </cell>
          <cell r="AL157" t="str">
            <v>•  Fire rated cell walls and shield doors</v>
          </cell>
          <cell r="AM157" t="str">
            <v>•  None</v>
          </cell>
          <cell r="AN157" t="str">
            <v>•  Radiological Protection Program
•  Emergency Response Program
•  Fire Protection Program
•  Performance Based Training Program
•  Conduct of Operations</v>
          </cell>
        </row>
        <row r="158">
          <cell r="A158" t="str">
            <v>VF</v>
          </cell>
          <cell r="B158">
            <v>2</v>
          </cell>
          <cell r="C158" t="str">
            <v>Large fire</v>
          </cell>
          <cell r="D158" t="str">
            <v>Large cell fire. Expected to be bounded by combustion of shield window mineral oil following window failure. Fire may initiate due to ignition of combustible or pyrophoric material in cell.</v>
          </cell>
          <cell r="E158">
            <v>1500</v>
          </cell>
          <cell r="F158" t="str">
            <v>E04</v>
          </cell>
          <cell r="G158">
            <v>0.5</v>
          </cell>
          <cell r="H158" t="str">
            <v>20m</v>
          </cell>
          <cell r="I158">
            <v>850</v>
          </cell>
          <cell r="J158" t="str">
            <v>U</v>
          </cell>
          <cell r="K158" t="str">
            <v>N</v>
          </cell>
          <cell r="L158" t="str">
            <v>L</v>
          </cell>
          <cell r="M158" t="str">
            <v>N</v>
          </cell>
          <cell r="N158" t="str">
            <v>N</v>
          </cell>
          <cell r="O158" t="str">
            <v>IV</v>
          </cell>
          <cell r="P158" t="str">
            <v>III</v>
          </cell>
          <cell r="Q158" t="str">
            <v>IV</v>
          </cell>
          <cell r="R158" t="str">
            <v>IV</v>
          </cell>
          <cell r="S158" t="str">
            <v>E04</v>
          </cell>
          <cell r="T158">
            <v>0.5</v>
          </cell>
          <cell r="U158" t="str">
            <v>20m</v>
          </cell>
          <cell r="V158">
            <v>850</v>
          </cell>
          <cell r="W158" t="str">
            <v>EU</v>
          </cell>
          <cell r="X158" t="str">
            <v>N</v>
          </cell>
          <cell r="Y158" t="str">
            <v>L</v>
          </cell>
          <cell r="Z158" t="str">
            <v>N</v>
          </cell>
          <cell r="AA158" t="str">
            <v>N</v>
          </cell>
          <cell r="AB158" t="str">
            <v>IV</v>
          </cell>
          <cell r="AC158" t="str">
            <v>IV</v>
          </cell>
          <cell r="AD158" t="str">
            <v>IV</v>
          </cell>
          <cell r="AE158" t="str">
            <v>IV</v>
          </cell>
          <cell r="AF158" t="str">
            <v xml:space="preserve">Release bounds any potential releases associated with handling HLW in Vit Cell. Releases are assumed to be through facility stack, even under loss of active ventilation, via stack chimney effect. MAR is entire inventory of radioactive material in the Vitrification Facility (Ref. WVNS-CAL-397, Table C-1).  </v>
          </cell>
          <cell r="AG158" t="str">
            <v>•  None</v>
          </cell>
          <cell r="AH158" t="str">
            <v>•  None</v>
          </cell>
          <cell r="AI158" t="str">
            <v>•  None</v>
          </cell>
          <cell r="AJ158" t="str">
            <v xml:space="preserve">•  Quality Assurance Program
•  Fire Protection Program
-   “Hot work” controls
-   Combustible material control program
•  Performance Based Training Program
•  Maintenance Program
•  Waste Management Program </v>
          </cell>
          <cell r="AK158" t="str">
            <v>•  None</v>
          </cell>
          <cell r="AL158" t="str">
            <v>•  Fire rated cell walls and shield doors</v>
          </cell>
          <cell r="AM158" t="str">
            <v>•  None</v>
          </cell>
          <cell r="AN158" t="str">
            <v>•  Radiological Protection Program
•  Emergency Response Program
•  Fire Protection Program
•  Performance Based Training Program
•  Conduct of Operations</v>
          </cell>
        </row>
        <row r="159">
          <cell r="A159" t="str">
            <v>VF</v>
          </cell>
          <cell r="B159">
            <v>3</v>
          </cell>
          <cell r="C159" t="str">
            <v>Localized explosion within facility</v>
          </cell>
          <cell r="D159" t="str">
            <v>Localized explosion within facility.</v>
          </cell>
          <cell r="E159">
            <v>360</v>
          </cell>
          <cell r="F159" t="str">
            <v>ES</v>
          </cell>
          <cell r="G159">
            <v>1</v>
          </cell>
          <cell r="H159" t="str">
            <v>20m</v>
          </cell>
          <cell r="I159">
            <v>850</v>
          </cell>
          <cell r="J159" t="str">
            <v>U</v>
          </cell>
          <cell r="K159" t="str">
            <v>N</v>
          </cell>
          <cell r="L159" t="str">
            <v>L</v>
          </cell>
          <cell r="M159" t="str">
            <v>N</v>
          </cell>
          <cell r="N159" t="str">
            <v>N</v>
          </cell>
          <cell r="O159" t="str">
            <v>IV</v>
          </cell>
          <cell r="P159" t="str">
            <v>III</v>
          </cell>
          <cell r="Q159" t="str">
            <v>IV</v>
          </cell>
          <cell r="R159" t="str">
            <v>IV</v>
          </cell>
          <cell r="S159" t="str">
            <v>ES</v>
          </cell>
          <cell r="T159">
            <v>1</v>
          </cell>
          <cell r="U159" t="str">
            <v>20m</v>
          </cell>
          <cell r="V159">
            <v>850</v>
          </cell>
          <cell r="W159" t="str">
            <v>U</v>
          </cell>
          <cell r="X159" t="str">
            <v>N</v>
          </cell>
          <cell r="Y159" t="str">
            <v>L</v>
          </cell>
          <cell r="Z159" t="str">
            <v>N</v>
          </cell>
          <cell r="AA159" t="str">
            <v>N</v>
          </cell>
          <cell r="AB159" t="str">
            <v>IV</v>
          </cell>
          <cell r="AC159" t="str">
            <v>III</v>
          </cell>
          <cell r="AD159" t="str">
            <v>IV</v>
          </cell>
          <cell r="AE159" t="str">
            <v>IV</v>
          </cell>
          <cell r="AF159" t="str">
            <v xml:space="preserve">Event is assumed to be due to ignition of flammable gas associated with D&amp;D activities (e.g., cutting gases, pressurized decontamination gases, etc.).  MAR is activity in maximally loaded 2-drum Interim Storage Container (Ref. WVNS-CAL-397, Table A-2).  </v>
          </cell>
          <cell r="AG159" t="str">
            <v>•  None</v>
          </cell>
          <cell r="AH159" t="str">
            <v>•  None</v>
          </cell>
          <cell r="AI159" t="str">
            <v>•  None</v>
          </cell>
          <cell r="AJ159" t="str">
            <v>•  Quality Assurance Program
•  Fire Protection Program
•  Performance Based Training Program
•  Maintenance Program
•  Conduct of Operations</v>
          </cell>
          <cell r="AK159" t="str">
            <v>•  None</v>
          </cell>
          <cell r="AL159" t="str">
            <v>•  Reinforced concrete shield walls</v>
          </cell>
          <cell r="AM159" t="str">
            <v>•  None</v>
          </cell>
          <cell r="AN159" t="str">
            <v>•  Radiological Protection Program
•  Emergency Response Program
•  Fire Protection Program
•  Performance Based Training Program
•  Conduct of Operations</v>
          </cell>
        </row>
        <row r="160">
          <cell r="A160" t="str">
            <v>VF</v>
          </cell>
          <cell r="B160">
            <v>4</v>
          </cell>
          <cell r="C160" t="str">
            <v>Drop/impact/spill</v>
          </cell>
          <cell r="D160" t="str">
            <v>This event is due to mishandling of containers; or to drops/impacts caused by equipment failure; or leaks caused by corrosion, construction defect, or improper closure. Analysis includes impacts affecting vitrified waste canisters.</v>
          </cell>
          <cell r="E160">
            <v>360</v>
          </cell>
          <cell r="F160" t="str">
            <v>E10</v>
          </cell>
          <cell r="G160">
            <v>0.1</v>
          </cell>
          <cell r="H160" t="str">
            <v>20m</v>
          </cell>
          <cell r="I160">
            <v>850</v>
          </cell>
          <cell r="J160" t="str">
            <v>A</v>
          </cell>
          <cell r="K160" t="str">
            <v>N</v>
          </cell>
          <cell r="L160" t="str">
            <v>N</v>
          </cell>
          <cell r="M160" t="str">
            <v>N</v>
          </cell>
          <cell r="N160" t="str">
            <v>N</v>
          </cell>
          <cell r="O160" t="str">
            <v>IV</v>
          </cell>
          <cell r="P160" t="str">
            <v>IV</v>
          </cell>
          <cell r="Q160" t="str">
            <v>IV</v>
          </cell>
          <cell r="R160" t="str">
            <v>IV</v>
          </cell>
          <cell r="S160" t="str">
            <v>E10</v>
          </cell>
          <cell r="T160">
            <v>0.1</v>
          </cell>
          <cell r="U160" t="str">
            <v>20m</v>
          </cell>
          <cell r="V160">
            <v>850</v>
          </cell>
          <cell r="W160" t="str">
            <v>U</v>
          </cell>
          <cell r="X160" t="str">
            <v>N</v>
          </cell>
          <cell r="Y160" t="str">
            <v>N</v>
          </cell>
          <cell r="Z160" t="str">
            <v>N</v>
          </cell>
          <cell r="AA160" t="str">
            <v>N</v>
          </cell>
          <cell r="AB160" t="str">
            <v>IV</v>
          </cell>
          <cell r="AC160" t="str">
            <v>IV</v>
          </cell>
          <cell r="AD160" t="str">
            <v>IV</v>
          </cell>
          <cell r="AE160" t="str">
            <v>IV</v>
          </cell>
          <cell r="AF160" t="str">
            <v xml:space="preserve">Assumed to be bounded by one high activity TRU waste container dropped on another high activity TRU waste container.  No releases from HLW canister expected for this event.  MAR is activity in maximally loaded 2-drum Interim Storage Container (Ref. WVNS-CAL-397, Table A-2).  </v>
          </cell>
          <cell r="AG160" t="str">
            <v>•  None</v>
          </cell>
          <cell r="AH160" t="str">
            <v>•  None</v>
          </cell>
          <cell r="AI160" t="str">
            <v>•  None</v>
          </cell>
          <cell r="AJ160" t="str">
            <v xml:space="preserve">•  Quality Assurance Program
•  Performance Based Training Program
•  Maintenance Program
•  Conduct of Operations
•  Waste Management Program </v>
          </cell>
          <cell r="AK160" t="str">
            <v>•  None</v>
          </cell>
          <cell r="AL160" t="str">
            <v>•  Confinement capability of cell structure</v>
          </cell>
          <cell r="AM160" t="str">
            <v>•  None</v>
          </cell>
          <cell r="AN160" t="str">
            <v>•  Radiological Protection Program
•  Emergency Response Program
•  Performance Based Training Program
•  Conduct of Operations</v>
          </cell>
        </row>
        <row r="161">
          <cell r="A161" t="str">
            <v>VF</v>
          </cell>
          <cell r="B161">
            <v>5</v>
          </cell>
          <cell r="C161" t="str">
            <v>Waste container deflagration</v>
          </cell>
          <cell r="D161" t="str">
            <v>Hydrogen or other flammable/explosive gases inside a container is ignited.</v>
          </cell>
          <cell r="E161">
            <v>360</v>
          </cell>
          <cell r="F161" t="str">
            <v>E06</v>
          </cell>
          <cell r="G161">
            <v>1</v>
          </cell>
          <cell r="H161" t="str">
            <v>20m</v>
          </cell>
          <cell r="I161">
            <v>850</v>
          </cell>
          <cell r="J161" t="str">
            <v>U</v>
          </cell>
          <cell r="K161" t="str">
            <v>N</v>
          </cell>
          <cell r="L161" t="str">
            <v>L</v>
          </cell>
          <cell r="M161" t="str">
            <v>N</v>
          </cell>
          <cell r="N161" t="str">
            <v>N</v>
          </cell>
          <cell r="O161" t="str">
            <v>IV</v>
          </cell>
          <cell r="P161" t="str">
            <v>III</v>
          </cell>
          <cell r="Q161" t="str">
            <v>IV</v>
          </cell>
          <cell r="R161" t="str">
            <v>IV</v>
          </cell>
          <cell r="S161" t="str">
            <v>E06</v>
          </cell>
          <cell r="T161">
            <v>1</v>
          </cell>
          <cell r="U161" t="str">
            <v>20m</v>
          </cell>
          <cell r="V161">
            <v>850</v>
          </cell>
          <cell r="W161" t="str">
            <v>EU</v>
          </cell>
          <cell r="X161" t="str">
            <v>N</v>
          </cell>
          <cell r="Y161" t="str">
            <v>L</v>
          </cell>
          <cell r="Z161" t="str">
            <v>N</v>
          </cell>
          <cell r="AA161" t="str">
            <v>N</v>
          </cell>
          <cell r="AB161" t="str">
            <v>IV</v>
          </cell>
          <cell r="AC161" t="str">
            <v>IV</v>
          </cell>
          <cell r="AD161" t="str">
            <v>IV</v>
          </cell>
          <cell r="AE161" t="str">
            <v>IV</v>
          </cell>
          <cell r="AF161" t="str">
            <v xml:space="preserve">Waste form and waste package vent filters contribute to low probability of this event. Event is assumed to occur within shielded process cell.  MAR is activity in maximally loaded 2-drum Interim Storage Container (Ref. WVNS-CAL-397, Table A-2).  </v>
          </cell>
          <cell r="AG161" t="str">
            <v>•  None</v>
          </cell>
          <cell r="AH161" t="str">
            <v>•  HEPA filter vents on waste containers
•  Non-sparking tools for containers suspected of containing high concentrations of flammable gas</v>
          </cell>
          <cell r="AI161" t="str">
            <v>•  None</v>
          </cell>
          <cell r="AJ161" t="str">
            <v xml:space="preserve">•  Quality Assurance Program
•  Fire Protection Program
•  Performance Based Training Program
•  Maintenance Program
•  Waste Management Program </v>
          </cell>
          <cell r="AK161" t="str">
            <v>•   TSR-compliant packaging for high activity TRU waste</v>
          </cell>
          <cell r="AL161" t="str">
            <v>•  Confinement capability of cell structure
•  Fire rated cell walls and shield doors</v>
          </cell>
          <cell r="AM161" t="str">
            <v>•  None</v>
          </cell>
          <cell r="AN161" t="str">
            <v>•  Radiological Protection Program
•  Emergency Response Program
•  Fire Protection Program
•  Performance Based Training Program
•  Conduct of Operations</v>
          </cell>
        </row>
        <row r="162">
          <cell r="A162" t="str">
            <v>VF</v>
          </cell>
          <cell r="B162">
            <v>6</v>
          </cell>
          <cell r="C162" t="str">
            <v>Waste container over-pressurization</v>
          </cell>
          <cell r="D162" t="str">
            <v>Container failure occurs due to pressure buildup, possibly due to radiolysis of water or other hydrogenous material, thermal expansion of material/gases inside the container, or chemical reactions inside the container.</v>
          </cell>
          <cell r="E162">
            <v>360</v>
          </cell>
          <cell r="F162" t="str">
            <v>E12</v>
          </cell>
          <cell r="G162">
            <v>1</v>
          </cell>
          <cell r="H162" t="str">
            <v>20m</v>
          </cell>
          <cell r="I162">
            <v>850</v>
          </cell>
          <cell r="J162" t="str">
            <v>A</v>
          </cell>
          <cell r="K162" t="str">
            <v>N</v>
          </cell>
          <cell r="L162" t="str">
            <v>L</v>
          </cell>
          <cell r="M162" t="str">
            <v>N</v>
          </cell>
          <cell r="N162" t="str">
            <v>N</v>
          </cell>
          <cell r="O162" t="str">
            <v>IV</v>
          </cell>
          <cell r="P162" t="str">
            <v>III</v>
          </cell>
          <cell r="Q162" t="str">
            <v>IV</v>
          </cell>
          <cell r="R162" t="str">
            <v>IV</v>
          </cell>
          <cell r="S162" t="str">
            <v>E12</v>
          </cell>
          <cell r="T162">
            <v>1</v>
          </cell>
          <cell r="U162" t="str">
            <v>20m</v>
          </cell>
          <cell r="V162">
            <v>850</v>
          </cell>
          <cell r="W162" t="str">
            <v>A</v>
          </cell>
          <cell r="X162" t="str">
            <v>N</v>
          </cell>
          <cell r="Y162" t="str">
            <v>L</v>
          </cell>
          <cell r="Z162" t="str">
            <v>N</v>
          </cell>
          <cell r="AA162" t="str">
            <v>N</v>
          </cell>
          <cell r="AB162" t="str">
            <v>IV</v>
          </cell>
          <cell r="AC162" t="str">
            <v>III</v>
          </cell>
          <cell r="AD162" t="str">
            <v>IV</v>
          </cell>
          <cell r="AE162" t="str">
            <v>IV</v>
          </cell>
          <cell r="AF162" t="str">
            <v xml:space="preserve">Waste form and waste package vent filters contribute to reducing the probability of this event. Event is assumed to occur within shielded process cell.  MAR is activity in maximally loaded 2-drum Interim Storage Container (Ref. WVNS-CAL-397, Table A-2).  </v>
          </cell>
          <cell r="AG162" t="str">
            <v>•  None</v>
          </cell>
          <cell r="AH162" t="str">
            <v>•  HEPA filter vents on waste containers</v>
          </cell>
          <cell r="AI162" t="str">
            <v>•  None</v>
          </cell>
          <cell r="AJ162" t="str">
            <v xml:space="preserve">•  Quality Assurance Program
•  Performance Based Training Program
•  Waste Management Program </v>
          </cell>
          <cell r="AK162" t="str">
            <v>•  None</v>
          </cell>
          <cell r="AL162" t="str">
            <v>•  None</v>
          </cell>
          <cell r="AM162" t="str">
            <v>•  None</v>
          </cell>
          <cell r="AN162" t="str">
            <v>•  Radiological Protection Program
•  Emergency Response Program
•  Performance Based Training Program
•  Conduct of Operations</v>
          </cell>
        </row>
        <row r="163">
          <cell r="A163" t="str">
            <v>VF</v>
          </cell>
          <cell r="B163">
            <v>7</v>
          </cell>
          <cell r="C163" t="str">
            <v>Direct exposure to radiation</v>
          </cell>
          <cell r="D163" t="str">
            <v>Exposure to ionizing radiation from the waste, possibly due to a defective Vitrification Cell penetration or instrument miscalibration</v>
          </cell>
          <cell r="E163" t="str">
            <v>Not applicable.</v>
          </cell>
          <cell r="F163" t="str">
            <v>NA</v>
          </cell>
          <cell r="G163" t="str">
            <v>NA</v>
          </cell>
          <cell r="H163" t="str">
            <v>20m</v>
          </cell>
          <cell r="I163">
            <v>850</v>
          </cell>
          <cell r="J163" t="str">
            <v>A</v>
          </cell>
          <cell r="K163" t="str">
            <v>M</v>
          </cell>
          <cell r="L163" t="str">
            <v>N</v>
          </cell>
          <cell r="M163" t="str">
            <v>N</v>
          </cell>
          <cell r="N163" t="str">
            <v>N</v>
          </cell>
          <cell r="O163" t="str">
            <v>I</v>
          </cell>
          <cell r="P163" t="str">
            <v>IV</v>
          </cell>
          <cell r="Q163" t="str">
            <v>IV</v>
          </cell>
          <cell r="R163" t="str">
            <v>IV</v>
          </cell>
          <cell r="S163" t="str">
            <v>NA</v>
          </cell>
          <cell r="T163" t="str">
            <v>NA</v>
          </cell>
          <cell r="U163" t="str">
            <v>20m</v>
          </cell>
          <cell r="V163">
            <v>850</v>
          </cell>
          <cell r="W163" t="str">
            <v>U</v>
          </cell>
          <cell r="X163" t="str">
            <v>L</v>
          </cell>
          <cell r="Y163" t="str">
            <v>N</v>
          </cell>
          <cell r="Z163" t="str">
            <v>N</v>
          </cell>
          <cell r="AA163" t="str">
            <v>N</v>
          </cell>
          <cell r="AB163" t="str">
            <v>III</v>
          </cell>
          <cell r="AC163" t="str">
            <v>IV</v>
          </cell>
          <cell r="AD163" t="str">
            <v>IV</v>
          </cell>
          <cell r="AE163" t="str">
            <v>IV</v>
          </cell>
          <cell r="AF163" t="str">
            <v xml:space="preserve">None.  </v>
          </cell>
          <cell r="AG163" t="str">
            <v>•  None</v>
          </cell>
          <cell r="AH163" t="str">
            <v>•  Engineered radiation shielding on high dose rate waste containers</v>
          </cell>
          <cell r="AI163" t="str">
            <v>•  None</v>
          </cell>
          <cell r="AJ163" t="str">
            <v xml:space="preserve">•  Radiological Protection Program
•  Quality Assurance Program
•  Performance Based Training Program
•  Conduct of Operations
•  Waste Management Program </v>
          </cell>
          <cell r="AK163" t="str">
            <v>•  None</v>
          </cell>
          <cell r="AL163" t="str">
            <v>•  None</v>
          </cell>
          <cell r="AM163" t="str">
            <v>•  None</v>
          </cell>
          <cell r="AN163" t="str">
            <v>•  Radiological Protection Program
•  Performance Based Training Program
•  Conduct of Operations</v>
          </cell>
        </row>
        <row r="164">
          <cell r="A164" t="str">
            <v>VF</v>
          </cell>
          <cell r="B164">
            <v>8</v>
          </cell>
          <cell r="C164" t="str">
            <v>Criticality</v>
          </cell>
          <cell r="D164" t="str">
            <v>Inadvertent criticality occurs due to multiple independent failures and/or highly improbable circumstances</v>
          </cell>
          <cell r="E164" t="str">
            <v>&gt;450 FGE
Pu-239</v>
          </cell>
          <cell r="F164" t="str">
            <v>NA</v>
          </cell>
          <cell r="G164" t="str">
            <v>NA</v>
          </cell>
          <cell r="H164" t="str">
            <v>20m</v>
          </cell>
          <cell r="I164">
            <v>850</v>
          </cell>
          <cell r="J164" t="str">
            <v>BEU</v>
          </cell>
          <cell r="K164" t="str">
            <v>L</v>
          </cell>
          <cell r="L164" t="str">
            <v>N</v>
          </cell>
          <cell r="M164" t="str">
            <v>N</v>
          </cell>
          <cell r="N164" t="str">
            <v>N</v>
          </cell>
          <cell r="O164" t="str">
            <v>IV</v>
          </cell>
          <cell r="P164" t="str">
            <v>IV</v>
          </cell>
          <cell r="Q164" t="str">
            <v>IV</v>
          </cell>
          <cell r="R164" t="str">
            <v>IV</v>
          </cell>
          <cell r="S164" t="str">
            <v>NA</v>
          </cell>
          <cell r="T164" t="str">
            <v>NA</v>
          </cell>
          <cell r="U164" t="str">
            <v>20m</v>
          </cell>
          <cell r="V164">
            <v>850</v>
          </cell>
          <cell r="W164" t="str">
            <v>BEU</v>
          </cell>
          <cell r="X164" t="str">
            <v>L</v>
          </cell>
          <cell r="Y164" t="str">
            <v>N</v>
          </cell>
          <cell r="Z164" t="str">
            <v>N</v>
          </cell>
          <cell r="AA164" t="str">
            <v>N</v>
          </cell>
          <cell r="AB164" t="str">
            <v>IV</v>
          </cell>
          <cell r="AC164" t="str">
            <v>IV</v>
          </cell>
          <cell r="AD164" t="str">
            <v>IV</v>
          </cell>
          <cell r="AE164" t="str">
            <v>IV</v>
          </cell>
          <cell r="AF164" t="str">
            <v xml:space="preserve">Nuclear criticality safety administrative controls ensure criticality safety for all D&amp;D operations and waste packaging activities involving greater than a significant quantity of fissile material.   </v>
          </cell>
          <cell r="AG164" t="str">
            <v>• PSRs for fissile material storage container specifications</v>
          </cell>
          <cell r="AH164" t="str">
            <v>•  None</v>
          </cell>
          <cell r="AI164" t="str">
            <v>• PSR limits on container fissile mass
• PSR for fissile material storage containers</v>
          </cell>
          <cell r="AJ164" t="str">
            <v xml:space="preserve">•  Radiological Protection Program
•  Nuclear Criticality Safety Program
•  Quality Assurance Program
•  Performance Based Training Program
•  Conduct of Operations
•  Waste Management Program </v>
          </cell>
          <cell r="AK164" t="str">
            <v>•  None</v>
          </cell>
          <cell r="AL164" t="str">
            <v>•  None</v>
          </cell>
          <cell r="AM164" t="str">
            <v>•  None</v>
          </cell>
          <cell r="AN164" t="str">
            <v>•  Radiological Protection Program
•  Nuclear Criticality Safety Program
•  Emergency Response Program
•  Performance Based Training Program
•  Conduct of Operations</v>
          </cell>
        </row>
        <row r="165">
          <cell r="A165" t="str">
            <v>VF</v>
          </cell>
          <cell r="B165">
            <v>9</v>
          </cell>
          <cell r="C165" t="str">
            <v>Aircraft impact with fire</v>
          </cell>
          <cell r="D165" t="str">
            <v>Small general aviation aircraft or helicopter crashes and a fire ensues</v>
          </cell>
          <cell r="E165">
            <v>1</v>
          </cell>
          <cell r="F165" t="str">
            <v>HF</v>
          </cell>
          <cell r="G165">
            <v>1</v>
          </cell>
          <cell r="H165" t="str">
            <v>20m</v>
          </cell>
          <cell r="I165">
            <v>850</v>
          </cell>
          <cell r="J165" t="str">
            <v>BEU</v>
          </cell>
          <cell r="K165" t="str">
            <v>N</v>
          </cell>
          <cell r="L165" t="str">
            <v>N</v>
          </cell>
          <cell r="M165" t="str">
            <v>N</v>
          </cell>
          <cell r="N165" t="str">
            <v>N</v>
          </cell>
          <cell r="O165" t="str">
            <v>IV</v>
          </cell>
          <cell r="P165" t="str">
            <v>IV</v>
          </cell>
          <cell r="Q165" t="str">
            <v>IV</v>
          </cell>
          <cell r="R165" t="str">
            <v>IV</v>
          </cell>
          <cell r="S165" t="str">
            <v>HF</v>
          </cell>
          <cell r="T165">
            <v>1</v>
          </cell>
          <cell r="U165" t="str">
            <v>20m</v>
          </cell>
          <cell r="V165">
            <v>850</v>
          </cell>
          <cell r="W165" t="str">
            <v>BEU</v>
          </cell>
          <cell r="X165" t="str">
            <v>N</v>
          </cell>
          <cell r="Y165" t="str">
            <v>N</v>
          </cell>
          <cell r="Z165" t="str">
            <v>N</v>
          </cell>
          <cell r="AA165" t="str">
            <v>N</v>
          </cell>
          <cell r="AB165" t="str">
            <v>IV</v>
          </cell>
          <cell r="AC165" t="str">
            <v>IV</v>
          </cell>
          <cell r="AD165" t="str">
            <v>IV</v>
          </cell>
          <cell r="AE165" t="str">
            <v>IV</v>
          </cell>
          <cell r="AF165" t="str">
            <v xml:space="preserve">Event not expected to impact radioactive materials within heavily shielded cells. Only activity in ventilation system would be expected to be affected. Event BEU per WVNS-CAL-388. Only facility ventilation system vulnerable to event. MAR is bounded by 10% of MPPB ventilation system MAR based on system environmental emission data. </v>
          </cell>
          <cell r="AG165" t="str">
            <v>•  None</v>
          </cell>
          <cell r="AH165" t="str">
            <v>•  None</v>
          </cell>
          <cell r="AI165" t="str">
            <v>•  None</v>
          </cell>
          <cell r="AJ165" t="str">
            <v>•  None</v>
          </cell>
          <cell r="AK165" t="str">
            <v>•  None</v>
          </cell>
          <cell r="AL165" t="str">
            <v>•  None</v>
          </cell>
          <cell r="AM165" t="str">
            <v>• SAC for APPROVED CONTAINER use</v>
          </cell>
          <cell r="AN165" t="str">
            <v>•  Radiological Protection Program
•  Emergency Response Program
•  Fire Protection Program
•  Performance Based Training Program
•  Conduct of Operations</v>
          </cell>
        </row>
        <row r="166">
          <cell r="A166" t="str">
            <v>VF</v>
          </cell>
          <cell r="B166">
            <v>10</v>
          </cell>
          <cell r="C166" t="str">
            <v>Tornado</v>
          </cell>
          <cell r="D166" t="str">
            <v>Direct effects of tornado winds, falling objects, or tornado-produced missiles causing impacts to the facility. Event includes loss of contamination confinement resulting from abnormal facility differential pressures (backflow).</v>
          </cell>
          <cell r="E166">
            <v>1500</v>
          </cell>
          <cell r="F166" t="str">
            <v>IS</v>
          </cell>
          <cell r="G166">
            <v>1</v>
          </cell>
          <cell r="H166" t="str">
            <v>20m</v>
          </cell>
          <cell r="I166">
            <v>850</v>
          </cell>
          <cell r="J166" t="str">
            <v>U</v>
          </cell>
          <cell r="K166" t="str">
            <v>N</v>
          </cell>
          <cell r="L166" t="str">
            <v>L</v>
          </cell>
          <cell r="M166" t="str">
            <v>N</v>
          </cell>
          <cell r="N166" t="str">
            <v>N</v>
          </cell>
          <cell r="O166" t="str">
            <v>IV</v>
          </cell>
          <cell r="P166" t="str">
            <v>III</v>
          </cell>
          <cell r="Q166" t="str">
            <v>IV</v>
          </cell>
          <cell r="R166" t="str">
            <v>IV</v>
          </cell>
          <cell r="S166" t="str">
            <v>IS</v>
          </cell>
          <cell r="T166">
            <v>1</v>
          </cell>
          <cell r="U166" t="str">
            <v>20m</v>
          </cell>
          <cell r="V166">
            <v>850</v>
          </cell>
          <cell r="W166" t="str">
            <v>U</v>
          </cell>
          <cell r="X166" t="str">
            <v>N</v>
          </cell>
          <cell r="Y166" t="str">
            <v>L</v>
          </cell>
          <cell r="Z166" t="str">
            <v>N</v>
          </cell>
          <cell r="AA166" t="str">
            <v>N</v>
          </cell>
          <cell r="AB166" t="str">
            <v>IV</v>
          </cell>
          <cell r="AC166" t="str">
            <v>III</v>
          </cell>
          <cell r="AD166" t="str">
            <v>IV</v>
          </cell>
          <cell r="AE166" t="str">
            <v>IV</v>
          </cell>
          <cell r="AF166" t="str">
            <v xml:space="preserve">Source term for event expected to be limited to airborne contamination affected by large negative pressure associated with direct strike by a tornado. Facility confinement not expected to be affected by missiles of EBE.  MAR is entire inventory of radioactive material in the Vitrification Facility (Ref. WVNS-CAL-397, Table C-1).  </v>
          </cell>
          <cell r="AG166" t="str">
            <v>•  None</v>
          </cell>
          <cell r="AH166" t="str">
            <v>•  None</v>
          </cell>
          <cell r="AI166" t="str">
            <v>•  None</v>
          </cell>
          <cell r="AJ166" t="str">
            <v>•  None</v>
          </cell>
          <cell r="AK166" t="str">
            <v>•  None</v>
          </cell>
          <cell r="AL166" t="str">
            <v>•  Facility design capable of maintaining confinement integrity following design basis events</v>
          </cell>
          <cell r="AM166" t="str">
            <v>•  None</v>
          </cell>
          <cell r="AN166" t="str">
            <v>•  Radiological Protection Program
•  Emergency Response Program
•  Performance Based Training Program
•  Conduct of Operations</v>
          </cell>
        </row>
        <row r="167">
          <cell r="A167" t="str">
            <v>VF</v>
          </cell>
          <cell r="B167">
            <v>11</v>
          </cell>
          <cell r="C167" t="str">
            <v>Seismic event</v>
          </cell>
          <cell r="D167" t="str">
            <v>Seismic event causes failure of equipment or structure which impacts facility contamination and/or seismic event disturbs loose surface contamination. Confinement boundaries are expected to remain intact.</v>
          </cell>
          <cell r="E167">
            <v>1500</v>
          </cell>
          <cell r="F167" t="str">
            <v>EQ</v>
          </cell>
          <cell r="G167">
            <v>0.1</v>
          </cell>
          <cell r="H167" t="str">
            <v>20m</v>
          </cell>
          <cell r="I167">
            <v>850</v>
          </cell>
          <cell r="J167" t="str">
            <v>U</v>
          </cell>
          <cell r="K167" t="str">
            <v>N</v>
          </cell>
          <cell r="L167" t="str">
            <v>L</v>
          </cell>
          <cell r="M167" t="str">
            <v>N</v>
          </cell>
          <cell r="N167" t="str">
            <v>N</v>
          </cell>
          <cell r="O167" t="str">
            <v>IV</v>
          </cell>
          <cell r="P167" t="str">
            <v>III</v>
          </cell>
          <cell r="Q167" t="str">
            <v>IV</v>
          </cell>
          <cell r="R167" t="str">
            <v>IV</v>
          </cell>
          <cell r="S167" t="str">
            <v>EQ</v>
          </cell>
          <cell r="T167">
            <v>0.1</v>
          </cell>
          <cell r="U167" t="str">
            <v>20m</v>
          </cell>
          <cell r="V167">
            <v>850</v>
          </cell>
          <cell r="W167" t="str">
            <v>U</v>
          </cell>
          <cell r="X167" t="str">
            <v>N</v>
          </cell>
          <cell r="Y167" t="str">
            <v>L</v>
          </cell>
          <cell r="Z167" t="str">
            <v>N</v>
          </cell>
          <cell r="AA167" t="str">
            <v>N</v>
          </cell>
          <cell r="AB167" t="str">
            <v>IV</v>
          </cell>
          <cell r="AC167" t="str">
            <v>III</v>
          </cell>
          <cell r="AD167" t="str">
            <v>IV</v>
          </cell>
          <cell r="AE167" t="str">
            <v>IV</v>
          </cell>
          <cell r="AF167" t="str">
            <v xml:space="preserve">Facility confinement boundaries expected to remain intact following EBE.  MAR is entire inventory of radioactive material in the Vitrification Facility (Ref. WVNS-CAL-397, Table C-1).  </v>
          </cell>
          <cell r="AG167" t="str">
            <v>•  None</v>
          </cell>
          <cell r="AH167" t="str">
            <v>•  None</v>
          </cell>
          <cell r="AI167" t="str">
            <v>•  None</v>
          </cell>
          <cell r="AJ167" t="str">
            <v>•  None</v>
          </cell>
          <cell r="AK167" t="str">
            <v>•  None</v>
          </cell>
          <cell r="AL167" t="str">
            <v>•  Facility design capable of maintaining confinement integrity following design basis events</v>
          </cell>
          <cell r="AM167" t="str">
            <v>•  None</v>
          </cell>
          <cell r="AN167" t="str">
            <v>•  Radiological Protection Program
•  Emergency Response Program
•  Performance Based Training Program
•  Conduct of Operations</v>
          </cell>
        </row>
        <row r="168">
          <cell r="A168" t="str">
            <v>VF</v>
          </cell>
          <cell r="B168">
            <v>12</v>
          </cell>
          <cell r="C168" t="str">
            <v>HEPA filter fire</v>
          </cell>
          <cell r="D168" t="str">
            <v>In-cell fire propagates to HEPA filter bank</v>
          </cell>
          <cell r="E168">
            <v>1</v>
          </cell>
          <cell r="F168" t="str">
            <v>HF</v>
          </cell>
          <cell r="G168">
            <v>1</v>
          </cell>
          <cell r="H168" t="str">
            <v>20m</v>
          </cell>
          <cell r="I168">
            <v>850</v>
          </cell>
          <cell r="J168" t="str">
            <v>A</v>
          </cell>
          <cell r="K168" t="str">
            <v>N</v>
          </cell>
          <cell r="L168" t="str">
            <v>N</v>
          </cell>
          <cell r="M168" t="str">
            <v>N</v>
          </cell>
          <cell r="N168" t="str">
            <v>N</v>
          </cell>
          <cell r="O168" t="str">
            <v>IV</v>
          </cell>
          <cell r="P168" t="str">
            <v>IV</v>
          </cell>
          <cell r="Q168" t="str">
            <v>IV</v>
          </cell>
          <cell r="R168" t="str">
            <v>IV</v>
          </cell>
          <cell r="S168" t="str">
            <v>HF</v>
          </cell>
          <cell r="T168">
            <v>1</v>
          </cell>
          <cell r="U168" t="str">
            <v>20m</v>
          </cell>
          <cell r="V168">
            <v>850</v>
          </cell>
          <cell r="W168" t="str">
            <v>U</v>
          </cell>
          <cell r="X168" t="str">
            <v>N</v>
          </cell>
          <cell r="Y168" t="str">
            <v>N</v>
          </cell>
          <cell r="Z168" t="str">
            <v>N</v>
          </cell>
          <cell r="AA168" t="str">
            <v>N</v>
          </cell>
          <cell r="AB168" t="str">
            <v>IV</v>
          </cell>
          <cell r="AC168" t="str">
            <v>IV</v>
          </cell>
          <cell r="AD168" t="str">
            <v>IV</v>
          </cell>
          <cell r="AE168" t="str">
            <v>IV</v>
          </cell>
          <cell r="AF168" t="str">
            <v xml:space="preserve"> 10% of MPPB ventilation system MAR bounding for facility HEPA filters based on system environmental emission data </v>
          </cell>
          <cell r="AG168" t="str">
            <v>•  None</v>
          </cell>
          <cell r="AH168" t="str">
            <v>•  Spark arrestors on in-cell filters</v>
          </cell>
          <cell r="AI168" t="str">
            <v>•  None</v>
          </cell>
          <cell r="AJ168" t="str">
            <v>•  Quality Assurance Program
•  Fire Protection Program
•  Performance Based Training Program
•  Maintenance Program
•  Conduct of Operations</v>
          </cell>
          <cell r="AK168" t="str">
            <v>•  None</v>
          </cell>
          <cell r="AL168" t="str">
            <v>•  Redundant ventilation system filter trains and blowers</v>
          </cell>
          <cell r="AM168" t="str">
            <v>•  None</v>
          </cell>
          <cell r="AN168" t="str">
            <v>•  Radiological Protection Program
•  Emergency Response Program
•  Fire Protection Program
•  Performance Based Training Program
•  Conduct of Operations</v>
          </cell>
        </row>
        <row r="169">
          <cell r="A169" t="str">
            <v>VF</v>
          </cell>
          <cell r="B169">
            <v>13</v>
          </cell>
          <cell r="C169" t="str">
            <v>HEPA filter failure</v>
          </cell>
          <cell r="D169" t="str">
            <v>Excess moisture or particulate on filters or area pressure excursion causes high filter differential pressure, resulting in filter failure</v>
          </cell>
          <cell r="E169">
            <v>1</v>
          </cell>
          <cell r="F169" t="str">
            <v>HB</v>
          </cell>
          <cell r="G169">
            <v>1</v>
          </cell>
          <cell r="H169" t="str">
            <v>20m</v>
          </cell>
          <cell r="I169">
            <v>850</v>
          </cell>
          <cell r="J169" t="str">
            <v>A</v>
          </cell>
          <cell r="K169" t="str">
            <v>N</v>
          </cell>
          <cell r="L169" t="str">
            <v>L</v>
          </cell>
          <cell r="M169" t="str">
            <v>N</v>
          </cell>
          <cell r="N169" t="str">
            <v>N</v>
          </cell>
          <cell r="O169" t="str">
            <v>IV</v>
          </cell>
          <cell r="P169" t="str">
            <v>III</v>
          </cell>
          <cell r="Q169" t="str">
            <v>IV</v>
          </cell>
          <cell r="R169" t="str">
            <v>IV</v>
          </cell>
          <cell r="S169" t="str">
            <v>HB</v>
          </cell>
          <cell r="T169">
            <v>1</v>
          </cell>
          <cell r="U169" t="str">
            <v>20m</v>
          </cell>
          <cell r="V169">
            <v>850</v>
          </cell>
          <cell r="W169" t="str">
            <v>U</v>
          </cell>
          <cell r="X169" t="str">
            <v>N</v>
          </cell>
          <cell r="Y169" t="str">
            <v>L</v>
          </cell>
          <cell r="Z169" t="str">
            <v>N</v>
          </cell>
          <cell r="AA169" t="str">
            <v>N</v>
          </cell>
          <cell r="AB169" t="str">
            <v>IV</v>
          </cell>
          <cell r="AC169" t="str">
            <v>III</v>
          </cell>
          <cell r="AD169" t="str">
            <v>IV</v>
          </cell>
          <cell r="AE169" t="str">
            <v>IV</v>
          </cell>
          <cell r="AF169" t="str">
            <v xml:space="preserve"> 10% of MPPB ventilation system MAR bounding for facility HEPA filters based on system environmental emission data </v>
          </cell>
          <cell r="AG169" t="str">
            <v>•  None</v>
          </cell>
          <cell r="AH169" t="str">
            <v>•  Instrumentation and controls to switch trains on high differential pressure
•  Instrumentation and controls to provide backup ventilation blower capability</v>
          </cell>
          <cell r="AI169" t="str">
            <v>•  None</v>
          </cell>
          <cell r="AJ169" t="str">
            <v>•  Quality Assurance Program
•  Fire Protection Program
•  Performance Based Training Program
•  Maintenance Program
•  Conduct of Operations</v>
          </cell>
          <cell r="AK169" t="str">
            <v>•  None</v>
          </cell>
          <cell r="AL169" t="str">
            <v>•  Redundant ventilation system filter trains and blowers</v>
          </cell>
          <cell r="AM169" t="str">
            <v>•  None</v>
          </cell>
          <cell r="AN169" t="str">
            <v>•  Radiological Protection Program
•  Emergency Response Program
•  Performance Based Training Program
•  Conduct of Operations</v>
          </cell>
        </row>
        <row r="170">
          <cell r="A170" t="str">
            <v>VF</v>
          </cell>
          <cell r="B170">
            <v>14</v>
          </cell>
          <cell r="C170" t="str">
            <v>Loss of airborne contamination confinement</v>
          </cell>
          <cell r="D170" t="str">
            <v>Loss of power/redundancy resulting in loss of exhaust blower operability or other upset condition resulting in loss of airborne contamination confinement.</v>
          </cell>
          <cell r="E170">
            <v>1500</v>
          </cell>
          <cell r="F170" t="str">
            <v>AER</v>
          </cell>
          <cell r="G170">
            <v>1</v>
          </cell>
          <cell r="H170" t="str">
            <v>20m</v>
          </cell>
          <cell r="I170">
            <v>850</v>
          </cell>
          <cell r="J170" t="str">
            <v>A</v>
          </cell>
          <cell r="K170" t="str">
            <v>N</v>
          </cell>
          <cell r="L170" t="str">
            <v>L</v>
          </cell>
          <cell r="M170" t="str">
            <v>N</v>
          </cell>
          <cell r="N170" t="str">
            <v>N</v>
          </cell>
          <cell r="O170" t="str">
            <v>IV</v>
          </cell>
          <cell r="P170" t="str">
            <v>III</v>
          </cell>
          <cell r="Q170" t="str">
            <v>IV</v>
          </cell>
          <cell r="R170" t="str">
            <v>IV</v>
          </cell>
          <cell r="S170" t="str">
            <v>AER</v>
          </cell>
          <cell r="T170">
            <v>1</v>
          </cell>
          <cell r="U170" t="str">
            <v>20m</v>
          </cell>
          <cell r="V170">
            <v>850</v>
          </cell>
          <cell r="W170" t="str">
            <v>A</v>
          </cell>
          <cell r="X170" t="str">
            <v>N</v>
          </cell>
          <cell r="Y170" t="str">
            <v>L</v>
          </cell>
          <cell r="Z170" t="str">
            <v>N</v>
          </cell>
          <cell r="AA170" t="str">
            <v>N</v>
          </cell>
          <cell r="AB170" t="str">
            <v>IV</v>
          </cell>
          <cell r="AC170" t="str">
            <v>III</v>
          </cell>
          <cell r="AD170" t="str">
            <v>IV</v>
          </cell>
          <cell r="AE170" t="str">
            <v>IV</v>
          </cell>
          <cell r="AF170" t="str">
            <v xml:space="preserve">Contamination assumed to migrate from confinement boundary penetrations through aerodynamic entrainment and resuspension under static facility conditions. MAR is entire inventory of radioactive material in the Vitrification Facility (Ref. WVNS-CAL-397, Table C-1).  </v>
          </cell>
          <cell r="AG170" t="str">
            <v>•  None</v>
          </cell>
          <cell r="AH170" t="str">
            <v>•  Facility ventilation exhaust stack which continues to provide nominal facility negative via chimney effect</v>
          </cell>
          <cell r="AI170" t="str">
            <v>•  None</v>
          </cell>
          <cell r="AJ170" t="str">
            <v>•  Quality Assurance Program
•  Fire Protection Program
•  Performance Based Training Program
•  Maintenance Program
•  Conduct of Operations</v>
          </cell>
          <cell r="AK170" t="str">
            <v>•  None</v>
          </cell>
          <cell r="AL170" t="str">
            <v>•  Confinement capability of facility envelope
•  Nominal facility negative maintained on facility even under loss of active ventilation through stack "chimney effect"</v>
          </cell>
          <cell r="AM170" t="str">
            <v>•  None</v>
          </cell>
          <cell r="AN170" t="str">
            <v>•  Radiological Protection Program
•  Performance Based Training Program
•  Conduct of Operations</v>
          </cell>
        </row>
        <row r="171">
          <cell r="A171" t="str">
            <v>VF</v>
          </cell>
          <cell r="B171">
            <v>15</v>
          </cell>
          <cell r="C171" t="str">
            <v>Loss of liquid contamination confinement</v>
          </cell>
          <cell r="D171" t="str">
            <v>Vessel/line failure; sump overflow; roof leak; or other loss of contaminated liquid to an operating area or to the environment</v>
          </cell>
          <cell r="E171">
            <v>1</v>
          </cell>
          <cell r="F171" t="str">
            <v>FFS</v>
          </cell>
          <cell r="G171">
            <v>0.5</v>
          </cell>
          <cell r="H171" t="str">
            <v>20m</v>
          </cell>
          <cell r="I171">
            <v>850</v>
          </cell>
          <cell r="J171" t="str">
            <v>A</v>
          </cell>
          <cell r="K171" t="str">
            <v>N</v>
          </cell>
          <cell r="L171" t="str">
            <v>N</v>
          </cell>
          <cell r="M171" t="str">
            <v>N</v>
          </cell>
          <cell r="N171" t="str">
            <v>N</v>
          </cell>
          <cell r="O171" t="str">
            <v>IV</v>
          </cell>
          <cell r="P171" t="str">
            <v>IV</v>
          </cell>
          <cell r="Q171" t="str">
            <v>IV</v>
          </cell>
          <cell r="R171" t="str">
            <v>IV</v>
          </cell>
          <cell r="S171" t="str">
            <v>FFS</v>
          </cell>
          <cell r="T171">
            <v>0.5</v>
          </cell>
          <cell r="U171" t="str">
            <v>20m</v>
          </cell>
          <cell r="V171">
            <v>850</v>
          </cell>
          <cell r="W171" t="str">
            <v>A</v>
          </cell>
          <cell r="X171" t="str">
            <v>N</v>
          </cell>
          <cell r="Y171" t="str">
            <v>N</v>
          </cell>
          <cell r="Z171" t="str">
            <v>N</v>
          </cell>
          <cell r="AA171" t="str">
            <v>N</v>
          </cell>
          <cell r="AB171" t="str">
            <v>IV</v>
          </cell>
          <cell r="AC171" t="str">
            <v>IV</v>
          </cell>
          <cell r="AD171" t="str">
            <v>IV</v>
          </cell>
          <cell r="AE171" t="str">
            <v>IV</v>
          </cell>
          <cell r="AF171" t="str">
            <v xml:space="preserve">None.  </v>
          </cell>
          <cell r="AG171" t="str">
            <v>•  None</v>
          </cell>
          <cell r="AH171" t="str">
            <v>•  Cell liners/sumps and/or area berms</v>
          </cell>
          <cell r="AI171" t="str">
            <v>•  None</v>
          </cell>
          <cell r="AJ171" t="str">
            <v xml:space="preserve">•  Quality Assurance Program
•  Performance Based Training Program
•  Maintenance Program
•  Conduct of Operations
•  Waste Management Program </v>
          </cell>
          <cell r="AK171" t="str">
            <v>•  None</v>
          </cell>
          <cell r="AL171" t="str">
            <v>•  Cell sumps/liners</v>
          </cell>
          <cell r="AM171" t="str">
            <v>•  None</v>
          </cell>
          <cell r="AN171" t="str">
            <v>•  Radiological Protection Program
•  Performance Based Training Program
•  Conduct of Operations</v>
          </cell>
        </row>
        <row r="172">
          <cell r="A172" t="str">
            <v>VF</v>
          </cell>
          <cell r="B172">
            <v>16</v>
          </cell>
          <cell r="C172" t="str">
            <v>Flood</v>
          </cell>
          <cell r="D172" t="str">
            <v>A greater than 100-yr  rain event results in sheet flow that floods the storage area. Flooding may be exacerbated by plugged drainage channels or culverts.</v>
          </cell>
          <cell r="E172">
            <v>1500</v>
          </cell>
          <cell r="F172" t="str">
            <v>NA</v>
          </cell>
          <cell r="G172" t="str">
            <v>NA</v>
          </cell>
          <cell r="H172" t="str">
            <v>20m</v>
          </cell>
          <cell r="I172">
            <v>850</v>
          </cell>
          <cell r="J172" t="str">
            <v>U</v>
          </cell>
          <cell r="K172" t="str">
            <v>N</v>
          </cell>
          <cell r="L172" t="str">
            <v>N</v>
          </cell>
          <cell r="M172" t="str">
            <v>N</v>
          </cell>
          <cell r="N172" t="str">
            <v>N</v>
          </cell>
          <cell r="O172" t="str">
            <v>IV</v>
          </cell>
          <cell r="P172" t="str">
            <v>IV</v>
          </cell>
          <cell r="Q172" t="str">
            <v>IV</v>
          </cell>
          <cell r="R172" t="str">
            <v>IV</v>
          </cell>
          <cell r="S172" t="str">
            <v>NA</v>
          </cell>
          <cell r="T172" t="str">
            <v>NA</v>
          </cell>
          <cell r="U172" t="str">
            <v>20m</v>
          </cell>
          <cell r="V172">
            <v>850</v>
          </cell>
          <cell r="W172" t="str">
            <v>U</v>
          </cell>
          <cell r="X172" t="str">
            <v>N</v>
          </cell>
          <cell r="Y172" t="str">
            <v>N</v>
          </cell>
          <cell r="Z172" t="str">
            <v>N</v>
          </cell>
          <cell r="AA172" t="str">
            <v>N</v>
          </cell>
          <cell r="AB172" t="str">
            <v>IV</v>
          </cell>
          <cell r="AC172" t="str">
            <v>IV</v>
          </cell>
          <cell r="AD172" t="str">
            <v>IV</v>
          </cell>
          <cell r="AE172" t="str">
            <v>IV</v>
          </cell>
          <cell r="AF172" t="str">
            <v xml:space="preserve">Site topography places facility outside area vulnerable to flooding (ref. Figure 1.4-6).  MAR is entire inventory of radioactive material in the Vitrification Facility (Ref. WVNS-CAL-397, Table C-1).  </v>
          </cell>
          <cell r="AG172" t="str">
            <v>•  None</v>
          </cell>
          <cell r="AH172" t="str">
            <v>•  Siting of storage array in area away from areas of anticipated flooding</v>
          </cell>
          <cell r="AI172" t="str">
            <v>•  None</v>
          </cell>
          <cell r="AJ172" t="str">
            <v>•  None</v>
          </cell>
          <cell r="AK172" t="str">
            <v>•  None</v>
          </cell>
          <cell r="AL172" t="str">
            <v>•  None</v>
          </cell>
          <cell r="AM172" t="str">
            <v>•  None</v>
          </cell>
          <cell r="AN172" t="str">
            <v>•  Radiological Protection Program
•  Performance Based Training Program
•  Conduct of Operations</v>
          </cell>
        </row>
        <row r="173">
          <cell r="A173" t="str">
            <v>WTF</v>
          </cell>
          <cell r="B173">
            <v>1</v>
          </cell>
          <cell r="C173" t="str">
            <v>Small combustible material fire</v>
          </cell>
          <cell r="D173" t="str">
            <v>Fire occurs in a contaminated facility area. Includes accidents initiated due to pyrophoric reactions or reactions involving incompatible materials.</v>
          </cell>
          <cell r="E173">
            <v>850</v>
          </cell>
          <cell r="F173" t="str">
            <v>E02</v>
          </cell>
          <cell r="G173">
            <v>1</v>
          </cell>
          <cell r="H173" t="str">
            <v>Gnd</v>
          </cell>
          <cell r="I173">
            <v>850</v>
          </cell>
          <cell r="J173" t="str">
            <v>U</v>
          </cell>
          <cell r="K173" t="str">
            <v>H</v>
          </cell>
          <cell r="L173" t="str">
            <v>H</v>
          </cell>
          <cell r="M173" t="str">
            <v>N</v>
          </cell>
          <cell r="N173" t="str">
            <v>N</v>
          </cell>
          <cell r="O173" t="str">
            <v>I</v>
          </cell>
          <cell r="P173" t="str">
            <v>I</v>
          </cell>
          <cell r="Q173" t="str">
            <v>IV</v>
          </cell>
          <cell r="R173" t="str">
            <v>IV</v>
          </cell>
          <cell r="S173" t="str">
            <v>E02</v>
          </cell>
          <cell r="T173">
            <v>1.1999999999999999E-3</v>
          </cell>
          <cell r="U173" t="str">
            <v>Gnd</v>
          </cell>
          <cell r="V173">
            <v>850</v>
          </cell>
          <cell r="W173" t="str">
            <v>U</v>
          </cell>
          <cell r="X173" t="str">
            <v>L</v>
          </cell>
          <cell r="Y173" t="str">
            <v>L</v>
          </cell>
          <cell r="Z173" t="str">
            <v>N</v>
          </cell>
          <cell r="AA173" t="str">
            <v>N</v>
          </cell>
          <cell r="AB173" t="str">
            <v>III</v>
          </cell>
          <cell r="AC173" t="str">
            <v>III</v>
          </cell>
          <cell r="AD173" t="str">
            <v>IV</v>
          </cell>
          <cell r="AE173" t="str">
            <v>IV</v>
          </cell>
          <cell r="AF173" t="str">
            <v xml:space="preserve"> MAR is total inventory of activity in the WTF (Ref. WVNS-CAL-397, Table C-1).  DR reflects the fact that only MAR equal to that associated with facility ventilation system would be expected to be involved in event.</v>
          </cell>
          <cell r="AG173" t="str">
            <v>•  None</v>
          </cell>
          <cell r="AH173" t="str">
            <v>•  None</v>
          </cell>
          <cell r="AI173" t="str">
            <v>•  None</v>
          </cell>
          <cell r="AJ173" t="str">
            <v xml:space="preserve">•  Quality Assurance Program
•  Fire Protection Program
-   “Hot work” controls
-   Combustible material control program
•  Performance Based Training Program
•  Maintenance Program
•  Conduct of Operations
•  Waste Management Program </v>
          </cell>
          <cell r="AK173" t="str">
            <v>•  APPROVED CONTAINERS used for TRU waste storage
•  TSR-compliant packaging for high activity TRU waste</v>
          </cell>
          <cell r="AL173" t="str">
            <v>•  Wet pipe sprinkler system in PVS Building
•  Dry pipe sprinkler system in STS Support Building</v>
          </cell>
          <cell r="AM173" t="str">
            <v>•  None</v>
          </cell>
          <cell r="AN173" t="str">
            <v>•  Radiological Protection Program
•  Emergency Response Program
•  Fire Protection Program
•  Performance Based Training Program
•  Conduct of Operations</v>
          </cell>
        </row>
        <row r="174">
          <cell r="A174" t="str">
            <v>WTF</v>
          </cell>
          <cell r="B174">
            <v>2</v>
          </cell>
          <cell r="C174" t="str">
            <v>Seismic event</v>
          </cell>
          <cell r="D174" t="str">
            <v>Seismic event causes failure of equipment or structure which impacts facility contamination and/or seismic event disturbs loose surface contamination. Confinement boundaries are expected to remain intact.</v>
          </cell>
          <cell r="E174">
            <v>850</v>
          </cell>
          <cell r="F174" t="str">
            <v>EQ</v>
          </cell>
          <cell r="G174">
            <v>0.1</v>
          </cell>
          <cell r="H174" t="str">
            <v>Gnd</v>
          </cell>
          <cell r="I174">
            <v>850</v>
          </cell>
          <cell r="J174" t="str">
            <v>U</v>
          </cell>
          <cell r="K174" t="str">
            <v>H</v>
          </cell>
          <cell r="L174" t="str">
            <v>M</v>
          </cell>
          <cell r="M174" t="str">
            <v>N</v>
          </cell>
          <cell r="N174" t="str">
            <v>N</v>
          </cell>
          <cell r="O174" t="str">
            <v>I</v>
          </cell>
          <cell r="P174" t="str">
            <v>II</v>
          </cell>
          <cell r="Q174" t="str">
            <v>IV</v>
          </cell>
          <cell r="R174" t="str">
            <v>IV</v>
          </cell>
          <cell r="S174" t="str">
            <v>EQ</v>
          </cell>
          <cell r="T174">
            <v>1.2E-5</v>
          </cell>
          <cell r="U174" t="str">
            <v>Gnd</v>
          </cell>
          <cell r="V174">
            <v>850</v>
          </cell>
          <cell r="W174" t="str">
            <v>U</v>
          </cell>
          <cell r="X174" t="str">
            <v>N</v>
          </cell>
          <cell r="Y174" t="str">
            <v>N</v>
          </cell>
          <cell r="Z174" t="str">
            <v>N</v>
          </cell>
          <cell r="AA174" t="str">
            <v>N</v>
          </cell>
          <cell r="AB174" t="str">
            <v>IV</v>
          </cell>
          <cell r="AC174" t="str">
            <v>IV</v>
          </cell>
          <cell r="AD174" t="str">
            <v>IV</v>
          </cell>
          <cell r="AE174" t="str">
            <v>IV</v>
          </cell>
          <cell r="AF174" t="str">
            <v xml:space="preserve">Facility confinement boundaries expected to remain intact following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74" t="str">
            <v>•  None</v>
          </cell>
          <cell r="AH174" t="str">
            <v>•  None</v>
          </cell>
          <cell r="AI174" t="str">
            <v>•  None</v>
          </cell>
          <cell r="AJ174" t="str">
            <v>•  None</v>
          </cell>
          <cell r="AK174" t="str">
            <v>•  None</v>
          </cell>
          <cell r="AL174" t="str">
            <v>•  Facility design capable of maintaining confinement integrity following design basis events</v>
          </cell>
          <cell r="AM174" t="str">
            <v>•  None</v>
          </cell>
          <cell r="AN174" t="str">
            <v>•  Radiological Protection Program
•  Emergency Response Program
•  Performance Based Training Program
•  Conduct of Operations</v>
          </cell>
        </row>
        <row r="175">
          <cell r="A175" t="str">
            <v>WTF</v>
          </cell>
          <cell r="B175">
            <v>3</v>
          </cell>
          <cell r="C175" t="str">
            <v>Drop/impact/spill</v>
          </cell>
          <cell r="D175" t="str">
            <v>Upset during maintenance, tank sampling, deactivation, or D&amp;D (including the WTF Equipment Shelter); tank leak; or other uncontrolled release of contaminated liquid.</v>
          </cell>
          <cell r="E175">
            <v>1</v>
          </cell>
          <cell r="F175" t="str">
            <v>IS</v>
          </cell>
          <cell r="G175">
            <v>1</v>
          </cell>
          <cell r="H175" t="str">
            <v>Gnd</v>
          </cell>
          <cell r="I175">
            <v>850</v>
          </cell>
          <cell r="J175" t="str">
            <v>A</v>
          </cell>
          <cell r="K175" t="str">
            <v>N</v>
          </cell>
          <cell r="L175" t="str">
            <v>N</v>
          </cell>
          <cell r="M175" t="str">
            <v>N</v>
          </cell>
          <cell r="N175" t="str">
            <v>N</v>
          </cell>
          <cell r="O175" t="str">
            <v>IV</v>
          </cell>
          <cell r="P175" t="str">
            <v>IV</v>
          </cell>
          <cell r="Q175" t="str">
            <v>IV</v>
          </cell>
          <cell r="R175" t="str">
            <v>IV</v>
          </cell>
          <cell r="S175" t="str">
            <v>IS</v>
          </cell>
          <cell r="T175">
            <v>1</v>
          </cell>
          <cell r="U175" t="str">
            <v>Gnd</v>
          </cell>
          <cell r="V175">
            <v>850</v>
          </cell>
          <cell r="W175" t="str">
            <v>U</v>
          </cell>
          <cell r="X175" t="str">
            <v>N</v>
          </cell>
          <cell r="Y175" t="str">
            <v>N</v>
          </cell>
          <cell r="Z175" t="str">
            <v>N</v>
          </cell>
          <cell r="AA175" t="str">
            <v>N</v>
          </cell>
          <cell r="AB175" t="str">
            <v>IV</v>
          </cell>
          <cell r="AC175" t="str">
            <v>IV</v>
          </cell>
          <cell r="AD175" t="str">
            <v>IV</v>
          </cell>
          <cell r="AE175" t="str">
            <v>IV</v>
          </cell>
          <cell r="AF175" t="str">
            <v xml:space="preserve">Event is assumed to involve drop of HEPA filter during changeout. This event would bound any releases associated with drop of equipment internal to a waste tank (e.g. sampling component).  10% of MPPB ventilation system MAR bounding for facility HEPA filters based on system environmental emission data </v>
          </cell>
          <cell r="AG175" t="str">
            <v>•  None</v>
          </cell>
          <cell r="AH175" t="str">
            <v>•  None</v>
          </cell>
          <cell r="AI175" t="str">
            <v>•  None</v>
          </cell>
          <cell r="AJ175" t="str">
            <v xml:space="preserve">•  Quality Assurance Program
•  Performance Based Training Program
•  Maintenance Program
•  Conduct of Operations
•  Waste Management Program </v>
          </cell>
          <cell r="AK175" t="str">
            <v>•  None</v>
          </cell>
          <cell r="AL175" t="str">
            <v>•  Confinement capability of tank/vault structure</v>
          </cell>
          <cell r="AM175" t="str">
            <v>•  None</v>
          </cell>
          <cell r="AN175" t="str">
            <v>•  Radiological Protection Program
•  Emergency Response Program
•  Performance Based Training Program
•  Conduct of Operations</v>
          </cell>
        </row>
        <row r="176">
          <cell r="A176" t="str">
            <v>WTF</v>
          </cell>
          <cell r="B176">
            <v>4</v>
          </cell>
          <cell r="C176" t="str">
            <v>Direct exposure to radiation</v>
          </cell>
          <cell r="D176" t="str">
            <v>Gamma dose rate substantially understated by instrumentation, shielding reconfigured in undesired manner, or human error resulting in dose to worker(s) on the order of tens of rem.</v>
          </cell>
          <cell r="E176" t="str">
            <v>Not applicable.</v>
          </cell>
          <cell r="F176" t="str">
            <v>NA</v>
          </cell>
          <cell r="G176" t="str">
            <v>NA</v>
          </cell>
          <cell r="H176" t="str">
            <v>Gnd</v>
          </cell>
          <cell r="I176">
            <v>850</v>
          </cell>
          <cell r="J176" t="str">
            <v>A</v>
          </cell>
          <cell r="K176" t="str">
            <v>M</v>
          </cell>
          <cell r="L176" t="str">
            <v>N</v>
          </cell>
          <cell r="M176" t="str">
            <v>N</v>
          </cell>
          <cell r="N176" t="str">
            <v>N</v>
          </cell>
          <cell r="O176" t="str">
            <v>I</v>
          </cell>
          <cell r="P176" t="str">
            <v>IV</v>
          </cell>
          <cell r="Q176" t="str">
            <v>IV</v>
          </cell>
          <cell r="R176" t="str">
            <v>IV</v>
          </cell>
          <cell r="S176" t="str">
            <v>NA</v>
          </cell>
          <cell r="T176" t="str">
            <v>NA</v>
          </cell>
          <cell r="U176" t="str">
            <v>Gnd</v>
          </cell>
          <cell r="V176">
            <v>850</v>
          </cell>
          <cell r="W176" t="str">
            <v>U</v>
          </cell>
          <cell r="X176" t="str">
            <v>L</v>
          </cell>
          <cell r="Y176" t="str">
            <v>N</v>
          </cell>
          <cell r="Z176" t="str">
            <v>N</v>
          </cell>
          <cell r="AA176" t="str">
            <v>N</v>
          </cell>
          <cell r="AB176" t="str">
            <v>III</v>
          </cell>
          <cell r="AC176" t="str">
            <v>IV</v>
          </cell>
          <cell r="AD176" t="str">
            <v>IV</v>
          </cell>
          <cell r="AE176" t="str">
            <v>IV</v>
          </cell>
          <cell r="AF176" t="str">
            <v xml:space="preserve">Radiation Protection Program credited with ensuring that personnel exposures are within DOE accepted guidelines.   </v>
          </cell>
          <cell r="AG176" t="str">
            <v>•  None</v>
          </cell>
          <cell r="AH176" t="str">
            <v>•  Engineered radiation shielding on high dose rate waste containers</v>
          </cell>
          <cell r="AI176" t="str">
            <v>•  None</v>
          </cell>
          <cell r="AJ176" t="str">
            <v xml:space="preserve">•  Radiological Protection Program
•  Quality Assurance Program
•  Performance Based Training Program
•  Conduct of Operations
•  Waste Management Program </v>
          </cell>
          <cell r="AK176" t="str">
            <v>•  None</v>
          </cell>
          <cell r="AL176" t="str">
            <v>•  None</v>
          </cell>
          <cell r="AM176" t="str">
            <v>•  None</v>
          </cell>
          <cell r="AN176" t="str">
            <v>•  Radiological Protection Program
•  Performance Based Training Program
•  Conduct of Operations</v>
          </cell>
        </row>
        <row r="177">
          <cell r="A177" t="str">
            <v>WTF</v>
          </cell>
          <cell r="B177">
            <v>5</v>
          </cell>
          <cell r="C177" t="str">
            <v>Criticality</v>
          </cell>
          <cell r="D177" t="str">
            <v>Inadvertent criticality occurs due to multiple independent failures and/or highly improbable circumstances</v>
          </cell>
          <cell r="E177" t="str">
            <v>&gt;450 FGE
Pu-239</v>
          </cell>
          <cell r="F177" t="str">
            <v>NA</v>
          </cell>
          <cell r="G177" t="str">
            <v>NA</v>
          </cell>
          <cell r="H177" t="str">
            <v>Gnd</v>
          </cell>
          <cell r="I177">
            <v>850</v>
          </cell>
          <cell r="J177" t="str">
            <v>BEU</v>
          </cell>
          <cell r="K177" t="str">
            <v>L</v>
          </cell>
          <cell r="L177" t="str">
            <v>N</v>
          </cell>
          <cell r="M177" t="str">
            <v>N</v>
          </cell>
          <cell r="N177" t="str">
            <v>N</v>
          </cell>
          <cell r="O177" t="str">
            <v>IV</v>
          </cell>
          <cell r="P177" t="str">
            <v>IV</v>
          </cell>
          <cell r="Q177" t="str">
            <v>IV</v>
          </cell>
          <cell r="R177" t="str">
            <v>IV</v>
          </cell>
          <cell r="S177" t="str">
            <v>NA</v>
          </cell>
          <cell r="T177" t="str">
            <v>NA</v>
          </cell>
          <cell r="U177" t="str">
            <v>Gnd</v>
          </cell>
          <cell r="V177">
            <v>850</v>
          </cell>
          <cell r="W177" t="str">
            <v>BEU</v>
          </cell>
          <cell r="X177" t="str">
            <v>L</v>
          </cell>
          <cell r="Y177" t="str">
            <v>N</v>
          </cell>
          <cell r="Z177" t="str">
            <v>N</v>
          </cell>
          <cell r="AA177" t="str">
            <v>N</v>
          </cell>
          <cell r="AB177" t="str">
            <v>IV</v>
          </cell>
          <cell r="AC177" t="str">
            <v>IV</v>
          </cell>
          <cell r="AD177" t="str">
            <v>IV</v>
          </cell>
          <cell r="AE177" t="str">
            <v>IV</v>
          </cell>
          <cell r="AF177"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cell r="AG177" t="str">
            <v>•  None</v>
          </cell>
          <cell r="AH177" t="str">
            <v>•  None</v>
          </cell>
          <cell r="AI177" t="str">
            <v>• PSR limits on container fissile mass
• PSR for fissile material storage containers</v>
          </cell>
          <cell r="AJ177" t="str">
            <v xml:space="preserve">•  Radiological Protection Program
•  Nuclear Criticality Safety Program
•  Quality Assurance Program
•  Performance Based Training Program
•  Conduct of Operations
•  Waste Management Program </v>
          </cell>
          <cell r="AK177" t="str">
            <v>•  None</v>
          </cell>
          <cell r="AL177" t="str">
            <v>•  None</v>
          </cell>
          <cell r="AM177" t="str">
            <v>•  None</v>
          </cell>
          <cell r="AN177" t="str">
            <v>•  Radiological Protection Program
•  Nuclear Criticality Safety Program
•  Emergency Response Program
•  Performance Based Training Program
•  Conduct of Operations</v>
          </cell>
        </row>
        <row r="178">
          <cell r="A178" t="str">
            <v>WTF</v>
          </cell>
          <cell r="B178">
            <v>6</v>
          </cell>
          <cell r="C178" t="str">
            <v>Aircraft impact with fire</v>
          </cell>
          <cell r="D178" t="str">
            <v>Small general aviation aircraft or helicopter crashes and a fire ensues</v>
          </cell>
          <cell r="E178">
            <v>1</v>
          </cell>
          <cell r="F178" t="str">
            <v>HF</v>
          </cell>
          <cell r="G178">
            <v>1</v>
          </cell>
          <cell r="H178" t="str">
            <v>Gnd</v>
          </cell>
          <cell r="I178">
            <v>850</v>
          </cell>
          <cell r="J178" t="str">
            <v>BEU</v>
          </cell>
          <cell r="K178" t="str">
            <v>N</v>
          </cell>
          <cell r="L178" t="str">
            <v>N</v>
          </cell>
          <cell r="M178" t="str">
            <v>N</v>
          </cell>
          <cell r="N178" t="str">
            <v>N</v>
          </cell>
          <cell r="O178" t="str">
            <v>IV</v>
          </cell>
          <cell r="P178" t="str">
            <v>IV</v>
          </cell>
          <cell r="Q178" t="str">
            <v>IV</v>
          </cell>
          <cell r="R178" t="str">
            <v>IV</v>
          </cell>
          <cell r="S178" t="str">
            <v>HF</v>
          </cell>
          <cell r="T178">
            <v>1</v>
          </cell>
          <cell r="U178" t="str">
            <v>Gnd</v>
          </cell>
          <cell r="V178">
            <v>850</v>
          </cell>
          <cell r="W178" t="str">
            <v>BEU</v>
          </cell>
          <cell r="X178" t="str">
            <v>N</v>
          </cell>
          <cell r="Y178" t="str">
            <v>N</v>
          </cell>
          <cell r="Z178" t="str">
            <v>N</v>
          </cell>
          <cell r="AA178" t="str">
            <v>N</v>
          </cell>
          <cell r="AB178" t="str">
            <v>IV</v>
          </cell>
          <cell r="AC178" t="str">
            <v>IV</v>
          </cell>
          <cell r="AD178" t="str">
            <v>IV</v>
          </cell>
          <cell r="AE178" t="str">
            <v>IV</v>
          </cell>
          <cell r="AF178" t="str">
            <v xml:space="preserve">Event not expected to impact radioactive materials within HLW tanks. Only activity in ventilation system would be expected to be affected. Event BEU per WVNS-CAL-388. Only facility ventilation system vulnerable to event. MAR is bounded by 10% of MPPB ventilation system MAR based on system environmental emission data. </v>
          </cell>
          <cell r="AG178" t="str">
            <v>•  None</v>
          </cell>
          <cell r="AH178" t="str">
            <v>•  None</v>
          </cell>
          <cell r="AI178" t="str">
            <v>•  None</v>
          </cell>
          <cell r="AJ178" t="str">
            <v>•  None</v>
          </cell>
          <cell r="AK178" t="str">
            <v>•  None</v>
          </cell>
          <cell r="AL178" t="str">
            <v>•  None</v>
          </cell>
          <cell r="AM178" t="str">
            <v>•  None</v>
          </cell>
          <cell r="AN178" t="str">
            <v>•  None</v>
          </cell>
        </row>
        <row r="179">
          <cell r="A179" t="str">
            <v>WTF</v>
          </cell>
          <cell r="B179">
            <v>7</v>
          </cell>
          <cell r="C179" t="str">
            <v>HEPA filter fire</v>
          </cell>
          <cell r="D179" t="str">
            <v>Area fire propagates to HEPA filter bank</v>
          </cell>
          <cell r="E179">
            <v>1</v>
          </cell>
          <cell r="F179" t="str">
            <v>HF</v>
          </cell>
          <cell r="G179">
            <v>1</v>
          </cell>
          <cell r="H179" t="str">
            <v>Gnd</v>
          </cell>
          <cell r="I179">
            <v>850</v>
          </cell>
          <cell r="J179" t="str">
            <v>U</v>
          </cell>
          <cell r="K179" t="str">
            <v>N</v>
          </cell>
          <cell r="L179" t="str">
            <v>N</v>
          </cell>
          <cell r="M179" t="str">
            <v>N</v>
          </cell>
          <cell r="N179" t="str">
            <v>N</v>
          </cell>
          <cell r="O179" t="str">
            <v>IV</v>
          </cell>
          <cell r="P179" t="str">
            <v>IV</v>
          </cell>
          <cell r="Q179" t="str">
            <v>IV</v>
          </cell>
          <cell r="R179" t="str">
            <v>IV</v>
          </cell>
          <cell r="S179" t="str">
            <v>HF</v>
          </cell>
          <cell r="T179">
            <v>1</v>
          </cell>
          <cell r="U179" t="str">
            <v>Gnd</v>
          </cell>
          <cell r="V179">
            <v>850</v>
          </cell>
          <cell r="W179" t="str">
            <v>U</v>
          </cell>
          <cell r="X179" t="str">
            <v>N</v>
          </cell>
          <cell r="Y179" t="str">
            <v>N</v>
          </cell>
          <cell r="Z179" t="str">
            <v>N</v>
          </cell>
          <cell r="AA179" t="str">
            <v>N</v>
          </cell>
          <cell r="AB179" t="str">
            <v>IV</v>
          </cell>
          <cell r="AC179" t="str">
            <v>IV</v>
          </cell>
          <cell r="AD179" t="str">
            <v>IV</v>
          </cell>
          <cell r="AE179" t="str">
            <v>IV</v>
          </cell>
          <cell r="AF179" t="str">
            <v xml:space="preserve"> 10% of MPPB ventilation system MAR bounding for facility HEPA filters based on system environmental emission data </v>
          </cell>
          <cell r="AG179" t="str">
            <v>•  None</v>
          </cell>
          <cell r="AH179" t="str">
            <v>•  None</v>
          </cell>
          <cell r="AI179" t="str">
            <v>•  None</v>
          </cell>
          <cell r="AJ179" t="str">
            <v>•  Quality Assurance Program
•  Fire Protection Program
•  Performance Based Training Program
•  Maintenance Program
•  Conduct of Operations</v>
          </cell>
          <cell r="AK179" t="str">
            <v>•  None</v>
          </cell>
          <cell r="AL179" t="str">
            <v>•  Redundant ventilation system filter trains and blowers</v>
          </cell>
          <cell r="AM179" t="str">
            <v>•  None</v>
          </cell>
          <cell r="AN179" t="str">
            <v>•  Radiological Protection Program
•  Emergency Response Program
•  Fire Protection Program
•  Performance Based Training Program
•  Conduct of Operations</v>
          </cell>
        </row>
        <row r="180">
          <cell r="A180" t="str">
            <v>WTF</v>
          </cell>
          <cell r="B180">
            <v>8</v>
          </cell>
          <cell r="C180" t="str">
            <v>HEPA filter failure</v>
          </cell>
          <cell r="D180" t="str">
            <v>Excess moisture or particulate on filters or area pressure excursion causes high filter differential pressure, resulting in filter failure</v>
          </cell>
          <cell r="E180">
            <v>1</v>
          </cell>
          <cell r="F180" t="str">
            <v>HB</v>
          </cell>
          <cell r="G180">
            <v>1</v>
          </cell>
          <cell r="H180" t="str">
            <v>Gnd</v>
          </cell>
          <cell r="I180">
            <v>850</v>
          </cell>
          <cell r="J180" t="str">
            <v>A</v>
          </cell>
          <cell r="K180" t="str">
            <v>L</v>
          </cell>
          <cell r="L180" t="str">
            <v>L</v>
          </cell>
          <cell r="M180" t="str">
            <v>N</v>
          </cell>
          <cell r="N180" t="str">
            <v>N</v>
          </cell>
          <cell r="O180" t="str">
            <v>III</v>
          </cell>
          <cell r="P180" t="str">
            <v>III</v>
          </cell>
          <cell r="Q180" t="str">
            <v>IV</v>
          </cell>
          <cell r="R180" t="str">
            <v>IV</v>
          </cell>
          <cell r="S180" t="str">
            <v>HB</v>
          </cell>
          <cell r="T180">
            <v>1</v>
          </cell>
          <cell r="U180" t="str">
            <v>Gnd</v>
          </cell>
          <cell r="V180">
            <v>850</v>
          </cell>
          <cell r="W180" t="str">
            <v>U</v>
          </cell>
          <cell r="X180" t="str">
            <v>L</v>
          </cell>
          <cell r="Y180" t="str">
            <v>L</v>
          </cell>
          <cell r="Z180" t="str">
            <v>N</v>
          </cell>
          <cell r="AA180" t="str">
            <v>N</v>
          </cell>
          <cell r="AB180" t="str">
            <v>III</v>
          </cell>
          <cell r="AC180" t="str">
            <v>III</v>
          </cell>
          <cell r="AD180" t="str">
            <v>IV</v>
          </cell>
          <cell r="AE180" t="str">
            <v>IV</v>
          </cell>
          <cell r="AF180" t="str">
            <v xml:space="preserve"> 10% of MPPB ventilation system MAR bounding for facility HEPA filters based on system environmental emission data </v>
          </cell>
          <cell r="AG180" t="str">
            <v>•  None</v>
          </cell>
          <cell r="AH180" t="str">
            <v>•  Instrumentation and controls to switch trains on high differential pressure
•  Instrumentation and controls to provide backup ventilation blower capability</v>
          </cell>
          <cell r="AI180" t="str">
            <v>•  None</v>
          </cell>
          <cell r="AJ180" t="str">
            <v>•  Quality Assurance Program
•  Fire Protection Program
•  Performance Based Training Program
•  Maintenance Program
•  Conduct of Operations</v>
          </cell>
          <cell r="AK180" t="str">
            <v>•  None</v>
          </cell>
          <cell r="AL180" t="str">
            <v>•  Redundant ventilation system filter trains and blowers</v>
          </cell>
          <cell r="AM180" t="str">
            <v>•  None</v>
          </cell>
          <cell r="AN180" t="str">
            <v>•  Radiological Protection Program
•  Emergency Response Program
•  Performance Based Training Program
•  Conduct of Operations</v>
          </cell>
        </row>
        <row r="181">
          <cell r="A181" t="str">
            <v>WTF</v>
          </cell>
          <cell r="B181">
            <v>9</v>
          </cell>
          <cell r="C181" t="str">
            <v>Loss of airborne contamination confinement</v>
          </cell>
          <cell r="D181" t="str">
            <v>Loss of power/redundancy resulting in loss of exhaust blower operability or other upset condition resulting in loss of airborne contamination confinement.</v>
          </cell>
          <cell r="E181">
            <v>850</v>
          </cell>
          <cell r="F181" t="str">
            <v>AER</v>
          </cell>
          <cell r="G181">
            <v>1</v>
          </cell>
          <cell r="H181" t="str">
            <v>Gnd</v>
          </cell>
          <cell r="I181">
            <v>850</v>
          </cell>
          <cell r="J181" t="str">
            <v>A</v>
          </cell>
          <cell r="K181" t="str">
            <v>L</v>
          </cell>
          <cell r="L181" t="str">
            <v>L</v>
          </cell>
          <cell r="M181" t="str">
            <v>N</v>
          </cell>
          <cell r="N181" t="str">
            <v>N</v>
          </cell>
          <cell r="O181" t="str">
            <v>III</v>
          </cell>
          <cell r="P181" t="str">
            <v>III</v>
          </cell>
          <cell r="Q181" t="str">
            <v>IV</v>
          </cell>
          <cell r="R181" t="str">
            <v>IV</v>
          </cell>
          <cell r="S181" t="str">
            <v>AER</v>
          </cell>
          <cell r="T181">
            <v>1.2E-4</v>
          </cell>
          <cell r="U181" t="str">
            <v>Gnd</v>
          </cell>
          <cell r="V181">
            <v>850</v>
          </cell>
          <cell r="W181" t="str">
            <v>A</v>
          </cell>
          <cell r="X181" t="str">
            <v>N</v>
          </cell>
          <cell r="Y181" t="str">
            <v>N</v>
          </cell>
          <cell r="Z181" t="str">
            <v>N</v>
          </cell>
          <cell r="AA181" t="str">
            <v>N</v>
          </cell>
          <cell r="AB181" t="str">
            <v>IV</v>
          </cell>
          <cell r="AC181" t="str">
            <v>IV</v>
          </cell>
          <cell r="AD181" t="str">
            <v>IV</v>
          </cell>
          <cell r="AE181" t="str">
            <v>IV</v>
          </cell>
          <cell r="AF181" t="str">
            <v xml:space="preserve">Contamination assumed to migrate from confinement boundary penetrations through aerodynamic entrainment and resuspension under static facility conditions.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1" t="str">
            <v>•  None</v>
          </cell>
          <cell r="AH181" t="str">
            <v>•  Facility ventilation exhaust stack which continues to provide nominal facility negative via chimney effect</v>
          </cell>
          <cell r="AI181" t="str">
            <v>•  None</v>
          </cell>
          <cell r="AJ181" t="str">
            <v>•  Quality Assurance Program
•  Fire Protection Program
•  Performance Based Training Program
•  Maintenance Program
•  Conduct of Operations</v>
          </cell>
          <cell r="AK181" t="str">
            <v>•  None</v>
          </cell>
          <cell r="AL181" t="str">
            <v>•  Confinement capability of facility envelope
•  Nominal facility negative maintained on facility even under loss of active ventilation through stack "chimney effect"</v>
          </cell>
          <cell r="AM181" t="str">
            <v>•  None</v>
          </cell>
          <cell r="AN181" t="str">
            <v>•  Radiological Protection Program
•  Performance Based Training Program
•  Conduct of Operations</v>
          </cell>
        </row>
        <row r="182">
          <cell r="A182" t="str">
            <v>WTF</v>
          </cell>
          <cell r="B182">
            <v>10</v>
          </cell>
          <cell r="C182" t="str">
            <v>Loss of liquid contamination confinement</v>
          </cell>
          <cell r="D182" t="str">
            <v>Vessel/line/sampler failure; operational upset</v>
          </cell>
          <cell r="E182">
            <v>1</v>
          </cell>
          <cell r="F182" t="str">
            <v>FFS</v>
          </cell>
          <cell r="G182">
            <v>0.5</v>
          </cell>
          <cell r="H182" t="str">
            <v>Gnd</v>
          </cell>
          <cell r="I182">
            <v>850</v>
          </cell>
          <cell r="J182" t="str">
            <v>A</v>
          </cell>
          <cell r="K182" t="str">
            <v>N</v>
          </cell>
          <cell r="L182" t="str">
            <v>N</v>
          </cell>
          <cell r="M182" t="str">
            <v>N</v>
          </cell>
          <cell r="N182" t="str">
            <v>N</v>
          </cell>
          <cell r="O182" t="str">
            <v>IV</v>
          </cell>
          <cell r="P182" t="str">
            <v>IV</v>
          </cell>
          <cell r="Q182" t="str">
            <v>IV</v>
          </cell>
          <cell r="R182" t="str">
            <v>IV</v>
          </cell>
          <cell r="S182" t="str">
            <v>FFS</v>
          </cell>
          <cell r="T182">
            <v>0.5</v>
          </cell>
          <cell r="U182" t="str">
            <v>Gnd</v>
          </cell>
          <cell r="V182">
            <v>850</v>
          </cell>
          <cell r="W182" t="str">
            <v>A</v>
          </cell>
          <cell r="X182" t="str">
            <v>N</v>
          </cell>
          <cell r="Y182" t="str">
            <v>N</v>
          </cell>
          <cell r="Z182" t="str">
            <v>N</v>
          </cell>
          <cell r="AA182" t="str">
            <v>N</v>
          </cell>
          <cell r="AB182" t="str">
            <v>IV</v>
          </cell>
          <cell r="AC182" t="str">
            <v>IV</v>
          </cell>
          <cell r="AD182" t="str">
            <v>IV</v>
          </cell>
          <cell r="AE182" t="str">
            <v>IV</v>
          </cell>
          <cell r="AF182" t="str">
            <v xml:space="preserve">None.  </v>
          </cell>
          <cell r="AG182" t="str">
            <v>•  None</v>
          </cell>
          <cell r="AH182" t="str">
            <v>•  Cell liners/sumps and/or area berms</v>
          </cell>
          <cell r="AI182" t="str">
            <v>•  None</v>
          </cell>
          <cell r="AJ182" t="str">
            <v xml:space="preserve">•  Quality Assurance Program
•  Performance Based Training Program
•  Maintenance Program
•  Conduct of Operations
•  Waste Management Program </v>
          </cell>
          <cell r="AK182" t="str">
            <v>•  None</v>
          </cell>
          <cell r="AL182" t="str">
            <v>•  Tank pans/vault liners</v>
          </cell>
          <cell r="AM182" t="str">
            <v>•  None</v>
          </cell>
          <cell r="AN182" t="str">
            <v>•  Radiological Protection Program
•  Performance Based Training Program
•  Conduct of Operations</v>
          </cell>
        </row>
        <row r="183">
          <cell r="A183" t="str">
            <v>WTF</v>
          </cell>
          <cell r="B183">
            <v>11</v>
          </cell>
          <cell r="C183" t="str">
            <v>Tornado</v>
          </cell>
          <cell r="D183" t="str">
            <v>Direct effects of tornado winds, falling objects, or tornado-produced missiles causing impacts to the facility. Event includes loss of contamination confinement resulting from abnormal facility differential pressures (backflow).</v>
          </cell>
          <cell r="E183">
            <v>850</v>
          </cell>
          <cell r="F183" t="str">
            <v>AER</v>
          </cell>
          <cell r="G183">
            <v>0.1</v>
          </cell>
          <cell r="H183" t="str">
            <v>Gnd</v>
          </cell>
          <cell r="I183">
            <v>850</v>
          </cell>
          <cell r="J183" t="str">
            <v>U</v>
          </cell>
          <cell r="K183" t="str">
            <v>N</v>
          </cell>
          <cell r="L183" t="str">
            <v>L</v>
          </cell>
          <cell r="M183" t="str">
            <v>N</v>
          </cell>
          <cell r="N183" t="str">
            <v>N</v>
          </cell>
          <cell r="O183" t="str">
            <v>IV</v>
          </cell>
          <cell r="P183" t="str">
            <v>III</v>
          </cell>
          <cell r="Q183" t="str">
            <v>IV</v>
          </cell>
          <cell r="R183" t="str">
            <v>IV</v>
          </cell>
          <cell r="S183" t="str">
            <v>AER</v>
          </cell>
          <cell r="T183">
            <v>1.2E-4</v>
          </cell>
          <cell r="U183" t="str">
            <v>Gnd</v>
          </cell>
          <cell r="V183">
            <v>850</v>
          </cell>
          <cell r="W183" t="str">
            <v>U</v>
          </cell>
          <cell r="X183" t="str">
            <v>N</v>
          </cell>
          <cell r="Y183" t="str">
            <v>N</v>
          </cell>
          <cell r="Z183" t="str">
            <v>N</v>
          </cell>
          <cell r="AA183" t="str">
            <v>N</v>
          </cell>
          <cell r="AB183" t="str">
            <v>IV</v>
          </cell>
          <cell r="AC183" t="str">
            <v>IV</v>
          </cell>
          <cell r="AD183" t="str">
            <v>IV</v>
          </cell>
          <cell r="AE183" t="str">
            <v>IV</v>
          </cell>
          <cell r="AF183" t="str">
            <v xml:space="preserve">Source term for event expected to be limited to airborne contamination affected by large negative pressure associated with direct strike by a tornado. Facility confinement not expected to be affected by missiles of EBE.  MAR is total inventory of activity in the WTF (Ref. WVNS-CAL-397, Table C-1).  DR reflects very low release rate expected for this event. (Estimated unmitigated source term from system &lt;1E-6 PE-Ci/day due to ACTIVE ventilation based on environmental release data and assumed HEPA filter efficiency of 99.99%.) </v>
          </cell>
          <cell r="AG183" t="str">
            <v>•  None</v>
          </cell>
          <cell r="AH183" t="str">
            <v>•  None</v>
          </cell>
          <cell r="AI183" t="str">
            <v>•  None</v>
          </cell>
          <cell r="AJ183" t="str">
            <v>•  None</v>
          </cell>
          <cell r="AK183" t="str">
            <v>•  None</v>
          </cell>
          <cell r="AL183" t="str">
            <v>•  Facility design capable of maintaining confinement integrity following design basis events</v>
          </cell>
          <cell r="AM183" t="str">
            <v>•  None</v>
          </cell>
          <cell r="AN183" t="str">
            <v>•  Radiological Protection Program
•  Emergency Response Program
•  Performance Based Training Program
•  Conduct of Operations</v>
          </cell>
        </row>
        <row r="184">
          <cell r="A184" t="str">
            <v>WTF</v>
          </cell>
          <cell r="B184">
            <v>12</v>
          </cell>
          <cell r="C184" t="str">
            <v>Flood</v>
          </cell>
          <cell r="D184" t="str">
            <v>A greater than 100-yr  rain event results in sheet flow that floods the storage area. Flooding may be exacerbated by plugged drainage channels or culverts.</v>
          </cell>
          <cell r="E184">
            <v>850</v>
          </cell>
          <cell r="F184" t="str">
            <v>NA</v>
          </cell>
          <cell r="G184" t="str">
            <v>NA</v>
          </cell>
          <cell r="H184" t="str">
            <v>Gnd</v>
          </cell>
          <cell r="I184">
            <v>850</v>
          </cell>
          <cell r="J184" t="str">
            <v>U</v>
          </cell>
          <cell r="K184" t="str">
            <v>N</v>
          </cell>
          <cell r="L184" t="str">
            <v>N</v>
          </cell>
          <cell r="M184" t="str">
            <v>N</v>
          </cell>
          <cell r="N184" t="str">
            <v>N</v>
          </cell>
          <cell r="O184" t="str">
            <v>IV</v>
          </cell>
          <cell r="P184" t="str">
            <v>IV</v>
          </cell>
          <cell r="Q184" t="str">
            <v>IV</v>
          </cell>
          <cell r="R184" t="str">
            <v>IV</v>
          </cell>
          <cell r="S184" t="str">
            <v>NA</v>
          </cell>
          <cell r="T184" t="str">
            <v>NA</v>
          </cell>
          <cell r="U184" t="str">
            <v>Gnd</v>
          </cell>
          <cell r="V184">
            <v>850</v>
          </cell>
          <cell r="W184" t="str">
            <v>U</v>
          </cell>
          <cell r="X184" t="str">
            <v>N</v>
          </cell>
          <cell r="Y184" t="str">
            <v>N</v>
          </cell>
          <cell r="Z184" t="str">
            <v>N</v>
          </cell>
          <cell r="AA184" t="str">
            <v>N</v>
          </cell>
          <cell r="AB184" t="str">
            <v>IV</v>
          </cell>
          <cell r="AC184" t="str">
            <v>IV</v>
          </cell>
          <cell r="AD184" t="str">
            <v>IV</v>
          </cell>
          <cell r="AE184" t="str">
            <v>IV</v>
          </cell>
          <cell r="AF184" t="str">
            <v xml:space="preserve">Site topography places facility outside area vulnerable to flooding (ref. Figure 1.4-6).  MAR is total inventory of activity in the WTF (Ref. WVNS-CAL-397, Table C-1).  </v>
          </cell>
          <cell r="AG184" t="str">
            <v>•  None</v>
          </cell>
          <cell r="AH184" t="str">
            <v>•  None</v>
          </cell>
          <cell r="AI184" t="str">
            <v>•  None</v>
          </cell>
          <cell r="AJ184" t="str">
            <v>•  None</v>
          </cell>
          <cell r="AK184" t="str">
            <v>•  None</v>
          </cell>
          <cell r="AL184" t="str">
            <v>•  None</v>
          </cell>
          <cell r="AM184" t="str">
            <v>•  None</v>
          </cell>
          <cell r="AN184" t="str">
            <v>•  None</v>
          </cell>
        </row>
      </sheetData>
      <sheetData sheetId="1" refreshError="1"/>
      <sheetData sheetId="2" refreshError="1"/>
      <sheetData sheetId="3" refreshError="1"/>
      <sheetData sheetId="4">
        <row r="3">
          <cell r="C3">
            <v>3.3300000000000002E-4</v>
          </cell>
        </row>
        <row r="8">
          <cell r="A8" t="str">
            <v>DST</v>
          </cell>
          <cell r="B8">
            <v>100</v>
          </cell>
          <cell r="C8">
            <v>850</v>
          </cell>
          <cell r="D8">
            <v>1050</v>
          </cell>
        </row>
        <row r="9">
          <cell r="A9" t="str">
            <v>Gnd</v>
          </cell>
          <cell r="B9">
            <v>3.1099999999999999E-2</v>
          </cell>
          <cell r="C9">
            <v>1.1100000000000001E-3</v>
          </cell>
          <cell r="D9">
            <v>7.8299999999999995E-4</v>
          </cell>
        </row>
        <row r="10">
          <cell r="A10" t="str">
            <v>20m</v>
          </cell>
          <cell r="B10">
            <v>4.07E-6</v>
          </cell>
          <cell r="C10">
            <v>3.1600000000000002E-5</v>
          </cell>
          <cell r="D10">
            <v>2.4600000000000002E-5</v>
          </cell>
        </row>
        <row r="11">
          <cell r="A11" t="str">
            <v>60m</v>
          </cell>
          <cell r="B11">
            <v>0</v>
          </cell>
          <cell r="C11">
            <v>1.0200000000000001E-5</v>
          </cell>
          <cell r="D11">
            <v>1.2999999999999999E-5</v>
          </cell>
        </row>
        <row r="17">
          <cell r="A17" t="str">
            <v>E01</v>
          </cell>
          <cell r="B17">
            <v>1.2837500000000002E-3</v>
          </cell>
          <cell r="C17">
            <v>1</v>
          </cell>
        </row>
        <row r="18">
          <cell r="A18" t="str">
            <v>E02</v>
          </cell>
          <cell r="B18">
            <v>0.01</v>
          </cell>
          <cell r="C18">
            <v>1</v>
          </cell>
        </row>
        <row r="19">
          <cell r="A19" t="str">
            <v>E03</v>
          </cell>
          <cell r="B19" t="str">
            <v>NA</v>
          </cell>
          <cell r="C19" t="str">
            <v>NA</v>
          </cell>
        </row>
        <row r="20">
          <cell r="A20" t="str">
            <v>E04</v>
          </cell>
          <cell r="B20">
            <v>5.0000000000000001E-4</v>
          </cell>
          <cell r="C20">
            <v>0.5</v>
          </cell>
        </row>
        <row r="21">
          <cell r="A21" t="str">
            <v>E05</v>
          </cell>
          <cell r="B21">
            <v>1E-3</v>
          </cell>
          <cell r="C21">
            <v>1</v>
          </cell>
        </row>
        <row r="22">
          <cell r="A22" t="str">
            <v>E06</v>
          </cell>
          <cell r="B22">
            <v>5.4000000000000001E-4</v>
          </cell>
          <cell r="C22">
            <v>1</v>
          </cell>
        </row>
        <row r="23">
          <cell r="A23" t="str">
            <v>E07</v>
          </cell>
          <cell r="B23" t="str">
            <v>NA</v>
          </cell>
          <cell r="C23" t="str">
            <v>NA</v>
          </cell>
        </row>
        <row r="24">
          <cell r="A24" t="str">
            <v>E08</v>
          </cell>
          <cell r="B24" t="str">
            <v>NA</v>
          </cell>
          <cell r="C24" t="str">
            <v>NA</v>
          </cell>
        </row>
        <row r="25">
          <cell r="A25" t="str">
            <v>E09</v>
          </cell>
          <cell r="B25">
            <v>1E-4</v>
          </cell>
          <cell r="C25">
            <v>0.01</v>
          </cell>
        </row>
        <row r="26">
          <cell r="A26" t="str">
            <v>E10</v>
          </cell>
          <cell r="B26">
            <v>1E-4</v>
          </cell>
          <cell r="C26">
            <v>0.1</v>
          </cell>
        </row>
        <row r="27">
          <cell r="A27" t="str">
            <v>E11</v>
          </cell>
          <cell r="B27">
            <v>1E-4</v>
          </cell>
          <cell r="C27">
            <v>0.1</v>
          </cell>
        </row>
        <row r="28">
          <cell r="A28" t="str">
            <v>E12</v>
          </cell>
          <cell r="B28">
            <v>1E-4</v>
          </cell>
          <cell r="C28">
            <v>1</v>
          </cell>
        </row>
        <row r="29">
          <cell r="A29" t="str">
            <v>E13</v>
          </cell>
          <cell r="B29" t="str">
            <v>NA</v>
          </cell>
          <cell r="C29" t="str">
            <v>NA</v>
          </cell>
        </row>
        <row r="30">
          <cell r="A30" t="str">
            <v>E14</v>
          </cell>
          <cell r="B30" t="str">
            <v>NA</v>
          </cell>
          <cell r="C30" t="str">
            <v>NA</v>
          </cell>
        </row>
        <row r="31">
          <cell r="A31" t="str">
            <v>E15</v>
          </cell>
          <cell r="B31">
            <v>3.6350000000000002E-3</v>
          </cell>
          <cell r="C31">
            <v>1</v>
          </cell>
        </row>
        <row r="32">
          <cell r="A32" t="str">
            <v>E16</v>
          </cell>
          <cell r="B32">
            <v>2E-3</v>
          </cell>
          <cell r="C32">
            <v>0.1</v>
          </cell>
        </row>
        <row r="33">
          <cell r="A33" t="str">
            <v>E17</v>
          </cell>
          <cell r="B33">
            <v>1.2837500000000002E-3</v>
          </cell>
          <cell r="C33">
            <v>1</v>
          </cell>
        </row>
        <row r="34">
          <cell r="A34" t="str">
            <v>E18</v>
          </cell>
          <cell r="B34">
            <v>1E-4</v>
          </cell>
          <cell r="C34">
            <v>1</v>
          </cell>
        </row>
        <row r="35">
          <cell r="A35" t="str">
            <v>E19</v>
          </cell>
          <cell r="B35">
            <v>5.0000000000000001E-4</v>
          </cell>
          <cell r="C35">
            <v>0.5</v>
          </cell>
        </row>
        <row r="36">
          <cell r="A36" t="str">
            <v>E20</v>
          </cell>
          <cell r="B36">
            <v>1E-4</v>
          </cell>
          <cell r="C36">
            <v>1</v>
          </cell>
        </row>
        <row r="37">
          <cell r="A37" t="str">
            <v>E21</v>
          </cell>
          <cell r="B37">
            <v>1E-4</v>
          </cell>
          <cell r="C37">
            <v>0.01</v>
          </cell>
        </row>
        <row r="38">
          <cell r="A38" t="str">
            <v>E22</v>
          </cell>
          <cell r="B38">
            <v>1E-4</v>
          </cell>
          <cell r="C38">
            <v>1</v>
          </cell>
        </row>
        <row r="39">
          <cell r="A39" t="str">
            <v>E23</v>
          </cell>
          <cell r="B39">
            <v>1E-4</v>
          </cell>
          <cell r="C39">
            <v>1E-3</v>
          </cell>
        </row>
        <row r="40">
          <cell r="A40" t="str">
            <v>E24</v>
          </cell>
          <cell r="B40">
            <v>1E-4</v>
          </cell>
          <cell r="C40">
            <v>0.01</v>
          </cell>
        </row>
        <row r="41">
          <cell r="A41" t="str">
            <v>E25</v>
          </cell>
          <cell r="B41" t="str">
            <v>NA</v>
          </cell>
          <cell r="C41" t="str">
            <v>NA</v>
          </cell>
        </row>
        <row r="42">
          <cell r="A42" t="str">
            <v>HDBK-3010 Events</v>
          </cell>
        </row>
        <row r="43">
          <cell r="A43" t="str">
            <v>AER</v>
          </cell>
          <cell r="B43">
            <v>7.9999999999999996E-6</v>
          </cell>
          <cell r="C43">
            <v>1</v>
          </cell>
        </row>
        <row r="44">
          <cell r="A44" t="str">
            <v>CWF</v>
          </cell>
          <cell r="B44">
            <v>5.0000000000000001E-4</v>
          </cell>
          <cell r="C44">
            <v>1</v>
          </cell>
        </row>
        <row r="45">
          <cell r="A45" t="str">
            <v>EQ</v>
          </cell>
          <cell r="B45">
            <v>1E-3</v>
          </cell>
          <cell r="C45">
            <v>0.1</v>
          </cell>
        </row>
        <row r="46">
          <cell r="A46" t="str">
            <v>ES</v>
          </cell>
          <cell r="B46">
            <v>1E-3</v>
          </cell>
          <cell r="C46">
            <v>1</v>
          </cell>
        </row>
        <row r="47">
          <cell r="A47" t="str">
            <v>FFS</v>
          </cell>
          <cell r="B47">
            <v>2.0000000000000001E-4</v>
          </cell>
          <cell r="C47">
            <v>0.5</v>
          </cell>
        </row>
        <row r="48">
          <cell r="A48" t="str">
            <v>HB</v>
          </cell>
          <cell r="B48">
            <v>0.01</v>
          </cell>
          <cell r="C48">
            <v>1</v>
          </cell>
        </row>
        <row r="49">
          <cell r="A49" t="str">
            <v>HF</v>
          </cell>
          <cell r="B49">
            <v>1E-4</v>
          </cell>
          <cell r="C49">
            <v>1</v>
          </cell>
        </row>
        <row r="50">
          <cell r="A50" t="str">
            <v>IS</v>
          </cell>
          <cell r="B50">
            <v>1E-4</v>
          </cell>
          <cell r="C50">
            <v>1</v>
          </cell>
        </row>
        <row r="51">
          <cell r="A51" t="str">
            <v>NA</v>
          </cell>
          <cell r="B51" t="str">
            <v>NA</v>
          </cell>
          <cell r="C51" t="str">
            <v>NA</v>
          </cell>
        </row>
        <row r="52">
          <cell r="A52" t="str">
            <v>SS</v>
          </cell>
          <cell r="B52">
            <v>0</v>
          </cell>
          <cell r="C52">
            <v>0</v>
          </cell>
        </row>
      </sheetData>
      <sheetData sheetId="5">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t="str">
            <v xml:space="preserve">Waste in CPC-WSA is primarily non-combustible vessels and equipment with internal contamination. Topography and soil conditions in outdoor hardstand areas limit the spatial extent of any fuel spilled in the area. </v>
          </cell>
          <cell r="E2" t="str">
            <v xml:space="preserve">APPROVED CONTAINERS credited with limiting the propagation of fire in a storage array. </v>
          </cell>
          <cell r="F2" t="str">
            <v>Event not credible for non-MPA areas of the Main Plant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MPPB.</v>
          </cell>
          <cell r="G2" t="str">
            <v xml:space="preserve">Potentially affected areas are FRS or Vit LI/LO. </v>
          </cell>
          <cell r="H2" t="str">
            <v>Topography and soil conditions in outdoor hardstand areas limit the spatial extent of any fuel spill in the area.</v>
          </cell>
          <cell r="I2" t="str">
            <v>Event credible only for ICA areas of RHWF due to lack of accessibility to in-cell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RHWF.</v>
          </cell>
          <cell r="J2" t="str">
            <v xml:space="preserve">SAC for transportation of high activity waste recognized as for providing protection under accident conditions. </v>
          </cell>
          <cell r="K2" t="str">
            <v>Event not credible for VF due to lack of accessibility to these areas by equipment that represents a risk for pool fires. Failure of shield windows under conditions considered in the FHA could contribute flammable liquid to the cell under highly unlikely fire conditions; however, these conditions differ from those of the event described in STD-5506. The contribution of shield window mineral oil to an in-cell fire was considered under Large Fire for the VF.</v>
          </cell>
          <cell r="L2" t="str">
            <v>Event not credible for WTF due to lack of accessibility to areas containing radioactive materials by equipment that represents a risk for pool fires.</v>
          </cell>
        </row>
        <row r="3">
          <cell r="A3" t="str">
            <v>Small combustible material fire</v>
          </cell>
          <cell r="B3" t="str">
            <v>E02</v>
          </cell>
          <cell r="C3" t="str">
            <v xml:space="preserve">Contingency evaluation in the event of discovery of non-conforming waste container. Credit taken for storage of waste in APPROVED CONTAINERS in assuming mitigated event progresses as contained waste fire. </v>
          </cell>
          <cell r="D3" t="str">
            <v>Area does not require use of combustible materials for operations.</v>
          </cell>
          <cell r="E3" t="str">
            <v xml:space="preserve">Fire Protection (hot work controls), Radiation Protection, and Waste Management Programs credited with minimizing probability and consequences of fire event.  MAR assumes that waste is unconfined combustible. </v>
          </cell>
          <cell r="F3" t="str">
            <v xml:space="preserve">Releases are assumed to be through facility stack, even under loss of active ventilation, via stack chimney effect. Credit taken for Fire Protection Program controls in assuming mitigated event progresses as contained waste fire. </v>
          </cell>
          <cell r="G3" t="str">
            <v>MAR limit imposed on exposed waste operations. Fire Protection (hot work controls), Radiation Protection, and Waste Management Programs credited with minimizing probability and consequences of fire event.  MAR assumes that waste is unconfined combustible.</v>
          </cell>
          <cell r="H3" t="str">
            <v xml:space="preserve">Amount of combustible material in radiologically-controlled areas controlled by WVDP Fire Protection Program. Credit taken for storage of waste in APPROVED CONTAINERS in assuming mitigated event progresses as contained waste fire. </v>
          </cell>
          <cell r="I3" t="str">
            <v xml:space="preserve">Releases are assumed to be through facility stack, even under loss of active ventilation, via stack chimney effect. Credit taken for Fire Protection Program controls in assuming mitigated event progresses as contained waste fire. </v>
          </cell>
          <cell r="K3" t="str">
            <v xml:space="preserve">Releases are assumed to be through facility stack, even under loss of active ventilation, via stack chimney effect.  Credit taken for Fire Protection Program controls in assuming mitigated event progresses as contained waste fire. </v>
          </cell>
        </row>
        <row r="4">
          <cell r="A4" t="str">
            <v>Enclosure fire</v>
          </cell>
          <cell r="B4" t="str">
            <v>E03</v>
          </cell>
          <cell r="C4" t="str">
            <v>This type of activity not performed at the WVDP.</v>
          </cell>
          <cell r="D4" t="str">
            <v>This type of activity not performed at the WVDP.</v>
          </cell>
          <cell r="E4" t="str">
            <v>This type of activity not performed at the WVDP.</v>
          </cell>
          <cell r="F4" t="str">
            <v>This type of activity not performed at the WVDP.</v>
          </cell>
          <cell r="G4" t="str">
            <v>This type of activity not performed at the WVDP.</v>
          </cell>
          <cell r="H4" t="str">
            <v>This type of activity not performed at the WVDP.</v>
          </cell>
          <cell r="I4" t="str">
            <v>This type of activity not performed at the WVDP.</v>
          </cell>
          <cell r="J4" t="str">
            <v>This type of activity not performed at the WVDP.</v>
          </cell>
          <cell r="K4" t="str">
            <v>This type of activity not performed at the WVDP.</v>
          </cell>
          <cell r="L4" t="str">
            <v>This type of activity not performed at the WVDP.</v>
          </cell>
        </row>
        <row r="5">
          <cell r="A5" t="str">
            <v>Large fire</v>
          </cell>
          <cell r="B5" t="str">
            <v>E04</v>
          </cell>
          <cell r="C5" t="str">
            <v>Only small quantities of combustible material expected to be in area with little exposed material present. Facility constructed of fire resistant or fire retardant materials.</v>
          </cell>
          <cell r="D5" t="str">
            <v>Area does not require use of combustible materials for operations.</v>
          </cell>
          <cell r="E5" t="str">
            <v xml:space="preserve">Combustibles in area are minimized through site combustible material control requirements. APPROVED CONTAINERS credited with limiting the propagation of fire in a storage array. </v>
          </cell>
          <cell r="F5" t="str">
            <v xml:space="preserve">Releases are assumed to be through facility stack, even under loss of active ventilation, via stack chimney effect. </v>
          </cell>
          <cell r="G5" t="str">
            <v>Only small quantities of combustible material expected to be in area with little exposed material present. Facility constructed of fire resistant or fire retardant materials.</v>
          </cell>
          <cell r="H5" t="str">
            <v>Only small quantities of combustible material expected to be in area with little exposed material present.</v>
          </cell>
          <cell r="I5" t="str">
            <v>Releases are assumed to be through facility stack, even under loss of active ventilation, via stack chimney effect.</v>
          </cell>
          <cell r="J5" t="str">
            <v>Event not applicable to this type of activity.</v>
          </cell>
          <cell r="K5" t="str">
            <v>Release bounds any potential releases associated with handling HLW in Vit Cell. Releases are assumed to be through facility stack, even under loss of active ventilation, via stack chimney effect.</v>
          </cell>
          <cell r="L5" t="str">
            <v>Only small quantities of combustible material expected to be in area with little exposed material present. Facility constructed of fire resistant or fire retardant materials.</v>
          </cell>
        </row>
        <row r="6">
          <cell r="A6" t="str">
            <v>Localized explosion external to container</v>
          </cell>
          <cell r="B6" t="str">
            <v>E05</v>
          </cell>
          <cell r="C6" t="str">
            <v>APPROVED CONTAINERS credited with mitigating consequences.</v>
          </cell>
          <cell r="E6" t="str">
            <v>APPROVED CONTAINERS credited with mitigating consequences.</v>
          </cell>
          <cell r="F6" t="str">
            <v>Event not credible for non-MPA areas of the Main Plant due to lack of accessibility to these areas by equipment that represents a risk for this type of equipment-based explosion. In-facility explosions considered under event "Localized explosion within facility."</v>
          </cell>
          <cell r="G6" t="str">
            <v>APPROVED CONTAINERS recognized as mitigating consequences.</v>
          </cell>
          <cell r="H6" t="str">
            <v>APPROVED CONTAINERS credited with mitigating consequences.</v>
          </cell>
          <cell r="I6" t="str">
            <v>Event only applicable to ICA areas of MPPB due to lack of accessibility to in-cell areas by equipment that represents a risk for this type of equipment-based explosion. In-facility explosions considered under event "Localized explosion within facility." APPROVED CONTAINERS credited with mitigating consequences.</v>
          </cell>
          <cell r="J6" t="str">
            <v>APPROVED CONTAINERS credited with mitigating consequences.</v>
          </cell>
          <cell r="K6" t="str">
            <v>Event not credible for VF due to lack of accessibility to these areas by equipment that represents a risk for this type of equipment-based explosion. In-facility explosions considered under event "Localized explosion within facility."</v>
          </cell>
          <cell r="L6" t="str">
            <v>Event assumes impact to containerized waste. Event not credible due to the low combined probability of presence of MAR in area and occurrence of event.</v>
          </cell>
        </row>
        <row r="7">
          <cell r="A7" t="str">
            <v>Waste container deflagration</v>
          </cell>
          <cell r="B7" t="str">
            <v>E06</v>
          </cell>
          <cell r="C7" t="str">
            <v xml:space="preserve">Waste form and waste package vent filters contribute to low probability of this event. </v>
          </cell>
          <cell r="D7" t="str">
            <v>Explosive gases confirmed to not be present in WVDP HLW canisters in accordance with waste form qualification requirements.</v>
          </cell>
          <cell r="E7" t="str">
            <v xml:space="preserve">Waste form and waste package vent filters contribute to low probability of this event. </v>
          </cell>
          <cell r="F7" t="str">
            <v xml:space="preserve">Waste form and waste package vent filters contribute to low probability of this event. Event is assumed to occur within shielded process cell. </v>
          </cell>
          <cell r="G7" t="str">
            <v xml:space="preserve">Waste form and waste package vent filters contribute to low probability of this event. </v>
          </cell>
          <cell r="H7" t="str">
            <v xml:space="preserve">Waste form and waste package vent filters contribute to low probability of this event. </v>
          </cell>
          <cell r="I7" t="str">
            <v xml:space="preserve">Waste form and waste package vent filters contribute to low probability of this event. Event is assumed to occur within shielded process cell. </v>
          </cell>
          <cell r="J7" t="str">
            <v>Occurrence of event not incredible during the short period of time in which the material is in transit.</v>
          </cell>
          <cell r="K7" t="str">
            <v xml:space="preserve">Waste form and waste package vent filters contribute to low probability of this event. Event is assumed to occur within shielded process cell. </v>
          </cell>
          <cell r="L7" t="str">
            <v>Event requires the accumulation of an explosive concentration of flammable gases. Flammable gas generation rate of residual HLW; large volume of HLW tanks; and ventilation paths of tank headspace all contribute to incredibility of this event.</v>
          </cell>
        </row>
        <row r="8">
          <cell r="A8" t="str">
            <v>Multiple container deflagration</v>
          </cell>
          <cell r="B8" t="str">
            <v>E07</v>
          </cell>
          <cell r="C8" t="str">
            <v>Waste form and waste package vent filters contribute to low probability of event affecting single container. Event affecting multiple containers determined to be not credible</v>
          </cell>
          <cell r="D8" t="str">
            <v>Waste form and waste package vent filters contribute to low probability of event affecting single container. Event affecting multiple containers determined to be not credible</v>
          </cell>
          <cell r="E8" t="str">
            <v>Waste form and waste package vent filters contribute to low probability of event affecting single container. Event affecting multiple containers determined to be not credible</v>
          </cell>
          <cell r="F8" t="str">
            <v>Waste form and waste package vent filters contribute to low probability of event affecting single container. Event affecting multiple containers determined to be not credible</v>
          </cell>
          <cell r="G8" t="str">
            <v>Waste form and waste package vent filters contribute to low probability of event affecting single container. Event affecting multiple containers determined to be not credible</v>
          </cell>
          <cell r="H8" t="str">
            <v>Waste form and waste package vent filters contribute to low probability of event affecting single container. Event affecting multiple containers determined to be not credible</v>
          </cell>
          <cell r="I8" t="str">
            <v>Waste form and waste package vent filters contribute to low probability of event affecting single container. Event affecting multiple containers determined to be not credible</v>
          </cell>
          <cell r="J8" t="str">
            <v>Waste form and waste package vent filters contribute to low probability of event affecting single container. Event affecting multiple containers determined to be not credible</v>
          </cell>
          <cell r="K8" t="str">
            <v>Waste form and waste package vent filters contribute to low probability of event affecting single container. Event affecting multiple containers determined to be not credible</v>
          </cell>
          <cell r="L8" t="str">
            <v>Waste form and waste package vent filters contribute to low probability of event affecting single container. Event affecting multiple containers determined to be not credible</v>
          </cell>
        </row>
        <row r="9">
          <cell r="A9" t="str">
            <v>Enclosure deflagration</v>
          </cell>
          <cell r="B9" t="str">
            <v>E08</v>
          </cell>
          <cell r="C9" t="str">
            <v>This type of activity not performed at the WVDP.</v>
          </cell>
          <cell r="D9" t="str">
            <v>This type of activity not performed at the WVDP.</v>
          </cell>
          <cell r="E9" t="str">
            <v>This type of activity not performed at the WVDP.</v>
          </cell>
          <cell r="F9" t="str">
            <v>This type of activity not performed at the WVDP.</v>
          </cell>
          <cell r="G9" t="str">
            <v>This type of activity not performed at the WVDP.</v>
          </cell>
          <cell r="H9" t="str">
            <v>This type of activity not performed at the WVDP.</v>
          </cell>
          <cell r="I9" t="str">
            <v>This type of activity not performed at the WVDP.</v>
          </cell>
          <cell r="J9" t="str">
            <v>This type of activity not performed at the WVDP.</v>
          </cell>
          <cell r="K9" t="str">
            <v>This type of activity not performed at the WVDP.</v>
          </cell>
          <cell r="L9" t="str">
            <v>This type of activity not performed at the WVDP.</v>
          </cell>
        </row>
        <row r="10">
          <cell r="A10" t="str">
            <v>Vehicle/equipment impacts waste/waste containers</v>
          </cell>
          <cell r="B10" t="str">
            <v>E09</v>
          </cell>
          <cell r="C10" t="str">
            <v>Shielding and nature of waste associated with many of the containers in the facility expected to mitigate the consequences of this event.</v>
          </cell>
          <cell r="D10" t="str">
            <v xml:space="preserve">The maximum anticipated speed of the cask transporter enroute to the storage pad is approximately 2 mph.  </v>
          </cell>
          <cell r="F10" t="str">
            <v>Event not credible for non-MPA areas of the Main Plant due to lack of accessibility to these areas by equipment that represents a risk for this type of event.</v>
          </cell>
          <cell r="G10" t="str">
            <v xml:space="preserve">Containers assumed to be impacted by handling equipment travelling &lt;10 mph. </v>
          </cell>
          <cell r="H10" t="str">
            <v xml:space="preserve">Containers assumed to be impacted by handling equipment travelling &lt;10 mph. </v>
          </cell>
          <cell r="I10" t="str">
            <v xml:space="preserve">Wastes in Receiving Area or WPA/LO could potentially be affected by this event. Containers assumed to be impacted by handling equipment travelling &lt;10 mph. </v>
          </cell>
          <cell r="J10" t="str">
            <v xml:space="preserve">Containers assumed to be impacted by handling equipment travelling &lt;10 mph. </v>
          </cell>
          <cell r="K10" t="str">
            <v>Event not credible for VF due to lack of accessibility to areas by equipment that represents a risk for this type of event.</v>
          </cell>
          <cell r="L10" t="str">
            <v>Event assumes impact to containerized waste. Event not credible due to the low combined probability of presence of MAR in area and occurrence of event.</v>
          </cell>
        </row>
        <row r="11">
          <cell r="A11" t="str">
            <v>Drop/impact/spill</v>
          </cell>
          <cell r="B11" t="str">
            <v>E10</v>
          </cell>
          <cell r="C11" t="str">
            <v>Shielding and nature of waste associated with many of the containers in the facility expected to mitigate the consequences of this event.</v>
          </cell>
          <cell r="D11" t="str">
            <v>Cask transporters are designed with conservative safety factors. (Transporters load tested to 125% of nominal capacity.)</v>
          </cell>
          <cell r="E11" t="str">
            <v xml:space="preserve">Event is a low energy breach of container confinement (e.g. tine puncture or container drop). </v>
          </cell>
          <cell r="F11" t="str">
            <v xml:space="preserve">Assumed to be bounded by one high activity TRU waste container in HLWIS dropped on another high activity TRU waste container.  No releases from HLW canister expected for this event. </v>
          </cell>
          <cell r="G11" t="str">
            <v xml:space="preserve">Event is a low energy breach of container confinement (e.g. tine puncture or container drop). </v>
          </cell>
          <cell r="H11" t="str">
            <v xml:space="preserve">Event is a low energy breach of container confinement (e.g. tine puncture or container drop). </v>
          </cell>
          <cell r="I11" t="str">
            <v xml:space="preserve">Event is a low energy breach of container confinement (e.g. tine puncture or container drop). </v>
          </cell>
          <cell r="J11" t="str">
            <v xml:space="preserve">Event is a low energy breach of container confinement (e.g. tine puncture or container drop). </v>
          </cell>
          <cell r="K11" t="str">
            <v xml:space="preserve">Assumed to be bounded by one high activity TRU waste container dropped on another high activity TRU waste container.  No releases from HLW canister expected for this event. </v>
          </cell>
          <cell r="L11" t="str">
            <v xml:space="preserve">Event is assumed to involve drop of HEPA filter during changeout. This event would bound any releases associated with drop of equipment internal to a waste tank (e.g. sampling component). </v>
          </cell>
        </row>
        <row r="12">
          <cell r="A12" t="str">
            <v>Collapse of stacked containers</v>
          </cell>
          <cell r="B12" t="str">
            <v>E11</v>
          </cell>
          <cell r="C12" t="str">
            <v xml:space="preserve">Event applies only to containers above 2nd tier of a storage array since Type 17C containers designed to withstand 4' drop. </v>
          </cell>
          <cell r="D12" t="str">
            <v>Event applies only to failure of array possessing 3 or more tiers. This type of array not maintained in the area.</v>
          </cell>
          <cell r="E12" t="str">
            <v xml:space="preserve">Event applies only to containers above 2nd tier of a storage array since Type 17C containers designed to withstand 4' drop. </v>
          </cell>
          <cell r="F12" t="str">
            <v>Event applies only to failure of array possessing 3 or more tiers. This type of array not maintained in the area.</v>
          </cell>
          <cell r="G12" t="str">
            <v>Event applies only to failure of array possessing 3 or more tiers. This type of array not maintained in the area.</v>
          </cell>
          <cell r="I12" t="str">
            <v>Event applies only to failure of array possessing 3 or more tiers. This type of array not maintained in the area.</v>
          </cell>
          <cell r="J12" t="str">
            <v>Event applies only to failure of array possessing 3 or more tiers. Event therefore not applicable to this activity.</v>
          </cell>
          <cell r="K12" t="str">
            <v>Event applies only to failure of array possessing 3 or more tiers. This type of array not maintained in the area.</v>
          </cell>
          <cell r="L12" t="str">
            <v>Event applies only to failure of array possessing 3 or more tiers. This type of array not maintained in the area.</v>
          </cell>
        </row>
        <row r="13">
          <cell r="A13" t="str">
            <v>Waste container over-pressurization</v>
          </cell>
          <cell r="B13" t="str">
            <v>E12</v>
          </cell>
          <cell r="C13" t="str">
            <v xml:space="preserve">Waste form and waste package vent filters contribute to reducing the probability of this event. </v>
          </cell>
          <cell r="D13" t="str">
            <v>Generation rate of gas in WVDP HLW canisters determined to be insufficient to support this event in accordance with waste form qualification requirements.</v>
          </cell>
          <cell r="E13" t="str">
            <v xml:space="preserve">Waste form and waste package vent filters contribute to reducing the probability of this event. </v>
          </cell>
          <cell r="F13" t="str">
            <v xml:space="preserve">Waste form and waste package vent filters contribute to reducing the probability of this event. Event is assumed to occur within shielded process cell. </v>
          </cell>
          <cell r="G13" t="str">
            <v xml:space="preserve">Waste form and waste package vent filters contribute to reducing the probability of this event. </v>
          </cell>
          <cell r="H13" t="str">
            <v xml:space="preserve">Waste form and waste package vent filters contribute to reducing the probability of this event. </v>
          </cell>
          <cell r="I13" t="str">
            <v xml:space="preserve">Waste form and waste package vent filters contribute to reducing the probability of this event. Event is assumed to occur within shielded process cell. </v>
          </cell>
          <cell r="J13" t="str">
            <v>Occurrence of event assumed to be incredible during the short period of time in which the material is in transit.</v>
          </cell>
          <cell r="K13" t="str">
            <v xml:space="preserve">Waste form and waste package vent filters contribute to reducing the probability of this event. Event is assumed to occur within shielded process cell. </v>
          </cell>
          <cell r="L13" t="str">
            <v>Event applies to containerized waste. Event not credible due to the low combined probability of presence of MAR in area and occurrence of event.</v>
          </cell>
        </row>
        <row r="14">
          <cell r="A14" t="str">
            <v>Direct exposure to radiation</v>
          </cell>
          <cell r="B14" t="str">
            <v>E13</v>
          </cell>
          <cell r="C14" t="str">
            <v>None.</v>
          </cell>
          <cell r="D14" t="str">
            <v>Reduced shielding on cask/MPC bottom is a known source of potentially elevated radiation levels during cask transport. Exposure risk will be mitigated by maintaining a low ground clearance (6” or less) during transportation.</v>
          </cell>
          <cell r="E14" t="str">
            <v>None.</v>
          </cell>
          <cell r="F14" t="str">
            <v>None.</v>
          </cell>
          <cell r="G14" t="str">
            <v>None.</v>
          </cell>
          <cell r="H14" t="str">
            <v>None.</v>
          </cell>
          <cell r="I14" t="str">
            <v>None.</v>
          </cell>
          <cell r="J14" t="str">
            <v xml:space="preserve">Radiation Protection Program credited with ensuring that personnel exposures are within DOE accepted guidelines. </v>
          </cell>
          <cell r="K14" t="str">
            <v>None.</v>
          </cell>
          <cell r="L14" t="str">
            <v xml:space="preserve">Radiation Protection Program credited with ensuring that personnel exposures are within DOE accepted guidelines. </v>
          </cell>
        </row>
        <row r="15">
          <cell r="A15" t="str">
            <v>Criticality</v>
          </cell>
          <cell r="B15" t="str">
            <v>E14</v>
          </cell>
          <cell r="C15" t="str">
            <v xml:space="preserve">Nuclear criticality safety administrative controls ensure that only safe quantities of fissile material are placed in waste packages. </v>
          </cell>
          <cell r="D15" t="str">
            <v>Low fissile material concentration, waste matrix form and composition, and presence of significant quantity of neutron absorbing material (iron, boron, U-238, Pu-240) limits waste reactivity and potential for re-organization into critical configuration.</v>
          </cell>
          <cell r="E15" t="str">
            <v xml:space="preserve">Nuclear criticality safety administrative controls ensure that only safe quantities of fissile material are placed in waste packages. </v>
          </cell>
          <cell r="F15" t="str">
            <v xml:space="preserve">Nuclear criticality safety administrative controls ensure criticality safety for all D&amp;D operations and waste packaging activities involving greater than a significant quantity of fissile material. </v>
          </cell>
          <cell r="G15" t="str">
            <v xml:space="preserve">Nuclear criticality safety administrative controls ensure that only safe quantities of fissile material are placed in waste packages. </v>
          </cell>
          <cell r="H15" t="str">
            <v xml:space="preserve">Nuclear criticality safety administrative controls ensure that only safe quantities of fissile material are placed in waste packages. </v>
          </cell>
          <cell r="I15" t="str">
            <v xml:space="preserve">Nuclear criticality safety administrative controls ensure criticality safety for all D&amp;D operations and waste packaging activities involving greater than a significant quantity of fissile material. </v>
          </cell>
          <cell r="J15" t="str">
            <v>Wastes containing significant quantities of fissile material transported in TSR-compliant containers which would ensure that container spacing is maintained in the event of credible accident conditions.</v>
          </cell>
          <cell r="K15" t="str">
            <v xml:space="preserve">Nuclear criticality safety administrative controls ensure criticality safety for all D&amp;D operations and waste packaging activities involving greater than a significant quantity of fissile material. </v>
          </cell>
          <cell r="L15" t="str">
            <v xml:space="preserve">WTF estimated to contain approximately 3,200 FGE Pu-239 per WVNS-CAL-397, R0. Only tanks 8D-1 and 8D-2 believed to contain greater than a safe mass of fissile material. Areal concentration of fissile material significantly below safe concentrations as specified in ANSI/ANS-8.1. No credible means to concentrate materials within the tank. </v>
          </cell>
        </row>
        <row r="16">
          <cell r="A16" t="str">
            <v>Aircraft impact with fire</v>
          </cell>
          <cell r="B16" t="str">
            <v>E15</v>
          </cell>
          <cell r="C16" t="str">
            <v>Shielding and nature of waste associated with many of the containers in the facility expected to mitigate the consequences of this event. Event assumes waste containers breach in a manner similar to external vehicle accident event. Event BEU per WVNS-CAL-388</v>
          </cell>
          <cell r="E16" t="str">
            <v>Event assumes waste containers breach in a manner similar to external vehicle accident event. Event BEU per WVNS-CAL-388.</v>
          </cell>
          <cell r="F16" t="str">
            <v>Event not expected to impact radioactive materials within heavily shielded cells. Only activity in ventilation system would be expected to be affected. Event BEU per WVNS-CAL-388.</v>
          </cell>
          <cell r="G16" t="str">
            <v>Event assumes waste containers breach in a manner similar to external vehicle accident event. Event BEU per WVNS-CAL-388.</v>
          </cell>
          <cell r="H16" t="str">
            <v>Event assumes waste containers breach in a manner similar to external vehicle accident event. Event BEU per WVNS-CAL-388.</v>
          </cell>
          <cell r="I16" t="str">
            <v>Event not expected to impact radioactive materials within heavily shielded cells. Only activity in ventilation system would be expected to be affected. Event BEU per WVNS-CAL-388.</v>
          </cell>
          <cell r="J16" t="str">
            <v>Occurrence of event assumed to be incredible during the short period of time in which the material is in transit.</v>
          </cell>
          <cell r="K16" t="str">
            <v>Event not expected to impact radioactive materials within heavily shielded cells. Only activity in ventilation system would be expected to be affected. Event BEU per WVNS-CAL-388.</v>
          </cell>
          <cell r="L16" t="str">
            <v>Event not expected to impact radioactive materials within HLW tanks. Only activity in ventilation system would be expected to be affected. Event BEU per WVNS-CAL-388.</v>
          </cell>
        </row>
        <row r="17">
          <cell r="A17" t="str">
            <v>External vehicle accident</v>
          </cell>
          <cell r="B17" t="str">
            <v>E16</v>
          </cell>
          <cell r="C17" t="str">
            <v>Facility structure assumed sufficient to protect MAR from this event</v>
          </cell>
          <cell r="D17" t="str">
            <v xml:space="preserve">Impact by vehicle having a speed that can't be reasonably assumed to be &lt;~10 mph (e.g., plow truck, vendor/ subcontractor vehicle, etc.). </v>
          </cell>
          <cell r="E17" t="str">
            <v>Facility structure assumed sufficient to protect MAR from this event</v>
          </cell>
          <cell r="F17" t="str">
            <v>Facility structure assumed sufficient to protect MAR from this event</v>
          </cell>
          <cell r="G17" t="str">
            <v>Facility structure assumed sufficient to protect MAR from this event</v>
          </cell>
          <cell r="H17"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7" t="str">
            <v>Facility structure assumed sufficient to protect MAR from this event</v>
          </cell>
          <cell r="J17" t="str">
            <v>Facility structure assumed sufficient to protect MAR from this event</v>
          </cell>
          <cell r="K17" t="str">
            <v>Facility structure assumed sufficient to protect MAR from this event</v>
          </cell>
          <cell r="L17" t="str">
            <v>Facility structure assumed sufficient to protect MAR from this event</v>
          </cell>
        </row>
        <row r="18">
          <cell r="A18" t="str">
            <v>External vehicle accident with fire</v>
          </cell>
          <cell r="B18" t="str">
            <v>E17</v>
          </cell>
          <cell r="C18" t="str">
            <v>Facility structure assumed sufficient to protect MAR from this event</v>
          </cell>
          <cell r="D18" t="str">
            <v xml:space="preserve">Impact by vehicle having a speed that can't be reasonably assumed to be &lt;~10 mph (e.g., plow truck, vendor/ subcontractor vehicle, etc.). </v>
          </cell>
          <cell r="E18" t="str">
            <v>Facility structure assumed sufficient to protect MAR from this event</v>
          </cell>
          <cell r="F18" t="str">
            <v>Facility structure assumed sufficient to protect MAR from this event</v>
          </cell>
          <cell r="G18" t="str">
            <v>Facility structure assumed sufficient to protect MAR from this event</v>
          </cell>
          <cell r="H18" t="str">
            <v>Impact by vehicle having a speed that can't be reasonably assumed to be &lt;~10 mph (e.g., plow truck, vendor/subcontractor vehicle, etc.).  Physical protection SAC is implemented if greater than 10 PE Ci in an outdoor area. Probability of event assessed to be BEU when physical protection SAC is in place.</v>
          </cell>
          <cell r="I18" t="str">
            <v>Facility structure assumed sufficient to protect MAR from this event</v>
          </cell>
          <cell r="J18" t="str">
            <v>Facility structure assumed sufficient to protect MAR from this event</v>
          </cell>
          <cell r="K18" t="str">
            <v>Facility structure assumed sufficient to protect MAR from this event</v>
          </cell>
          <cell r="L18" t="str">
            <v>Facility structure assumed sufficient to protect MAR from this event</v>
          </cell>
        </row>
        <row r="19">
          <cell r="A19" t="str">
            <v>External explosion</v>
          </cell>
          <cell r="B19" t="str">
            <v>E18</v>
          </cell>
          <cell r="C19" t="str">
            <v>No sources of flammable/explosive materials sufficient to breach facility envelope in vicinity of facility.</v>
          </cell>
          <cell r="D19" t="str">
            <v>No explosive material handling is required in vicinity of storage pad area. The storage pad is a minimum of 500 feet from public highways.</v>
          </cell>
          <cell r="E19" t="str">
            <v xml:space="preserve">Explosion assumed to be due to detonation of accumulated flammable gas associated with facility natural gas heaters. </v>
          </cell>
          <cell r="F19" t="str">
            <v xml:space="preserve">Explosion assumed to be due to detonation of accumulated flammable gas associated with utility room or related operations. </v>
          </cell>
          <cell r="G19" t="str">
            <v>No sources of flammable/explosive materials sufficient to breach facility envelope in vicinity of facility.</v>
          </cell>
          <cell r="H19" t="str">
            <v xml:space="preserve">Event assumed to be due to explosion of passing (onsite) vehicle payload (e.g., bottled gas, flammable liquids, etc.). </v>
          </cell>
          <cell r="I19" t="str">
            <v xml:space="preserve">Explosion assumed to be due to detonation of accumulated flammable gas associated with facility natural gas heaters. </v>
          </cell>
          <cell r="J19" t="str">
            <v>Occurrence of event assumed to be incredible during the short period of time in which the material is in transit.</v>
          </cell>
          <cell r="K19" t="str">
            <v>No sources of flammable/explosive materials sufficient to breach facility envelope in vicinity of facility.</v>
          </cell>
          <cell r="L19" t="str">
            <v>No sources of flammable/explosive materials sufficient to breach facility envelope in vicinity of facility.</v>
          </cell>
        </row>
        <row r="20">
          <cell r="A20" t="str">
            <v>External fire</v>
          </cell>
          <cell r="B20" t="str">
            <v>E19</v>
          </cell>
          <cell r="C20" t="str">
            <v xml:space="preserve">Unmitigated frequency very conservative since no exposure fire risks identified in WVNS-FHA-010, Rev. 2. Even under EU wildland fire conditions virtually no waste would be exposed to critical heat flux due to facility construction. </v>
          </cell>
          <cell r="D20" t="str">
            <v xml:space="preserve">Cask construction sufficient to protect storage canisters under credible wildland fire event. Fire Protection Program recognized as mitigating probability of event. </v>
          </cell>
          <cell r="E20" t="str">
            <v xml:space="preserve">Unmitigated frequency very conservative since no exposure fire risks identified in WVNS-FHA-015. Even under EU wildland fire conditions virtually no waste would be exposed to critical heat flux due to facility construction. </v>
          </cell>
          <cell r="F20" t="str">
            <v>Facility not vulnerable to exposure fires per FHA</v>
          </cell>
          <cell r="G20" t="str">
            <v>Facility not vulnerable to exposure fires per FHA</v>
          </cell>
          <cell r="H20" t="str">
            <v xml:space="preserve">Use of APPROVED CONTAINERS recognized as mitigating consequences of event. Fire Protection Program recognized as mitigating probability of event. </v>
          </cell>
          <cell r="I20" t="str">
            <v xml:space="preserve">Unmitigated frequency very conservative since no exposure fire risks per WVNS-FHA-014. Even under EU wildland fire conditions virtually no waste would be exposed to critical heat flux due to facility construction. </v>
          </cell>
          <cell r="J20" t="str">
            <v>Activity would not be conducted under event conditions.</v>
          </cell>
          <cell r="K20" t="str">
            <v>Facility not vulnerable to exposure fires per FHA</v>
          </cell>
          <cell r="L20" t="str">
            <v>Facility not vulnerable to exposure fires per FHA</v>
          </cell>
        </row>
        <row r="21">
          <cell r="A21" t="str">
            <v>Lightning</v>
          </cell>
          <cell r="B21" t="str">
            <v>E20</v>
          </cell>
          <cell r="C21" t="str">
            <v>Steel construction of facility protects waste within facility. Facility provided with lightning protection per NFPA 780.</v>
          </cell>
          <cell r="D21" t="str">
            <v xml:space="preserve">Waste protected by conductive shielding of cask interior. </v>
          </cell>
          <cell r="E21" t="str">
            <v>Steel construction of facility protects waste within facility.</v>
          </cell>
          <cell r="F21" t="str">
            <v>Per the guidance of NFPA 780, the Main Plant stack meets the criteria of a strike termination device and therefore provides a zone of protection for several facilities including the MPPB, VF, and STS/PVS.</v>
          </cell>
          <cell r="G21" t="str">
            <v>Per the guidance of NFPA 780, the Main Plant stack meets the criteria of a strike termination device and therefore provides a zone of protection for several facilities including the MPPB, VF, and STS/PVS.</v>
          </cell>
          <cell r="H21" t="str">
            <v xml:space="preserve">Rapid heating of waste container could induce seal/lid failure with ejected waste. </v>
          </cell>
          <cell r="I21" t="str">
            <v>Steel construction of facility protects waste within facility. Facility provided with lightning protection per NFPA 780.</v>
          </cell>
          <cell r="J21" t="str">
            <v>Activity would not be conducted under event conditions.</v>
          </cell>
          <cell r="K21" t="str">
            <v>Per the guidance of NFPA 780, the Main Plant stack meets the criteria of a strike termination device and therefore provides a zone of protection for several facilities including the MPPB, VF, and STS/PVS.</v>
          </cell>
          <cell r="L21" t="str">
            <v>Steel construction of PVS facility protects MAR within facility. Facility provided with lightning protection per NFPA 780. HLW tank MAR located below ground and therefore not vulnerable to lightning strike.</v>
          </cell>
        </row>
        <row r="22">
          <cell r="A22" t="str">
            <v>High wind</v>
          </cell>
          <cell r="B22" t="str">
            <v>E21</v>
          </cell>
          <cell r="C22" t="str">
            <v>WVDP facilities designed to withstand design wind loading</v>
          </cell>
          <cell r="D22" t="str">
            <v>VSC determined to be stable against tip-over and sliding during high wind conditions (ref. NAC Calculation 630087-2010, Revision 0, MPC-WVDP VSC Structural Evaluation).</v>
          </cell>
          <cell r="E22" t="str">
            <v>WVDP facilities designed to withstand design wind loading</v>
          </cell>
          <cell r="F22" t="str">
            <v>WVDP facilities designed to withstand design wind loading</v>
          </cell>
          <cell r="G22" t="str">
            <v>WVDP facilities designed to withstand design wind loading</v>
          </cell>
          <cell r="H22" t="str">
            <v xml:space="preserve">Stored waste containers potentially affected by blown objects. High wind conditions would disperse any release material in a manner significantly greater than 95% meteorological condition assumptions. </v>
          </cell>
          <cell r="I22" t="str">
            <v>WVDP facilities designed to withstand design wind loading</v>
          </cell>
          <cell r="J22" t="str">
            <v>Activity would not be conducted under event conditions.</v>
          </cell>
          <cell r="K22" t="str">
            <v>WVDP facilities designed to withstand design wind loading</v>
          </cell>
          <cell r="L22" t="str">
            <v>WVDP facilities designed to withstand design wind loading</v>
          </cell>
        </row>
        <row r="23">
          <cell r="A23" t="str">
            <v>Tornado</v>
          </cell>
          <cell r="B23" t="str">
            <v>E22</v>
          </cell>
          <cell r="C23" t="str">
            <v xml:space="preserve">Shielding and nature of waste associated with many of the containers in the facility expected to mitigate the consequences of this event. High wind conditions would disperse any released material in a manner significantly greater than 95% meteorological condition assumptions. </v>
          </cell>
          <cell r="D23" t="str">
            <v>Void space internal to cask and external to MPC expected to contain little to no removable surface contamination. In addition, surface contamination internal to MPC also expected to be maintained at low levels. Lack of passive vents in cask further inhibits release of any internal contamination. VSC capable of resisting effects of tornadic winds and tornado-borne missiles (ref. WVNS-CAL-391, Addendum 2).</v>
          </cell>
          <cell r="E23" t="str">
            <v xml:space="preserve">High wind conditions would disperse any released material in a manner significantly greater than 95% meteorological condition assumptions. </v>
          </cell>
          <cell r="F23" t="str">
            <v xml:space="preserve">Source term for event expected to be limited to airborne contamination affected by large negative pressure associated with direct strike by a tornado. Facility confinement not expected to be affected by missiles of EBE. </v>
          </cell>
          <cell r="H23" t="str">
            <v xml:space="preserve">High wind conditions would disperse any released material in a manner significantly greater than 95% meteorological condition assumptions. </v>
          </cell>
          <cell r="I23" t="str">
            <v xml:space="preserve">Source term for event expected to be limited to airborne contamination affected by large negative pressure associated with direct strike by a tornado. Facility confinement not expected to be affected by missiles of EBE. </v>
          </cell>
          <cell r="J23" t="str">
            <v>Activity would not be conducted under event conditions.</v>
          </cell>
          <cell r="K23" t="str">
            <v xml:space="preserve">Source term for event expected to be limited to airborne contamination affected by large negative pressure associated with direct strike by a tornado. Facility confinement not expected to be affected by missiles of EBE. </v>
          </cell>
          <cell r="L23" t="str">
            <v xml:space="preserve">Source term for event expected to be limited to airborne contamination affected by large negative pressure associated with direct strike by a tornado. Facility confinement not expected to be affected by missiles of EBE. </v>
          </cell>
        </row>
        <row r="24">
          <cell r="A24" t="str">
            <v>Snow and/or ice buildup</v>
          </cell>
          <cell r="B24" t="str">
            <v>E23</v>
          </cell>
          <cell r="C24" t="str">
            <v>WVDP facilities designed to withstand 40 psf snow loading</v>
          </cell>
          <cell r="D24" t="str">
            <v>WVDP facilities designed to withstand 40 psf snow loading</v>
          </cell>
          <cell r="E24" t="str">
            <v>WVDP facilities designed to withstand 40 psf snow loading</v>
          </cell>
          <cell r="F24" t="str">
            <v>WVDP facilities designed to withstand 40 psf snow loading</v>
          </cell>
          <cell r="G24" t="str">
            <v>WVDP facilities designed to withstand 40 psf snow loading</v>
          </cell>
          <cell r="H24" t="str">
            <v xml:space="preserve">Construction of waste storage containers more than adequate to support anticipated snow/ice loadings. </v>
          </cell>
          <cell r="I24" t="str">
            <v>WVDP facilities designed to withstand 40 psf snow loading</v>
          </cell>
          <cell r="J24" t="str">
            <v>WVDP facilities designed to withstand 40 psf snow loading</v>
          </cell>
          <cell r="K24" t="str">
            <v>WVDP facilities designed to withstand 40 psf snow loading</v>
          </cell>
          <cell r="L24" t="str">
            <v>WVDP facilities designed to withstand 40 psf snow loading</v>
          </cell>
        </row>
        <row r="25">
          <cell r="A25" t="str">
            <v>Seismic event</v>
          </cell>
          <cell r="B25" t="str">
            <v>E24</v>
          </cell>
          <cell r="C25" t="str">
            <v xml:space="preserve">Facility expected to remain intact following EBE. Toppling of storage array addressed under event "Collapse of Stacked Containers." </v>
          </cell>
          <cell r="E25" t="str">
            <v xml:space="preserve">Facility expected to remain intact following EBE. Toppling of storage array addressed under event "Collapse of Stacked Containers." </v>
          </cell>
          <cell r="F25" t="str">
            <v xml:space="preserve">Facility confinement boundaries expected to remain intact following EBE. </v>
          </cell>
          <cell r="G25" t="str">
            <v xml:space="preserve">Facility confinement boundaries expected to remain intact following EBE. </v>
          </cell>
          <cell r="I25" t="str">
            <v xml:space="preserve">Facility confinement boundaries expected to remain intact following EBE. </v>
          </cell>
          <cell r="J25" t="str">
            <v>Occurrence of event assumed to be incredible during the short period of time in which the material is in transit.</v>
          </cell>
          <cell r="K25" t="str">
            <v xml:space="preserve">Facility confinement boundaries expected to remain intact following EBE. </v>
          </cell>
          <cell r="L25" t="str">
            <v xml:space="preserve">Facility confinement boundaries expected to remain intact following EBE. </v>
          </cell>
        </row>
        <row r="26">
          <cell r="A26" t="str">
            <v>Loss of airborne contamination confinement</v>
          </cell>
          <cell r="B26" t="str">
            <v>AER</v>
          </cell>
          <cell r="C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E26" t="str">
            <v>Contamination assumed to migrate from confinement boundary penetrations through aerodynamic entrainment and resuspension under static facility conditions.</v>
          </cell>
          <cell r="F26" t="str">
            <v>Contamination assumed to migrate from confinement boundary penetrations through aerodynamic entrainment and resuspension under static facility conditions.</v>
          </cell>
          <cell r="G26" t="str">
            <v>Contamination assumed to migrate from confinement boundary penetrations through aerodynamic entrainment and resuspension under static facility conditions.</v>
          </cell>
          <cell r="H26" t="str">
            <v>Event applicable only to loss of confinement in areas maintaining active ventilation systems. Loss of airborne contamination confinement involving packaged wastes addressed in other events:
•  Vehicle/equipment impacts waste/ waste containers
•  Drop/impact/spill
•  Collapse of stacked containers
•  Waste container over-pressurization</v>
          </cell>
          <cell r="I26" t="str">
            <v>Contamination assumed to migrate from confinement boundary penetrations through aerodynamic entrainment and resuspension under static facility conditions.</v>
          </cell>
          <cell r="J26" t="str">
            <v>Event applicable only to loss of confinement in areas maintaining active ventilation systems. Loss of airborne contamination confinement involving packaged wastes addressed in other events:
•  Vehicle/equipment impacts waste/ waste containers
•  Drop/impact/spill
•  Waste container over-pressurization</v>
          </cell>
          <cell r="K26" t="str">
            <v>Contamination assumed to migrate from confinement boundary penetrations through aerodynamic entrainment and resuspension under static facility conditions.</v>
          </cell>
          <cell r="L26" t="str">
            <v>Contamination assumed to migrate from confinement boundary penetrations through aerodynamic entrainment and resuspension under static facility conditions.</v>
          </cell>
        </row>
        <row r="27">
          <cell r="A27" t="str">
            <v>Localized explosion within facility</v>
          </cell>
          <cell r="B27" t="str">
            <v>ES</v>
          </cell>
          <cell r="C27" t="str">
            <v>Events involving explosions that have the potential to impact facility MAR addressed in event "Localized explosion external to container."</v>
          </cell>
          <cell r="D27" t="str">
            <v>Events involving explosions that have the potential to impact facility MAR addressed in event "Localized explosion external to container."</v>
          </cell>
          <cell r="E27" t="str">
            <v>Events involving explosions that have the potential to impact facility MAR addressed in event "Localized explosion external to container."</v>
          </cell>
          <cell r="F27" t="str">
            <v xml:space="preserve">Event is assumed to be due to ignition of flammable gas associated with D&amp;D activities (e.g., cutting gases, pressurized decontamination gases, etc.). </v>
          </cell>
          <cell r="G27" t="str">
            <v>Events involving explosions that have the potential to impact facility MAR addressed in event "Localized explosion external to container."</v>
          </cell>
          <cell r="H27" t="str">
            <v>Events involving explosions that have the potential to impact facility MAR addressed in event "Localized explosion external to container."</v>
          </cell>
          <cell r="I27" t="str">
            <v xml:space="preserve">Event is assumed to be due to ignition of flammable gas associated with D&amp;D activities (e.g., cutting gases, pressurized decontamination gases, etc.). </v>
          </cell>
          <cell r="J27" t="str">
            <v>Events involving explosions that have the potential to impact facility MAR addressed in event "Localized explosion external to container."</v>
          </cell>
          <cell r="K27" t="str">
            <v xml:space="preserve">Event is assumed to be due to ignition of flammable gas associated with D&amp;D activities (e.g., cutting gases, pressurized decontamination gases, etc.). </v>
          </cell>
          <cell r="L27" t="str">
            <v>Materials capable of initiating an explosion not required for operation of WTF areas.</v>
          </cell>
        </row>
        <row r="28">
          <cell r="A28" t="str">
            <v>Loss of liquid contamination confinement</v>
          </cell>
          <cell r="B28" t="str">
            <v>FFS</v>
          </cell>
          <cell r="C28" t="str">
            <v>None.</v>
          </cell>
          <cell r="D28" t="str">
            <v>Liquids excluded from WVDP HLW canisters in accordance with waste form qualification requirements.</v>
          </cell>
          <cell r="E28" t="str">
            <v>None.</v>
          </cell>
          <cell r="F28" t="str">
            <v>None.</v>
          </cell>
          <cell r="G28" t="str">
            <v>None.</v>
          </cell>
          <cell r="H28" t="str">
            <v>None.</v>
          </cell>
          <cell r="I28" t="str">
            <v>None.</v>
          </cell>
          <cell r="J28" t="str">
            <v>None.</v>
          </cell>
          <cell r="K28" t="str">
            <v>None.</v>
          </cell>
          <cell r="L28" t="str">
            <v>None.</v>
          </cell>
        </row>
        <row r="29">
          <cell r="A29" t="str">
            <v>Flood</v>
          </cell>
          <cell r="C29" t="str">
            <v xml:space="preserve">Site topography places facility outside area vulnerable to flooding (ref. Figure 1.4-6). </v>
          </cell>
          <cell r="D29" t="str">
            <v>Cask design provides isolation of stored waste from credible external water levels (ponding) due to flooding (i.e., no vent holes).</v>
          </cell>
          <cell r="E29" t="str">
            <v xml:space="preserve">Site topography places facility outside area vulnerable to flooding (ref. Figure 1.4-6). </v>
          </cell>
          <cell r="F29" t="str">
            <v xml:space="preserve">Site topography places facility outside area vulnerable to flooding (ref. Figure 1.4-6). </v>
          </cell>
          <cell r="G29" t="str">
            <v xml:space="preserve">Site topography places facility outside area vulnerable to flooding (ref. Figure 1.4-6). </v>
          </cell>
          <cell r="H29" t="str">
            <v xml:space="preserve">Site topography places facility outside area vulnerable to flooding (ref. Figure 1.4-6). </v>
          </cell>
          <cell r="I29" t="str">
            <v xml:space="preserve">Site topography places facility outside area vulnerable to flooding (ref. Figure 1.4-6). </v>
          </cell>
          <cell r="J29" t="str">
            <v>Activity would not be conducted under event conditions.</v>
          </cell>
          <cell r="K29" t="str">
            <v xml:space="preserve">Site topography places facility outside area vulnerable to flooding (ref. Figure 1.4-6). </v>
          </cell>
          <cell r="L29" t="str">
            <v xml:space="preserve">Site topography places facility outside area vulnerable to flooding (ref. Figure 1.4-6). </v>
          </cell>
        </row>
        <row r="30">
          <cell r="A30" t="str">
            <v>HEPA filter failure</v>
          </cell>
          <cell r="B30" t="str">
            <v>HB</v>
          </cell>
          <cell r="C30" t="str">
            <v>Facility does not possess HEPA-filtered ventilation system.</v>
          </cell>
          <cell r="D30" t="str">
            <v>Facility does not possess HEPA-filtered ventilation system.</v>
          </cell>
          <cell r="H30" t="str">
            <v>Facility does not possess HEPA-filtered ventilation system.</v>
          </cell>
          <cell r="J30" t="str">
            <v>Activity does not require HEPA-filtered ventilation system.</v>
          </cell>
        </row>
        <row r="31">
          <cell r="A31" t="str">
            <v>HEPA filter fire</v>
          </cell>
          <cell r="B31" t="str">
            <v>HF</v>
          </cell>
          <cell r="C31" t="str">
            <v>Facility does not possess HEPA-filtered ventilation system.</v>
          </cell>
          <cell r="D31" t="str">
            <v>Facility does not possess HEPA-filtered ventilation system.</v>
          </cell>
          <cell r="H31" t="str">
            <v>Facility does not possess HEPA-filtered ventilation system.</v>
          </cell>
          <cell r="J31" t="str">
            <v>Activity does not require HEPA-filtered ventilation system.</v>
          </cell>
        </row>
        <row r="32">
          <cell r="A32" t="str">
            <v>Stack failure</v>
          </cell>
          <cell r="B32" t="str">
            <v>IS</v>
          </cell>
          <cell r="C32" t="str">
            <v>Facility does not possess ventilation stack</v>
          </cell>
          <cell r="D32" t="str">
            <v>Facility does not possess ventilation stack</v>
          </cell>
          <cell r="E32" t="str">
            <v>Facility does not possess ventilation stack</v>
          </cell>
          <cell r="G32" t="str">
            <v>Area ventilation exhausts to Main Plant stack</v>
          </cell>
          <cell r="H32" t="str">
            <v>Facility does not possess ventilation stack</v>
          </cell>
          <cell r="I32" t="str">
            <v>Short stack with little potential to affect contaminated material in the facility.</v>
          </cell>
          <cell r="J32" t="str">
            <v>Facility does not possess ventilation stack</v>
          </cell>
          <cell r="K32" t="str">
            <v>Short stack with little potential to affect contaminated material in the facility.</v>
          </cell>
          <cell r="L32" t="str">
            <v>Short stack with little potential to affect contaminated material in the facility.</v>
          </cell>
        </row>
        <row r="33">
          <cell r="A33" t="str">
            <v>Corrosion</v>
          </cell>
          <cell r="C33" t="str">
            <v>Event unique to HLW storage.</v>
          </cell>
          <cell r="D33" t="str">
            <v>Carbon steel cask interior is coated to minimize corrosion. The overpack is stainless steel and rests on a stainless steel pad located on the bottom of the storage cask. The materials of construction and design limit the potential for corrosion of the canisters and canister overpack.</v>
          </cell>
          <cell r="E33" t="str">
            <v>Event unique to HLW storage.</v>
          </cell>
          <cell r="F33" t="str">
            <v>Event unique to HLW storage.</v>
          </cell>
          <cell r="G33" t="str">
            <v>Event unique to HLW storage.</v>
          </cell>
          <cell r="H33" t="str">
            <v>Event unique to HLW storage.</v>
          </cell>
          <cell r="I33" t="str">
            <v>Event unique to HLW storage.</v>
          </cell>
          <cell r="J33" t="str">
            <v>Event unique to HLW storage.</v>
          </cell>
          <cell r="K33" t="str">
            <v>Event unique to HLW storage.</v>
          </cell>
          <cell r="L33" t="str">
            <v>Event unique to HLW storage.</v>
          </cell>
        </row>
        <row r="34">
          <cell r="A34" t="str">
            <v>Locomotive/ loaded rail car impacts storage casks</v>
          </cell>
          <cell r="C34" t="str">
            <v>Event unique to HLW storage.</v>
          </cell>
          <cell r="D34" t="str">
            <v>The rail line adjacent to the storage pad is a spur that is wholly on the WVDP premises, precluding other commercial traffic.</v>
          </cell>
          <cell r="E34" t="str">
            <v>Event unique to HLW storage.</v>
          </cell>
          <cell r="F34" t="str">
            <v>Event unique to HLW storage.</v>
          </cell>
          <cell r="G34" t="str">
            <v>Event unique to HLW storage.</v>
          </cell>
          <cell r="H34" t="str">
            <v>Event unique to HLW storage.</v>
          </cell>
          <cell r="I34" t="str">
            <v>Event unique to HLW storage.</v>
          </cell>
          <cell r="J34" t="str">
            <v>Event unique to HLW storage.</v>
          </cell>
          <cell r="K34" t="str">
            <v>Event unique to HLW storage.</v>
          </cell>
          <cell r="L34" t="str">
            <v>Event unique to HLW storage.</v>
          </cell>
        </row>
        <row r="35">
          <cell r="A35" t="str">
            <v>Seismic event (tip over)</v>
          </cell>
          <cell r="C35" t="str">
            <v>Event unique to HLW storage.</v>
          </cell>
          <cell r="D35" t="str">
            <v>VSC determined to be stable against tip-over under conditions (ref. NAC Calculation 630087-2010, Revision 0, MPC-WVDP VSC Structural Evaluation).</v>
          </cell>
          <cell r="E35" t="str">
            <v>Event unique to HLW storage.</v>
          </cell>
          <cell r="F35" t="str">
            <v>Event unique to HLW storage.</v>
          </cell>
          <cell r="G35" t="str">
            <v>Event unique to HLW storage.</v>
          </cell>
          <cell r="H35" t="str">
            <v>Event unique to HLW storage.</v>
          </cell>
          <cell r="I35" t="str">
            <v>Event unique to HLW storage.</v>
          </cell>
          <cell r="J35" t="str">
            <v>Event unique to HLW storage.</v>
          </cell>
          <cell r="K35" t="str">
            <v>Event unique to HLW storage.</v>
          </cell>
          <cell r="L35" t="str">
            <v>Event unique to HLW storage.</v>
          </cell>
        </row>
        <row r="36">
          <cell r="A36" t="str">
            <v>Severe environmental conditions</v>
          </cell>
          <cell r="C36" t="str">
            <v>Event unique to HLW storage.</v>
          </cell>
          <cell r="E36" t="str">
            <v>Event unique to HLW storage.</v>
          </cell>
          <cell r="F36" t="str">
            <v>Event unique to HLW storage.</v>
          </cell>
          <cell r="G36" t="str">
            <v>Event unique to HLW storage.</v>
          </cell>
          <cell r="H36" t="str">
            <v>Event unique to HLW storage.</v>
          </cell>
          <cell r="I36" t="str">
            <v>Event unique to HLW storage.</v>
          </cell>
          <cell r="J36" t="str">
            <v>Event unique to HLW storage.</v>
          </cell>
          <cell r="K36" t="str">
            <v>Event unique to HLW storage.</v>
          </cell>
          <cell r="L36" t="str">
            <v>Event unique to HLW storage.</v>
          </cell>
        </row>
        <row r="37">
          <cell r="A37" t="str">
            <v>Storage cask tip-over due to transportation event</v>
          </cell>
          <cell r="C37" t="str">
            <v>Event unique to HLW storage.</v>
          </cell>
          <cell r="D37" t="str">
            <v>Haul path to be inspected and verified to be adequate prior to transportation.</v>
          </cell>
          <cell r="E37" t="str">
            <v>Event unique to HLW storage.</v>
          </cell>
          <cell r="F37" t="str">
            <v>Event unique to HLW storage.</v>
          </cell>
          <cell r="G37" t="str">
            <v>Event unique to HLW storage.</v>
          </cell>
          <cell r="H37" t="str">
            <v>Event unique to HLW storage.</v>
          </cell>
          <cell r="I37" t="str">
            <v>Event unique to HLW storage.</v>
          </cell>
          <cell r="J37" t="str">
            <v>Event unique to HLW storage.</v>
          </cell>
          <cell r="K37" t="str">
            <v>Event unique to HLW storage.</v>
          </cell>
          <cell r="L37" t="str">
            <v>Event unique to HLW storage.</v>
          </cell>
        </row>
      </sheetData>
      <sheetData sheetId="6">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Max Facility MAR</v>
          </cell>
          <cell r="C2">
            <v>2100</v>
          </cell>
          <cell r="D2">
            <v>83000</v>
          </cell>
          <cell r="E2">
            <v>2100</v>
          </cell>
          <cell r="F2">
            <v>2300</v>
          </cell>
          <cell r="G2">
            <v>360</v>
          </cell>
          <cell r="H2">
            <v>2100</v>
          </cell>
          <cell r="I2">
            <v>1000</v>
          </cell>
          <cell r="J2">
            <v>360</v>
          </cell>
          <cell r="K2">
            <v>1500</v>
          </cell>
          <cell r="L2">
            <v>850</v>
          </cell>
        </row>
        <row r="3">
          <cell r="C3" t="str">
            <v xml:space="preserve">MAR is entire inventory of radioactive material in WVDP packaged waste (exclusive of HLW) (Ref.WVNS-CAL-397, Table C-1, Lag Storage). </v>
          </cell>
          <cell r="D3" t="str">
            <v xml:space="preserve">MAR is entire inventory of radioactive material in HLWSS (Ref.WVNS-CAL-397, Table C-1, HLWSS). </v>
          </cell>
          <cell r="E3" t="str">
            <v xml:space="preserve">MAR is entire inventory of radioactive material in WVDP packaged waste (exclusive of HLW) (Ref.WVNS-CAL-397, Table C-1). </v>
          </cell>
          <cell r="F3" t="str">
            <v xml:space="preserve">MAR is entire inventory of radioactive material in the MPPB  (exclusive of HLW) (Ref. WVNS-CAL-397, Table C-1). </v>
          </cell>
          <cell r="G3" t="str">
            <v xml:space="preserve">MAR is activity in maximally loaded 2-drum Interim Storage Container (Ref. WVNS-CAL-397, Table A-2). </v>
          </cell>
          <cell r="H3" t="str">
            <v xml:space="preserve">MAR is entire inventory of radioactive material in WVDP packaged waste (exclusive of HLW) (Ref.WVNS-CAL-397, Table C-1, Lag Storage). </v>
          </cell>
          <cell r="I3" t="str">
            <v xml:space="preserve">MAR is all waste originating from the HECs (Ref. WVNS-CAL-397, Table A-2, HC Gen Area = "HEC" or "PBS") plus ICA inventory limit. </v>
          </cell>
          <cell r="J3" t="str">
            <v xml:space="preserve">MAR is activity in maximally loaded 2-drum Interim Storage Container (Ref. WVNS-CAL-397, Table A-2). </v>
          </cell>
          <cell r="K3" t="str">
            <v xml:space="preserve">MAR is entire inventory of radioactive material in the Vitrification Facility (Ref. WVNS-CAL-397, Table C-1). </v>
          </cell>
          <cell r="L3" t="str">
            <v xml:space="preserve">MAR is total inventory of activity in the WTF (Ref. WVNS-CAL-397, Table C-1). </v>
          </cell>
        </row>
        <row r="4">
          <cell r="A4" t="str">
            <v>Max Cell/Array MAR</v>
          </cell>
          <cell r="F4">
            <v>850</v>
          </cell>
          <cell r="K4">
            <v>500</v>
          </cell>
        </row>
        <row r="5">
          <cell r="F5" t="str">
            <v>MAR is all surface contamination in MPPB cells (includes fixed contamination).
(Ref. WVNS-CAL-397, Table A-1, MPPB cell activity less "liquids" and CPC waste)</v>
          </cell>
          <cell r="K5" t="str">
            <v>MAR is all surface contamination in Vitrification Cell (includes fixed contamination) (Ref. WVNS-CAL-397, Table A-1, "surfaces")</v>
          </cell>
        </row>
        <row r="6">
          <cell r="A6" t="str">
            <v>Ventilation System MAR</v>
          </cell>
          <cell r="E6">
            <v>1</v>
          </cell>
          <cell r="F6">
            <v>10</v>
          </cell>
          <cell r="G6">
            <v>1</v>
          </cell>
          <cell r="I6">
            <v>1</v>
          </cell>
          <cell r="K6">
            <v>1</v>
          </cell>
          <cell r="L6">
            <v>1</v>
          </cell>
        </row>
        <row r="7">
          <cell r="E7" t="str">
            <v>10% of MPPB ventilation system MAR bounding for facility HEPA filters based on system environmental emission data</v>
          </cell>
          <cell r="F7" t="str">
            <v>MAR is inventory of radioactive material in bounding MPPB ventilation system (Ref. WVNS-CAL-397, Table A-1, "VEC").</v>
          </cell>
          <cell r="G7" t="str">
            <v>10% of MPPB ventilation system MAR bounding for facility HEPA filters based on system environmental emission data</v>
          </cell>
          <cell r="I7" t="str">
            <v>10% of MPPB ventilation system MAR bounding for facility HEPA filters based on system environmental emission data</v>
          </cell>
          <cell r="K7" t="str">
            <v>10% of MPPB ventilation system MAR bounding for facility HEPA filters based on system environmental emission data</v>
          </cell>
          <cell r="L7" t="str">
            <v>10% of MPPB ventilation system MAR bounding for facility HEPA filters based on system environmental emission data</v>
          </cell>
        </row>
        <row r="8">
          <cell r="A8" t="str">
            <v>Max individual container MAR</v>
          </cell>
          <cell r="C8">
            <v>360</v>
          </cell>
          <cell r="D8">
            <v>2500</v>
          </cell>
          <cell r="E8">
            <v>360</v>
          </cell>
          <cell r="F8">
            <v>360</v>
          </cell>
          <cell r="G8">
            <v>360</v>
          </cell>
          <cell r="H8">
            <v>360</v>
          </cell>
          <cell r="I8">
            <v>360</v>
          </cell>
          <cell r="J8">
            <v>360</v>
          </cell>
          <cell r="K8">
            <v>360</v>
          </cell>
        </row>
        <row r="9">
          <cell r="C9" t="str">
            <v xml:space="preserve">MAR is activity in maximally loaded 2-drum Interim Storage Container (Ref. WVNS-CAL-397, Table A-2). </v>
          </cell>
          <cell r="D9" t="str">
            <v xml:space="preserve">MAR is cask containing 5 HLW canisters each containing an amount of activity equal to the maximum HLW canister (Ref. WVNS-CAL-396). </v>
          </cell>
          <cell r="E9" t="str">
            <v xml:space="preserve">MAR is activity in maximally loaded 2-drum Interim Storage Container (Ref. WVNS-CAL-397, Table A-2). </v>
          </cell>
          <cell r="F9" t="str">
            <v xml:space="preserve">MAR is activity in maximally loaded 2-drum Interim Storage Container (Ref. WVNS-CAL-397, Table A-2). </v>
          </cell>
          <cell r="G9" t="str">
            <v xml:space="preserve">MAR is activity in maximally loaded 2-drum Interim Storage Container (Ref. WVNS-CAL-397, Table A-2). </v>
          </cell>
          <cell r="H9" t="str">
            <v xml:space="preserve">MAR is activity in maximally loaded 2-drum Interim Storage Container (Ref. WVNS-CAL-397, Table A-2). </v>
          </cell>
          <cell r="I9" t="str">
            <v xml:space="preserve">MAR is activity in maximally loaded 2-drum Interim Storage Container (Ref. WVNS-CAL-397, Table A-2). </v>
          </cell>
          <cell r="J9" t="str">
            <v xml:space="preserve">MAR is activity in maximally loaded 2-drum Interim Storage Container (Ref. WVNS-CAL-397, Table A-2). </v>
          </cell>
          <cell r="K9" t="str">
            <v xml:space="preserve">MAR is activity in maximally loaded 2-drum Interim Storage Container (Ref. WVNS-CAL-397, Table A-2). </v>
          </cell>
        </row>
        <row r="10">
          <cell r="A10" t="str">
            <v>Localized flammable liquid pool fire</v>
          </cell>
          <cell r="B10" t="str">
            <v>E01</v>
          </cell>
          <cell r="C10">
            <v>2100</v>
          </cell>
          <cell r="D10">
            <v>83000</v>
          </cell>
          <cell r="E10">
            <v>2100</v>
          </cell>
          <cell r="G10">
            <v>360</v>
          </cell>
          <cell r="H10">
            <v>2100</v>
          </cell>
          <cell r="I10">
            <v>1000</v>
          </cell>
          <cell r="J10">
            <v>360</v>
          </cell>
        </row>
        <row r="11">
          <cell r="C11" t="str">
            <v xml:space="preserve">MAR is entire inventory of radioactive material in WVDP packaged waste (exclusive of HLW) (Ref.WVNS-CAL-397, Table C-1, Lag Storage). </v>
          </cell>
          <cell r="D11" t="str">
            <v xml:space="preserve">MAR is entire inventory of radioactive material in HLWSS (Ref.WVNS-CAL-397, Table C-1, HLWSS). </v>
          </cell>
          <cell r="E11" t="str">
            <v xml:space="preserve">MAR is entire inventory of radioactive material in WVDP packaged waste (exclusive of HLW) (Ref.WVNS-CAL-397, Table C-1). </v>
          </cell>
          <cell r="G11" t="str">
            <v xml:space="preserve">MAR is activity in maximally loaded 2-drum Interim Storage Container (Ref. WVNS-CAL-397, Table A-2). </v>
          </cell>
          <cell r="H11" t="str">
            <v xml:space="preserve">MAR is entire inventory of radioactive material in WVDP packaged waste (exclusive of HLW) (Ref.WVNS-CAL-397, Table C-1, Lag Storage). </v>
          </cell>
          <cell r="I11" t="str">
            <v xml:space="preserve">MAR is all waste originating from the HECs (Ref. WVNS-CAL-397, Table A-2, HC Gen Area = "HEC" or "PBS") plus ICA inventory limit. </v>
          </cell>
          <cell r="J11" t="str">
            <v xml:space="preserve">MAR is activity in maximally loaded 2-drum Interim Storage Container (Ref. WVNS-CAL-397, Table A-2). </v>
          </cell>
        </row>
        <row r="12">
          <cell r="A12" t="str">
            <v>Small combustible material fire</v>
          </cell>
          <cell r="B12" t="str">
            <v>E02</v>
          </cell>
          <cell r="C12">
            <v>360</v>
          </cell>
          <cell r="E12">
            <v>360</v>
          </cell>
          <cell r="F12">
            <v>360</v>
          </cell>
          <cell r="G12">
            <v>360</v>
          </cell>
          <cell r="H12">
            <v>360</v>
          </cell>
          <cell r="I12">
            <v>360</v>
          </cell>
          <cell r="J12">
            <v>360</v>
          </cell>
          <cell r="K12">
            <v>360</v>
          </cell>
          <cell r="L12">
            <v>850</v>
          </cell>
        </row>
        <row r="13">
          <cell r="C13" t="str">
            <v xml:space="preserve">MAR is activity in maximally loaded 2-drum Interim Storage Container (Ref. WVNS-CAL-397, Table A-2). </v>
          </cell>
          <cell r="E13" t="str">
            <v xml:space="preserve">MAR is activity in maximally loaded 2-drum Interim Storage Container (Ref. WVNS-CAL-397, Table A-2). </v>
          </cell>
          <cell r="F13" t="str">
            <v xml:space="preserve">MAR is activity in maximally loaded 2-drum Interim Storage Container (Ref. WVNS-CAL-397, Table A-2). </v>
          </cell>
          <cell r="G13" t="str">
            <v xml:space="preserve">MAR is activity in maximally loaded 2-drum Interim Storage Container (Ref. WVNS-CAL-397, Table A-2). </v>
          </cell>
          <cell r="H13" t="str">
            <v xml:space="preserve">MAR is activity in maximally loaded 2-drum Interim Storage Container (Ref. WVNS-CAL-397, Table A-2). </v>
          </cell>
          <cell r="I13" t="str">
            <v xml:space="preserve">MAR is activity in maximally loaded 2-drum Interim Storage Container (Ref. WVNS-CAL-397, Table A-2). </v>
          </cell>
          <cell r="J13" t="str">
            <v xml:space="preserve">MAR is activity in maximally loaded 2-drum Interim Storage Container (Ref. WVNS-CAL-397, Table A-2). </v>
          </cell>
          <cell r="K13" t="str">
            <v xml:space="preserve">MAR is activity in maximally loaded 2-drum Interim Storage Container (Ref. WVNS-CAL-397, Table A-2). </v>
          </cell>
          <cell r="L13" t="str">
            <v xml:space="preserve">MAR is total inventory of activity in the WTF (Ref. WVNS-CAL-397, Table C-1). </v>
          </cell>
        </row>
        <row r="14">
          <cell r="A14" t="str">
            <v>Large fire</v>
          </cell>
          <cell r="B14" t="str">
            <v>E04</v>
          </cell>
          <cell r="E14">
            <v>2100</v>
          </cell>
          <cell r="F14">
            <v>2300</v>
          </cell>
          <cell r="I14">
            <v>1000</v>
          </cell>
          <cell r="K14">
            <v>1500</v>
          </cell>
        </row>
        <row r="15">
          <cell r="E15" t="str">
            <v xml:space="preserve">MAR is entire inventory of radioactive material in WVDP packaged waste (exclusive of HLW) (Ref.WVNS-CAL-397, Table C-1). </v>
          </cell>
          <cell r="F15" t="str">
            <v xml:space="preserve">MAR is entire inventory of radioactive material in the MPPB  (exclusive of HLW) (Ref. WVNS-CAL-397, Table C-1). </v>
          </cell>
          <cell r="I15" t="str">
            <v xml:space="preserve">MAR is all waste originating from the HECs (Ref. WVNS-CAL-397, Table A-2, HC Gen Area = "HEC" or "PBS") plus ICA inventory limit. </v>
          </cell>
          <cell r="K15" t="str">
            <v xml:space="preserve">MAR is entire inventory of radioactive material in the Vitrification Facility (Ref. WVNS-CAL-397, Table C-1). </v>
          </cell>
        </row>
        <row r="16">
          <cell r="A16" t="str">
            <v>Localized explosion external to container</v>
          </cell>
          <cell r="B16" t="str">
            <v>E05</v>
          </cell>
          <cell r="C16">
            <v>360</v>
          </cell>
          <cell r="D16">
            <v>2500</v>
          </cell>
          <cell r="E16">
            <v>360</v>
          </cell>
          <cell r="G16">
            <v>360</v>
          </cell>
          <cell r="H16">
            <v>360</v>
          </cell>
          <cell r="I16">
            <v>360</v>
          </cell>
          <cell r="J16">
            <v>360</v>
          </cell>
        </row>
        <row r="17">
          <cell r="C17" t="str">
            <v xml:space="preserve">MAR is activity in maximally loaded 2-drum Interim Storage Container (Ref. WVNS-CAL-397, Table A-2). </v>
          </cell>
          <cell r="D17" t="str">
            <v xml:space="preserve">MAR is cask containing 5 HLW canisters each containing an amount of activity equal to the maximum HLW canister (Ref. WVNS-CAL-396). </v>
          </cell>
          <cell r="E17" t="str">
            <v xml:space="preserve">MAR is activity in maximally loaded 2-drum Interim Storage Container (Ref. WVNS-CAL-397, Table A-2). </v>
          </cell>
          <cell r="G17" t="str">
            <v xml:space="preserve">MAR is activity in maximally loaded 2-drum Interim Storage Container (Ref. WVNS-CAL-397, Table A-2). </v>
          </cell>
          <cell r="H17" t="str">
            <v xml:space="preserve">MAR is activity in maximally loaded 2-drum Interim Storage Container (Ref. WVNS-CAL-397, Table A-2). </v>
          </cell>
          <cell r="I17" t="str">
            <v xml:space="preserve">MAR is activity in maximally loaded 2-drum Interim Storage Container (Ref. WVNS-CAL-397, Table A-2). </v>
          </cell>
          <cell r="J17" t="str">
            <v xml:space="preserve">MAR is activity in maximally loaded 2-drum Interim Storage Container (Ref. WVNS-CAL-397, Table A-2). </v>
          </cell>
        </row>
        <row r="18">
          <cell r="A18" t="str">
            <v>Waste container deflagration</v>
          </cell>
          <cell r="B18" t="str">
            <v>E06</v>
          </cell>
          <cell r="C18">
            <v>360</v>
          </cell>
          <cell r="E18">
            <v>360</v>
          </cell>
          <cell r="F18">
            <v>360</v>
          </cell>
          <cell r="G18">
            <v>360</v>
          </cell>
          <cell r="H18">
            <v>360</v>
          </cell>
          <cell r="I18">
            <v>360</v>
          </cell>
          <cell r="K18">
            <v>360</v>
          </cell>
        </row>
        <row r="19">
          <cell r="C19" t="str">
            <v xml:space="preserve">MAR is activity in maximally loaded 2-drum Interim Storage Container (Ref. WVNS-CAL-397, Table A-2). </v>
          </cell>
          <cell r="E19" t="str">
            <v xml:space="preserve">MAR is activity in maximally loaded 2-drum Interim Storage Container (Ref. WVNS-CAL-397, Table A-2). </v>
          </cell>
          <cell r="F19" t="str">
            <v xml:space="preserve">MAR is activity in maximally loaded 2-drum Interim Storage Container (Ref. WVNS-CAL-397, Table A-2). </v>
          </cell>
          <cell r="G19" t="str">
            <v xml:space="preserve">MAR is activity in maximally loaded 2-drum Interim Storage Container (Ref. WVNS-CAL-397, Table A-2). </v>
          </cell>
          <cell r="H19" t="str">
            <v xml:space="preserve">MAR is activity in maximally loaded 2-drum Interim Storage Container (Ref. WVNS-CAL-397, Table A-2). </v>
          </cell>
          <cell r="I19" t="str">
            <v xml:space="preserve">MAR is activity in maximally loaded 2-drum Interim Storage Container (Ref. WVNS-CAL-397, Table A-2). </v>
          </cell>
          <cell r="K19" t="str">
            <v xml:space="preserve">MAR is activity in maximally loaded 2-drum Interim Storage Container (Ref. WVNS-CAL-397, Table A-2). </v>
          </cell>
        </row>
        <row r="20">
          <cell r="A20" t="str">
            <v>Vehicle/equipment impacts waste/waste containers</v>
          </cell>
          <cell r="B20" t="str">
            <v>E09</v>
          </cell>
          <cell r="C20">
            <v>360</v>
          </cell>
          <cell r="D20">
            <v>2500</v>
          </cell>
          <cell r="E20">
            <v>360</v>
          </cell>
          <cell r="G20">
            <v>360</v>
          </cell>
          <cell r="H20">
            <v>360</v>
          </cell>
          <cell r="I20">
            <v>360</v>
          </cell>
          <cell r="J20">
            <v>360</v>
          </cell>
        </row>
        <row r="21">
          <cell r="C21" t="str">
            <v xml:space="preserve">MAR is activity in maximally loaded 2-drum Interim Storage Container (Ref. WVNS-CAL-397, Table A-2). </v>
          </cell>
          <cell r="D21" t="str">
            <v xml:space="preserve">MAR is cask containing 5 HLW canisters each containing an amount of activity equal to the maximum HLW canister (Ref. WVNS-CAL-396). </v>
          </cell>
          <cell r="E21" t="str">
            <v xml:space="preserve">MAR is activity in maximally loaded 2-drum Interim Storage Container (Ref. WVNS-CAL-397, Table A-2). </v>
          </cell>
          <cell r="G21" t="str">
            <v xml:space="preserve">MAR is activity in maximally loaded 2-drum Interim Storage Container (Ref. WVNS-CAL-397, Table A-2). </v>
          </cell>
          <cell r="H21" t="str">
            <v xml:space="preserve">MAR is activity in maximally loaded 2-drum Interim Storage Container (Ref. WVNS-CAL-397, Table A-2). </v>
          </cell>
          <cell r="I21" t="str">
            <v xml:space="preserve">MAR is activity in maximally loaded 2-drum Interim Storage Container (Ref. WVNS-CAL-397, Table A-2). </v>
          </cell>
          <cell r="J21" t="str">
            <v xml:space="preserve">MAR is activity in maximally loaded 2-drum Interim Storage Container (Ref. WVNS-CAL-397, Table A-2). </v>
          </cell>
        </row>
        <row r="22">
          <cell r="A22" t="str">
            <v>Drop/impact/spill</v>
          </cell>
          <cell r="B22" t="str">
            <v>E10</v>
          </cell>
          <cell r="C22">
            <v>360</v>
          </cell>
          <cell r="D22">
            <v>2500</v>
          </cell>
          <cell r="E22">
            <v>360</v>
          </cell>
          <cell r="F22">
            <v>360</v>
          </cell>
          <cell r="G22">
            <v>360</v>
          </cell>
          <cell r="H22">
            <v>360</v>
          </cell>
          <cell r="I22">
            <v>360</v>
          </cell>
          <cell r="J22">
            <v>360</v>
          </cell>
          <cell r="K22">
            <v>360</v>
          </cell>
          <cell r="L22">
            <v>1</v>
          </cell>
        </row>
        <row r="23">
          <cell r="C23" t="str">
            <v xml:space="preserve">MAR is activity in maximally loaded 2-drum Interim Storage Container (Ref. WVNS-CAL-397, Table A-2). </v>
          </cell>
          <cell r="D23" t="str">
            <v xml:space="preserve">MAR is cask containing 5 HLW canisters each containing an amount of activity equal to the maximum HLW canister (Ref. WVNS-CAL-396). </v>
          </cell>
          <cell r="E23" t="str">
            <v xml:space="preserve">MAR is activity in maximally loaded 2-drum Interim Storage Container (Ref. WVNS-CAL-397, Table A-2). </v>
          </cell>
          <cell r="F23" t="str">
            <v xml:space="preserve">MAR is activity in maximally loaded 2-drum Interim Storage Container (Ref. WVNS-CAL-397, Table A-2). </v>
          </cell>
          <cell r="G23" t="str">
            <v xml:space="preserve">MAR is activity in maximally loaded 2-drum Interim Storage Container (Ref. WVNS-CAL-397, Table A-2). </v>
          </cell>
          <cell r="H23" t="str">
            <v xml:space="preserve">MAR is activity in maximally loaded 2-drum Interim Storage Container (Ref. WVNS-CAL-397, Table A-2). </v>
          </cell>
          <cell r="I23" t="str">
            <v xml:space="preserve">MAR is activity in maximally loaded 2-drum Interim Storage Container (Ref. WVNS-CAL-397, Table A-2). </v>
          </cell>
          <cell r="J23" t="str">
            <v xml:space="preserve">MAR is activity in maximally loaded 2-drum Interim Storage Container (Ref. WVNS-CAL-397, Table A-2). </v>
          </cell>
          <cell r="K23" t="str">
            <v xml:space="preserve">MAR is activity in maximally loaded 2-drum Interim Storage Container (Ref. WVNS-CAL-397, Table A-2). </v>
          </cell>
          <cell r="L23" t="str">
            <v>10% of MPPB ventilation system MAR bounding for facility HEPA filters based on system environmental emission data</v>
          </cell>
        </row>
        <row r="24">
          <cell r="A24" t="str">
            <v>Collapse of stacked containers</v>
          </cell>
          <cell r="B24" t="str">
            <v>E11</v>
          </cell>
          <cell r="C24">
            <v>1050</v>
          </cell>
          <cell r="E24">
            <v>1050</v>
          </cell>
          <cell r="H24">
            <v>1050</v>
          </cell>
        </row>
        <row r="25">
          <cell r="C25" t="str">
            <v>MAR assumed to be half of activity in storage (i.e., activity in containers on 3rd and 4th tier of storage array (Ref. WVNS-CAL-397, Appendix A)</v>
          </cell>
          <cell r="E25" t="str">
            <v>MAR assumed to be half of activity in storage (i.e., activity in containers on 3rd and 4th tier of storage array (Ref. WVNS-CAL-397, Appendix A)</v>
          </cell>
          <cell r="H25" t="str">
            <v>MAR assumed to be half of activity in storage (i.e., activity in containers on 3rd and 4th tier of storage array (Ref. WVNS-CAL-397, Appendix A)</v>
          </cell>
        </row>
        <row r="26">
          <cell r="A26" t="str">
            <v>Waste container over-pressurization</v>
          </cell>
          <cell r="B26" t="str">
            <v>E12</v>
          </cell>
          <cell r="C26">
            <v>360</v>
          </cell>
          <cell r="E26">
            <v>360</v>
          </cell>
          <cell r="F26">
            <v>360</v>
          </cell>
          <cell r="G26">
            <v>360</v>
          </cell>
          <cell r="H26">
            <v>360</v>
          </cell>
          <cell r="I26">
            <v>360</v>
          </cell>
          <cell r="K26">
            <v>360</v>
          </cell>
        </row>
        <row r="27">
          <cell r="C27" t="str">
            <v xml:space="preserve">MAR is activity in maximally loaded 2-drum Interim Storage Container (Ref. WVNS-CAL-397, Table A-2). </v>
          </cell>
          <cell r="E27" t="str">
            <v xml:space="preserve">MAR is activity in maximally loaded 2-drum Interim Storage Container (Ref. WVNS-CAL-397, Table A-2). </v>
          </cell>
          <cell r="F27" t="str">
            <v xml:space="preserve">MAR is activity in maximally loaded 2-drum Interim Storage Container (Ref. WVNS-CAL-397, Table A-2). </v>
          </cell>
          <cell r="G27" t="str">
            <v xml:space="preserve">MAR is activity in maximally loaded 2-drum Interim Storage Container (Ref. WVNS-CAL-397, Table A-2). </v>
          </cell>
          <cell r="H27" t="str">
            <v xml:space="preserve">MAR is activity in maximally loaded 2-drum Interim Storage Container (Ref. WVNS-CAL-397, Table A-2). </v>
          </cell>
          <cell r="I27" t="str">
            <v xml:space="preserve">MAR is activity in maximally loaded 2-drum Interim Storage Container (Ref. WVNS-CAL-397, Table A-2). </v>
          </cell>
          <cell r="K27" t="str">
            <v xml:space="preserve">MAR is activity in maximally loaded 2-drum Interim Storage Container (Ref. WVNS-CAL-397, Table A-2). </v>
          </cell>
        </row>
        <row r="28">
          <cell r="A28" t="str">
            <v>Aircraft impact with fire</v>
          </cell>
          <cell r="B28" t="str">
            <v>E15</v>
          </cell>
          <cell r="C28">
            <v>2100</v>
          </cell>
          <cell r="D28">
            <v>83000</v>
          </cell>
          <cell r="E28">
            <v>2100</v>
          </cell>
          <cell r="F28">
            <v>10</v>
          </cell>
          <cell r="G28">
            <v>360</v>
          </cell>
          <cell r="H28">
            <v>2100</v>
          </cell>
          <cell r="I28">
            <v>1000</v>
          </cell>
          <cell r="K28">
            <v>1</v>
          </cell>
          <cell r="L28">
            <v>1</v>
          </cell>
        </row>
        <row r="29">
          <cell r="C29" t="str">
            <v xml:space="preserve">MAR is entire inventory of radioactive material in WVDP packaged waste (exclusive of HLW) (Ref.WVNS-CAL-397, Table C-1, Lag Storage). </v>
          </cell>
          <cell r="D29" t="str">
            <v xml:space="preserve">MAR is entire inventory of radioactive material in HLWSS (Ref.WVNS-CAL-397, Table C-1, HLWSS). </v>
          </cell>
          <cell r="E29" t="str">
            <v xml:space="preserve">MAR is entire inventory of radioactive material in WVDP packaged waste (exclusive of HLW) (Ref.WVNS-CAL-397, Table C-1). </v>
          </cell>
          <cell r="F29" t="str">
            <v>Only facility ventilation system vulnerable to event. MAR is inventory of radioactive material in bounding MPPB ventilation system 
(Ref. WVNS-CAL-397, Table A-1, "VEC")</v>
          </cell>
          <cell r="G29" t="str">
            <v xml:space="preserve">MAR is activity in maximally loaded 2-drum Interim Storage Container (Ref. WVNS-CAL-397, Table A-2). </v>
          </cell>
          <cell r="H29" t="str">
            <v xml:space="preserve">MAR is entire inventory of radioactive material in WVDP packaged waste (exclusive of HLW) (Ref.WVNS-CAL-397, Table C-1, Lag Storage). </v>
          </cell>
          <cell r="I29" t="str">
            <v xml:space="preserve">MAR is all waste originating from the HECs (Ref. WVNS-CAL-397, Table A-2, HC Gen Area = "HEC" or "PBS") plus ICA inventory limit. </v>
          </cell>
          <cell r="K29" t="str">
            <v>Only facility ventilation system vulnerable to event. MAR is bounded by 10% of MPPB ventilation system MAR based on system environmental emission data.</v>
          </cell>
          <cell r="L29" t="str">
            <v>Only facility ventilation system vulnerable to event. MAR is bounded by 10% of MPPB ventilation system MAR based on system environmental emission data.</v>
          </cell>
        </row>
        <row r="30">
          <cell r="A30" t="str">
            <v>External vehicle accident</v>
          </cell>
          <cell r="B30" t="str">
            <v>E16</v>
          </cell>
          <cell r="D30">
            <v>83000</v>
          </cell>
          <cell r="H30">
            <v>2100</v>
          </cell>
        </row>
        <row r="31">
          <cell r="D31" t="str">
            <v xml:space="preserve">MAR is entire inventory of radioactive material in HLWSS (Ref.WVNS-CAL-397, Table C-1, HLWSS). </v>
          </cell>
          <cell r="H31" t="str">
            <v xml:space="preserve">MAR is entire inventory of radioactive material in WVDP packaged waste (exclusive of HLW) (Ref.WVNS-CAL-397, Table C-1, Lag Storage). </v>
          </cell>
        </row>
        <row r="32">
          <cell r="A32" t="str">
            <v>External vehicle accident with fire</v>
          </cell>
          <cell r="B32" t="str">
            <v>E17</v>
          </cell>
          <cell r="D32">
            <v>83000</v>
          </cell>
          <cell r="H32">
            <v>2100</v>
          </cell>
        </row>
        <row r="33">
          <cell r="D33" t="str">
            <v xml:space="preserve">MAR is entire inventory of radioactive material in HLWSS (Ref.WVNS-CAL-397, Table C-1, HLWSS). </v>
          </cell>
          <cell r="H33" t="str">
            <v xml:space="preserve">MAR is entire inventory of radioactive material in WVDP packaged waste (exclusive of HLW) (Ref.WVNS-CAL-397, Table C-1, Lag Storage). </v>
          </cell>
        </row>
        <row r="34">
          <cell r="A34" t="str">
            <v>External explosion</v>
          </cell>
          <cell r="B34" t="str">
            <v>E18</v>
          </cell>
          <cell r="D34">
            <v>2500</v>
          </cell>
          <cell r="E34">
            <v>360</v>
          </cell>
          <cell r="F34">
            <v>2300</v>
          </cell>
          <cell r="H34">
            <v>360</v>
          </cell>
          <cell r="I34">
            <v>360</v>
          </cell>
        </row>
        <row r="35">
          <cell r="D35" t="str">
            <v xml:space="preserve">MAR is cask containing 5 HLW canisters each containing an amount of activity equal to the maximum HLW canister (Ref. WVNS-CAL-396). </v>
          </cell>
          <cell r="E35" t="str">
            <v xml:space="preserve">MAR is activity in maximally loaded 2-drum Interim Storage Container (Ref. WVNS-CAL-397, Table A-2). </v>
          </cell>
          <cell r="F35" t="str">
            <v xml:space="preserve">MAR is entire inventory of radioactive material in the MPPB  (exclusive of HLW) (Ref. WVNS-CAL-397, Table C-1). </v>
          </cell>
          <cell r="H35" t="str">
            <v xml:space="preserve">MAR is activity in maximally loaded 2-drum Interim Storage Container (Ref. WVNS-CAL-397, Table A-2). </v>
          </cell>
          <cell r="I35" t="str">
            <v xml:space="preserve">MAR is activity in maximally loaded 2-drum Interim Storage Container (Ref. WVNS-CAL-397, Table A-2). </v>
          </cell>
        </row>
        <row r="36">
          <cell r="A36" t="str">
            <v>External fire</v>
          </cell>
          <cell r="B36" t="str">
            <v>E19</v>
          </cell>
          <cell r="C36">
            <v>2100</v>
          </cell>
          <cell r="D36">
            <v>83000</v>
          </cell>
          <cell r="E36">
            <v>2100</v>
          </cell>
          <cell r="H36">
            <v>2100</v>
          </cell>
          <cell r="I36">
            <v>1000</v>
          </cell>
        </row>
        <row r="37">
          <cell r="C37" t="str">
            <v xml:space="preserve">MAR is entire inventory of radioactive material in WVDP packaged waste (exclusive of HLW). 
(Ref.WVNS-CAL-397, Table C-1, Lag Storage). </v>
          </cell>
          <cell r="D37" t="str">
            <v xml:space="preserve">MAR is entire inventory of radioactive material in HLWSS (Ref.WVNS-CAL-397, Table C-1, HLWSS). </v>
          </cell>
          <cell r="E37" t="str">
            <v xml:space="preserve">MAR is entire inventory of radioactive material in WVDP packaged waste (exclusive of HLW) (Ref.WVNS-CAL-397, Table C-1). </v>
          </cell>
          <cell r="H37" t="str">
            <v xml:space="preserve">MAR is entire inventory of radioactive material in WVDP packaged waste (exclusive of HLW) (Ref.WVNS-CAL-397, Table C-1, Lag Storage). </v>
          </cell>
          <cell r="I37" t="str">
            <v xml:space="preserve">MAR is all waste originating from the HECs (Ref. WVNS-CAL-397, Table A-2, HC Gen Area = "HEC" or "PBS") plus ICA inventory limit. </v>
          </cell>
        </row>
        <row r="38">
          <cell r="A38" t="str">
            <v>Lightning</v>
          </cell>
          <cell r="B38" t="str">
            <v>E20</v>
          </cell>
          <cell r="D38">
            <v>2500</v>
          </cell>
          <cell r="H38">
            <v>360</v>
          </cell>
        </row>
        <row r="39">
          <cell r="D39" t="str">
            <v xml:space="preserve">MAR is cask containing 5 HLW canisters each containing an amount of activity equal to the maximum HLW canister (Ref. WVNS-CAL-396). </v>
          </cell>
          <cell r="H39" t="str">
            <v xml:space="preserve">MAR is activity in maximally loaded 2-drum Interim Storage Container (Ref. WVNS-CAL-397, Table A-2). </v>
          </cell>
        </row>
        <row r="40">
          <cell r="A40" t="str">
            <v>High wind</v>
          </cell>
          <cell r="B40" t="str">
            <v>E21</v>
          </cell>
          <cell r="D40">
            <v>83000</v>
          </cell>
          <cell r="H40">
            <v>2100</v>
          </cell>
        </row>
        <row r="41">
          <cell r="D41" t="str">
            <v xml:space="preserve">MAR is entire inventory of radioactive material in HLWSS (Ref.WVNS-CAL-397, Table C-1, HLWSS). </v>
          </cell>
          <cell r="H41" t="str">
            <v xml:space="preserve">MAR is entire inventory of radioactive material in WVDP packaged waste (exclusive of HLW) (Ref.WVNS-CAL-397, Table C-1, Lag Storage). </v>
          </cell>
        </row>
        <row r="42">
          <cell r="A42" t="str">
            <v>Tornado</v>
          </cell>
          <cell r="B42" t="str">
            <v>E22</v>
          </cell>
          <cell r="C42">
            <v>2100</v>
          </cell>
          <cell r="D42">
            <v>83000</v>
          </cell>
          <cell r="E42">
            <v>2100</v>
          </cell>
          <cell r="F42">
            <v>2300</v>
          </cell>
          <cell r="G42">
            <v>360</v>
          </cell>
          <cell r="H42">
            <v>2100</v>
          </cell>
          <cell r="I42">
            <v>360</v>
          </cell>
          <cell r="K42">
            <v>1500</v>
          </cell>
          <cell r="L42">
            <v>850</v>
          </cell>
        </row>
        <row r="43">
          <cell r="C43" t="str">
            <v xml:space="preserve">MAR is entire inventory of radioactive material in WVDP packaged waste (exclusive of HLW) (Ref.WVNS-CAL-397, Table C-1, Lag Storage). </v>
          </cell>
          <cell r="D43" t="str">
            <v xml:space="preserve">MAR is entire inventory of radioactive material in HLWSS (Ref.WVNS-CAL-397, Table C-1, HLWSS). </v>
          </cell>
          <cell r="E43" t="str">
            <v xml:space="preserve">MAR is entire inventory of radioactive material in WVDP packaged waste (exclusive of HLW) (Ref.WVNS-CAL-397, Table C-1). </v>
          </cell>
          <cell r="F43" t="str">
            <v xml:space="preserve">MAR is entire inventory of radioactive material in the MPPB  (exclusive of HLW) (Ref. WVNS-CAL-397, Table C-1). </v>
          </cell>
          <cell r="G43" t="str">
            <v xml:space="preserve">MAR is activity in maximally loaded 2-drum Interim Storage Container (Ref. WVNS-CAL-397, Table A-2). </v>
          </cell>
          <cell r="H43" t="str">
            <v xml:space="preserve">MAR is entire inventory of radioactive material in WVDP packaged waste (exclusive of HLW) (Ref.WVNS-CAL-397, Table C-1, Lag Storage). </v>
          </cell>
          <cell r="I43" t="str">
            <v xml:space="preserve">MAR is activity in maximally loaded 2-drum Interim Storage Container (Ref. WVNS-CAL-397, Table A-2). </v>
          </cell>
          <cell r="K43" t="str">
            <v xml:space="preserve">MAR is entire inventory of radioactive material in the Vitrification Facility (Ref. WVNS-CAL-397, Table C-1). </v>
          </cell>
          <cell r="L43" t="str">
            <v xml:space="preserve">MAR is total inventory of activity in the WTF (Ref. WVNS-CAL-397, Table C-1). </v>
          </cell>
        </row>
        <row r="44">
          <cell r="A44" t="str">
            <v>Snow and/or ice buildup</v>
          </cell>
          <cell r="B44" t="str">
            <v>E23</v>
          </cell>
          <cell r="H44">
            <v>2100</v>
          </cell>
        </row>
        <row r="45">
          <cell r="H45" t="str">
            <v xml:space="preserve">MAR is entire inventory of radioactive material in WVDP packaged waste (exclusive of HLW) (Ref.WVNS-CAL-397, Table C-1, Lag Storage). </v>
          </cell>
        </row>
        <row r="46">
          <cell r="A46" t="str">
            <v>Seismic event</v>
          </cell>
          <cell r="B46" t="str">
            <v>E24</v>
          </cell>
          <cell r="C46">
            <v>2100</v>
          </cell>
          <cell r="D46">
            <v>83000</v>
          </cell>
          <cell r="E46">
            <v>2100</v>
          </cell>
          <cell r="F46">
            <v>2300</v>
          </cell>
          <cell r="G46">
            <v>360</v>
          </cell>
          <cell r="H46">
            <v>2100</v>
          </cell>
          <cell r="I46">
            <v>1000</v>
          </cell>
          <cell r="K46">
            <v>1500</v>
          </cell>
          <cell r="L46">
            <v>850</v>
          </cell>
        </row>
        <row r="47">
          <cell r="C47" t="str">
            <v xml:space="preserve">MAR is entire inventory of radioactive material in WVDP packaged waste (exclusive of HLW) (Ref.WVNS-CAL-397, Table C-1, Lag Storage). </v>
          </cell>
          <cell r="D47" t="str">
            <v xml:space="preserve">MAR is entire inventory of radioactive material in HLWSS (Ref.WVNS-CAL-397, Table C-1, HLWSS). </v>
          </cell>
          <cell r="E47" t="str">
            <v xml:space="preserve">MAR is entire inventory of radioactive material in WVDP packaged waste (exclusive of HLW) (Ref.WVNS-CAL-397, Table C-1). </v>
          </cell>
          <cell r="F47" t="str">
            <v xml:space="preserve">MAR is entire inventory of radioactive material in the MPPB  (exclusive of HLW) (Ref. WVNS-CAL-397, Table C-1). </v>
          </cell>
          <cell r="G47" t="str">
            <v xml:space="preserve">MAR is activity in maximally loaded 2-drum Interim Storage Container (Ref. WVNS-CAL-397, Table A-2). </v>
          </cell>
          <cell r="H47" t="str">
            <v xml:space="preserve">MAR is entire inventory of radioactive material in WVDP packaged waste (exclusive of HLW) (Ref.WVNS-CAL-397, Table C-1, Lag Storage). </v>
          </cell>
          <cell r="I47" t="str">
            <v xml:space="preserve">MAR is all waste originating from the HECs (Ref. WVNS-CAL-397, Table A-2, HC Gen Area = "HEC" or "PBS") plus ICA inventory limit. </v>
          </cell>
          <cell r="K47" t="str">
            <v xml:space="preserve">MAR is entire inventory of radioactive material in the Vitrification Facility (Ref. WVNS-CAL-397, Table C-1). </v>
          </cell>
          <cell r="L47" t="str">
            <v xml:space="preserve">MAR is total inventory of activity in the WTF (Ref. WVNS-CAL-397, Table C-1). </v>
          </cell>
        </row>
        <row r="48">
          <cell r="A48" t="str">
            <v>Loss of airborne contamination confinement</v>
          </cell>
          <cell r="B48" t="str">
            <v>AER</v>
          </cell>
          <cell r="D48">
            <v>2500</v>
          </cell>
          <cell r="E48">
            <v>360</v>
          </cell>
          <cell r="F48">
            <v>2300</v>
          </cell>
          <cell r="G48">
            <v>360</v>
          </cell>
          <cell r="I48">
            <v>1000</v>
          </cell>
          <cell r="K48">
            <v>1500</v>
          </cell>
          <cell r="L48">
            <v>850</v>
          </cell>
        </row>
        <row r="49">
          <cell r="D49" t="str">
            <v xml:space="preserve">MAR is cask containing 5 HLW canisters each containing an amount of activity equal to the maximum HLW canister (Ref. WVNS-CAL-396). </v>
          </cell>
          <cell r="E49" t="str">
            <v xml:space="preserve">MAR is activity in maximally loaded 2-drum Interim Storage Container (Ref. WVNS-CAL-397, Table A-2). </v>
          </cell>
          <cell r="F49" t="str">
            <v xml:space="preserve">MAR is entire inventory of radioactive material in the MPPB  (exclusive of HLW) (Ref. WVNS-CAL-397, Table C-1). </v>
          </cell>
          <cell r="G49" t="str">
            <v xml:space="preserve">MAR is activity in maximally loaded 2-drum Interim Storage Container (Ref. WVNS-CAL-397, Table A-2). </v>
          </cell>
          <cell r="I49" t="str">
            <v xml:space="preserve">MAR is all waste originating from the HECs (Ref. WVNS-CAL-397, Table A-2, HC Gen Area = "HEC" or "PBS") plus ICA inventory limit. </v>
          </cell>
          <cell r="K49" t="str">
            <v xml:space="preserve">MAR is entire inventory of radioactive material in the Vitrification Facility (Ref. WVNS-CAL-397, Table C-1). </v>
          </cell>
          <cell r="L49" t="str">
            <v xml:space="preserve">MAR is total inventory of activity in the WTF (Ref. WVNS-CAL-397, Table C-1). </v>
          </cell>
        </row>
        <row r="50">
          <cell r="A50" t="str">
            <v>Localized explosion within facility</v>
          </cell>
          <cell r="B50" t="str">
            <v>ES</v>
          </cell>
          <cell r="F50">
            <v>360</v>
          </cell>
          <cell r="I50">
            <v>360</v>
          </cell>
          <cell r="K50">
            <v>360</v>
          </cell>
        </row>
        <row r="51">
          <cell r="F51" t="str">
            <v xml:space="preserve">MAR is activity in maximally loaded 2-drum Interim Storage Container (Ref. WVNS-CAL-397, Table A-2). </v>
          </cell>
          <cell r="I51" t="str">
            <v xml:space="preserve">MAR is activity in maximally loaded 2-drum Interim Storage Container (Ref. WVNS-CAL-397, Table A-2). </v>
          </cell>
          <cell r="K51" t="str">
            <v xml:space="preserve">MAR is activity in maximally loaded 2-drum Interim Storage Container (Ref. WVNS-CAL-397, Table A-2). </v>
          </cell>
        </row>
        <row r="52">
          <cell r="A52" t="str">
            <v>Loss of liquid contamination confinement</v>
          </cell>
          <cell r="B52" t="str">
            <v>FFS</v>
          </cell>
          <cell r="C52">
            <v>1</v>
          </cell>
          <cell r="E52">
            <v>1</v>
          </cell>
          <cell r="F52">
            <v>1</v>
          </cell>
          <cell r="G52">
            <v>1</v>
          </cell>
          <cell r="H52">
            <v>1</v>
          </cell>
          <cell r="I52">
            <v>1</v>
          </cell>
          <cell r="J52">
            <v>1</v>
          </cell>
          <cell r="K52">
            <v>1</v>
          </cell>
          <cell r="L52">
            <v>1</v>
          </cell>
        </row>
        <row r="54">
          <cell r="A54" t="str">
            <v>Flood</v>
          </cell>
          <cell r="B54" t="str">
            <v>FLD</v>
          </cell>
          <cell r="C54">
            <v>2100</v>
          </cell>
          <cell r="D54">
            <v>83000</v>
          </cell>
          <cell r="E54">
            <v>2100</v>
          </cell>
          <cell r="F54">
            <v>2300</v>
          </cell>
          <cell r="G54">
            <v>360</v>
          </cell>
          <cell r="H54">
            <v>2100</v>
          </cell>
          <cell r="I54">
            <v>1000</v>
          </cell>
          <cell r="K54">
            <v>1500</v>
          </cell>
          <cell r="L54">
            <v>850</v>
          </cell>
        </row>
        <row r="55">
          <cell r="C55" t="str">
            <v xml:space="preserve">MAR is entire inventory of radioactive material in WVDP packaged waste (exclusive of HLW) (Ref.WVNS-CAL-397, Table C-1, Lag Storage). </v>
          </cell>
          <cell r="D55" t="str">
            <v xml:space="preserve">MAR is entire inventory of radioactive material in HLWSS (Ref.WVNS-CAL-397, Table C-1, HLWSS). </v>
          </cell>
          <cell r="E55" t="str">
            <v xml:space="preserve">MAR is entire inventory of radioactive material in WVDP packaged waste (exclusive of HLW) (Ref.WVNS-CAL-397, Table C-1). </v>
          </cell>
          <cell r="F55" t="str">
            <v xml:space="preserve">MAR is entire inventory of radioactive material in the MPPB  (exclusive of HLW) (Ref. WVNS-CAL-397, Table C-1). </v>
          </cell>
          <cell r="G55" t="str">
            <v xml:space="preserve">MAR is activity in maximally loaded 2-drum Interim Storage Container (Ref. WVNS-CAL-397, Table A-2). </v>
          </cell>
          <cell r="H55" t="str">
            <v xml:space="preserve">MAR is entire inventory of radioactive material in WVDP packaged waste (exclusive of HLW) (Ref.WVNS-CAL-397, Table C-1, Lag Storage). </v>
          </cell>
          <cell r="I55" t="str">
            <v xml:space="preserve">MAR is all waste originating from the HECs (Ref. WVNS-CAL-397, Table A-2, HC Gen Area = "HEC" or "PBS") plus ICA inventory limit. </v>
          </cell>
          <cell r="K55" t="str">
            <v xml:space="preserve">MAR is entire inventory of radioactive material in the Vitrification Facility (Ref. WVNS-CAL-397, Table C-1). </v>
          </cell>
          <cell r="L55" t="str">
            <v xml:space="preserve">MAR is total inventory of activity in the WTF (Ref. WVNS-CAL-397, Table C-1). </v>
          </cell>
        </row>
        <row r="56">
          <cell r="A56" t="str">
            <v>HEPA filter failure</v>
          </cell>
          <cell r="B56" t="str">
            <v>HB</v>
          </cell>
          <cell r="E56">
            <v>1</v>
          </cell>
          <cell r="F56">
            <v>10</v>
          </cell>
          <cell r="G56">
            <v>1</v>
          </cell>
          <cell r="I56">
            <v>1</v>
          </cell>
          <cell r="K56">
            <v>1</v>
          </cell>
          <cell r="L56">
            <v>1</v>
          </cell>
        </row>
        <row r="57">
          <cell r="E57" t="str">
            <v>10% of MPPB ventilation system MAR bounding for facility HEPA filters based on system environmental emission data</v>
          </cell>
          <cell r="F57" t="str">
            <v>MAR is inventory of radioactive material in bounding MPPB ventilation system (Ref. WVNS-CAL-397, Table A-1, "VEC").</v>
          </cell>
          <cell r="G57" t="str">
            <v>10% of MPPB ventilation system MAR bounding for facility HEPA filters based on system environmental emission data</v>
          </cell>
          <cell r="I57" t="str">
            <v>10% of MPPB ventilation system MAR bounding for facility HEPA filters based on system environmental emission data</v>
          </cell>
          <cell r="K57" t="str">
            <v>10% of MPPB ventilation system MAR bounding for facility HEPA filters based on system environmental emission data</v>
          </cell>
          <cell r="L57" t="str">
            <v>10% of MPPB ventilation system MAR bounding for facility HEPA filters based on system environmental emission data</v>
          </cell>
        </row>
        <row r="58">
          <cell r="A58" t="str">
            <v>HEPA filter fire</v>
          </cell>
          <cell r="B58" t="str">
            <v>HF</v>
          </cell>
          <cell r="E58">
            <v>1</v>
          </cell>
          <cell r="F58">
            <v>10</v>
          </cell>
          <cell r="G58">
            <v>1</v>
          </cell>
          <cell r="I58">
            <v>1</v>
          </cell>
          <cell r="K58">
            <v>1</v>
          </cell>
          <cell r="L58">
            <v>1</v>
          </cell>
        </row>
        <row r="59">
          <cell r="E59" t="str">
            <v>10% of MPPB ventilation system MAR bounding for facility HEPA filters based on system environmental emission data</v>
          </cell>
          <cell r="F59" t="str">
            <v>MAR is inventory of radioactive material in bounding MPPB ventilation system (Ref. WVNS-CAL-397, Table A-1, "VEC").</v>
          </cell>
          <cell r="G59" t="str">
            <v>10% of MPPB ventilation system MAR bounding for facility HEPA filters based on system environmental emission data</v>
          </cell>
          <cell r="I59" t="str">
            <v>10% of MPPB ventilation system MAR bounding for facility HEPA filters based on system environmental emission data</v>
          </cell>
          <cell r="K59" t="str">
            <v>10% of MPPB ventilation system MAR bounding for facility HEPA filters based on system environmental emission data</v>
          </cell>
          <cell r="L59" t="str">
            <v>10% of MPPB ventilation system MAR bounding for facility HEPA filters based on system environmental emission data</v>
          </cell>
        </row>
        <row r="60">
          <cell r="A60" t="str">
            <v>Stack failure</v>
          </cell>
          <cell r="B60" t="str">
            <v>IS</v>
          </cell>
          <cell r="F60">
            <v>10</v>
          </cell>
        </row>
        <row r="61">
          <cell r="F61" t="str">
            <v>MAR is activity in MPPB Stack 
(Ref. WVNS-CAL-397, Table A-1)</v>
          </cell>
        </row>
        <row r="62">
          <cell r="A62" t="str">
            <v>Corrosion</v>
          </cell>
          <cell r="B62" t="str">
            <v>HLW</v>
          </cell>
          <cell r="D62">
            <v>2500</v>
          </cell>
        </row>
        <row r="63">
          <cell r="D63" t="str">
            <v xml:space="preserve">MAR is cask containing 5 HLW canisters each containing an amount of activity equal to the maximum HLW canister (Ref. WVNS-CAL-396). </v>
          </cell>
        </row>
        <row r="64">
          <cell r="A64" t="str">
            <v>Locomotive/ loaded rail car impacts storage casks</v>
          </cell>
          <cell r="B64" t="str">
            <v>HLW</v>
          </cell>
          <cell r="D64">
            <v>83000</v>
          </cell>
        </row>
        <row r="65">
          <cell r="D65" t="str">
            <v xml:space="preserve">MAR is entire inventory of radioactive material in HLWSS (Ref.WVNS-CAL-397, Table C-1, HLWSS). </v>
          </cell>
        </row>
        <row r="66">
          <cell r="A66" t="str">
            <v>Seismic event (tip over)</v>
          </cell>
          <cell r="B66" t="str">
            <v>HLW</v>
          </cell>
          <cell r="D66">
            <v>2500</v>
          </cell>
        </row>
        <row r="67">
          <cell r="D67" t="str">
            <v xml:space="preserve">MAR is cask containing 5 HLW canisters each containing an amount of activity equal to the maximum HLW canister (Ref. WVNS-CAL-396). </v>
          </cell>
        </row>
        <row r="68">
          <cell r="A68" t="str">
            <v>Severe environmental conditions</v>
          </cell>
          <cell r="B68" t="str">
            <v>HLW</v>
          </cell>
          <cell r="D68">
            <v>2500</v>
          </cell>
        </row>
        <row r="69">
          <cell r="D69" t="str">
            <v xml:space="preserve">MAR is cask containing 5 HLW canisters each containing an amount of activity equal to the maximum HLW canister (Ref. WVNS-CAL-396). </v>
          </cell>
        </row>
        <row r="70">
          <cell r="A70" t="str">
            <v>Storage cask tip-over due to transportation event</v>
          </cell>
          <cell r="B70" t="str">
            <v>HLW</v>
          </cell>
          <cell r="D70">
            <v>2500</v>
          </cell>
        </row>
        <row r="71">
          <cell r="D71" t="str">
            <v xml:space="preserve">MAR is cask containing 5 HLW canisters each containing an amount of activity equal to the maximum HLW canister (Ref. WVNS-CAL-396). </v>
          </cell>
        </row>
      </sheetData>
      <sheetData sheetId="7">
        <row r="1">
          <cell r="C1" t="str">
            <v>CPCW</v>
          </cell>
          <cell r="D1" t="str">
            <v>HLWSS</v>
          </cell>
          <cell r="E1" t="str">
            <v>LSA</v>
          </cell>
          <cell r="F1" t="str">
            <v>MP</v>
          </cell>
          <cell r="G1" t="str">
            <v>MPA</v>
          </cell>
          <cell r="H1" t="str">
            <v>OUT</v>
          </cell>
          <cell r="I1" t="str">
            <v>RH</v>
          </cell>
          <cell r="J1" t="str">
            <v>TRN</v>
          </cell>
          <cell r="K1" t="str">
            <v>VF</v>
          </cell>
          <cell r="L1" t="str">
            <v>WTF</v>
          </cell>
        </row>
        <row r="2">
          <cell r="A2" t="str">
            <v>Localized flammable liquid pool fire</v>
          </cell>
          <cell r="B2" t="str">
            <v>E01</v>
          </cell>
          <cell r="C2">
            <v>4.7999999999999996E-3</v>
          </cell>
          <cell r="D2">
            <v>0</v>
          </cell>
          <cell r="E2">
            <v>4.7999999999999996E-3</v>
          </cell>
          <cell r="F2" t="str">
            <v/>
          </cell>
          <cell r="G2">
            <v>2.8000000000000001E-2</v>
          </cell>
          <cell r="H2">
            <v>4.7999999999999996E-3</v>
          </cell>
          <cell r="I2">
            <v>0.01</v>
          </cell>
          <cell r="J2">
            <v>2.8000000000000001E-2</v>
          </cell>
          <cell r="K2" t="str">
            <v/>
          </cell>
          <cell r="L2" t="str">
            <v/>
          </cell>
        </row>
        <row r="3">
          <cell r="A3" t="str">
            <v>Mitigated</v>
          </cell>
          <cell r="B3" t="str">
            <v>MAR</v>
          </cell>
          <cell r="C3">
            <v>10</v>
          </cell>
          <cell r="D3">
            <v>0</v>
          </cell>
          <cell r="E3">
            <v>10</v>
          </cell>
          <cell r="G3">
            <v>10</v>
          </cell>
          <cell r="H3">
            <v>10</v>
          </cell>
          <cell r="I3">
            <v>10</v>
          </cell>
          <cell r="J3">
            <v>10</v>
          </cell>
        </row>
        <row r="4">
          <cell r="A4" t="str">
            <v>Unmitigated</v>
          </cell>
          <cell r="B4" t="str">
            <v>MAR</v>
          </cell>
          <cell r="C4">
            <v>2100</v>
          </cell>
          <cell r="D4">
            <v>83000</v>
          </cell>
          <cell r="E4">
            <v>2100</v>
          </cell>
          <cell r="G4">
            <v>360</v>
          </cell>
          <cell r="H4">
            <v>2100</v>
          </cell>
          <cell r="I4">
            <v>1000</v>
          </cell>
          <cell r="J4">
            <v>360</v>
          </cell>
        </row>
        <row r="5">
          <cell r="C5" t="str">
            <v>DR reflects TSR to protect arrays of TRU waste containing greater than 10 PE-Ci from spills of flammable/ combustible liquids</v>
          </cell>
          <cell r="E5" t="str">
            <v>DR reflects TSR to protect arrays of TRU waste containing greater than 10 PE-Ci from spills of flammable/ combustible liquids</v>
          </cell>
          <cell r="G5" t="str">
            <v>DR reflects TSR to protect arrays of TRU waste containing greater than 10 PE-Ci from spills of flammable/ combustible liquids</v>
          </cell>
          <cell r="H5" t="str">
            <v>DR reflects TSR to protect arrays of TRU waste containing greater than 10 PE-Ci from spills of flammable/ combustible liquids</v>
          </cell>
          <cell r="I5" t="str">
            <v>DR reflects TSR to protect arrays of TRU waste containing greater than 10 PE-Ci from spills of flammable/ combustible liquids</v>
          </cell>
          <cell r="J5" t="str">
            <v>DR reflects TSR to protect TRU waste containing greater than 10 PE-Ci from spills of flammable/ combustible liquids</v>
          </cell>
        </row>
        <row r="6">
          <cell r="A6" t="str">
            <v>Small combustible material fire</v>
          </cell>
          <cell r="B6" t="str">
            <v>E02</v>
          </cell>
          <cell r="C6">
            <v>2.8E-3</v>
          </cell>
          <cell r="D6" t="str">
            <v/>
          </cell>
          <cell r="E6">
            <v>2.8E-3</v>
          </cell>
          <cell r="F6">
            <v>1</v>
          </cell>
          <cell r="G6">
            <v>2.8E-3</v>
          </cell>
          <cell r="H6">
            <v>2.8E-3</v>
          </cell>
          <cell r="I6">
            <v>1</v>
          </cell>
          <cell r="J6">
            <v>2.8E-3</v>
          </cell>
          <cell r="K6">
            <v>1</v>
          </cell>
          <cell r="L6">
            <v>1.1999999999999999E-3</v>
          </cell>
        </row>
        <row r="7">
          <cell r="A7" t="str">
            <v>Mitigated</v>
          </cell>
          <cell r="B7" t="str">
            <v>MAR</v>
          </cell>
          <cell r="C7">
            <v>1</v>
          </cell>
          <cell r="E7">
            <v>1</v>
          </cell>
          <cell r="F7">
            <v>360</v>
          </cell>
          <cell r="G7">
            <v>1</v>
          </cell>
          <cell r="H7">
            <v>1</v>
          </cell>
          <cell r="I7">
            <v>360</v>
          </cell>
          <cell r="J7">
            <v>1</v>
          </cell>
          <cell r="K7">
            <v>360</v>
          </cell>
          <cell r="L7">
            <v>1</v>
          </cell>
        </row>
        <row r="8">
          <cell r="A8" t="str">
            <v>Unmitigated</v>
          </cell>
          <cell r="B8" t="str">
            <v>MAR</v>
          </cell>
          <cell r="C8">
            <v>360</v>
          </cell>
          <cell r="E8">
            <v>360</v>
          </cell>
          <cell r="F8">
            <v>360</v>
          </cell>
          <cell r="G8">
            <v>360</v>
          </cell>
          <cell r="H8">
            <v>360</v>
          </cell>
          <cell r="I8">
            <v>360</v>
          </cell>
          <cell r="J8">
            <v>360</v>
          </cell>
          <cell r="K8">
            <v>360</v>
          </cell>
          <cell r="L8">
            <v>850</v>
          </cell>
        </row>
        <row r="9">
          <cell r="C9" t="str">
            <v>DR reflects TSR that limits the amount of TRU waste that may be outside of an APPROVED CONTAINER to 1.0 PE-Ci.</v>
          </cell>
          <cell r="E9" t="str">
            <v>DR reflects TSR that limits the amount of TRU waste that may be outside of an APPROVED CONTAINER to 1.0 PE-Ci.</v>
          </cell>
          <cell r="G9" t="str">
            <v>DR reflects TSR that limits the amount of TRU waste that may be outside of an APPROVED CONTAINER to 1.0 PE-Ci.</v>
          </cell>
          <cell r="H9" t="str">
            <v>DR reflects TSR that limits the amount of TRU waste that may be outside of an APPROVED CONTAINER to 1.0 PE-Ci.</v>
          </cell>
          <cell r="J9" t="str">
            <v>DR reflects TSR that limits the amount of TRU waste that may be outside of an APPROVED CONTAINER to 1.0 PE-Ci.</v>
          </cell>
          <cell r="L9" t="str">
            <v>DR reflects the fact that only MAR equal to that associated with facility ventilation system would be expected to be involved in event.</v>
          </cell>
        </row>
        <row r="10">
          <cell r="A10" t="str">
            <v>Large fire</v>
          </cell>
          <cell r="B10" t="str">
            <v>E04</v>
          </cell>
          <cell r="C10" t="str">
            <v/>
          </cell>
          <cell r="D10" t="str">
            <v/>
          </cell>
          <cell r="E10">
            <v>6.7000000000000004E-2</v>
          </cell>
          <cell r="F10">
            <v>1</v>
          </cell>
          <cell r="G10" t="str">
            <v/>
          </cell>
          <cell r="H10" t="str">
            <v/>
          </cell>
          <cell r="I10">
            <v>1</v>
          </cell>
          <cell r="J10" t="str">
            <v/>
          </cell>
          <cell r="K10">
            <v>1</v>
          </cell>
          <cell r="L10" t="str">
            <v/>
          </cell>
        </row>
        <row r="11">
          <cell r="A11" t="str">
            <v>Mitigated</v>
          </cell>
          <cell r="B11" t="str">
            <v>MAR</v>
          </cell>
          <cell r="E11">
            <v>140</v>
          </cell>
          <cell r="F11">
            <v>2300</v>
          </cell>
          <cell r="I11">
            <v>1000</v>
          </cell>
          <cell r="K11">
            <v>1500</v>
          </cell>
        </row>
        <row r="12">
          <cell r="A12" t="str">
            <v>Unmitigated</v>
          </cell>
          <cell r="B12" t="str">
            <v>MAR</v>
          </cell>
          <cell r="E12">
            <v>2100</v>
          </cell>
          <cell r="F12">
            <v>2300</v>
          </cell>
          <cell r="I12">
            <v>1000</v>
          </cell>
          <cell r="K12">
            <v>1500</v>
          </cell>
        </row>
        <row r="13">
          <cell r="E13" t="str">
            <v>DR assumes impacted material to be all drummed CH TRU waste (i.e., waste not in shielded overpacks) per Exhibit 1 of WVNS-CAL-397. MAR very conservative since release fraction applies only to drums exposed to critical heat flux.</v>
          </cell>
        </row>
        <row r="14">
          <cell r="A14" t="str">
            <v>Localized explosion external to container</v>
          </cell>
          <cell r="B14" t="str">
            <v>E05</v>
          </cell>
          <cell r="C14">
            <v>2.8000000000000001E-2</v>
          </cell>
          <cell r="D14">
            <v>0</v>
          </cell>
          <cell r="E14">
            <v>2.8000000000000001E-2</v>
          </cell>
          <cell r="F14" t="str">
            <v/>
          </cell>
          <cell r="G14">
            <v>2.8000000000000001E-2</v>
          </cell>
          <cell r="H14">
            <v>2.8000000000000001E-2</v>
          </cell>
          <cell r="I14">
            <v>2.8000000000000001E-2</v>
          </cell>
          <cell r="J14">
            <v>2.8000000000000001E-2</v>
          </cell>
          <cell r="K14" t="str">
            <v/>
          </cell>
          <cell r="L14" t="str">
            <v/>
          </cell>
        </row>
        <row r="15">
          <cell r="A15" t="str">
            <v>Mitigated</v>
          </cell>
          <cell r="B15" t="str">
            <v>MAR</v>
          </cell>
          <cell r="C15">
            <v>10</v>
          </cell>
          <cell r="D15">
            <v>0</v>
          </cell>
          <cell r="E15">
            <v>10</v>
          </cell>
          <cell r="G15">
            <v>10</v>
          </cell>
          <cell r="H15">
            <v>10</v>
          </cell>
          <cell r="I15">
            <v>10</v>
          </cell>
          <cell r="J15">
            <v>10</v>
          </cell>
        </row>
        <row r="16">
          <cell r="A16" t="str">
            <v>Unmitigated</v>
          </cell>
          <cell r="B16" t="str">
            <v>MAR</v>
          </cell>
          <cell r="C16">
            <v>360</v>
          </cell>
          <cell r="D16">
            <v>2500</v>
          </cell>
          <cell r="E16">
            <v>360</v>
          </cell>
          <cell r="G16">
            <v>360</v>
          </cell>
          <cell r="H16">
            <v>360</v>
          </cell>
          <cell r="I16">
            <v>360</v>
          </cell>
          <cell r="J16">
            <v>360</v>
          </cell>
        </row>
        <row r="17">
          <cell r="C17" t="str">
            <v>DR credits SAC that requires TRU waste containing &gt;10 PE-Ci be in containers capable of meeting SAC physical protection functional requirements.</v>
          </cell>
          <cell r="E17" t="str">
            <v>DR credits SAC that requires TRU waste containing &gt;10 PE-Ci be in containers capable of meeting SAC physical protection functional requirements.</v>
          </cell>
          <cell r="G17" t="str">
            <v>DR credits SAC that requires TRU waste containing &gt;10 PE-Ci be in containers capable of meeting SAC physical protection functional requirements.</v>
          </cell>
          <cell r="H17" t="str">
            <v>DR credits SAC that requires TRU waste containing &gt;10 PE-Ci be in containers capable of meeting SAC physical protection functional requirements.</v>
          </cell>
          <cell r="I17" t="str">
            <v>DR credits SAC that requires TRU waste containing &gt;10 PE-Ci be in containers capable of meeting SAC physical protection functional requirements.</v>
          </cell>
          <cell r="J17" t="str">
            <v>DR credits SAC that requires TRU waste containing &gt;10 PE-Ci be in containers capable of meeting SAC physical protection functional requirements.</v>
          </cell>
        </row>
        <row r="18">
          <cell r="A18" t="str">
            <v>Waste container deflagration</v>
          </cell>
          <cell r="B18" t="str">
            <v>E06</v>
          </cell>
          <cell r="C18">
            <v>0.25</v>
          </cell>
          <cell r="D18" t="str">
            <v/>
          </cell>
          <cell r="E18">
            <v>0.25</v>
          </cell>
          <cell r="F18">
            <v>1</v>
          </cell>
          <cell r="G18">
            <v>0.25</v>
          </cell>
          <cell r="H18">
            <v>0.25</v>
          </cell>
          <cell r="I18">
            <v>1</v>
          </cell>
          <cell r="J18" t="str">
            <v/>
          </cell>
          <cell r="K18">
            <v>1</v>
          </cell>
          <cell r="L18" t="str">
            <v/>
          </cell>
        </row>
        <row r="19">
          <cell r="A19" t="str">
            <v>Mitigated</v>
          </cell>
          <cell r="B19" t="str">
            <v>MAR</v>
          </cell>
          <cell r="C19">
            <v>90</v>
          </cell>
          <cell r="E19">
            <v>90</v>
          </cell>
          <cell r="F19">
            <v>360</v>
          </cell>
          <cell r="G19">
            <v>90</v>
          </cell>
          <cell r="H19">
            <v>90</v>
          </cell>
          <cell r="I19">
            <v>360</v>
          </cell>
          <cell r="K19">
            <v>360</v>
          </cell>
        </row>
        <row r="20">
          <cell r="A20" t="str">
            <v>Unmitigated</v>
          </cell>
          <cell r="B20" t="str">
            <v>MAR</v>
          </cell>
          <cell r="C20">
            <v>360</v>
          </cell>
          <cell r="E20">
            <v>360</v>
          </cell>
          <cell r="F20">
            <v>360</v>
          </cell>
          <cell r="G20">
            <v>360</v>
          </cell>
          <cell r="H20">
            <v>360</v>
          </cell>
          <cell r="I20">
            <v>360</v>
          </cell>
          <cell r="K20">
            <v>360</v>
          </cell>
        </row>
        <row r="21">
          <cell r="C21" t="str">
            <v>High PE-Ci waste is overpacked. DR reflects credit allowed per Section 4.4.2 of STD-5506. Resultant MAR bounds credible conservative non-overpacked MAR (10 PE-Ci)</v>
          </cell>
          <cell r="E21" t="str">
            <v>High PE-Ci waste is overpacked. DR reflects credit allowed per Section 4.4.2 of STD-5506. Resultant MAR bounds credible conservative non-overpacked MAR (10 PE-Ci)</v>
          </cell>
          <cell r="G21" t="str">
            <v>High PE-Ci waste is overpacked. DR reflects credit allowed per Section 4.4.2 of STD-5506. Resultant MAR bounds credible conservative non-overpacked MAR (10 PE-Ci)</v>
          </cell>
          <cell r="H21" t="str">
            <v>High PE-Ci waste is overpacked. DR reflects credit allowed per Section 4.4.2 of STD-5506. Resultant MAR bounds credible conservative non-overpacked MAR (10 PE-Ci)</v>
          </cell>
        </row>
        <row r="22">
          <cell r="A22" t="str">
            <v>Vehicle/equipment impacts waste/waste containers</v>
          </cell>
          <cell r="B22" t="str">
            <v>E09</v>
          </cell>
          <cell r="C22">
            <v>1</v>
          </cell>
          <cell r="D22">
            <v>0</v>
          </cell>
          <cell r="E22">
            <v>1</v>
          </cell>
          <cell r="F22" t="str">
            <v/>
          </cell>
          <cell r="G22">
            <v>1</v>
          </cell>
          <cell r="H22">
            <v>1</v>
          </cell>
          <cell r="I22">
            <v>1</v>
          </cell>
          <cell r="J22">
            <v>1</v>
          </cell>
          <cell r="K22" t="str">
            <v/>
          </cell>
          <cell r="L22" t="str">
            <v/>
          </cell>
        </row>
        <row r="23">
          <cell r="A23" t="str">
            <v>Mitigated</v>
          </cell>
          <cell r="B23" t="str">
            <v>MAR</v>
          </cell>
          <cell r="C23">
            <v>360</v>
          </cell>
          <cell r="D23">
            <v>0</v>
          </cell>
          <cell r="E23">
            <v>360</v>
          </cell>
          <cell r="G23">
            <v>360</v>
          </cell>
          <cell r="H23">
            <v>360</v>
          </cell>
          <cell r="I23">
            <v>360</v>
          </cell>
          <cell r="J23">
            <v>360</v>
          </cell>
        </row>
        <row r="24">
          <cell r="A24" t="str">
            <v>Unmitigated</v>
          </cell>
          <cell r="B24" t="str">
            <v>MAR</v>
          </cell>
          <cell r="C24">
            <v>360</v>
          </cell>
          <cell r="D24">
            <v>2500</v>
          </cell>
          <cell r="E24">
            <v>360</v>
          </cell>
          <cell r="G24">
            <v>360</v>
          </cell>
          <cell r="H24">
            <v>360</v>
          </cell>
          <cell r="I24">
            <v>360</v>
          </cell>
          <cell r="J24">
            <v>360</v>
          </cell>
        </row>
        <row r="26">
          <cell r="A26" t="str">
            <v>Drop/impact/spill</v>
          </cell>
          <cell r="B26" t="str">
            <v>E10</v>
          </cell>
          <cell r="C26">
            <v>1</v>
          </cell>
          <cell r="D26">
            <v>0</v>
          </cell>
          <cell r="E26">
            <v>1</v>
          </cell>
          <cell r="F26">
            <v>1</v>
          </cell>
          <cell r="G26">
            <v>1</v>
          </cell>
          <cell r="H26">
            <v>1</v>
          </cell>
          <cell r="I26">
            <v>1</v>
          </cell>
          <cell r="J26">
            <v>1</v>
          </cell>
          <cell r="K26">
            <v>1</v>
          </cell>
          <cell r="L26">
            <v>1</v>
          </cell>
        </row>
        <row r="27">
          <cell r="A27" t="str">
            <v>Mitigated</v>
          </cell>
          <cell r="B27" t="str">
            <v>MAR</v>
          </cell>
          <cell r="C27">
            <v>360</v>
          </cell>
          <cell r="D27">
            <v>0</v>
          </cell>
          <cell r="E27">
            <v>360</v>
          </cell>
          <cell r="F27">
            <v>360</v>
          </cell>
          <cell r="G27">
            <v>360</v>
          </cell>
          <cell r="H27">
            <v>360</v>
          </cell>
          <cell r="I27">
            <v>360</v>
          </cell>
          <cell r="J27">
            <v>360</v>
          </cell>
          <cell r="K27">
            <v>360</v>
          </cell>
          <cell r="L27">
            <v>1</v>
          </cell>
        </row>
        <row r="28">
          <cell r="A28" t="str">
            <v>Unmitigated</v>
          </cell>
          <cell r="B28" t="str">
            <v>MAR</v>
          </cell>
          <cell r="C28">
            <v>360</v>
          </cell>
          <cell r="D28">
            <v>2500</v>
          </cell>
          <cell r="E28">
            <v>360</v>
          </cell>
          <cell r="F28">
            <v>360</v>
          </cell>
          <cell r="G28">
            <v>360</v>
          </cell>
          <cell r="H28">
            <v>360</v>
          </cell>
          <cell r="I28">
            <v>360</v>
          </cell>
          <cell r="J28">
            <v>360</v>
          </cell>
          <cell r="K28">
            <v>360</v>
          </cell>
          <cell r="L28">
            <v>1</v>
          </cell>
        </row>
        <row r="30">
          <cell r="A30" t="str">
            <v>Collapse of stacked containers</v>
          </cell>
          <cell r="B30" t="str">
            <v>E11</v>
          </cell>
          <cell r="C30">
            <v>1</v>
          </cell>
          <cell r="D30" t="str">
            <v/>
          </cell>
          <cell r="E30">
            <v>1</v>
          </cell>
          <cell r="F30" t="str">
            <v/>
          </cell>
          <cell r="G30" t="str">
            <v/>
          </cell>
          <cell r="H30">
            <v>1</v>
          </cell>
          <cell r="I30" t="str">
            <v/>
          </cell>
          <cell r="J30" t="str">
            <v/>
          </cell>
          <cell r="K30" t="str">
            <v/>
          </cell>
          <cell r="L30" t="str">
            <v/>
          </cell>
        </row>
        <row r="31">
          <cell r="A31" t="str">
            <v>Mitigated</v>
          </cell>
          <cell r="B31" t="str">
            <v>MAR</v>
          </cell>
          <cell r="C31">
            <v>1050</v>
          </cell>
          <cell r="E31">
            <v>1050</v>
          </cell>
          <cell r="H31">
            <v>1050</v>
          </cell>
        </row>
        <row r="32">
          <cell r="A32" t="str">
            <v>Unmitigated</v>
          </cell>
          <cell r="B32" t="str">
            <v>MAR</v>
          </cell>
          <cell r="C32">
            <v>1050</v>
          </cell>
          <cell r="E32">
            <v>1050</v>
          </cell>
          <cell r="H32">
            <v>1050</v>
          </cell>
        </row>
        <row r="34">
          <cell r="A34" t="str">
            <v>Waste container over-pressurization</v>
          </cell>
          <cell r="B34" t="str">
            <v>E12</v>
          </cell>
          <cell r="C34">
            <v>0.1</v>
          </cell>
          <cell r="D34" t="str">
            <v/>
          </cell>
          <cell r="E34">
            <v>0.1</v>
          </cell>
          <cell r="F34">
            <v>1</v>
          </cell>
          <cell r="G34">
            <v>0.1</v>
          </cell>
          <cell r="H34">
            <v>0.1</v>
          </cell>
          <cell r="I34">
            <v>1</v>
          </cell>
          <cell r="J34" t="str">
            <v/>
          </cell>
          <cell r="K34">
            <v>1</v>
          </cell>
          <cell r="L34" t="str">
            <v/>
          </cell>
        </row>
        <row r="35">
          <cell r="A35" t="str">
            <v>Mitigated</v>
          </cell>
          <cell r="B35" t="str">
            <v>MAR</v>
          </cell>
          <cell r="C35">
            <v>36</v>
          </cell>
          <cell r="E35">
            <v>36</v>
          </cell>
          <cell r="F35">
            <v>360</v>
          </cell>
          <cell r="G35">
            <v>36</v>
          </cell>
          <cell r="H35">
            <v>36</v>
          </cell>
          <cell r="I35">
            <v>360</v>
          </cell>
          <cell r="K35">
            <v>360</v>
          </cell>
        </row>
        <row r="36">
          <cell r="A36" t="str">
            <v>Unmitigated</v>
          </cell>
          <cell r="B36" t="str">
            <v>MAR</v>
          </cell>
          <cell r="C36">
            <v>360</v>
          </cell>
          <cell r="E36">
            <v>360</v>
          </cell>
          <cell r="F36">
            <v>360</v>
          </cell>
          <cell r="G36">
            <v>360</v>
          </cell>
          <cell r="H36">
            <v>360</v>
          </cell>
          <cell r="I36">
            <v>360</v>
          </cell>
          <cell r="K36">
            <v>360</v>
          </cell>
        </row>
        <row r="37">
          <cell r="C37" t="str">
            <v>High PE-Ci waste is overpacked. DR reflects credit allowed per Section 4.4.2 of STD-5506. Resultant MAR bounds credible conservative non-overpacked MAR (10 PE-Ci)</v>
          </cell>
          <cell r="E37" t="str">
            <v>High PE-Ci waste is overpacked. DR reflects credit allowed per Section 4.4.2 of STD-5506. Resultant MAR bounds credible conservative non-overpacked MAR (10 PE-Ci)</v>
          </cell>
          <cell r="G37" t="str">
            <v>High PE-Ci waste is overpacked. DR reflects credit allowed per Section 4.4.2 of STD-5506. Resultant MAR bounds credible conservative non-overpacked MAR (10 PE-Ci)</v>
          </cell>
          <cell r="H37" t="str">
            <v>High PE-Ci waste is overpacked. DR reflects credit allowed per Section 4.4.2 of STD-5506. Resultant MAR bounds credible conservative non-overpacked MAR (10 PE-Ci)</v>
          </cell>
        </row>
        <row r="38">
          <cell r="A38" t="str">
            <v>Aircraft impact with fire</v>
          </cell>
          <cell r="B38" t="str">
            <v>E15</v>
          </cell>
          <cell r="C38">
            <v>1</v>
          </cell>
          <cell r="D38">
            <v>0</v>
          </cell>
          <cell r="E38">
            <v>1</v>
          </cell>
          <cell r="F38">
            <v>1</v>
          </cell>
          <cell r="G38">
            <v>1</v>
          </cell>
          <cell r="H38">
            <v>1</v>
          </cell>
          <cell r="I38">
            <v>1</v>
          </cell>
          <cell r="J38" t="str">
            <v/>
          </cell>
          <cell r="K38">
            <v>1</v>
          </cell>
          <cell r="L38">
            <v>1</v>
          </cell>
        </row>
        <row r="39">
          <cell r="A39" t="str">
            <v>Mitigated</v>
          </cell>
          <cell r="B39" t="str">
            <v>MAR</v>
          </cell>
          <cell r="C39">
            <v>2100</v>
          </cell>
          <cell r="D39">
            <v>0</v>
          </cell>
          <cell r="E39">
            <v>2100</v>
          </cell>
          <cell r="F39">
            <v>10</v>
          </cell>
          <cell r="G39">
            <v>360</v>
          </cell>
          <cell r="H39">
            <v>2100</v>
          </cell>
          <cell r="I39">
            <v>1000</v>
          </cell>
          <cell r="K39">
            <v>1</v>
          </cell>
          <cell r="L39">
            <v>1</v>
          </cell>
        </row>
        <row r="40">
          <cell r="A40" t="str">
            <v>Unmitigated</v>
          </cell>
          <cell r="B40" t="str">
            <v>MAR</v>
          </cell>
          <cell r="C40">
            <v>2100</v>
          </cell>
          <cell r="D40">
            <v>83000</v>
          </cell>
          <cell r="E40">
            <v>2100</v>
          </cell>
          <cell r="F40">
            <v>10</v>
          </cell>
          <cell r="G40">
            <v>360</v>
          </cell>
          <cell r="H40">
            <v>2100</v>
          </cell>
          <cell r="I40">
            <v>1000</v>
          </cell>
          <cell r="K40">
            <v>1</v>
          </cell>
          <cell r="L40">
            <v>1</v>
          </cell>
        </row>
        <row r="42">
          <cell r="A42" t="str">
            <v>External vehicle accident</v>
          </cell>
          <cell r="B42" t="str">
            <v>E16</v>
          </cell>
          <cell r="C42" t="str">
            <v/>
          </cell>
          <cell r="D42">
            <v>0</v>
          </cell>
          <cell r="E42" t="str">
            <v/>
          </cell>
          <cell r="F42" t="str">
            <v/>
          </cell>
          <cell r="G42" t="str">
            <v/>
          </cell>
          <cell r="H42">
            <v>1</v>
          </cell>
          <cell r="I42" t="str">
            <v/>
          </cell>
          <cell r="J42" t="str">
            <v/>
          </cell>
          <cell r="K42" t="str">
            <v/>
          </cell>
          <cell r="L42" t="str">
            <v/>
          </cell>
        </row>
        <row r="43">
          <cell r="A43" t="str">
            <v>Mitigated</v>
          </cell>
          <cell r="B43" t="str">
            <v>MAR</v>
          </cell>
          <cell r="D43">
            <v>0</v>
          </cell>
          <cell r="H43">
            <v>2100</v>
          </cell>
        </row>
        <row r="44">
          <cell r="A44" t="str">
            <v>Unmitigated</v>
          </cell>
          <cell r="B44" t="str">
            <v>MAR</v>
          </cell>
          <cell r="D44">
            <v>83000</v>
          </cell>
          <cell r="H44">
            <v>2100</v>
          </cell>
        </row>
        <row r="46">
          <cell r="A46" t="str">
            <v>External vehicle accident with fire</v>
          </cell>
          <cell r="B46" t="str">
            <v>E17</v>
          </cell>
          <cell r="C46" t="str">
            <v/>
          </cell>
          <cell r="D46">
            <v>0</v>
          </cell>
          <cell r="E46" t="str">
            <v/>
          </cell>
          <cell r="F46" t="str">
            <v/>
          </cell>
          <cell r="G46" t="str">
            <v/>
          </cell>
          <cell r="H46">
            <v>1</v>
          </cell>
          <cell r="I46" t="str">
            <v/>
          </cell>
          <cell r="J46" t="str">
            <v/>
          </cell>
          <cell r="K46" t="str">
            <v/>
          </cell>
          <cell r="L46" t="str">
            <v/>
          </cell>
        </row>
        <row r="47">
          <cell r="A47" t="str">
            <v>Mitigated</v>
          </cell>
          <cell r="B47" t="str">
            <v>MAR</v>
          </cell>
          <cell r="D47">
            <v>0</v>
          </cell>
          <cell r="H47">
            <v>2100</v>
          </cell>
        </row>
        <row r="48">
          <cell r="A48" t="str">
            <v>Unmitigated</v>
          </cell>
          <cell r="B48" t="str">
            <v>MAR</v>
          </cell>
          <cell r="D48">
            <v>83000</v>
          </cell>
          <cell r="H48">
            <v>2100</v>
          </cell>
        </row>
        <row r="50">
          <cell r="A50" t="str">
            <v>External explosion</v>
          </cell>
          <cell r="B50" t="str">
            <v>E18</v>
          </cell>
          <cell r="C50" t="str">
            <v/>
          </cell>
          <cell r="D50">
            <v>0</v>
          </cell>
          <cell r="E50">
            <v>1</v>
          </cell>
          <cell r="F50">
            <v>1</v>
          </cell>
          <cell r="G50" t="str">
            <v/>
          </cell>
          <cell r="H50">
            <v>1</v>
          </cell>
          <cell r="I50">
            <v>1</v>
          </cell>
          <cell r="J50" t="str">
            <v/>
          </cell>
          <cell r="K50" t="str">
            <v/>
          </cell>
          <cell r="L50" t="str">
            <v/>
          </cell>
        </row>
        <row r="51">
          <cell r="A51" t="str">
            <v>Mitigated</v>
          </cell>
          <cell r="B51" t="str">
            <v>MAR</v>
          </cell>
          <cell r="D51">
            <v>0</v>
          </cell>
          <cell r="E51">
            <v>360</v>
          </cell>
          <cell r="F51">
            <v>2300</v>
          </cell>
          <cell r="H51">
            <v>360</v>
          </cell>
          <cell r="I51">
            <v>360</v>
          </cell>
        </row>
        <row r="52">
          <cell r="A52" t="str">
            <v>Unmitigated</v>
          </cell>
          <cell r="B52" t="str">
            <v>MAR</v>
          </cell>
          <cell r="D52">
            <v>2500</v>
          </cell>
          <cell r="E52">
            <v>360</v>
          </cell>
          <cell r="F52">
            <v>2300</v>
          </cell>
          <cell r="H52">
            <v>360</v>
          </cell>
          <cell r="I52">
            <v>360</v>
          </cell>
        </row>
        <row r="54">
          <cell r="A54" t="str">
            <v>External fire</v>
          </cell>
          <cell r="B54" t="str">
            <v>E19</v>
          </cell>
          <cell r="C54">
            <v>0.1</v>
          </cell>
          <cell r="D54">
            <v>0</v>
          </cell>
          <cell r="E54">
            <v>0.1</v>
          </cell>
          <cell r="F54" t="str">
            <v/>
          </cell>
          <cell r="G54" t="str">
            <v/>
          </cell>
          <cell r="H54">
            <v>0.1</v>
          </cell>
          <cell r="I54">
            <v>0.1</v>
          </cell>
          <cell r="J54" t="str">
            <v/>
          </cell>
          <cell r="K54" t="str">
            <v/>
          </cell>
          <cell r="L54" t="str">
            <v/>
          </cell>
        </row>
        <row r="55">
          <cell r="A55" t="str">
            <v>Mitigated</v>
          </cell>
          <cell r="B55" t="str">
            <v>MAR</v>
          </cell>
          <cell r="C55">
            <v>210</v>
          </cell>
          <cell r="D55">
            <v>0</v>
          </cell>
          <cell r="E55">
            <v>210</v>
          </cell>
          <cell r="H55">
            <v>210</v>
          </cell>
          <cell r="I55">
            <v>100</v>
          </cell>
        </row>
        <row r="56">
          <cell r="A56" t="str">
            <v>Unmitigated</v>
          </cell>
          <cell r="B56" t="str">
            <v>MAR</v>
          </cell>
          <cell r="C56">
            <v>2100</v>
          </cell>
          <cell r="D56">
            <v>83000</v>
          </cell>
          <cell r="E56">
            <v>2100</v>
          </cell>
          <cell r="H56">
            <v>2100</v>
          </cell>
          <cell r="I56">
            <v>1000</v>
          </cell>
        </row>
        <row r="57">
          <cell r="C57" t="str">
            <v>DR assumes that 10% of array is exposed to critical heat flux.</v>
          </cell>
          <cell r="E57" t="str">
            <v>DR assumes that 10% of array is exposed to critical heat flux.</v>
          </cell>
          <cell r="H57" t="str">
            <v>DR assumes that 10% of array is exposed to critical heat flux.</v>
          </cell>
          <cell r="I57" t="str">
            <v>DR assumes that 10% of array is exposed to critical heat flux.</v>
          </cell>
        </row>
        <row r="58">
          <cell r="A58" t="str">
            <v>Lightning</v>
          </cell>
          <cell r="B58" t="str">
            <v>E20</v>
          </cell>
          <cell r="C58" t="str">
            <v/>
          </cell>
          <cell r="D58">
            <v>0</v>
          </cell>
          <cell r="E58" t="str">
            <v/>
          </cell>
          <cell r="F58" t="str">
            <v/>
          </cell>
          <cell r="G58" t="str">
            <v/>
          </cell>
          <cell r="H58">
            <v>2.8000000000000001E-2</v>
          </cell>
          <cell r="I58" t="str">
            <v/>
          </cell>
          <cell r="J58" t="str">
            <v/>
          </cell>
          <cell r="K58" t="str">
            <v/>
          </cell>
          <cell r="L58" t="str">
            <v/>
          </cell>
        </row>
        <row r="59">
          <cell r="A59" t="str">
            <v>Mitigated</v>
          </cell>
          <cell r="B59" t="str">
            <v>MAR</v>
          </cell>
          <cell r="D59">
            <v>0</v>
          </cell>
          <cell r="H59">
            <v>10</v>
          </cell>
        </row>
        <row r="60">
          <cell r="A60" t="str">
            <v>Unmitigated</v>
          </cell>
          <cell r="B60" t="str">
            <v>MAR</v>
          </cell>
          <cell r="D60">
            <v>2500</v>
          </cell>
          <cell r="H60">
            <v>360</v>
          </cell>
        </row>
        <row r="61">
          <cell r="H61" t="str">
            <v>DR credits SAC that requires TRU waste containing &gt;10 PE-Ci be in containers capable of meeting SAC physical protection functional requirements.</v>
          </cell>
        </row>
        <row r="62">
          <cell r="A62" t="str">
            <v>High wind</v>
          </cell>
          <cell r="B62" t="str">
            <v>E21</v>
          </cell>
          <cell r="C62" t="str">
            <v/>
          </cell>
          <cell r="D62">
            <v>0</v>
          </cell>
          <cell r="E62" t="str">
            <v/>
          </cell>
          <cell r="F62" t="str">
            <v/>
          </cell>
          <cell r="G62" t="str">
            <v/>
          </cell>
          <cell r="H62">
            <v>1</v>
          </cell>
          <cell r="I62" t="str">
            <v/>
          </cell>
          <cell r="J62" t="str">
            <v/>
          </cell>
          <cell r="K62" t="str">
            <v/>
          </cell>
          <cell r="L62" t="str">
            <v/>
          </cell>
        </row>
        <row r="63">
          <cell r="A63" t="str">
            <v>Mitigated</v>
          </cell>
          <cell r="B63" t="str">
            <v>MAR</v>
          </cell>
          <cell r="D63">
            <v>0</v>
          </cell>
          <cell r="H63">
            <v>2100</v>
          </cell>
        </row>
        <row r="64">
          <cell r="A64" t="str">
            <v>Unmitigated</v>
          </cell>
          <cell r="B64" t="str">
            <v>MAR</v>
          </cell>
          <cell r="D64">
            <v>83000</v>
          </cell>
          <cell r="H64">
            <v>2100</v>
          </cell>
        </row>
        <row r="66">
          <cell r="A66" t="str">
            <v>Tornado</v>
          </cell>
          <cell r="B66" t="str">
            <v>E22</v>
          </cell>
          <cell r="C66">
            <v>0.18</v>
          </cell>
          <cell r="D66">
            <v>0</v>
          </cell>
          <cell r="E66">
            <v>0.18</v>
          </cell>
          <cell r="F66">
            <v>1</v>
          </cell>
          <cell r="G66">
            <v>1</v>
          </cell>
          <cell r="H66">
            <v>0.18</v>
          </cell>
          <cell r="I66">
            <v>1</v>
          </cell>
          <cell r="J66" t="str">
            <v/>
          </cell>
          <cell r="K66">
            <v>1</v>
          </cell>
          <cell r="L66">
            <v>1.2E-4</v>
          </cell>
        </row>
        <row r="67">
          <cell r="A67" t="str">
            <v>Mitigated</v>
          </cell>
          <cell r="B67" t="str">
            <v>MAR</v>
          </cell>
          <cell r="C67">
            <v>379</v>
          </cell>
          <cell r="D67">
            <v>0</v>
          </cell>
          <cell r="E67">
            <v>379</v>
          </cell>
          <cell r="F67">
            <v>2300</v>
          </cell>
          <cell r="G67">
            <v>360</v>
          </cell>
          <cell r="H67">
            <v>379</v>
          </cell>
          <cell r="I67">
            <v>360</v>
          </cell>
          <cell r="K67">
            <v>1500</v>
          </cell>
          <cell r="L67">
            <v>0.1</v>
          </cell>
        </row>
        <row r="68">
          <cell r="A68" t="str">
            <v>Unmitigated</v>
          </cell>
          <cell r="B68" t="str">
            <v>MAR</v>
          </cell>
          <cell r="C68">
            <v>2100</v>
          </cell>
          <cell r="D68">
            <v>83000</v>
          </cell>
          <cell r="E68">
            <v>2100</v>
          </cell>
          <cell r="F68">
            <v>2300</v>
          </cell>
          <cell r="G68">
            <v>360</v>
          </cell>
          <cell r="H68">
            <v>2100</v>
          </cell>
          <cell r="I68">
            <v>360</v>
          </cell>
          <cell r="K68">
            <v>1500</v>
          </cell>
          <cell r="L68">
            <v>850</v>
          </cell>
        </row>
        <row r="69">
          <cell r="C69" t="str">
            <v>Tornado borne missiles assumed to impact four TRU waste drums: max container and three at 99th percentile.</v>
          </cell>
          <cell r="E69" t="str">
            <v>Tornado borne missiles assumed to impact four TRU waste drums: max container and three at 99th percentile.</v>
          </cell>
          <cell r="H69" t="str">
            <v>Tornado borne missiles assumed to impact four TRU waste drums: max container and three at 99th percentile.</v>
          </cell>
          <cell r="L69" t="str">
            <v xml:space="preserve">DR reflects very low release rate expected for this event. (Estimated unmitigated source term from system &lt;1E-6 PE-Ci/day due to ACTIVE ventilation based on environmental release data and assumed HEPA filter efficiency of 99.99%.) </v>
          </cell>
        </row>
        <row r="70">
          <cell r="A70" t="str">
            <v>Snow and/or ice buildup</v>
          </cell>
          <cell r="B70" t="str">
            <v>E23</v>
          </cell>
          <cell r="C70" t="str">
            <v/>
          </cell>
          <cell r="D70" t="str">
            <v/>
          </cell>
          <cell r="E70" t="str">
            <v/>
          </cell>
          <cell r="F70" t="str">
            <v/>
          </cell>
          <cell r="G70" t="str">
            <v/>
          </cell>
          <cell r="H70">
            <v>1</v>
          </cell>
          <cell r="I70" t="str">
            <v/>
          </cell>
          <cell r="J70" t="str">
            <v/>
          </cell>
          <cell r="K70" t="str">
            <v/>
          </cell>
          <cell r="L70" t="str">
            <v/>
          </cell>
        </row>
        <row r="71">
          <cell r="A71" t="str">
            <v>Mitigated</v>
          </cell>
          <cell r="B71" t="str">
            <v>MAR</v>
          </cell>
          <cell r="H71">
            <v>2100</v>
          </cell>
        </row>
        <row r="72">
          <cell r="A72" t="str">
            <v>Unmitigated</v>
          </cell>
          <cell r="B72" t="str">
            <v>MAR</v>
          </cell>
          <cell r="H72">
            <v>2100</v>
          </cell>
        </row>
        <row r="74">
          <cell r="A74" t="str">
            <v>Seismic event</v>
          </cell>
          <cell r="B74" t="str">
            <v>E24</v>
          </cell>
          <cell r="C74">
            <v>1</v>
          </cell>
          <cell r="D74">
            <v>0</v>
          </cell>
          <cell r="E74">
            <v>1</v>
          </cell>
          <cell r="F74">
            <v>1</v>
          </cell>
          <cell r="G74">
            <v>1</v>
          </cell>
          <cell r="H74">
            <v>1</v>
          </cell>
          <cell r="I74">
            <v>1</v>
          </cell>
          <cell r="J74" t="str">
            <v/>
          </cell>
          <cell r="K74">
            <v>1</v>
          </cell>
          <cell r="L74">
            <v>1.2E-4</v>
          </cell>
        </row>
        <row r="75">
          <cell r="A75" t="str">
            <v>Mitigated</v>
          </cell>
          <cell r="B75" t="str">
            <v>MAR</v>
          </cell>
          <cell r="C75">
            <v>2100</v>
          </cell>
          <cell r="D75">
            <v>0</v>
          </cell>
          <cell r="E75">
            <v>2100</v>
          </cell>
          <cell r="F75">
            <v>2300</v>
          </cell>
          <cell r="G75">
            <v>360</v>
          </cell>
          <cell r="H75">
            <v>2100</v>
          </cell>
          <cell r="I75">
            <v>1000</v>
          </cell>
          <cell r="K75">
            <v>1500</v>
          </cell>
          <cell r="L75">
            <v>0.1</v>
          </cell>
        </row>
        <row r="76">
          <cell r="A76" t="str">
            <v>Unmitigated</v>
          </cell>
          <cell r="B76" t="str">
            <v>MAR</v>
          </cell>
          <cell r="C76">
            <v>2100</v>
          </cell>
          <cell r="D76">
            <v>83000</v>
          </cell>
          <cell r="E76">
            <v>2100</v>
          </cell>
          <cell r="F76">
            <v>2300</v>
          </cell>
          <cell r="G76">
            <v>360</v>
          </cell>
          <cell r="H76">
            <v>2100</v>
          </cell>
          <cell r="I76">
            <v>1000</v>
          </cell>
          <cell r="K76">
            <v>1500</v>
          </cell>
          <cell r="L76">
            <v>850</v>
          </cell>
        </row>
        <row r="77">
          <cell r="L77" t="str">
            <v xml:space="preserve">DR reflects very low release rate expected for this event. (Estimated unmitigated source term from system &lt;1E-6 PE-Ci/day due to ACTIVE ventilation based on environmental release data and assumed HEPA filter efficiency of 99.99%.) </v>
          </cell>
        </row>
        <row r="78">
          <cell r="A78" t="str">
            <v>Loss of airborne contamination confinement</v>
          </cell>
          <cell r="B78" t="str">
            <v>AER</v>
          </cell>
          <cell r="C78" t="str">
            <v/>
          </cell>
          <cell r="D78">
            <v>0</v>
          </cell>
          <cell r="E78">
            <v>1</v>
          </cell>
          <cell r="F78">
            <v>1</v>
          </cell>
          <cell r="G78">
            <v>1</v>
          </cell>
          <cell r="H78" t="str">
            <v/>
          </cell>
          <cell r="I78">
            <v>1</v>
          </cell>
          <cell r="J78" t="str">
            <v/>
          </cell>
          <cell r="K78">
            <v>1</v>
          </cell>
          <cell r="L78">
            <v>1.2E-4</v>
          </cell>
        </row>
        <row r="79">
          <cell r="A79" t="str">
            <v>Mitigated</v>
          </cell>
          <cell r="B79" t="str">
            <v>MAR</v>
          </cell>
          <cell r="D79">
            <v>0</v>
          </cell>
          <cell r="E79">
            <v>360</v>
          </cell>
          <cell r="F79">
            <v>2300</v>
          </cell>
          <cell r="G79">
            <v>360</v>
          </cell>
          <cell r="I79">
            <v>1000</v>
          </cell>
          <cell r="K79">
            <v>1500</v>
          </cell>
          <cell r="L79">
            <v>0.1</v>
          </cell>
        </row>
        <row r="80">
          <cell r="A80" t="str">
            <v>Unmitigated</v>
          </cell>
          <cell r="B80" t="str">
            <v>MAR</v>
          </cell>
          <cell r="D80">
            <v>2500</v>
          </cell>
          <cell r="E80">
            <v>360</v>
          </cell>
          <cell r="F80">
            <v>2300</v>
          </cell>
          <cell r="G80">
            <v>360</v>
          </cell>
          <cell r="I80">
            <v>1000</v>
          </cell>
          <cell r="K80">
            <v>1500</v>
          </cell>
          <cell r="L80">
            <v>850</v>
          </cell>
        </row>
        <row r="81">
          <cell r="L81" t="str">
            <v xml:space="preserve">DR reflects very low release rate expected for this event. (Estimated unmitigated source term from system &lt;1E-6 PE-Ci/day due to ACTIVE ventilation based on environmental release data and assumed HEPA filter efficiency of 99.99%.) </v>
          </cell>
        </row>
        <row r="82">
          <cell r="A82" t="str">
            <v>Localized explosion within facility</v>
          </cell>
          <cell r="B82" t="str">
            <v>ES</v>
          </cell>
          <cell r="C82" t="str">
            <v/>
          </cell>
          <cell r="D82" t="str">
            <v/>
          </cell>
          <cell r="E82" t="str">
            <v/>
          </cell>
          <cell r="F82">
            <v>1</v>
          </cell>
          <cell r="G82" t="str">
            <v/>
          </cell>
          <cell r="H82" t="str">
            <v/>
          </cell>
          <cell r="I82">
            <v>1</v>
          </cell>
          <cell r="J82" t="str">
            <v/>
          </cell>
          <cell r="K82">
            <v>1</v>
          </cell>
          <cell r="L82" t="str">
            <v/>
          </cell>
        </row>
        <row r="83">
          <cell r="A83" t="str">
            <v>Mitigated</v>
          </cell>
          <cell r="B83" t="str">
            <v>MAR</v>
          </cell>
          <cell r="F83">
            <v>360</v>
          </cell>
          <cell r="I83">
            <v>360</v>
          </cell>
          <cell r="K83">
            <v>360</v>
          </cell>
        </row>
        <row r="84">
          <cell r="A84" t="str">
            <v>Unmitigated</v>
          </cell>
          <cell r="B84" t="str">
            <v>MAR</v>
          </cell>
          <cell r="F84">
            <v>360</v>
          </cell>
          <cell r="I84">
            <v>360</v>
          </cell>
          <cell r="K84">
            <v>360</v>
          </cell>
        </row>
        <row r="86">
          <cell r="A86" t="str">
            <v>Loss of liquid contamination confinement</v>
          </cell>
          <cell r="B86" t="str">
            <v>FFS</v>
          </cell>
          <cell r="C86">
            <v>1</v>
          </cell>
          <cell r="D86" t="str">
            <v/>
          </cell>
          <cell r="E86">
            <v>1</v>
          </cell>
          <cell r="F86">
            <v>1</v>
          </cell>
          <cell r="G86">
            <v>1</v>
          </cell>
          <cell r="H86">
            <v>1</v>
          </cell>
          <cell r="I86">
            <v>1</v>
          </cell>
          <cell r="J86">
            <v>1</v>
          </cell>
          <cell r="K86">
            <v>1</v>
          </cell>
          <cell r="L86">
            <v>1</v>
          </cell>
        </row>
        <row r="87">
          <cell r="A87" t="str">
            <v>Mitigated</v>
          </cell>
          <cell r="B87" t="str">
            <v>MAR</v>
          </cell>
          <cell r="C87">
            <v>1</v>
          </cell>
          <cell r="E87">
            <v>1</v>
          </cell>
          <cell r="F87">
            <v>1</v>
          </cell>
          <cell r="G87">
            <v>1</v>
          </cell>
          <cell r="H87">
            <v>1</v>
          </cell>
          <cell r="I87">
            <v>1</v>
          </cell>
          <cell r="J87">
            <v>1</v>
          </cell>
          <cell r="K87">
            <v>1</v>
          </cell>
          <cell r="L87">
            <v>1</v>
          </cell>
        </row>
        <row r="88">
          <cell r="A88" t="str">
            <v>Unmitigated</v>
          </cell>
          <cell r="B88" t="str">
            <v>MAR</v>
          </cell>
          <cell r="C88">
            <v>1</v>
          </cell>
          <cell r="E88">
            <v>1</v>
          </cell>
          <cell r="F88">
            <v>1</v>
          </cell>
          <cell r="G88">
            <v>1</v>
          </cell>
          <cell r="H88">
            <v>1</v>
          </cell>
          <cell r="I88">
            <v>1</v>
          </cell>
          <cell r="J88">
            <v>1</v>
          </cell>
          <cell r="K88">
            <v>1</v>
          </cell>
          <cell r="L88">
            <v>1</v>
          </cell>
        </row>
        <row r="90">
          <cell r="A90" t="str">
            <v>Flood</v>
          </cell>
          <cell r="B90" t="str">
            <v>FLD</v>
          </cell>
          <cell r="C90">
            <v>1</v>
          </cell>
          <cell r="D90">
            <v>0</v>
          </cell>
          <cell r="E90">
            <v>1</v>
          </cell>
          <cell r="F90">
            <v>1</v>
          </cell>
          <cell r="G90">
            <v>1</v>
          </cell>
          <cell r="H90">
            <v>1</v>
          </cell>
          <cell r="I90">
            <v>1</v>
          </cell>
          <cell r="J90" t="str">
            <v/>
          </cell>
          <cell r="K90">
            <v>1</v>
          </cell>
          <cell r="L90" t="str">
            <v/>
          </cell>
        </row>
        <row r="91">
          <cell r="A91" t="str">
            <v>Mitigated</v>
          </cell>
          <cell r="B91" t="str">
            <v>MAR</v>
          </cell>
          <cell r="C91">
            <v>2100</v>
          </cell>
          <cell r="D91">
            <v>0</v>
          </cell>
          <cell r="E91">
            <v>2100</v>
          </cell>
          <cell r="F91">
            <v>2300</v>
          </cell>
          <cell r="G91">
            <v>360</v>
          </cell>
          <cell r="H91">
            <v>2100</v>
          </cell>
          <cell r="I91">
            <v>1000</v>
          </cell>
          <cell r="K91">
            <v>1500</v>
          </cell>
        </row>
        <row r="92">
          <cell r="A92" t="str">
            <v>Unmitigated</v>
          </cell>
          <cell r="B92" t="str">
            <v>MAR</v>
          </cell>
          <cell r="C92">
            <v>2100</v>
          </cell>
          <cell r="D92">
            <v>83000</v>
          </cell>
          <cell r="E92">
            <v>2100</v>
          </cell>
          <cell r="F92">
            <v>2300</v>
          </cell>
          <cell r="G92">
            <v>360</v>
          </cell>
          <cell r="H92">
            <v>2100</v>
          </cell>
          <cell r="I92">
            <v>1000</v>
          </cell>
          <cell r="K92">
            <v>1500</v>
          </cell>
        </row>
        <row r="94">
          <cell r="A94" t="str">
            <v>HEPA filter failure</v>
          </cell>
          <cell r="B94" t="str">
            <v>HB</v>
          </cell>
          <cell r="C94" t="str">
            <v/>
          </cell>
          <cell r="D94" t="str">
            <v/>
          </cell>
          <cell r="E94">
            <v>1</v>
          </cell>
          <cell r="F94">
            <v>1</v>
          </cell>
          <cell r="G94">
            <v>1</v>
          </cell>
          <cell r="H94" t="str">
            <v/>
          </cell>
          <cell r="I94">
            <v>1</v>
          </cell>
          <cell r="J94" t="str">
            <v/>
          </cell>
          <cell r="K94">
            <v>1</v>
          </cell>
          <cell r="L94">
            <v>1</v>
          </cell>
        </row>
        <row r="95">
          <cell r="A95" t="str">
            <v>Mitigated</v>
          </cell>
          <cell r="B95" t="str">
            <v>MAR</v>
          </cell>
          <cell r="E95">
            <v>1</v>
          </cell>
          <cell r="F95">
            <v>10</v>
          </cell>
          <cell r="G95">
            <v>1</v>
          </cell>
          <cell r="I95">
            <v>1</v>
          </cell>
          <cell r="K95">
            <v>1</v>
          </cell>
          <cell r="L95">
            <v>1</v>
          </cell>
        </row>
        <row r="96">
          <cell r="A96" t="str">
            <v>Unmitigated</v>
          </cell>
          <cell r="B96" t="str">
            <v>MAR</v>
          </cell>
          <cell r="E96">
            <v>1</v>
          </cell>
          <cell r="F96">
            <v>10</v>
          </cell>
          <cell r="G96">
            <v>1</v>
          </cell>
          <cell r="I96">
            <v>1</v>
          </cell>
          <cell r="K96">
            <v>1</v>
          </cell>
          <cell r="L96">
            <v>1</v>
          </cell>
        </row>
        <row r="98">
          <cell r="A98" t="str">
            <v>HEPA filter fire</v>
          </cell>
          <cell r="B98" t="str">
            <v>HF</v>
          </cell>
          <cell r="C98" t="str">
            <v/>
          </cell>
          <cell r="D98" t="str">
            <v/>
          </cell>
          <cell r="E98">
            <v>1</v>
          </cell>
          <cell r="F98">
            <v>1</v>
          </cell>
          <cell r="G98">
            <v>1</v>
          </cell>
          <cell r="H98" t="str">
            <v/>
          </cell>
          <cell r="I98">
            <v>1</v>
          </cell>
          <cell r="J98" t="str">
            <v/>
          </cell>
          <cell r="K98">
            <v>1</v>
          </cell>
          <cell r="L98">
            <v>1</v>
          </cell>
        </row>
        <row r="99">
          <cell r="A99" t="str">
            <v>Mitigated</v>
          </cell>
          <cell r="B99" t="str">
            <v>MAR</v>
          </cell>
          <cell r="E99">
            <v>1</v>
          </cell>
          <cell r="F99">
            <v>10</v>
          </cell>
          <cell r="G99">
            <v>1</v>
          </cell>
          <cell r="I99">
            <v>1</v>
          </cell>
          <cell r="K99">
            <v>1</v>
          </cell>
          <cell r="L99">
            <v>1</v>
          </cell>
        </row>
        <row r="100">
          <cell r="A100" t="str">
            <v>Unmitigated</v>
          </cell>
          <cell r="B100" t="str">
            <v>MAR</v>
          </cell>
          <cell r="E100">
            <v>1</v>
          </cell>
          <cell r="F100">
            <v>10</v>
          </cell>
          <cell r="G100">
            <v>1</v>
          </cell>
          <cell r="I100">
            <v>1</v>
          </cell>
          <cell r="K100">
            <v>1</v>
          </cell>
          <cell r="L100">
            <v>1</v>
          </cell>
        </row>
        <row r="102">
          <cell r="A102" t="str">
            <v>Stack failure</v>
          </cell>
          <cell r="B102" t="str">
            <v>IS</v>
          </cell>
          <cell r="C102" t="str">
            <v/>
          </cell>
          <cell r="D102" t="str">
            <v/>
          </cell>
          <cell r="E102" t="str">
            <v/>
          </cell>
          <cell r="F102">
            <v>1</v>
          </cell>
          <cell r="G102" t="str">
            <v/>
          </cell>
          <cell r="H102" t="str">
            <v/>
          </cell>
          <cell r="I102" t="str">
            <v/>
          </cell>
          <cell r="J102" t="str">
            <v/>
          </cell>
          <cell r="K102" t="str">
            <v/>
          </cell>
          <cell r="L102" t="str">
            <v/>
          </cell>
        </row>
        <row r="103">
          <cell r="B103" t="str">
            <v>Mitigated MAR</v>
          </cell>
          <cell r="F103">
            <v>10</v>
          </cell>
        </row>
        <row r="104">
          <cell r="B104" t="str">
            <v>Unmitigated MAR</v>
          </cell>
          <cell r="F104">
            <v>10</v>
          </cell>
        </row>
        <row r="106">
          <cell r="A106" t="str">
            <v>Corrosion</v>
          </cell>
          <cell r="B106" t="str">
            <v>HLW</v>
          </cell>
          <cell r="C106" t="str">
            <v/>
          </cell>
          <cell r="D106">
            <v>0</v>
          </cell>
          <cell r="E106" t="str">
            <v/>
          </cell>
          <cell r="F106" t="str">
            <v/>
          </cell>
          <cell r="G106" t="str">
            <v/>
          </cell>
          <cell r="H106" t="str">
            <v/>
          </cell>
          <cell r="I106" t="str">
            <v/>
          </cell>
          <cell r="J106" t="str">
            <v/>
          </cell>
          <cell r="K106" t="str">
            <v/>
          </cell>
          <cell r="L106" t="str">
            <v/>
          </cell>
        </row>
        <row r="107">
          <cell r="A107" t="str">
            <v>Mitigated</v>
          </cell>
          <cell r="B107" t="str">
            <v>MAR</v>
          </cell>
          <cell r="D107">
            <v>0</v>
          </cell>
        </row>
        <row r="108">
          <cell r="A108" t="str">
            <v>Unmitigated</v>
          </cell>
          <cell r="B108" t="str">
            <v>MAR</v>
          </cell>
          <cell r="D108">
            <v>2500</v>
          </cell>
        </row>
        <row r="110">
          <cell r="A110" t="str">
            <v>Locomotive/ loaded rail car impacts storage casks</v>
          </cell>
          <cell r="B110" t="str">
            <v>HLW</v>
          </cell>
          <cell r="C110" t="str">
            <v/>
          </cell>
          <cell r="D110">
            <v>0</v>
          </cell>
          <cell r="E110" t="str">
            <v/>
          </cell>
          <cell r="F110" t="str">
            <v/>
          </cell>
          <cell r="G110" t="str">
            <v/>
          </cell>
          <cell r="H110" t="str">
            <v/>
          </cell>
          <cell r="I110" t="str">
            <v/>
          </cell>
          <cell r="J110" t="str">
            <v/>
          </cell>
          <cell r="K110" t="str">
            <v/>
          </cell>
          <cell r="L110" t="str">
            <v/>
          </cell>
        </row>
        <row r="111">
          <cell r="A111" t="str">
            <v>Mitigated</v>
          </cell>
          <cell r="B111" t="str">
            <v>MAR</v>
          </cell>
          <cell r="D111">
            <v>0</v>
          </cell>
        </row>
        <row r="112">
          <cell r="A112" t="str">
            <v>Unmitigated</v>
          </cell>
          <cell r="B112" t="str">
            <v>MAR</v>
          </cell>
          <cell r="D112">
            <v>83000</v>
          </cell>
        </row>
        <row r="114">
          <cell r="A114" t="str">
            <v>Seismic event (tip over)</v>
          </cell>
          <cell r="B114" t="str">
            <v>HLW</v>
          </cell>
          <cell r="C114" t="str">
            <v/>
          </cell>
          <cell r="D114">
            <v>0</v>
          </cell>
          <cell r="E114" t="str">
            <v/>
          </cell>
          <cell r="F114" t="str">
            <v/>
          </cell>
          <cell r="G114" t="str">
            <v/>
          </cell>
          <cell r="H114" t="str">
            <v/>
          </cell>
          <cell r="I114" t="str">
            <v/>
          </cell>
          <cell r="J114" t="str">
            <v/>
          </cell>
          <cell r="K114" t="str">
            <v/>
          </cell>
          <cell r="L114" t="str">
            <v/>
          </cell>
        </row>
        <row r="115">
          <cell r="A115" t="str">
            <v>Mitigated</v>
          </cell>
          <cell r="B115" t="str">
            <v>MAR</v>
          </cell>
          <cell r="D115">
            <v>0</v>
          </cell>
        </row>
        <row r="116">
          <cell r="A116" t="str">
            <v>Unmitigated</v>
          </cell>
          <cell r="B116" t="str">
            <v>MAR</v>
          </cell>
          <cell r="D116">
            <v>2500</v>
          </cell>
        </row>
        <row r="118">
          <cell r="A118" t="str">
            <v>Severe environmental conditions</v>
          </cell>
          <cell r="B118" t="str">
            <v>HLW</v>
          </cell>
          <cell r="C118" t="str">
            <v/>
          </cell>
          <cell r="D118">
            <v>0</v>
          </cell>
          <cell r="E118" t="str">
            <v/>
          </cell>
          <cell r="F118" t="str">
            <v/>
          </cell>
          <cell r="G118" t="str">
            <v/>
          </cell>
          <cell r="H118" t="str">
            <v/>
          </cell>
          <cell r="I118" t="str">
            <v/>
          </cell>
          <cell r="J118" t="str">
            <v/>
          </cell>
          <cell r="K118" t="str">
            <v/>
          </cell>
          <cell r="L118" t="str">
            <v/>
          </cell>
        </row>
        <row r="119">
          <cell r="A119" t="str">
            <v>Mitigated</v>
          </cell>
          <cell r="B119" t="str">
            <v>MAR</v>
          </cell>
          <cell r="D119">
            <v>0</v>
          </cell>
        </row>
        <row r="120">
          <cell r="A120" t="str">
            <v>Unmitigated</v>
          </cell>
          <cell r="B120" t="str">
            <v>MAR</v>
          </cell>
          <cell r="D120">
            <v>2500</v>
          </cell>
        </row>
        <row r="122">
          <cell r="A122" t="str">
            <v>Storage cask tip-over due to transportation event</v>
          </cell>
          <cell r="B122" t="str">
            <v>HLW</v>
          </cell>
          <cell r="C122" t="str">
            <v/>
          </cell>
          <cell r="D122">
            <v>0</v>
          </cell>
          <cell r="E122" t="str">
            <v/>
          </cell>
          <cell r="F122" t="str">
            <v/>
          </cell>
          <cell r="G122" t="str">
            <v/>
          </cell>
          <cell r="H122" t="str">
            <v/>
          </cell>
          <cell r="I122" t="str">
            <v/>
          </cell>
          <cell r="J122" t="str">
            <v/>
          </cell>
          <cell r="K122" t="str">
            <v/>
          </cell>
          <cell r="L122" t="str">
            <v/>
          </cell>
        </row>
        <row r="123">
          <cell r="A123" t="str">
            <v>Mitigated</v>
          </cell>
          <cell r="B123" t="str">
            <v>MAR</v>
          </cell>
          <cell r="D123">
            <v>0</v>
          </cell>
        </row>
        <row r="124">
          <cell r="A124" t="str">
            <v>Unmitigated</v>
          </cell>
          <cell r="B124" t="str">
            <v>MAR</v>
          </cell>
          <cell r="D124">
            <v>2500</v>
          </cell>
        </row>
      </sheetData>
      <sheetData sheetId="8">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row>
        <row r="4">
          <cell r="A4" t="str">
            <v>Small combustible material fire</v>
          </cell>
          <cell r="B4" t="str">
            <v>E02</v>
          </cell>
        </row>
        <row r="6">
          <cell r="A6" t="str">
            <v>Large fire</v>
          </cell>
          <cell r="B6" t="str">
            <v>E04</v>
          </cell>
        </row>
        <row r="8">
          <cell r="A8" t="str">
            <v>Localized explosion external to container</v>
          </cell>
          <cell r="B8" t="str">
            <v>E05</v>
          </cell>
        </row>
        <row r="9">
          <cell r="F9" t="str">
            <v>•  Flammable material storage lockers
•  Compressed gas storage racks</v>
          </cell>
        </row>
        <row r="10">
          <cell r="A10" t="str">
            <v>Waste container deflagration</v>
          </cell>
          <cell r="B10" t="str">
            <v>E06</v>
          </cell>
        </row>
        <row r="11">
          <cell r="C11" t="str">
            <v>•  HEPA filter vents on waste containers
•  Non-sparking tools for containers suspected of containing high concentrations of flammable gas</v>
          </cell>
          <cell r="D11" t="str">
            <v>•  HEPA filter vents on waste containers</v>
          </cell>
          <cell r="F11" t="str">
            <v>•  HEPA filter vents on waste containers
•  Non-sparking tools for containers suspected of containing high concentrations of flammable gas</v>
          </cell>
          <cell r="G11" t="str">
            <v>•  HEPA filter vents on waste containers
•  Non-sparking tools for containers suspected of containing high concentrations of flammable gas</v>
          </cell>
          <cell r="H11" t="str">
            <v>•  HEPA filter vents on waste containers
•  Non-sparking tools for containers suspected of containing high concentrations of flammable gas</v>
          </cell>
          <cell r="I11" t="str">
            <v>•  HEPA filter vents on waste containers</v>
          </cell>
          <cell r="J11" t="str">
            <v>•  HEPA filter vents on waste containers
•  Non-sparking tools for containers suspected of containing high concentrations of flammable gas</v>
          </cell>
          <cell r="L11" t="str">
            <v>•  HEPA filter vents on waste containers
•  Non-sparking tools for containers suspected of containing high concentrations of flammable gas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row>
        <row r="17">
          <cell r="C17" t="str">
            <v>•  Physical barriers such as Jersey barriers or facility structure that protects waste containers from vehicle impacts</v>
          </cell>
          <cell r="D17" t="str">
            <v>•  Physical barriers such as Jersey barriers or facility structure that protects waste containers from vehicle impacts</v>
          </cell>
          <cell r="E17" t="str">
            <v xml:space="preserve">•  Design of MPC-WVDP storage system capable of withstanding significant impact stresses </v>
          </cell>
          <cell r="F17" t="str">
            <v>•  Physical barriers such as Jersey barriers or facility structure that protects waste containers from vehicle impacts</v>
          </cell>
          <cell r="H17" t="str">
            <v>•  Physical barriers such as Jersey barriers or facility structure that protects waste containers from vehicle impacts</v>
          </cell>
          <cell r="I17" t="str">
            <v>•  Physical barriers such as Jersey barriers or facility structure that protects waste containers from vehicle impacts</v>
          </cell>
          <cell r="J17" t="str">
            <v>•  Physical barriers such as Jersey barriers or facility structure that protects waste containers from vehicle impacts</v>
          </cell>
          <cell r="K17" t="str">
            <v>•  Physical barriers such as Jersey barriers or facility structure that protects waste containers from vehicle impacts</v>
          </cell>
        </row>
        <row r="18">
          <cell r="A18" t="str">
            <v>Drop/impact/spill</v>
          </cell>
          <cell r="B18" t="str">
            <v>E10</v>
          </cell>
        </row>
        <row r="19">
          <cell r="E19" t="str">
            <v>•  Cask lifting lugs and transporter lifting components designed with conservative safety factors
•  Transporter design that limits cask ground clearance to ≤ 6”</v>
          </cell>
        </row>
        <row r="20">
          <cell r="A20" t="str">
            <v>Collapse of stacked containers</v>
          </cell>
          <cell r="B20" t="str">
            <v>E11</v>
          </cell>
        </row>
        <row r="22">
          <cell r="A22" t="str">
            <v>Waste container over-pressurization</v>
          </cell>
          <cell r="B22" t="str">
            <v>E12</v>
          </cell>
        </row>
        <row r="23">
          <cell r="C23" t="str">
            <v>•  HEPA filter vents on waste containers</v>
          </cell>
          <cell r="D23" t="str">
            <v>•  HEPA filter vents on waste containers</v>
          </cell>
          <cell r="F23" t="str">
            <v>•  HEPA filter vents on waste containers</v>
          </cell>
          <cell r="G23" t="str">
            <v>•  HEPA filter vents on waste containers</v>
          </cell>
          <cell r="H23" t="str">
            <v>•  HEPA filter vents on waste containers</v>
          </cell>
          <cell r="I23" t="str">
            <v>•  HEPA filter vents on waste containers</v>
          </cell>
          <cell r="J23" t="str">
            <v>•  HEPA filter vents on waste containers</v>
          </cell>
          <cell r="L23" t="str">
            <v>•  HEPA filter vents on waste containers</v>
          </cell>
        </row>
        <row r="24">
          <cell r="A24" t="str">
            <v>Direct exposure to radiation</v>
          </cell>
          <cell r="B24" t="str">
            <v>E13</v>
          </cell>
        </row>
        <row r="25">
          <cell r="C25" t="str">
            <v>•  Engineered radiation shielding on high dose rate waste containers</v>
          </cell>
          <cell r="D25" t="str">
            <v>•  Engineered radiation shielding on high dose rate waste containers</v>
          </cell>
          <cell r="E25" t="str">
            <v>•  Heavily reinforced 19.75" thick concrete VSC
•  4" thick steel VSC shielding
•  Weld-sealed 3/8" thick steel MPC</v>
          </cell>
          <cell r="F25" t="str">
            <v>•  Engineered radiation shielding on high dose rate waste containers</v>
          </cell>
          <cell r="G25" t="str">
            <v>•  Engineered radiation shielding on high dose rate waste containers</v>
          </cell>
          <cell r="H25" t="str">
            <v>•  Engineered radiation shielding on high dose rate waste containers</v>
          </cell>
          <cell r="I25" t="str">
            <v>•  Engineered radiation shielding on high dose rate waste containers</v>
          </cell>
          <cell r="J25" t="str">
            <v>•  Engineered radiation shielding on high dose rate waste containers</v>
          </cell>
          <cell r="K25" t="str">
            <v>•  Engineered radiation shielding on high dose rate waste containers</v>
          </cell>
          <cell r="L25" t="str">
            <v>•  Engineered radiation shielding on high dose rate waste containers</v>
          </cell>
          <cell r="M25" t="str">
            <v>•  Engineered radiation shielding on high dose rate waste containers</v>
          </cell>
        </row>
        <row r="26">
          <cell r="A26" t="str">
            <v>Criticality</v>
          </cell>
          <cell r="B26" t="str">
            <v>E14</v>
          </cell>
          <cell r="C26" t="str">
            <v>• PSRs for fissile material storage container specifications</v>
          </cell>
          <cell r="D26" t="str">
            <v>• PSRs for fissile material storage container specifications</v>
          </cell>
          <cell r="E26" t="str">
            <v>• PSRs for fissile material storage container specifications</v>
          </cell>
          <cell r="F26" t="str">
            <v>• PSRs for fissile material storage container specifications</v>
          </cell>
          <cell r="G26" t="str">
            <v>• PSRs for fissile material storage container specifications</v>
          </cell>
          <cell r="H26" t="str">
            <v>• PSRs for fissile material storage container specifications</v>
          </cell>
          <cell r="I26" t="str">
            <v>• PSRs for fissile material storage container specifications</v>
          </cell>
          <cell r="J26" t="str">
            <v>• PSRs for fissile material storage container specifications</v>
          </cell>
          <cell r="K26" t="str">
            <v>• PSRs for fissile material storage container specifications</v>
          </cell>
          <cell r="L26" t="str">
            <v>• PSRs for fissile material storage container specifications</v>
          </cell>
        </row>
        <row r="27">
          <cell r="E27" t="str">
            <v>•  Low concentration of fissile material in HLW
•  Very low effective enrichment of U-235 in waste uranium
•  Significant amount of neutron absorbers in waste</v>
          </cell>
        </row>
        <row r="28">
          <cell r="A28" t="str">
            <v>Aircraft impact with fire</v>
          </cell>
          <cell r="B28" t="str">
            <v>E15</v>
          </cell>
        </row>
        <row r="30">
          <cell r="A30" t="str">
            <v>External vehicle accident</v>
          </cell>
          <cell r="B30" t="str">
            <v>E16</v>
          </cell>
        </row>
        <row r="31">
          <cell r="C31" t="str">
            <v>•  Physical barriers such as Jersey barriers to protect from vehicle impacts</v>
          </cell>
          <cell r="E31" t="str">
            <v>•  Physical barriers such as Jersey barriers to protect from vehicle impacts</v>
          </cell>
          <cell r="I31" t="str">
            <v>•  Physical barriers such as Jersey barriers to protect from vehicle impacts</v>
          </cell>
        </row>
        <row r="32">
          <cell r="A32" t="str">
            <v>External vehicle accident with fire</v>
          </cell>
          <cell r="B32" t="str">
            <v>E17</v>
          </cell>
        </row>
        <row r="33">
          <cell r="C33" t="str">
            <v>•  Physical barriers such as Jersey barriers to protect from vehicle impacts</v>
          </cell>
          <cell r="E33" t="str">
            <v>•  Physical barriers such as Jersey barriers to protect from vehicle impacts</v>
          </cell>
          <cell r="I33" t="str">
            <v>•  Physical barriers such as Jersey barriers to protect from vehicle impacts</v>
          </cell>
        </row>
        <row r="34">
          <cell r="A34" t="str">
            <v>External explosion</v>
          </cell>
          <cell r="B34" t="str">
            <v>E18</v>
          </cell>
        </row>
        <row r="36">
          <cell r="A36" t="str">
            <v>External fire</v>
          </cell>
          <cell r="B36" t="str">
            <v>E19</v>
          </cell>
        </row>
        <row r="38">
          <cell r="A38" t="str">
            <v>Lightning</v>
          </cell>
          <cell r="B38" t="str">
            <v>E20</v>
          </cell>
        </row>
        <row r="39">
          <cell r="E39" t="str">
            <v>•  VSCs located on storage pad are within 500 feet of 197-ft tall meteorological tower
•  Lighting/camera poles at each corner of storage pad</v>
          </cell>
        </row>
        <row r="40">
          <cell r="A40" t="str">
            <v>High wind</v>
          </cell>
          <cell r="B40" t="str">
            <v>E21</v>
          </cell>
        </row>
        <row r="41">
          <cell r="E41" t="str">
            <v>•  Cask construction details (reinforced concrete with 4-inch thick interior steel radial shield)
•  MPC design (welded steel confinement)</v>
          </cell>
        </row>
        <row r="42">
          <cell r="A42" t="str">
            <v>Tornado</v>
          </cell>
          <cell r="B42" t="str">
            <v>E22</v>
          </cell>
        </row>
        <row r="43">
          <cell r="E43" t="str">
            <v>•  Cask construction details (sealed lid with no vent holes)
•  Cask construction details (reinforced concrete with thick interior steel shield)
•  MPC design (welded steel confinement)
•  HLW canister design (welded steel confinement)
•  Vitrified waste form (nondispersible, encapsulated waste)</v>
          </cell>
        </row>
        <row r="44">
          <cell r="A44" t="str">
            <v>Snow and/or ice buildup</v>
          </cell>
          <cell r="B44" t="str">
            <v>E23</v>
          </cell>
        </row>
        <row r="46">
          <cell r="A46" t="str">
            <v>Seismic event</v>
          </cell>
          <cell r="B46" t="str">
            <v>E24</v>
          </cell>
        </row>
        <row r="47">
          <cell r="E47" t="str">
            <v>•  Cask construction details (reinforced concrete with 4-inch thick interior steel radial shield)
•  MPC design (welded steel confinement)
•  Seismically qualified storage pad
•  Low VSC center of gravity</v>
          </cell>
        </row>
        <row r="48">
          <cell r="A48" t="str">
            <v>Loss of airborne contamination confinement</v>
          </cell>
          <cell r="B48" t="str">
            <v>AER</v>
          </cell>
        </row>
        <row r="49">
          <cell r="C49" t="str">
            <v>•  Facility ventilation exhaust stack which continues to provide nominal facility negative via chimney effect</v>
          </cell>
          <cell r="E49" t="str">
            <v>•  Welded seals on HLW canister and MPC
•  HEPA filter vents on waste drums
•  Gasketed seals on waste drums on VSC</v>
          </cell>
          <cell r="G49" t="str">
            <v>•  Facility ventilation exhaust stack which continues to provide nominal facility negative via chimney effect</v>
          </cell>
          <cell r="J49" t="str">
            <v>•  Facility ventilation exhaust stack which continues to provide nominal facility negative via chimney effect</v>
          </cell>
          <cell r="L49" t="str">
            <v>•  Facility ventilation exhaust stack which continues to provide nominal facility negative via chimney effect</v>
          </cell>
          <cell r="M49" t="str">
            <v>•  Facility ventilation exhaust stack which continues to provide nominal facility negative via chimney effect</v>
          </cell>
        </row>
        <row r="50">
          <cell r="A50" t="str">
            <v>Localized explosion within facility</v>
          </cell>
          <cell r="B50" t="str">
            <v>ES</v>
          </cell>
        </row>
        <row r="52">
          <cell r="A52" t="str">
            <v>Loss of liquid contamination confinement</v>
          </cell>
          <cell r="B52" t="str">
            <v>FFS</v>
          </cell>
        </row>
        <row r="53">
          <cell r="C53" t="str">
            <v>•  Cell liners/sumps and/or area berms</v>
          </cell>
          <cell r="D53" t="str">
            <v>•  Cell liners/sumps and/or area berms</v>
          </cell>
          <cell r="F53" t="str">
            <v>•  Cell liners/sumps and/or area berms</v>
          </cell>
          <cell r="G53" t="str">
            <v>•  Cell liners/sumps and/or area berms</v>
          </cell>
          <cell r="H53" t="str">
            <v>•  Cell liners/sumps and/or area berms</v>
          </cell>
          <cell r="I53" t="str">
            <v>•  Cell liners/sumps and/or area berms</v>
          </cell>
          <cell r="J53" t="str">
            <v>•  Cell liners/sumps and/or area berms</v>
          </cell>
          <cell r="K53" t="str">
            <v>•  Cell liners/sumps and/or area berms</v>
          </cell>
          <cell r="L53" t="str">
            <v>•  Cell liners/sumps and/or area berms</v>
          </cell>
          <cell r="M53" t="str">
            <v>•  Cell liners/sumps and/or area berms</v>
          </cell>
        </row>
        <row r="54">
          <cell r="A54" t="str">
            <v>Flood</v>
          </cell>
          <cell r="B54" t="str">
            <v>FLD</v>
          </cell>
        </row>
        <row r="55">
          <cell r="C55" t="str">
            <v>•  Siting of storage array in area away from areas of anticipated flooding</v>
          </cell>
          <cell r="D55" t="str">
            <v>•  Siting of storage array in area away from areas of anticipated flooding</v>
          </cell>
          <cell r="E55" t="str">
            <v>•  Siting of storage array in area away from areas of anticipated flooding</v>
          </cell>
          <cell r="F55" t="str">
            <v>•  Siting of storage array in area away from areas of anticipated flooding</v>
          </cell>
          <cell r="G55" t="str">
            <v>•  Siting of storage array in area away from areas of anticipated flooding</v>
          </cell>
          <cell r="H55" t="str">
            <v>•  Siting of storage array in area away from areas of anticipated flooding</v>
          </cell>
          <cell r="I55" t="str">
            <v>•  Siting of storage array in area away from areas of anticipated flooding</v>
          </cell>
          <cell r="J55" t="str">
            <v>•  Siting of storage array in area away from areas of anticipated flooding</v>
          </cell>
          <cell r="L55" t="str">
            <v>•  Siting of storage array in area away from areas of anticipated flooding</v>
          </cell>
        </row>
        <row r="56">
          <cell r="A56" t="str">
            <v>HEPA filter failure</v>
          </cell>
          <cell r="B56" t="str">
            <v>HB</v>
          </cell>
        </row>
        <row r="57">
          <cell r="C57" t="str">
            <v>•  Instrumentation and controls to switch trains on high differential pressure
•  Instrumentation and controls to provide backup ventilation blower capability</v>
          </cell>
          <cell r="G57" t="str">
            <v>•  Instrumentation and controls to switch trains on high differential pressure
•  Instrumentation and controls to provide backup ventilation blower capability</v>
          </cell>
          <cell r="J57" t="str">
            <v>•  Instrumentation and controls to switch trains on high differential pressure
•  Instrumentation and controls to provide backup ventilation blower capability</v>
          </cell>
          <cell r="L57" t="str">
            <v>•  Instrumentation and controls to switch trains on high differential pressure
•  Instrumentation and controls to provide backup ventilation blower capability</v>
          </cell>
          <cell r="M57" t="str">
            <v>•  Instrumentation and controls to switch trains on high differential pressure
•  Instrumentation and controls to provide backup ventilation blower capability</v>
          </cell>
        </row>
        <row r="58">
          <cell r="A58" t="str">
            <v>HEPA filter fire</v>
          </cell>
          <cell r="B58" t="str">
            <v>HF</v>
          </cell>
        </row>
        <row r="59">
          <cell r="F59" t="str">
            <v>•  CSPF fire suppression system</v>
          </cell>
          <cell r="L59" t="str">
            <v>•  Spark arrestors on in-cell filters</v>
          </cell>
        </row>
        <row r="60">
          <cell r="A60" t="str">
            <v>Stack failure</v>
          </cell>
          <cell r="B60" t="str">
            <v>IS</v>
          </cell>
        </row>
        <row r="61">
          <cell r="G61" t="str">
            <v>•  Stack design capable of maintaining structural integrity following design basis events</v>
          </cell>
        </row>
        <row r="62">
          <cell r="A62" t="str">
            <v>Corrosion</v>
          </cell>
          <cell r="B62" t="str">
            <v>HLW</v>
          </cell>
        </row>
        <row r="63">
          <cell r="E63" t="str">
            <v>•  MPC and canister basket assembly constructed of corrosion resistant material
•  Dual elastomer seals provided at the lid of the storage cask to prevent precipitation infiltration</v>
          </cell>
        </row>
        <row r="64">
          <cell r="A64" t="str">
            <v>Locomotive/ loaded rail car impacts storage casks</v>
          </cell>
          <cell r="B64" t="str">
            <v>HLW</v>
          </cell>
        </row>
        <row r="66">
          <cell r="A66" t="str">
            <v>Seismic event (tip over)</v>
          </cell>
          <cell r="B66" t="str">
            <v>HLW</v>
          </cell>
        </row>
        <row r="68">
          <cell r="A68" t="str">
            <v>Severe environmental conditions</v>
          </cell>
          <cell r="B68" t="str">
            <v>HLW</v>
          </cell>
        </row>
        <row r="69">
          <cell r="E69" t="str">
            <v>•  Storage system designed for a temperature range of -40 to 100 degrees Fahrenheit</v>
          </cell>
        </row>
        <row r="70">
          <cell r="A70" t="str">
            <v>Storage cask tip-over due to transportation event</v>
          </cell>
          <cell r="B70" t="str">
            <v>HLW</v>
          </cell>
        </row>
        <row r="71">
          <cell r="E71" t="str">
            <v>•  Engineering design of haul path capable of supporting multiple transports in excess of cask load</v>
          </cell>
        </row>
      </sheetData>
      <sheetData sheetId="9">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TRU waste drum fire protection
•  SAC for TRU waste container physical protection</v>
          </cell>
          <cell r="D2" t="str">
            <v>•  SAC for TRU waste drum fire protection
•  SAC for TRU waste container physical protection</v>
          </cell>
          <cell r="E2" t="str">
            <v>•  SAC for TRU waste drum fire protection
•  SAC for TRU waste container physical protection</v>
          </cell>
          <cell r="F2" t="str">
            <v>•  SAC for TRU waste drum fire protection
•  SAC for TRU waste container physical protection</v>
          </cell>
          <cell r="H2" t="str">
            <v>•  SAC for TRU waste drum fire protection
•  SAC for TRU waste container physical protection</v>
          </cell>
          <cell r="I2" t="str">
            <v>• SAC for TRU waste drum fire protection
• SAC for TRU waste container physical protection
• SAC for TRU WASTE AREAS</v>
          </cell>
          <cell r="J2" t="str">
            <v>•  SAC for TRU waste drum fire protection
•  SAC for TRU waste container physical protection</v>
          </cell>
          <cell r="K2" t="str">
            <v>• SAC for TRU waste transportation</v>
          </cell>
        </row>
        <row r="3">
          <cell r="C3" t="str">
            <v xml:space="preserve">•  Quality Assurance Program
•  Fire Protection Program
•  Performance Based Training Program
•  Maintenance Program
•  Conduct of Operations
•  Waste Management Program </v>
          </cell>
          <cell r="D3" t="str">
            <v xml:space="preserve">•  Quality Assurance Program
•  Fire Protection Program
•  Performance Based Training Program
•  Maintenance Program
•  Conduct of Operations
•  Waste Management Program </v>
          </cell>
          <cell r="E3" t="str">
            <v xml:space="preserve">•  Quality Assurance Program
•  Fire Protection Program
•  Performance Based Training Program
•  Maintenance Program
•  Conduct of Operations
•  Waste Management Program </v>
          </cell>
          <cell r="F3" t="str">
            <v xml:space="preserve">•  Quality Assurance Program
•  Fire Protection Program
•  Performance Based Training Program
•  Maintenance Program
•  Conduct of Operations
•  Waste Management Program </v>
          </cell>
          <cell r="H3" t="str">
            <v xml:space="preserve">•  Quality Assurance Program
•  Fire Protection Program
•  Performance Based Training Program
•  Maintenance Program
•  Conduct of Operations
•  Waste Management Program </v>
          </cell>
          <cell r="I3" t="str">
            <v xml:space="preserve">•  Quality Assurance Program
•  Fire Protection Program
•  Performance Based Training Program
•  Maintenance Program
•  Conduct of Operations
•  Waste Management Program </v>
          </cell>
          <cell r="J3" t="str">
            <v xml:space="preserve">•  Quality Assurance Program
•  Fire Protection Program
•  Performance Based Training Program
•  Maintenance Program
•  Conduct of Operations
•  Waste Management Program </v>
          </cell>
          <cell r="K3" t="str">
            <v xml:space="preserve">•  Quality Assurance Program
•  Fire Protection Program
•  Performance Based Training Program
•  Maintenance Program
•  Conduct of Operations
•  Waste Management Program </v>
          </cell>
        </row>
        <row r="4">
          <cell r="A4" t="str">
            <v>Small combustible material fire</v>
          </cell>
          <cell r="B4" t="str">
            <v>E02</v>
          </cell>
        </row>
        <row r="5">
          <cell r="C5" t="str">
            <v xml:space="preserve">•  Quality Assurance Program
•  Fire Protection Program
-   “Hot work” controls
-   Combustible material control program
•  Performance Based Training Program
•  Maintenance Program
•  Conduct of Operations
•  Waste Management Program </v>
          </cell>
          <cell r="D5" t="str">
            <v xml:space="preserve">•  Quality Assurance Program
•  Fire Protection Program
-   “Hot work” controls
-   Combustible material control program
•  Performance Based Training Program
•  Maintenance Program
•  Conduct of Operations
•  Waste Management Program </v>
          </cell>
          <cell r="F5" t="str">
            <v xml:space="preserve">•  Quality Assurance Program
•  Fire Protection Program
-   “Hot work” controls
-   Combustible material control program
•  Performance Based Training Program
•  Maintenance Program
•  Conduct of Operations
•  Waste Management Program </v>
          </cell>
          <cell r="G5" t="str">
            <v xml:space="preserve">•  Quality Assurance Program
•  Fire Protection Program
-   “Hot work” controls
-   Combustible material control program
•  Performance Based Training Program
•  Maintenance Program
•  Conduct of Operations
•  Waste Management Program </v>
          </cell>
          <cell r="H5" t="str">
            <v xml:space="preserve">•  Quality Assurance Program
•  Fire Protection Program
-   “Hot work” controls
-   Combustible material control program
•  Performance Based Training Program
•  Maintenance Program
•  Conduct of Operations
•  Waste Management Program </v>
          </cell>
          <cell r="I5" t="str">
            <v xml:space="preserve">•  Quality Assurance Program
•  Fire Protection Program
-   “Hot work” controls
-   Combustible material control program
•  Performance Based Training Program
•  Maintenance Program
•  Conduct of Operations
•  Waste Management Program </v>
          </cell>
          <cell r="J5" t="str">
            <v xml:space="preserve">•  Quality Assurance Program
•  Fire Protection Program
-   “Hot work” controls
-   Combustible material control program
•  Performance Based Training Program
•  Maintenance Program
•  Conduct of Operations
•  Waste Management Program </v>
          </cell>
          <cell r="K5" t="str">
            <v xml:space="preserve">•  Quality Assurance Program
•  Performance Based Training Program
•  Waste Management Program </v>
          </cell>
          <cell r="L5" t="str">
            <v xml:space="preserve">•  Quality Assurance Program
•  Fire Protection Program
-   “Hot work” controls
-   Combustible material control program
•  Performance Based Training Program
•  Maintenance Program
•  Conduct of Operations
•  Waste Management Program </v>
          </cell>
          <cell r="M5" t="str">
            <v xml:space="preserve">•  Quality Assurance Program
•  Fire Protection Program
-   “Hot work” controls
-   Combustible material control program
•  Performance Based Training Program
•  Maintenance Program
•  Conduct of Operations
•  Waste Management Program </v>
          </cell>
        </row>
        <row r="6">
          <cell r="A6" t="str">
            <v>Large fire</v>
          </cell>
          <cell r="B6" t="str">
            <v>E04</v>
          </cell>
        </row>
        <row r="7">
          <cell r="C7" t="str">
            <v xml:space="preserve">•  Quality Assurance Program
•  Fire Protection Program
-   “Hot work” controls
-   Combustible material control program
•  Performance Based Training Program
•  Maintenance Program
•  Waste Management Program </v>
          </cell>
          <cell r="F7" t="str">
            <v xml:space="preserve">•  Quality Assurance Program
•  Fire Protection Program
-   “Hot work” controls
-   Combustible material control program
•  Performance Based Training Program
•  Maintenance Program
•  Waste Management Program </v>
          </cell>
          <cell r="G7" t="str">
            <v xml:space="preserve">•  Quality Assurance Program
•  Fire Protection Program
-   “Hot work” controls
-   Combustible material control program
•  Performance Based Training Program
•  Maintenance Program
•  Waste Management Program </v>
          </cell>
          <cell r="J7" t="str">
            <v xml:space="preserve">•  Quality Assurance Program
•  Fire Protection Program
-   “Hot work” controls
-   Combustible material control program
•  Performance Based Training Program
•  Maintenance Program
•  Waste Management Program </v>
          </cell>
          <cell r="L7" t="str">
            <v xml:space="preserve">•  Quality Assurance Program
•  Fire Protection Program
-   “Hot work” controls
-   Combustible material control program
•  Performance Based Training Program
•  Maintenance Program
•  Waste Management Program </v>
          </cell>
        </row>
        <row r="8">
          <cell r="A8" t="str">
            <v>Localized explosion external to container</v>
          </cell>
          <cell r="B8" t="str">
            <v>E05</v>
          </cell>
        </row>
        <row r="9">
          <cell r="C9" t="str">
            <v xml:space="preserve">•  Quality Assurance Program
•  Fire Protection Program
•  Performance Based Training Program
•  Maintenance Program
•  Waste Management Program </v>
          </cell>
          <cell r="D9" t="str">
            <v xml:space="preserve">•  Quality Assurance Program
•  Fire Protection Program
•  Performance Based Training Program
•  Maintenance Program
•  Waste Management Program </v>
          </cell>
          <cell r="E9" t="str">
            <v xml:space="preserve">•  Quality Assurance Program
•  Fire Protection Program
•  Performance Based Training Program
•  Maintenance Program
•  Waste Management Program </v>
          </cell>
          <cell r="F9" t="str">
            <v xml:space="preserve">•  Quality Assurance Program
•  Fire Protection Program
•  Performance Based Training Program
•  Maintenance Program
•  Waste Management Program </v>
          </cell>
          <cell r="H9" t="str">
            <v xml:space="preserve">•  Quality Assurance Program
•  Fire Protection Program
•  Performance Based Training Program
•  Maintenance Program
•  Waste Management Program </v>
          </cell>
          <cell r="I9" t="str">
            <v xml:space="preserve">•  Quality Assurance Program
•  Fire Protection Program
•  Performance Based Training Program
•  Maintenance Program
•  Waste Management Program </v>
          </cell>
          <cell r="J9" t="str">
            <v xml:space="preserve">•  Quality Assurance Program
•  Fire Protection Program
•  Performance Based Training Program
•  Maintenance Program
•  Waste Management Program </v>
          </cell>
          <cell r="K9" t="str">
            <v xml:space="preserve">•  Quality Assurance Program
•  Fire Protection Program
•  Performance Based Training Program
•  Maintenance Program
•  Waste Management Program </v>
          </cell>
        </row>
        <row r="10">
          <cell r="A10" t="str">
            <v>Waste container deflagration</v>
          </cell>
          <cell r="B10" t="str">
            <v>E06</v>
          </cell>
        </row>
        <row r="11">
          <cell r="C11" t="str">
            <v xml:space="preserve">•  Quality Assurance Program
•  Fire Protection Program
•  Performance Based Training Program
•  Maintenance Program
•  Waste Management Program </v>
          </cell>
          <cell r="D11" t="str">
            <v xml:space="preserve">•  Quality Assurance Program
•  Fire Protection Program
•  Performance Based Training Program
•  Maintenance Program
•  Waste Management Program </v>
          </cell>
          <cell r="F11" t="str">
            <v xml:space="preserve">•  Quality Assurance Program
•  Fire Protection Program
•  Performance Based Training Program
•  Maintenance Program
•  Waste Management Program </v>
          </cell>
          <cell r="G11" t="str">
            <v xml:space="preserve">•  Quality Assurance Program
•  Fire Protection Program
•  Performance Based Training Program
•  Maintenance Program
•  Waste Management Program </v>
          </cell>
          <cell r="H11" t="str">
            <v xml:space="preserve">•  Quality Assurance Program
•  Fire Protection Program
•  Performance Based Training Program
•  Maintenance Program
•  Waste Management Program </v>
          </cell>
          <cell r="I11" t="str">
            <v xml:space="preserve">•  Quality Assurance Program
•  Fire Protection Program
•  Performance Based Training Program
•  Maintenance Program
•  Waste Management Program </v>
          </cell>
          <cell r="J11" t="str">
            <v xml:space="preserve">•  Quality Assurance Program
•  Fire Protection Program
•  Performance Based Training Program
•  Maintenance Program
•  Waste Management Program </v>
          </cell>
          <cell r="L11" t="str">
            <v xml:space="preserve">•  Quality Assurance Program
•  Fire Protection Program
•  Performance Based Training Program
•  Maintenance Program
•  Waste Management Program </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SAC for TRU waste container physical protection
• SAC for TRU waste transportation</v>
          </cell>
          <cell r="D16" t="str">
            <v>• SAC for TRU waste container physical protection
• SAC for TRU waste transportation</v>
          </cell>
          <cell r="E16" t="str">
            <v>• SAC for TRU waste container physical protection
• SAC for TRU waste transportation</v>
          </cell>
          <cell r="F16" t="str">
            <v>• SAC for TRU waste container physical protection
• SAC for TRU waste transportation</v>
          </cell>
          <cell r="I16" t="str">
            <v>• SAC for TRU waste container physical protection
• SAC for TRU WASTE AREAS</v>
          </cell>
          <cell r="K16" t="str">
            <v>• SAC for TRU waste transportation</v>
          </cell>
        </row>
        <row r="17">
          <cell r="C17" t="str">
            <v xml:space="preserve">•  Quality Assurance Program
•  Performance Based Training Program
•  Maintenance Program
•  Conduct of Operations
•  Waste Management Program </v>
          </cell>
          <cell r="D17" t="str">
            <v xml:space="preserve">•  Quality Assurance Program
•  Performance Based Training Program
•  Maintenance Program
•  Conduct of Operations
•  Waste Management Program </v>
          </cell>
          <cell r="E17" t="str">
            <v xml:space="preserve">•  Quality Assurance Program
•  Performance Based Training Program
•  Maintenance Program
•  Conduct of Operations
•  Waste Management Program </v>
          </cell>
          <cell r="F17" t="str">
            <v xml:space="preserve">•  Quality Assurance Program
•  Performance Based Training Program
•  Maintenance Program
•  Conduct of Operations
•  Waste Management Program </v>
          </cell>
          <cell r="H17" t="str">
            <v xml:space="preserve">•  Quality Assurance Program
•  Performance Based Training Program
•  Maintenance Program
•  Conduct of Operations
•  Waste Management Program </v>
          </cell>
          <cell r="I17" t="str">
            <v xml:space="preserve">•  Quality Assurance Program
•  Performance Based Training Program
•  Maintenance Program
•  Conduct of Operations
•  Waste Management Program </v>
          </cell>
          <cell r="J17" t="str">
            <v xml:space="preserve">•  Quality Assurance Program
•  Performance Based Training Program
•  Maintenance Program
•  Conduct of Operations
•  Waste Management Program </v>
          </cell>
          <cell r="K17" t="str">
            <v xml:space="preserve">•  Quality Assurance Program
•  Performance Based Training Program
•  Maintenance Program
•  Conduct of Operations
•  Waste Management Program </v>
          </cell>
        </row>
        <row r="18">
          <cell r="A18" t="str">
            <v>Drop/impact/spill</v>
          </cell>
          <cell r="B18" t="str">
            <v>E10</v>
          </cell>
        </row>
        <row r="19">
          <cell r="C19" t="str">
            <v xml:space="preserve">•  Quality Assurance Program
•  Performance Based Training Program
•  Maintenance Program
•  Conduct of Operations
•  Waste Management Program </v>
          </cell>
          <cell r="D19" t="str">
            <v xml:space="preserve">•  Quality Assurance Program
•  Performance Based Training Program
•  Maintenance Program
•  Conduct of Operations
•  Waste Management Program </v>
          </cell>
          <cell r="E19" t="str">
            <v xml:space="preserve">•  Quality Assurance Program
•  Performance Based Training Program
•  Maintenance Program
•  Conduct of Operations
•  Waste Management Program </v>
          </cell>
          <cell r="F19" t="str">
            <v xml:space="preserve">•  Quality Assurance Program
•  Performance Based Training Program
•  Maintenance Program
•  Conduct of Operations
•  Waste Management Program </v>
          </cell>
          <cell r="G19" t="str">
            <v xml:space="preserve">•  Quality Assurance Program
•  Performance Based Training Program
•  Maintenance Program
•  Conduct of Operations
•  Waste Management Program </v>
          </cell>
          <cell r="H19" t="str">
            <v xml:space="preserve">•  Quality Assurance Program
•  Performance Based Training Program
•  Maintenance Program
•  Conduct of Operations
•  Waste Management Program </v>
          </cell>
          <cell r="I19" t="str">
            <v xml:space="preserve">•  Quality Assurance Program
•  Performance Based Training Program
•  Maintenance Program
•  Conduct of Operations
•  Waste Management Program </v>
          </cell>
          <cell r="J19" t="str">
            <v xml:space="preserve">•  Quality Assurance Program
•  Performance Based Training Program
•  Maintenance Program
•  Conduct of Operations
•  Waste Management Program </v>
          </cell>
          <cell r="K19" t="str">
            <v xml:space="preserve">•  Quality Assurance Program
•  Performance Based Training Program
•  Maintenance Program
•  Conduct of Operations
•  Waste Management Program </v>
          </cell>
          <cell r="L19" t="str">
            <v xml:space="preserve">•  Quality Assurance Program
•  Performance Based Training Program
•  Maintenance Program
•  Conduct of Operations
•  Waste Management Program </v>
          </cell>
          <cell r="M19" t="str">
            <v xml:space="preserve">•  Quality Assurance Program
•  Performance Based Training Program
•  Maintenance Program
•  Conduct of Operations
•  Waste Management Program </v>
          </cell>
        </row>
        <row r="20">
          <cell r="A20" t="str">
            <v>Collapse of stacked containers</v>
          </cell>
          <cell r="B20" t="str">
            <v>E11</v>
          </cell>
        </row>
        <row r="21">
          <cell r="C21" t="str">
            <v xml:space="preserve">•  Quality Assurance Program
•  Performance Based Training Program
•  Maintenance Program
•  Waste Management Program </v>
          </cell>
          <cell r="D21" t="str">
            <v xml:space="preserve">•  Quality Assurance Program
•  Performance Based Training Program
•  Maintenance Program
•  Waste Management Program </v>
          </cell>
          <cell r="F21" t="str">
            <v xml:space="preserve">•  Quality Assurance Program
•  Performance Based Training Program
•  Maintenance Program
•  Waste Management Program </v>
          </cell>
          <cell r="I21" t="str">
            <v xml:space="preserve">•  Quality Assurance Program
•  Performance Based Training Program
•  Maintenance Program
•  Waste Management Program </v>
          </cell>
        </row>
        <row r="22">
          <cell r="A22" t="str">
            <v>Waste container over-pressurization</v>
          </cell>
          <cell r="B22" t="str">
            <v>E12</v>
          </cell>
        </row>
        <row r="23">
          <cell r="C23" t="str">
            <v xml:space="preserve">•  Quality Assurance Program
•  Performance Based Training Program
•  Waste Management Program </v>
          </cell>
          <cell r="D23" t="str">
            <v xml:space="preserve">•  Quality Assurance Program
•  Performance Based Training Program
•  Waste Management Program </v>
          </cell>
          <cell r="F23" t="str">
            <v xml:space="preserve">•  Quality Assurance Program
•  Performance Based Training Program
•  Waste Management Program </v>
          </cell>
          <cell r="G23" t="str">
            <v xml:space="preserve">•  Quality Assurance Program
•  Performance Based Training Program
•  Waste Management Program </v>
          </cell>
          <cell r="H23" t="str">
            <v xml:space="preserve">•  Quality Assurance Program
•  Performance Based Training Program
•  Waste Management Program </v>
          </cell>
          <cell r="I23" t="str">
            <v xml:space="preserve">•  Quality Assurance Program
•  Performance Based Training Program
•  Waste Management Program </v>
          </cell>
          <cell r="J23" t="str">
            <v xml:space="preserve">•  Quality Assurance Program
•  Performance Based Training Program
•  Waste Management Program </v>
          </cell>
          <cell r="L23" t="str">
            <v xml:space="preserve">•  Quality Assurance Program
•  Performance Based Training Program
•  Waste Management Program </v>
          </cell>
        </row>
        <row r="24">
          <cell r="A24" t="str">
            <v>Direct exposure to radiation</v>
          </cell>
          <cell r="B24" t="str">
            <v>E13</v>
          </cell>
        </row>
        <row r="25">
          <cell r="C25" t="str">
            <v xml:space="preserve">•  Radiological Protection Program
•  Quality Assurance Program
•  Performance Based Training Program
•  Conduct of Operations
•  Waste Management Program </v>
          </cell>
          <cell r="D25" t="str">
            <v xml:space="preserve">•  Radiological Protection Program
•  Quality Assurance Program
•  Performance Based Training Program
•  Conduct of Operations
•  Waste Management Program </v>
          </cell>
          <cell r="E25" t="str">
            <v xml:space="preserve">•  Radiological Protection Program
•  Quality Assurance Program
•  Performance Based Training Program
•  Conduct of Operations
•  Waste Management Program </v>
          </cell>
          <cell r="F25" t="str">
            <v xml:space="preserve">•  Radiological Protection Program
•  Quality Assurance Program
•  Performance Based Training Program
•  Conduct of Operations
•  Waste Management Program </v>
          </cell>
          <cell r="G25" t="str">
            <v xml:space="preserve">•  Radiological Protection Program
•  Quality Assurance Program
•  Performance Based Training Program
•  Conduct of Operations
•  Waste Management Program </v>
          </cell>
          <cell r="H25" t="str">
            <v xml:space="preserve">•  Radiological Protection Program
•  Quality Assurance Program
•  Performance Based Training Program
•  Conduct of Operations
•  Waste Management Program </v>
          </cell>
          <cell r="I25" t="str">
            <v xml:space="preserve">•  Radiological Protection Program
•  Quality Assurance Program
•  Performance Based Training Program
•  Conduct of Operations
•  Waste Management Program </v>
          </cell>
          <cell r="J25" t="str">
            <v xml:space="preserve">•  Radiological Protection Program
•  Quality Assurance Program
•  Performance Based Training Program
•  Conduct of Operations
•  Waste Management Program </v>
          </cell>
          <cell r="K25" t="str">
            <v xml:space="preserve">•  Radiological Protection Program
•  Quality Assurance Program
•  Performance Based Training Program
•  Conduct of Operations
•  Waste Management Program </v>
          </cell>
          <cell r="L25" t="str">
            <v xml:space="preserve">•  Radiological Protection Program
•  Quality Assurance Program
•  Performance Based Training Program
•  Conduct of Operations
•  Waste Management Program </v>
          </cell>
          <cell r="M25" t="str">
            <v xml:space="preserve">•  Radiological Protection Program
•  Quality Assurance Program
•  Performance Based Training Program
•  Conduct of Operations
•  Waste Management Program </v>
          </cell>
        </row>
        <row r="26">
          <cell r="A26" t="str">
            <v>Criticality</v>
          </cell>
          <cell r="B26" t="str">
            <v>E14</v>
          </cell>
          <cell r="C26" t="str">
            <v>• PSR limits on container fissile mass
• PSR for fissile material storage containers</v>
          </cell>
          <cell r="D26" t="str">
            <v>• PSR limits on container fissile mass
• PSR for fissile material storage containers</v>
          </cell>
          <cell r="E26" t="str">
            <v>• PSR limits on container fissile mass
• PSR for fissile material storage containers</v>
          </cell>
          <cell r="F26" t="str">
            <v>• PSR limits on container fissile mass
• PSR for fissile material storage containers</v>
          </cell>
          <cell r="G26" t="str">
            <v>• PSR limits on container fissile mass
• PSR for fissile material storage containers</v>
          </cell>
          <cell r="H26" t="str">
            <v>• PSR limits on container fissile mass
• PSR for fissile material storage containers</v>
          </cell>
          <cell r="I26" t="str">
            <v>• PSR limits on container fissile mass
• PSR for fissile material storage containers</v>
          </cell>
          <cell r="J26" t="str">
            <v>• PSR limits on container fissile mass
• PSR for fissile material storage containers</v>
          </cell>
          <cell r="K26" t="str">
            <v>• PSR limits on container fissile mass
• PSR for fissile material storage containers</v>
          </cell>
          <cell r="L26" t="str">
            <v>• PSR limits on container fissile mass
• PSR for fissile material storage containers</v>
          </cell>
          <cell r="M26" t="str">
            <v>• PSR limits on container fissile mass
• PSR for fissile material storage containers</v>
          </cell>
        </row>
        <row r="27">
          <cell r="C27" t="str">
            <v xml:space="preserve">•  Radiological Protection Program
•  Nuclear Criticality Safety Program
•  Quality Assurance Program
•  Performance Based Training Program
•  Conduct of Operations
•  Waste Management Program </v>
          </cell>
          <cell r="D27" t="str">
            <v xml:space="preserve">•  Radiological Protection Program
•  Nuclear Criticality Safety Program
•  Quality Assurance Program
•  Performance Based Training Program
•  Conduct of Operations
•  Waste Management Program </v>
          </cell>
          <cell r="E27" t="str">
            <v xml:space="preserve">•  Radiological Protection Program
•  Nuclear Criticality Safety Program
•  Quality Assurance Program
•  Performance Based Training Program
•  Conduct of Operations
•  Waste Management Program </v>
          </cell>
          <cell r="F27" t="str">
            <v xml:space="preserve">•  Radiological Protection Program
•  Nuclear Criticality Safety Program
•  Quality Assurance Program
•  Performance Based Training Program
•  Conduct of Operations
•  Waste Management Program </v>
          </cell>
          <cell r="G27" t="str">
            <v xml:space="preserve">•  Radiological Protection Program
•  Nuclear Criticality Safety Program
•  Quality Assurance Program
•  Performance Based Training Program
•  Conduct of Operations
•  Waste Management Program </v>
          </cell>
          <cell r="H27" t="str">
            <v xml:space="preserve">•  Radiological Protection Program
•  Nuclear Criticality Safety Program
•  Quality Assurance Program
•  Performance Based Training Program
•  Conduct of Operations
•  Waste Management Program </v>
          </cell>
          <cell r="I27" t="str">
            <v xml:space="preserve">•  Radiological Protection Program
•  Nuclear Criticality Safety Program
•  Quality Assurance Program
•  Performance Based Training Program
•  Conduct of Operations
•  Waste Management Program </v>
          </cell>
          <cell r="J27" t="str">
            <v xml:space="preserve">•  Radiological Protection Program
•  Nuclear Criticality Safety Program
•  Quality Assurance Program
•  Performance Based Training Program
•  Conduct of Operations
•  Waste Management Program </v>
          </cell>
          <cell r="K27" t="str">
            <v xml:space="preserve">•  Radiological Protection Program
•  Nuclear Criticality Safety Program
•  Quality Assurance Program
•  Performance Based Training Program
•  Conduct of Operations
•  Waste Management Program </v>
          </cell>
          <cell r="L27" t="str">
            <v xml:space="preserve">•  Radiological Protection Program
•  Nuclear Criticality Safety Program
•  Quality Assurance Program
•  Performance Based Training Program
•  Conduct of Operations
•  Waste Management Program </v>
          </cell>
          <cell r="M27" t="str">
            <v xml:space="preserve">•  Radiological Protection Program
•  Nuclear Criticality Safety Program
•  Quality Assurance Program
•  Performance Based Training Program
•  Conduct of Operations
•  Waste Management Program </v>
          </cell>
        </row>
        <row r="28">
          <cell r="A28" t="str">
            <v>Aircraft impact with fire</v>
          </cell>
          <cell r="B28" t="str">
            <v>E15</v>
          </cell>
        </row>
        <row r="30">
          <cell r="A30" t="str">
            <v>External vehicle accident</v>
          </cell>
          <cell r="B30" t="str">
            <v>E16</v>
          </cell>
          <cell r="C30" t="str">
            <v>• SAC for TRU waste drum fire protection
• SAC for TRU waste container physical protection</v>
          </cell>
          <cell r="E30" t="str">
            <v>• SAC for TRU waste drum fire protection
• SAC for TRU waste container physical protection</v>
          </cell>
          <cell r="I30" t="str">
            <v>• SAC for TRU waste drum fire protection
• SAC for TRU waste container physical protection</v>
          </cell>
        </row>
        <row r="31">
          <cell r="C31" t="str">
            <v xml:space="preserve">•  Quality Assurance Program
•  Performance Based Training Program
•  Waste Management Program </v>
          </cell>
          <cell r="E31" t="str">
            <v xml:space="preserve">•  Quality Assurance Program
•  Performance Based Training Program
•  Waste Management Program </v>
          </cell>
          <cell r="I31" t="str">
            <v xml:space="preserve">•  Quality Assurance Program
•  Performance Based Training Program
•  Waste Management Program </v>
          </cell>
        </row>
        <row r="32">
          <cell r="A32" t="str">
            <v>External vehicle accident with fire</v>
          </cell>
          <cell r="B32" t="str">
            <v>E17</v>
          </cell>
          <cell r="C32" t="str">
            <v>• SAC for TRU waste drum fire protection
• SAC for TRU waste container physical protection</v>
          </cell>
          <cell r="E32" t="str">
            <v>• SAC for TRU waste drum fire protection
• SAC for TRU waste container physical protection</v>
          </cell>
          <cell r="I32" t="str">
            <v>• SAC for TRU waste drum fire protection
• SAC for TRU waste container physical protection</v>
          </cell>
        </row>
        <row r="33">
          <cell r="C33" t="str">
            <v xml:space="preserve">•  Quality Assurance Program
•  Performance Based Training Program
•  Waste Management Program </v>
          </cell>
          <cell r="E33" t="str">
            <v xml:space="preserve">•  Quality Assurance Program
•  Performance Based Training Program
•  Waste Management Program </v>
          </cell>
          <cell r="I33" t="str">
            <v xml:space="preserve">•  Quality Assurance Program
•  Performance Based Training Program
•  Waste Management Program </v>
          </cell>
        </row>
        <row r="34">
          <cell r="A34" t="str">
            <v>External explosion</v>
          </cell>
          <cell r="B34" t="str">
            <v>E18</v>
          </cell>
          <cell r="C34" t="str">
            <v>• SAC for TRU waste container physical protection</v>
          </cell>
          <cell r="E34" t="str">
            <v>• SAC for TRU waste container physical protection</v>
          </cell>
          <cell r="F34" t="str">
            <v>• SAC for TRU waste container physical protection</v>
          </cell>
          <cell r="I34" t="str">
            <v>• SAC for TRU waste container physical protection</v>
          </cell>
          <cell r="J34" t="str">
            <v>• SAC for TRU waste container physical protection</v>
          </cell>
        </row>
        <row r="35">
          <cell r="C35" t="str">
            <v>•  Quality Assurance Program
•  Performance Based Training Program
•  Maintenance Program</v>
          </cell>
          <cell r="E35" t="str">
            <v>•  Quality Assurance Program
•  Performance Based Training Program
•  Maintenance Program</v>
          </cell>
          <cell r="F35" t="str">
            <v>•  Quality Assurance Program
•  Performance Based Training Program
•  Maintenance Program</v>
          </cell>
          <cell r="G35" t="str">
            <v>•  Quality Assurance Program
•  Performance Based Training Program
•  Maintenance Program</v>
          </cell>
          <cell r="I35" t="str">
            <v>•  Quality Assurance Program
•  Performance Based Training Program
•  Maintenance Program</v>
          </cell>
          <cell r="J35" t="str">
            <v>•  Quality Assurance Program
•  Performance Based Training Program
•  Maintenance Program</v>
          </cell>
        </row>
        <row r="36">
          <cell r="A36" t="str">
            <v>External fire</v>
          </cell>
          <cell r="B36" t="str">
            <v>E19</v>
          </cell>
          <cell r="C36" t="str">
            <v>• SAC for TRU waste container physical protection</v>
          </cell>
          <cell r="D36" t="str">
            <v>• SAC for TRU waste container physical protection</v>
          </cell>
          <cell r="E36" t="str">
            <v>• SAC for TRU waste container physical protection</v>
          </cell>
          <cell r="F36" t="str">
            <v>• SAC for TRU waste container physical protection</v>
          </cell>
          <cell r="I36" t="str">
            <v>• SAC for TRU waste container physical protection</v>
          </cell>
          <cell r="J36" t="str">
            <v>• SAC for TRU waste container physical protection</v>
          </cell>
        </row>
        <row r="37">
          <cell r="C37" t="str">
            <v>•  Fire Protection Program
•  Maintenance Program</v>
          </cell>
          <cell r="D37" t="str">
            <v>•  Fire Protection Program
•  Maintenance Program</v>
          </cell>
          <cell r="E37" t="str">
            <v>•  Fire Protection Program
•  Maintenance Program</v>
          </cell>
          <cell r="F37" t="str">
            <v>•  Fire Protection Program
•  Maintenance Program</v>
          </cell>
          <cell r="I37" t="str">
            <v>•  Fire Protection Program
•  Maintenance Program</v>
          </cell>
          <cell r="J37" t="str">
            <v>•  Fire Protection Program
•  Maintenance Program</v>
          </cell>
        </row>
        <row r="38">
          <cell r="A38" t="str">
            <v>Lightning</v>
          </cell>
          <cell r="B38" t="str">
            <v>E20</v>
          </cell>
        </row>
        <row r="39">
          <cell r="C39" t="str">
            <v xml:space="preserve">•  Quality Assurance Program
•  Waste Management Program </v>
          </cell>
          <cell r="E39" t="str">
            <v xml:space="preserve">•  Quality Assurance Program
•  Waste Management Program </v>
          </cell>
          <cell r="I39" t="str">
            <v xml:space="preserve">•  Quality Assurance Program
•  Waste Management Program </v>
          </cell>
        </row>
        <row r="40">
          <cell r="A40" t="str">
            <v>High wind</v>
          </cell>
          <cell r="B40" t="str">
            <v>E21</v>
          </cell>
        </row>
        <row r="41">
          <cell r="C41" t="str">
            <v xml:space="preserve">•  Quality Assurance Program
•  Performance Based Training Program
•  Waste Management Program </v>
          </cell>
          <cell r="E41" t="str">
            <v xml:space="preserve">•  Quality Assurance Program
•  Performance Based Training Program
•  Waste Management Program </v>
          </cell>
          <cell r="I41" t="str">
            <v xml:space="preserve">•  Quality Assurance Program
•  Performance Based Training Program
•  Waste Management Program </v>
          </cell>
        </row>
        <row r="42">
          <cell r="A42" t="str">
            <v>Tornado</v>
          </cell>
          <cell r="B42" t="str">
            <v>E22</v>
          </cell>
        </row>
        <row r="43">
          <cell r="M43">
            <v>0</v>
          </cell>
        </row>
        <row r="44">
          <cell r="A44" t="str">
            <v>Snow and/or ice buildup</v>
          </cell>
          <cell r="B44" t="str">
            <v>E23</v>
          </cell>
        </row>
        <row r="45">
          <cell r="C45" t="str">
            <v xml:space="preserve">•  Quality Assurance Program
•  Performance Based Training Program
•  Waste Management Program </v>
          </cell>
          <cell r="I45" t="str">
            <v xml:space="preserve">•  Quality Assurance Program
•  Performance Based Training Program
•  Waste Management Program </v>
          </cell>
        </row>
        <row r="46">
          <cell r="A46" t="str">
            <v>Seismic event</v>
          </cell>
          <cell r="B46" t="str">
            <v>E24</v>
          </cell>
        </row>
        <row r="47">
          <cell r="M47">
            <v>0</v>
          </cell>
        </row>
        <row r="48">
          <cell r="A48" t="str">
            <v>Loss of airborne contamination confinement</v>
          </cell>
          <cell r="B48" t="str">
            <v>AER</v>
          </cell>
        </row>
        <row r="49">
          <cell r="C49" t="str">
            <v>•  Quality Assurance Program
•  Fire Protection Program
•  Performance Based Training Program
•  Maintenance Program
•  Conduct of Operations</v>
          </cell>
          <cell r="E49" t="str">
            <v>•  Quality Assurance Program
•  Fire Protection Program
•  Performance Based Training Program
•  Maintenance Program
•  Conduct of Operations</v>
          </cell>
          <cell r="F49" t="str">
            <v>•  Quality Assurance Program
•  Fire Protection Program
•  Performance Based Training Program
•  Maintenance Program
•  Conduct of Operations</v>
          </cell>
          <cell r="G49" t="str">
            <v>•  Quality Assurance Program
•  Fire Protection Program
•  Performance Based Training Program
•  Maintenance Program
•  Conduct of Operations</v>
          </cell>
          <cell r="H49" t="str">
            <v>•  Quality Assurance Program
•  Fire Protection Program
•  Performance Based Training Program
•  Maintenance Program
•  Conduct of Operations</v>
          </cell>
          <cell r="J49" t="str">
            <v>•  Quality Assurance Program
•  Fire Protection Program
•  Performance Based Training Program
•  Maintenance Program
•  Conduct of Operations</v>
          </cell>
          <cell r="L49" t="str">
            <v>•  Quality Assurance Program
•  Fire Protection Program
•  Performance Based Training Program
•  Maintenance Program
•  Conduct of Operations</v>
          </cell>
          <cell r="M49" t="str">
            <v>•  Quality Assurance Program
•  Fire Protection Program
•  Performance Based Training Program
•  Maintenance Program
•  Conduct of Operations</v>
          </cell>
        </row>
        <row r="50">
          <cell r="A50" t="str">
            <v>Localized explosion within facility</v>
          </cell>
          <cell r="B50" t="str">
            <v>ES</v>
          </cell>
        </row>
        <row r="51">
          <cell r="C51" t="str">
            <v>•  Quality Assurance Program
•  Fire Protection Program
•  Performance Based Training Program
•  Maintenance Program
•  Conduct of Operations</v>
          </cell>
          <cell r="G51" t="str">
            <v>•  Quality Assurance Program
•  Fire Protection Program
•  Performance Based Training Program
•  Maintenance Program
•  Conduct of Operations</v>
          </cell>
          <cell r="J51" t="str">
            <v>•  Quality Assurance Program
•  Fire Protection Program
•  Performance Based Training Program
•  Maintenance Program
•  Conduct of Operations</v>
          </cell>
          <cell r="L51" t="str">
            <v>•  Quality Assurance Program
•  Fire Protection Program
•  Performance Based Training Program
•  Maintenance Program
•  Conduct of Operations</v>
          </cell>
        </row>
        <row r="52">
          <cell r="A52" t="str">
            <v>Loss of liquid contamination confinement</v>
          </cell>
          <cell r="B52" t="str">
            <v>FFS</v>
          </cell>
        </row>
        <row r="53">
          <cell r="C53" t="str">
            <v xml:space="preserve">•  Quality Assurance Program
•  Performance Based Training Program
•  Maintenance Program
•  Conduct of Operations
•  Waste Management Program </v>
          </cell>
          <cell r="D53" t="str">
            <v xml:space="preserve">•  Quality Assurance Program
•  Performance Based Training Program
•  Maintenance Program
•  Conduct of Operations
•  Waste Management Program </v>
          </cell>
          <cell r="F53" t="str">
            <v xml:space="preserve">•  Quality Assurance Program
•  Performance Based Training Program
•  Maintenance Program
•  Conduct of Operations
•  Waste Management Program </v>
          </cell>
          <cell r="G53" t="str">
            <v xml:space="preserve">•  Quality Assurance Program
•  Performance Based Training Program
•  Maintenance Program
•  Conduct of Operations
•  Waste Management Program </v>
          </cell>
          <cell r="H53" t="str">
            <v xml:space="preserve">•  Quality Assurance Program
•  Performance Based Training Program
•  Maintenance Program
•  Conduct of Operations
•  Waste Management Program </v>
          </cell>
          <cell r="I53" t="str">
            <v xml:space="preserve">•  Quality Assurance Program
•  Performance Based Training Program
•  Maintenance Program
•  Conduct of Operations
•  Waste Management Program </v>
          </cell>
          <cell r="J53" t="str">
            <v xml:space="preserve">•  Quality Assurance Program
•  Performance Based Training Program
•  Maintenance Program
•  Conduct of Operations
•  Waste Management Program </v>
          </cell>
          <cell r="K53" t="str">
            <v xml:space="preserve">•  Quality Assurance Program
•  Performance Based Training Program
•  Maintenance Program
•  Conduct of Operations
•  Waste Management Program </v>
          </cell>
          <cell r="L53" t="str">
            <v xml:space="preserve">•  Quality Assurance Program
•  Performance Based Training Program
•  Maintenance Program
•  Conduct of Operations
•  Waste Management Program </v>
          </cell>
          <cell r="M53" t="str">
            <v xml:space="preserve">•  Quality Assurance Program
•  Performance Based Training Program
•  Maintenance Program
•  Conduct of Operations
•  Waste Management Program </v>
          </cell>
        </row>
        <row r="54">
          <cell r="A54" t="str">
            <v>Flood</v>
          </cell>
          <cell r="B54" t="str">
            <v>FLD</v>
          </cell>
        </row>
        <row r="56">
          <cell r="A56" t="str">
            <v>HEPA filter failure</v>
          </cell>
          <cell r="B56" t="str">
            <v>HB</v>
          </cell>
        </row>
        <row r="57">
          <cell r="C57" t="str">
            <v>•  Quality Assurance Program
•  Fire Protection Program
•  Performance Based Training Program
•  Maintenance Program
•  Conduct of Operations</v>
          </cell>
          <cell r="F57" t="str">
            <v>•  Quality Assurance Program
•  Fire Protection Program
•  Performance Based Training Program
•  Maintenance Program
•  Conduct of Operations</v>
          </cell>
          <cell r="G57" t="str">
            <v>•  Quality Assurance Program
•  Fire Protection Program
•  Performance Based Training Program
•  Maintenance Program
•  Conduct of Operations</v>
          </cell>
          <cell r="H57" t="str">
            <v>•  Quality Assurance Program
•  Fire Protection Program
•  Performance Based Training Program
•  Maintenance Program
•  Conduct of Operations</v>
          </cell>
          <cell r="J57" t="str">
            <v>•  Quality Assurance Program
•  Fire Protection Program
•  Performance Based Training Program
•  Maintenance Program
•  Conduct of Operations</v>
          </cell>
          <cell r="L57" t="str">
            <v>•  Quality Assurance Program
•  Fire Protection Program
•  Performance Based Training Program
•  Maintenance Program
•  Conduct of Operations</v>
          </cell>
          <cell r="M57" t="str">
            <v>•  Quality Assurance Program
•  Fire Protection Program
•  Performance Based Training Program
•  Maintenance Program
•  Conduct of Operations</v>
          </cell>
        </row>
        <row r="58">
          <cell r="A58" t="str">
            <v>HEPA filter fire</v>
          </cell>
          <cell r="B58" t="str">
            <v>HF</v>
          </cell>
        </row>
        <row r="59">
          <cell r="C59" t="str">
            <v>•  Quality Assurance Program
•  Fire Protection Program
•  Performance Based Training Program
•  Maintenance Program
•  Conduct of Operations</v>
          </cell>
          <cell r="F59" t="str">
            <v>•  Quality Assurance Program
•  Fire Protection Program
•  Performance Based Training Program
•  Maintenance Program
•  Conduct of Operations</v>
          </cell>
          <cell r="G59" t="str">
            <v>•  Quality Assurance Program
•  Fire Protection Program
•  Performance Based Training Program
•  Maintenance Program
•  Conduct of Operations</v>
          </cell>
          <cell r="H59" t="str">
            <v>•  Quality Assurance Program
•  Fire Protection Program
•  Performance Based Training Program
•  Maintenance Program
•  Conduct of Operations</v>
          </cell>
          <cell r="J59" t="str">
            <v>•  Quality Assurance Program
•  Fire Protection Program
•  Performance Based Training Program
•  Maintenance Program
•  Conduct of Operations</v>
          </cell>
          <cell r="L59" t="str">
            <v>•  Quality Assurance Program
•  Fire Protection Program
•  Performance Based Training Program
•  Maintenance Program
•  Conduct of Operations</v>
          </cell>
          <cell r="M59" t="str">
            <v>•  Quality Assurance Program
•  Fire Protection Program
•  Performance Based Training Program
•  Maintenance Program
•  Conduct of Operations</v>
          </cell>
        </row>
        <row r="60">
          <cell r="A60" t="str">
            <v>Stack failure</v>
          </cell>
          <cell r="B60" t="str">
            <v>IS</v>
          </cell>
        </row>
        <row r="62">
          <cell r="A62" t="str">
            <v>Corrosion</v>
          </cell>
          <cell r="B62" t="str">
            <v>HLW</v>
          </cell>
        </row>
        <row r="63">
          <cell r="C63" t="str">
            <v xml:space="preserve">•  Quality Assurance Program
•  Performance Based Training Program
•  Maintenance Program
•  Conduct of Operations
•  Waste Management Program </v>
          </cell>
          <cell r="E63" t="str">
            <v xml:space="preserve">•  Quality Assurance Program
•  Performance Based Training Program
•  Maintenance Program
•  Conduct of Operations
•  Waste Management Program </v>
          </cell>
        </row>
        <row r="64">
          <cell r="A64" t="str">
            <v>Locomotive/ loaded rail car impacts storage casks</v>
          </cell>
          <cell r="B64" t="str">
            <v>HLW</v>
          </cell>
        </row>
        <row r="65">
          <cell r="C65" t="str">
            <v>•  Quality Assurance Program
•  Performance Based Training Program
•  Maintenance Program</v>
          </cell>
          <cell r="E65" t="str">
            <v>•  Quality Assurance Program
•  Performance Based Training Program
•  Maintenance Program</v>
          </cell>
        </row>
        <row r="66">
          <cell r="A66" t="str">
            <v>Seismic event (tip over)</v>
          </cell>
          <cell r="B66" t="str">
            <v>HLW</v>
          </cell>
        </row>
        <row r="68">
          <cell r="A68" t="str">
            <v>Severe environmental conditions</v>
          </cell>
          <cell r="B68" t="str">
            <v>HLW</v>
          </cell>
        </row>
        <row r="70">
          <cell r="A70" t="str">
            <v>Storage cask tip-over due to transportation event</v>
          </cell>
          <cell r="B70" t="str">
            <v>HLW</v>
          </cell>
        </row>
        <row r="71">
          <cell r="C71" t="str">
            <v>•  Quality Assurance Program
•  Performance Based Training Program
•  Maintenance Program
•  Conduct of Operations</v>
          </cell>
          <cell r="E71" t="str">
            <v>•  Quality Assurance Program
•  Performance Based Training Program
•  Maintenance Program
•  Conduct of Operations</v>
          </cell>
        </row>
      </sheetData>
      <sheetData sheetId="10">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APPROVED CONTAINERS used for TRU waste storage
•  TSR-compliant packaging for high activity TRU waste</v>
          </cell>
          <cell r="D2" t="str">
            <v>•  APPROVED CONTAINERS used for TRU waste storage
•  TSR-compliant packaging for high activity TRU waste</v>
          </cell>
          <cell r="F2" t="str">
            <v>•  APPROVED CONTAINERS used for TRU waste storage
•  TSR-compliant packaging for high activity TRU waste</v>
          </cell>
          <cell r="H2" t="str">
            <v>•  APPROVED CONTAINERS used for TRU waste storage
•  TSR-compliant packaging for high activity TRU waste</v>
          </cell>
          <cell r="I2" t="str">
            <v>•  APPROVED CONTAINERS used for TRU waste storage
•  TSR-compliant packaging for high activity TRU waste</v>
          </cell>
          <cell r="J2" t="str">
            <v>•  APPROVED CONTAINERS used for TRU waste storage
•  TSR-compliant packaging for high activity TRU waste</v>
          </cell>
          <cell r="K2" t="str">
            <v>•  APPROVED CONTAINERS used for TRU waste storage
•  TSR-compliant packaging for high activity TRU waste</v>
          </cell>
        </row>
        <row r="3">
          <cell r="C3" t="str">
            <v>•  Steel-deck pallets that limit direct flame impingement on TRU containers
•  Banding of drums on pallets</v>
          </cell>
          <cell r="D3" t="str">
            <v>•  Steel-deck pallets that limit direct flame impingement on TRU containers
•  Banding of drums on pallets</v>
          </cell>
          <cell r="E3" t="str">
            <v>•  Heavily reinforced 19.75" thick concrete VSC
•  4" thick steel VSC shielding
•  Weld-sealed 3/8" thick steel MPC
•  Weld-sealed steel HLW canister
•  Borosilicate waste matrix that inhibits waste release and retards biological uptake due to stable chemical form</v>
          </cell>
          <cell r="F3" t="str">
            <v>•  Steel-deck pallets that limit direct flame impingement on TRU containers
•  Banding of drums on pallets</v>
          </cell>
          <cell r="H3" t="str">
            <v>•  Steel-deck pallets that limit direct flame impingement on TRU containers</v>
          </cell>
          <cell r="I3" t="str">
            <v>•  Steel-deck pallets that limit direct flame impingement on TRU containers
•  Banding of drums on pallets</v>
          </cell>
          <cell r="J3" t="str">
            <v xml:space="preserve">•  Steel-deck pallets that limit direct flame impingement on TRU containers
•  Wet pipe sprinkler system in Receiving Area and Load Out
</v>
          </cell>
          <cell r="K3" t="str">
            <v>•  Steel-deck pallets that limit direct flame impingement on TRU containers</v>
          </cell>
        </row>
        <row r="4">
          <cell r="A4" t="str">
            <v>Small combustible material fire</v>
          </cell>
          <cell r="B4" t="str">
            <v>E02</v>
          </cell>
          <cell r="C4" t="str">
            <v>•  APPROVED CONTAINERS used for TRU waste storage
•  TSR-compliant packaging for high activity TRU waste</v>
          </cell>
          <cell r="D4" t="str">
            <v>•  APPROVED CONTAINERS used for TRU waste storage
•  TSR-compliant packaging for high activity TRU waste</v>
          </cell>
          <cell r="F4" t="str">
            <v>•  APPROVED CONTAINERS used for TRU waste storage
•  TSR-compliant packaging for high activity TRU waste</v>
          </cell>
          <cell r="H4" t="str">
            <v>•  APPROVED CONTAINERS used for TRU waste storage
•  TSR-compliant packaging for high activity TRU waste</v>
          </cell>
          <cell r="I4" t="str">
            <v>•  APPROVED CONTAINERS used for TRU waste storage
•  TSR-compliant packaging for high activity TRU waste</v>
          </cell>
          <cell r="K4" t="str">
            <v>•  APPROVED CONTAINERS used for TRU waste storage
•  TSR-compliant packaging for high activity TRU waste</v>
          </cell>
          <cell r="M4" t="str">
            <v>•  APPROVED CONTAINERS used for TRU waste storage
•  TSR-compliant packaging for high activity TRU waste</v>
          </cell>
        </row>
        <row r="5">
          <cell r="F5" t="str">
            <v>•  Automatic fixed FM-200 fire suppression system in CSPF</v>
          </cell>
          <cell r="G5" t="str">
            <v>•  Fire rated cell walls and shield doors</v>
          </cell>
          <cell r="H5" t="str">
            <v>•  Wet pipe sprinkler system in Load In Facility</v>
          </cell>
          <cell r="J5" t="str">
            <v>•  Wet pipe sprinkler system in Receiving Area and Load Out/Truck Bay</v>
          </cell>
          <cell r="L5" t="str">
            <v>•  Fire rated cell walls and shield doors</v>
          </cell>
          <cell r="M5" t="str">
            <v>•  Wet pipe sprinkler system in PVS Building
•  Dry pipe sprinkler system in STS Support Building</v>
          </cell>
        </row>
        <row r="6">
          <cell r="A6" t="str">
            <v>Large fire</v>
          </cell>
          <cell r="B6" t="str">
            <v>E04</v>
          </cell>
          <cell r="C6" t="str">
            <v>•   APPROVED CONTAINERS used for TRU waste storage
•   TSR-compliant packaging for high activity TRU waste</v>
          </cell>
          <cell r="F6" t="str">
            <v>•   APPROVED CONTAINERS used for TRU waste storage
•   TSR-compliant packaging for high activity TRU waste</v>
          </cell>
        </row>
        <row r="7">
          <cell r="F7" t="str">
            <v>•  Automatic fixed FM-200 fire suppression system in CSPF
•  Wet pipe sprinkler system in Shipping Depot</v>
          </cell>
          <cell r="G7" t="str">
            <v>•  Fire rated cell walls and shield doors</v>
          </cell>
          <cell r="J7" t="str">
            <v>•  Fire rated cell walls and shield doors</v>
          </cell>
          <cell r="L7" t="str">
            <v>•  Fire rated cell walls and shield doors</v>
          </cell>
        </row>
        <row r="8">
          <cell r="A8" t="str">
            <v>Localized explosion external to container</v>
          </cell>
          <cell r="B8" t="str">
            <v>E05</v>
          </cell>
          <cell r="C8" t="str">
            <v>•   APPROVED CONTAINERS used for TRU waste storage
•   TSR-compliant packaging for high activity TRU waste</v>
          </cell>
          <cell r="D8" t="str">
            <v>•   APPROVED CONTAINERS used for TRU waste storage
•   TSR-compliant packaging for high activity TRU waste</v>
          </cell>
          <cell r="F8" t="str">
            <v>•   APPROVED CONTAINERS used for TRU waste storage
•   TSR-compliant packaging for high activity TRU waste</v>
          </cell>
          <cell r="H8" t="str">
            <v>•   APPROVED CONTAINERS used for TRU waste storage
•   TSR-compliant packaging for high activity TRU waste</v>
          </cell>
          <cell r="I8" t="str">
            <v>•   APPROVED CONTAINERS used for TRU waste storage
•   TSR-compliant packaging for high activity TRU waste</v>
          </cell>
          <cell r="J8" t="str">
            <v>•   APPROVED CONTAINERS used for TRU waste storage
•   TSR-compliant packaging for high activity TRU waste</v>
          </cell>
          <cell r="K8" t="str">
            <v>•   APPROVED CONTAINERS used for TRU waste storage
•   TSR-compliant packaging for high activity TRU waste</v>
          </cell>
        </row>
        <row r="9">
          <cell r="E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0">
          <cell r="A10" t="str">
            <v>Waste container deflagration</v>
          </cell>
          <cell r="B10" t="str">
            <v>E06</v>
          </cell>
          <cell r="C10" t="str">
            <v>•   TSR-compliant packaging for high activity TRU waste</v>
          </cell>
          <cell r="D10" t="str">
            <v>•   TSR-compliant packaging for high activity TRU waste</v>
          </cell>
          <cell r="F10" t="str">
            <v>•   TSR-compliant packaging for high activity TRU waste</v>
          </cell>
          <cell r="H10" t="str">
            <v>•   TSR-compliant packaging for high activity TRU waste</v>
          </cell>
          <cell r="I10" t="str">
            <v>•   TSR-compliant packaging for high activity TRU waste</v>
          </cell>
          <cell r="J10" t="str">
            <v>•   TSR-compliant packaging for high activity TRU waste</v>
          </cell>
          <cell r="L10" t="str">
            <v>•   TSR-compliant packaging for high activity TRU waste</v>
          </cell>
        </row>
        <row r="11">
          <cell r="C11" t="str">
            <v>•  Confinement capability of cell structure
•  Fire rated cell walls and shield doors</v>
          </cell>
          <cell r="G11" t="str">
            <v>•  Confinement capability of cell structure
•  Fire rated cell walls and shield doors</v>
          </cell>
          <cell r="J11" t="str">
            <v>•  Confinement capability of cell structure
•  Fire rated cell walls and shield doors</v>
          </cell>
          <cell r="L11" t="str">
            <v>•  Confinement capability of cell structure
•  Fire rated cell walls and shield doors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C16" t="str">
            <v>•   TSR-compliant packaging for high activity TRU waste</v>
          </cell>
          <cell r="D16" t="str">
            <v>•   TSR-compliant packaging for high activity TRU waste</v>
          </cell>
          <cell r="F16" t="str">
            <v>•   TSR-compliant packaging for high activity TRU waste</v>
          </cell>
          <cell r="H16" t="str">
            <v>•   TSR-compliant packaging for high activity TRU waste</v>
          </cell>
          <cell r="I16" t="str">
            <v>•   TSR-compliant packaging for high activity TRU waste</v>
          </cell>
          <cell r="J16" t="str">
            <v>•   TSR-compliant packaging for high activity TRU waste</v>
          </cell>
          <cell r="K16" t="str">
            <v>•   TSR-compliant packaging for high activity TRU waste</v>
          </cell>
        </row>
        <row r="17">
          <cell r="E1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18">
          <cell r="A18" t="str">
            <v>Drop/impact/spill</v>
          </cell>
          <cell r="B18" t="str">
            <v>E10</v>
          </cell>
          <cell r="C18" t="str">
            <v>•   TSR-compliant packaging for high activity TRU waste</v>
          </cell>
          <cell r="D18" t="str">
            <v>•   TSR-compliant packaging for high activity TRU waste</v>
          </cell>
          <cell r="F18" t="str">
            <v>•   TSR-compliant packaging for high activity TRU waste</v>
          </cell>
          <cell r="H18" t="str">
            <v>•   TSR-compliant packaging for high activity TRU waste</v>
          </cell>
          <cell r="I18" t="str">
            <v>•   TSR-compliant packaging for high activity TRU waste</v>
          </cell>
          <cell r="J18" t="str">
            <v>•   TSR-compliant packaging for high activity TRU waste</v>
          </cell>
          <cell r="K18" t="str">
            <v>•   TSR-compliant packaging for high activity TRU waste</v>
          </cell>
        </row>
        <row r="19">
          <cell r="C19" t="str">
            <v>•  Confinement capability of cell structure</v>
          </cell>
          <cell r="E19" t="str">
            <v>•  Heavily reinforced 19.75" thick concrete VSC
•  4" thick steel VSC shielding
•  Weld-sealed 3/8" thick steel MPC
•  3/16" thick steel canister basket
•  Weld-sealed steel HLW canisters capable of withstanding a 7 m (23 ft) drop
•  Borosilicate waste matrix that inhibits waste release and retards biological uptake due to stable chemical form</v>
          </cell>
          <cell r="G19" t="str">
            <v>•  Confinement capability of cell structure</v>
          </cell>
          <cell r="J19" t="str">
            <v>•  Confinement capability of cell structure</v>
          </cell>
          <cell r="L19" t="str">
            <v>•  Confinement capability of cell structure</v>
          </cell>
          <cell r="M19" t="str">
            <v>•  Confinement capability of tank/vault structure</v>
          </cell>
        </row>
        <row r="20">
          <cell r="A20" t="str">
            <v>Collapse of stacked containers</v>
          </cell>
          <cell r="B20" t="str">
            <v>E11</v>
          </cell>
          <cell r="C20" t="str">
            <v>•   APPROVED CONTAINERS used for TRU waste storage
•   TSR-compliant packaging for high activity TRU waste</v>
          </cell>
          <cell r="D20" t="str">
            <v>•   APPROVED CONTAINERS used for TRU waste storage
•   TSR-compliant packaging for high activity TRU waste</v>
          </cell>
          <cell r="F20" t="str">
            <v>•   APPROVED CONTAINERS used for TRU waste storage
•   TSR-compliant packaging for high activity TRU waste</v>
          </cell>
          <cell r="I20" t="str">
            <v>•   APPROVED CONTAINERS used for TRU waste storage
•   TSR-compliant packaging for high activity TRU waste</v>
          </cell>
        </row>
        <row r="21">
          <cell r="C21" t="str">
            <v>•  Steel pallets used for TRU waste storage arrays
•  Banding of drums on pallets</v>
          </cell>
          <cell r="D21" t="str">
            <v>•  Steel pallets used for TRU waste storage arrays
•  Banding of drums on pallets</v>
          </cell>
          <cell r="F21" t="str">
            <v>•  Steel pallets used for TRU waste storage arrays
•  Banding of drums on pallets</v>
          </cell>
          <cell r="I21" t="str">
            <v>•  Steel pallets used for TRU waste storage arrays
•  Banding of drums on pallets</v>
          </cell>
        </row>
        <row r="22">
          <cell r="A22" t="str">
            <v>Waste container over-pressurization</v>
          </cell>
          <cell r="B22" t="str">
            <v>E12</v>
          </cell>
        </row>
        <row r="23">
          <cell r="C23" t="str">
            <v>•  Lid restraining devices for bulging drums</v>
          </cell>
          <cell r="D23" t="str">
            <v>•  Lid restraining devices for bulging drums</v>
          </cell>
          <cell r="F23" t="str">
            <v>•  Lid restraining devices for bulging drums</v>
          </cell>
          <cell r="H23" t="str">
            <v>•  Lid restraining devices for bulging drums</v>
          </cell>
          <cell r="I23" t="str">
            <v>•  Lid restraining devices for bulging drums</v>
          </cell>
          <cell r="J23" t="str">
            <v>•  Lid restraining devices for bulging drums</v>
          </cell>
        </row>
        <row r="24">
          <cell r="A24" t="str">
            <v>Direct exposure to radiation</v>
          </cell>
          <cell r="B24" t="str">
            <v>E13</v>
          </cell>
        </row>
        <row r="26">
          <cell r="A26" t="str">
            <v>Criticality</v>
          </cell>
          <cell r="B26" t="str">
            <v>E14</v>
          </cell>
        </row>
        <row r="28">
          <cell r="A28" t="str">
            <v>Aircraft impact with fire</v>
          </cell>
          <cell r="B28" t="str">
            <v>E15</v>
          </cell>
          <cell r="C28" t="str">
            <v>•   APPROVED CONTAINERS used for TRU waste storage
•   TSR-compliant packaging for high activity TRU waste</v>
          </cell>
          <cell r="D28" t="str">
            <v>•   APPROVED CONTAINERS used for TRU waste storage
•   TSR-compliant packaging for high activity TRU waste</v>
          </cell>
          <cell r="F28" t="str">
            <v>•   APPROVED CONTAINERS used for TRU waste storage
•   TSR-compliant packaging for high activity TRU waste</v>
          </cell>
          <cell r="H28" t="str">
            <v>•   APPROVED CONTAINERS used for TRU waste storage
•   TSR-compliant packaging for high activity TRU waste</v>
          </cell>
          <cell r="I28" t="str">
            <v>•   APPROVED CONTAINERS used for TRU waste storage
•   TSR-compliant packaging for high activity TRU waste</v>
          </cell>
        </row>
        <row r="29">
          <cell r="E29"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0">
          <cell r="A30" t="str">
            <v>External vehicle accident</v>
          </cell>
          <cell r="B30" t="str">
            <v>E16</v>
          </cell>
          <cell r="C30" t="str">
            <v>•   TSR-compliant packaging for high activity TRU waste</v>
          </cell>
          <cell r="I30" t="str">
            <v>•   TSR-compliant packaging for high activity TRU waste</v>
          </cell>
        </row>
        <row r="31">
          <cell r="E3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2">
          <cell r="A32" t="str">
            <v>External vehicle accident with fire</v>
          </cell>
          <cell r="B32" t="str">
            <v>E17</v>
          </cell>
          <cell r="C32" t="str">
            <v>•   APPROVED CONTAINERS used for TRU waste storage
•   TSR-compliant packaging for high activity TRU waste</v>
          </cell>
          <cell r="I32" t="str">
            <v>•   APPROVED CONTAINERS used for TRU waste storage
•   TSR-compliant packaging for high activity TRU waste</v>
          </cell>
        </row>
        <row r="33">
          <cell r="E3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4">
          <cell r="A34" t="str">
            <v>External explosion</v>
          </cell>
          <cell r="B34" t="str">
            <v>E18</v>
          </cell>
          <cell r="C34" t="str">
            <v>•   APPROVED CONTAINERS used for TRU waste storage
•   TSR-compliant packaging for high activity TRU waste</v>
          </cell>
          <cell r="F34" t="str">
            <v>•   APPROVED CONTAINERS used for TRU waste storage
•   TSR-compliant packaging for high activity TRU waste</v>
          </cell>
          <cell r="I34" t="str">
            <v>•   APPROVED CONTAINERS used for TRU waste storage
•   TSR-compliant packaging for high activity TRU waste</v>
          </cell>
          <cell r="J34" t="str">
            <v>•   APPROVED CONTAINERS used for TRU waste storage
•   TSR-compliant packaging for high activity TRU waste</v>
          </cell>
        </row>
        <row r="35">
          <cell r="E3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36">
          <cell r="A36" t="str">
            <v>External fire</v>
          </cell>
          <cell r="B36" t="str">
            <v>E19</v>
          </cell>
          <cell r="C36" t="str">
            <v>•   APPROVED CONTAINERS used for TRU waste storage
•   TSR-compliant packaging for high activity TRU waste</v>
          </cell>
          <cell r="D36" t="str">
            <v>•   APPROVED CONTAINERS used for TRU waste storage
•   TSR-compliant packaging for high activity TRU waste</v>
          </cell>
          <cell r="F36" t="str">
            <v>•   APPROVED CONTAINERS used for TRU waste storage
•   TSR-compliant packaging for high activity TRU waste</v>
          </cell>
          <cell r="I36" t="str">
            <v>•   APPROVED CONTAINERS used for TRU waste storage
•   TSR-compliant packaging for high activity TRU waste</v>
          </cell>
          <cell r="J36" t="str">
            <v>•   APPROVED CONTAINERS used for TRU waste storage
•   TSR-compliant packaging for high activity TRU waste</v>
          </cell>
        </row>
        <row r="37">
          <cell r="C37" t="str">
            <v>•  Non-combustible facility sheathing/ exterior</v>
          </cell>
          <cell r="D37" t="str">
            <v>•  Non-combustible facility sheathing/ exterior</v>
          </cell>
          <cell r="E3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F37" t="str">
            <v>•  Non-combustible facility sheathing/ exterior</v>
          </cell>
          <cell r="I37" t="str">
            <v>•  Non-combustible facility sheathing/ exterior</v>
          </cell>
          <cell r="J37" t="str">
            <v>•  Non-combustible facility sheathing/ exterior</v>
          </cell>
        </row>
        <row r="38">
          <cell r="A38" t="str">
            <v>Lightning</v>
          </cell>
          <cell r="B38" t="str">
            <v>E20</v>
          </cell>
          <cell r="C38" t="str">
            <v>•   TSR-compliant packaging for high activity TRU waste</v>
          </cell>
        </row>
        <row r="39">
          <cell r="E39" t="str">
            <v>•  Weld-sealed 3/8" thick steel MPC
•  Weld-sealed steel HLW canister</v>
          </cell>
        </row>
        <row r="40">
          <cell r="A40" t="str">
            <v>High wind</v>
          </cell>
          <cell r="B40" t="str">
            <v>E21</v>
          </cell>
          <cell r="C40" t="str">
            <v>•   TSR-compliant packaging for high activity TRU waste</v>
          </cell>
          <cell r="I40" t="str">
            <v>•   TSR-compliant packaging for high activity TRU waste</v>
          </cell>
        </row>
        <row r="41">
          <cell r="E41"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42">
          <cell r="A42" t="str">
            <v>Tornado</v>
          </cell>
          <cell r="B42" t="str">
            <v>E22</v>
          </cell>
          <cell r="C42" t="str">
            <v>•   TSR-compliant packaging for high activity TRU waste</v>
          </cell>
          <cell r="D42" t="str">
            <v>•   TSR-compliant packaging for high activity TRU waste</v>
          </cell>
          <cell r="F42" t="str">
            <v>•   TSR-compliant packaging for high activity TRU waste</v>
          </cell>
          <cell r="I42" t="str">
            <v>•   TSR-compliant packaging for high activity TRU waste</v>
          </cell>
        </row>
        <row r="43">
          <cell r="C43" t="str">
            <v>•  Facility design capable of maintaining confinement integrity following design basis events</v>
          </cell>
          <cell r="E43"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3" t="str">
            <v>•  Facility design capable of maintaining confinement integrity following design basis events</v>
          </cell>
          <cell r="H43" t="str">
            <v>•  Facility design capable of maintaining confinement integrity following design basis events</v>
          </cell>
          <cell r="J43" t="str">
            <v>•  Facility design capable of maintaining confinement integrity following design basis events</v>
          </cell>
          <cell r="L43" t="str">
            <v>•  Facility design capable of maintaining confinement integrity following design basis events</v>
          </cell>
          <cell r="M43" t="str">
            <v>•  Facility design capable of maintaining confinement integrity following design basis events</v>
          </cell>
        </row>
        <row r="44">
          <cell r="A44" t="str">
            <v>Snow and/or ice buildup</v>
          </cell>
          <cell r="B44" t="str">
            <v>E23</v>
          </cell>
        </row>
        <row r="46">
          <cell r="A46" t="str">
            <v>Seismic event</v>
          </cell>
          <cell r="B46" t="str">
            <v>E24</v>
          </cell>
          <cell r="C46" t="str">
            <v>•   APPROVED CONTAINERS used for TRU waste storage
•   TSR-compliant packaging for high activity TRU waste</v>
          </cell>
          <cell r="D46" t="str">
            <v>•   APPROVED CONTAINERS used for TRU waste storage
•   TSR-compliant packaging for high activity TRU waste</v>
          </cell>
          <cell r="F46" t="str">
            <v>•   APPROVED CONTAINERS used for TRU waste storage
•   TSR-compliant packaging for high activity TRU waste</v>
          </cell>
          <cell r="I46" t="str">
            <v>•   APPROVED CONTAINERS used for TRU waste storage
•   TSR-compliant packaging for high activity TRU waste</v>
          </cell>
        </row>
        <row r="47">
          <cell r="C47" t="str">
            <v>•  Facility design capable of maintaining confinement integrity following design basis events</v>
          </cell>
          <cell r="E47"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cell r="G47" t="str">
            <v>•  Facility design capable of maintaining confinement integrity following design basis events</v>
          </cell>
          <cell r="H47" t="str">
            <v>•  Facility design capable of maintaining confinement integrity following design basis events</v>
          </cell>
          <cell r="J47" t="str">
            <v>•  Facility design capable of maintaining confinement integrity following design basis events</v>
          </cell>
          <cell r="L47" t="str">
            <v>•  Facility design capable of maintaining confinement integrity following design basis events</v>
          </cell>
          <cell r="M47" t="str">
            <v>•  Facility design capable of maintaining confinement integrity following design basis events</v>
          </cell>
        </row>
        <row r="48">
          <cell r="A48" t="str">
            <v>Loss of airborne contamination confinement</v>
          </cell>
          <cell r="B48" t="str">
            <v>AER</v>
          </cell>
        </row>
        <row r="49">
          <cell r="C49" t="str">
            <v>•  Confinement capability of facility envelope
•  Nominal facility negative maintained on facility even under loss of active ventilation through stack "chimney effect"</v>
          </cell>
          <cell r="E49" t="str">
            <v>•  Weld-sealed MPC
•  Weld-sealed steel HLW canister
•  Borosilicate waste matrix</v>
          </cell>
          <cell r="G49" t="str">
            <v>•  Confinement capability of facility envelope
•  Nominal facility negative maintained on facility even under loss of active ventilation through stack "chimney effect"</v>
          </cell>
          <cell r="J49" t="str">
            <v>•  Confinement capability of facility envelope
•  Nominal facility negative maintained on facility even under loss of active ventilation through stack "chimney effect"</v>
          </cell>
          <cell r="L49" t="str">
            <v>•  Confinement capability of facility envelope
•  Nominal facility negative maintained on facility even under loss of active ventilation through stack "chimney effect"</v>
          </cell>
          <cell r="M49" t="str">
            <v>•  Confinement capability of facility envelope
•  Nominal facility negative maintained on facility even under loss of active ventilation through stack "chimney effect"</v>
          </cell>
        </row>
        <row r="50">
          <cell r="A50" t="str">
            <v>Localized explosion within facility</v>
          </cell>
          <cell r="B50" t="str">
            <v>ES</v>
          </cell>
        </row>
        <row r="51">
          <cell r="C51" t="str">
            <v>•  Reinforced concrete shield walls</v>
          </cell>
          <cell r="G51" t="str">
            <v>•  Reinforced concrete shield walls</v>
          </cell>
          <cell r="J51" t="str">
            <v>•  Reinforced concrete shield walls</v>
          </cell>
          <cell r="L51" t="str">
            <v>•  Reinforced concrete shield walls</v>
          </cell>
        </row>
        <row r="52">
          <cell r="A52" t="str">
            <v>Loss of liquid contamination confinement</v>
          </cell>
          <cell r="B52" t="str">
            <v>FFS</v>
          </cell>
        </row>
        <row r="53">
          <cell r="F53" t="str">
            <v>•  Building berms</v>
          </cell>
          <cell r="G53" t="str">
            <v>•  Cell sumps/liners</v>
          </cell>
          <cell r="J53" t="str">
            <v>•  Cell sumps/liners</v>
          </cell>
          <cell r="L53" t="str">
            <v>•  Cell sumps/liners</v>
          </cell>
          <cell r="M53" t="str">
            <v>•  Tank pans/vault liners</v>
          </cell>
        </row>
        <row r="54">
          <cell r="A54" t="str">
            <v>Flood</v>
          </cell>
          <cell r="B54" t="str">
            <v>FLD</v>
          </cell>
        </row>
        <row r="55">
          <cell r="E55" t="str">
            <v>•  Heavily reinforced 19.75" thick concrete VSC
•  Weld-sealed 3/8" thick steel MPC
•  Weld-sealed steel HLW canister
•  Borosilicate waste matrix that inhibits waste release and retards biological uptake due to stable chemical form</v>
          </cell>
        </row>
        <row r="56">
          <cell r="A56" t="str">
            <v>HEPA filter failure</v>
          </cell>
          <cell r="B56" t="str">
            <v>HB</v>
          </cell>
        </row>
        <row r="57">
          <cell r="C57" t="str">
            <v>•  Redundant ventilation system filter trains and blowers</v>
          </cell>
          <cell r="G57" t="str">
            <v>•  Redundant ventilation system filter trains and blowers</v>
          </cell>
          <cell r="J57" t="str">
            <v>•  Redundant ventilation system filter trains and blowers</v>
          </cell>
          <cell r="L57" t="str">
            <v>•  Redundant ventilation system filter trains and blowers</v>
          </cell>
          <cell r="M57" t="str">
            <v>•  Redundant ventilation system filter trains and blowers</v>
          </cell>
        </row>
        <row r="58">
          <cell r="A58" t="str">
            <v>HEPA filter fire</v>
          </cell>
          <cell r="B58" t="str">
            <v>HF</v>
          </cell>
        </row>
        <row r="59">
          <cell r="C59" t="str">
            <v>•  Redundant ventilation system filter trains and blowers</v>
          </cell>
          <cell r="G59" t="str">
            <v>•  Redundant ventilation system filter trains and blowers</v>
          </cell>
          <cell r="J59" t="str">
            <v>•  Redundant ventilation system filter trains and blowers</v>
          </cell>
          <cell r="L59" t="str">
            <v>•  Redundant ventilation system filter trains and blowers</v>
          </cell>
          <cell r="M59" t="str">
            <v>•  Redundant ventilation system filter trains and blowers</v>
          </cell>
        </row>
        <row r="60">
          <cell r="A60" t="str">
            <v>Stack failure</v>
          </cell>
          <cell r="B60" t="str">
            <v>IS</v>
          </cell>
        </row>
        <row r="62">
          <cell r="A62" t="str">
            <v>Corrosion</v>
          </cell>
          <cell r="B62" t="str">
            <v>HLW</v>
          </cell>
        </row>
        <row r="63">
          <cell r="C63" t="str">
            <v>•  Stainless steel canister basket and MPC construction
•  Sacrificial plate between components of dissimilar composition</v>
          </cell>
          <cell r="E63" t="str">
            <v>•  Stainless steel canister basket and MPC construction
•  Sacrificial plate between components of dissimilar composition</v>
          </cell>
        </row>
        <row r="64">
          <cell r="A64" t="str">
            <v>Locomotive/ loaded rail car impacts storage casks</v>
          </cell>
          <cell r="B64" t="str">
            <v>HLW</v>
          </cell>
        </row>
        <row r="65">
          <cell r="E65" t="str">
            <v>•  Heavily reinforced 19.75" thick concrete VSC
•  4" thick steel VSC shielding
•  Weld-sealed 3/8" thick steel MPC
•  3/16" thick steel canister basket
•  Weld-sealed steel HLW canister
•  Borosilicate waste matrix that inhibits waste release and retards biological uptake due to stable chemical form</v>
          </cell>
        </row>
        <row r="66">
          <cell r="A66" t="str">
            <v>Seismic event (tip over)</v>
          </cell>
          <cell r="B66" t="str">
            <v>HLW</v>
          </cell>
        </row>
        <row r="67">
          <cell r="E67" t="str">
            <v>•  Heavily reinforced 19.75" thick concrete VSC
•  4" thick steel VSC shielding
•  Weld-sealed 3/8" thick steel MPC
•  Weld-sealed steel HLW canister
•  Borosilicate waste matrix that inhibits waste release and retards biological uptake due to stable chemical form</v>
          </cell>
        </row>
        <row r="68">
          <cell r="A68" t="str">
            <v>Severe environmental conditions</v>
          </cell>
          <cell r="B68" t="str">
            <v>HLW</v>
          </cell>
        </row>
        <row r="69">
          <cell r="E69" t="str">
            <v>•  Weld-sealed 3/8" thick steel MPC
•  Weld-sealed steel HLW canister
•  Borosilicate waste matrix that inhibits waste release and retards biological uptake due to stable chemical form</v>
          </cell>
        </row>
        <row r="70">
          <cell r="A70" t="str">
            <v>Storage cask tip-over due to transportation event</v>
          </cell>
          <cell r="B70" t="str">
            <v>HLW</v>
          </cell>
        </row>
        <row r="71">
          <cell r="E71" t="str">
            <v>•  Heavily reinforced 19.75" thick concrete VSC
•  4" thick steel VSC shielding
•  Weld-sealed 3/8" thick steel MPC
•  Weld-sealed steel HLW canister
•  Borosilicate waste matrix that inhibits waste release and retards biological uptake due to stable chemical form</v>
          </cell>
        </row>
      </sheetData>
      <sheetData sheetId="11">
        <row r="1">
          <cell r="D1" t="str">
            <v>CPCW</v>
          </cell>
          <cell r="E1" t="str">
            <v>HLWSS</v>
          </cell>
          <cell r="F1" t="str">
            <v>LSA</v>
          </cell>
          <cell r="G1" t="str">
            <v>MP</v>
          </cell>
          <cell r="H1" t="str">
            <v>MPA</v>
          </cell>
          <cell r="I1" t="str">
            <v>OUT</v>
          </cell>
          <cell r="J1" t="str">
            <v>RH</v>
          </cell>
          <cell r="K1" t="str">
            <v>TRN</v>
          </cell>
          <cell r="L1" t="str">
            <v>VF</v>
          </cell>
          <cell r="M1" t="str">
            <v>WTF</v>
          </cell>
        </row>
        <row r="2">
          <cell r="A2" t="str">
            <v>Localized flammable liquid pool fire</v>
          </cell>
          <cell r="B2" t="str">
            <v>E01</v>
          </cell>
          <cell r="C2" t="str">
            <v>•  SAC for APPROVED CONTAINER use
•  SAC for facility inventory control</v>
          </cell>
          <cell r="D2" t="str">
            <v>•  SAC for APPROVED CONTAINER use
•  SAC for facility inventory control</v>
          </cell>
          <cell r="F2" t="str">
            <v>•  SAC for APPROVED CONTAINER use
•  SAC for facility inventory control</v>
          </cell>
          <cell r="H2" t="str">
            <v>•  SAC for APPROVED CONTAINER use
•  SAC for facility inventory control</v>
          </cell>
          <cell r="I2" t="str">
            <v>•  SAC for APPROVED CONTAINER use
•  SAC for facility inventory control
• SAC for TRU WASTE AREAS</v>
          </cell>
          <cell r="J2" t="str">
            <v>•  SAC for APPROVED CONTAINER use
•  SAC for facility inventory control</v>
          </cell>
          <cell r="K2" t="str">
            <v>•  SAC for APPROVED CONTAINER use
•  SAC for facility inventory control</v>
          </cell>
        </row>
        <row r="3">
          <cell r="C3" t="str">
            <v>•  Radiological Protection Program
•  Emergency Response Program
•  Fire Protection Program
•  Performance Based Training Program
•  Conduct of Operations</v>
          </cell>
          <cell r="D3" t="str">
            <v>•  Radiological Protection Program
•  Emergency Response Program
•  Fire Protection Program
•  Performance Based Training Program
•  Conduct of Operations</v>
          </cell>
          <cell r="F3" t="str">
            <v>•  Radiological Protection Program
•  Emergency Response Program
•  Fire Protection Program
•  Performance Based Training Program
•  Conduct of Operations</v>
          </cell>
          <cell r="H3" t="str">
            <v>•  Radiological Protection Program
•  Emergency Response Program
•  Fire Protection Program
•  Performance Based Training Program
•  Conduct of Operations</v>
          </cell>
          <cell r="I3" t="str">
            <v>•  Radiological Protection Program
•  Emergency Response Program
•  Fire Protection Program
•  Performance Based Training Program
•  Conduct of Operations</v>
          </cell>
          <cell r="J3" t="str">
            <v>•  Radiological Protection Program
•  Emergency Response Program
•  Fire Protection Program
•  Performance Based Training Program
•  Conduct of Operations</v>
          </cell>
          <cell r="K3" t="str">
            <v>•  Radiological Protection Program
•  Emergency Response Program
•  Fire Protection Program
•  Performance Based Training Program
•  Conduct of Operations</v>
          </cell>
        </row>
        <row r="4">
          <cell r="A4" t="str">
            <v>Small combustible material fire</v>
          </cell>
          <cell r="B4" t="str">
            <v>E02</v>
          </cell>
          <cell r="C4" t="str">
            <v>•  SAC for APPROVED CONTAINER use
•  SAC for facility inventory control</v>
          </cell>
          <cell r="D4" t="str">
            <v>•  SAC for APPROVED CONTAINER use
•  SAC for facility inventory control</v>
          </cell>
          <cell r="F4" t="str">
            <v>•  SAC for APPROVED CONTAINER use
•  SAC for facility inventory control</v>
          </cell>
          <cell r="H4" t="str">
            <v>•  SAC for APPROVED CONTAINER use
•  SAC for facility inventory control</v>
          </cell>
          <cell r="I4" t="str">
            <v>•  SAC for APPROVED CONTAINER use
•  SAC for facility inventory control
• SAC for TRU WASTE AREAS</v>
          </cell>
          <cell r="J4" t="str">
            <v>•  SAC for APPROVED CONTAINER use
•  SAC for facility inventory control</v>
          </cell>
          <cell r="K4" t="str">
            <v>•  SAC for APPROVED CONTAINER use
•  SAC for facility inventory control</v>
          </cell>
        </row>
        <row r="5">
          <cell r="C5" t="str">
            <v>•  Radiological Protection Program
•  Emergency Response Program
•  Fire Protection Program
•  Performance Based Training Program
•  Conduct of Operations</v>
          </cell>
          <cell r="D5" t="str">
            <v>•  Radiological Protection Program
•  Emergency Response Program
•  Fire Protection Program
•  Performance Based Training Program
•  Conduct of Operations</v>
          </cell>
          <cell r="F5" t="str">
            <v>•  Radiological Protection Program
•  Emergency Response Program
•  Fire Protection Program
•  Performance Based Training Program
•  Conduct of Operations</v>
          </cell>
          <cell r="G5" t="str">
            <v>•  Radiological Protection Program
•  Emergency Response Program
•  Fire Protection Program
•  Performance Based Training Program
•  Conduct of Operations</v>
          </cell>
          <cell r="H5" t="str">
            <v>•  Radiological Protection Program
•  Emergency Response Program
•  Fire Protection Program
•  Performance Based Training Program
•  Conduct of Operations</v>
          </cell>
          <cell r="I5" t="str">
            <v>•  Radiological Protection Program
•  Emergency Response Program
•  Fire Protection Program
•  Performance Based Training Program
•  Conduct of Operations</v>
          </cell>
          <cell r="J5" t="str">
            <v>•  Radiological Protection Program
•  Emergency Response Program
•  Fire Protection Program
•  Performance Based Training Program
•  Conduct of Operations</v>
          </cell>
          <cell r="K5" t="str">
            <v>•  Radiological Protection Program
•  Emergency Response Program
•  Fire Protection Program
•  Performance Based Training Program
•  Conduct of Operations</v>
          </cell>
          <cell r="L5" t="str">
            <v>•  Radiological Protection Program
•  Emergency Response Program
•  Fire Protection Program
•  Performance Based Training Program
•  Conduct of Operations</v>
          </cell>
          <cell r="M5" t="str">
            <v>•  Radiological Protection Program
•  Emergency Response Program
•  Fire Protection Program
•  Performance Based Training Program
•  Conduct of Operations</v>
          </cell>
        </row>
        <row r="6">
          <cell r="A6" t="str">
            <v>Large fire</v>
          </cell>
          <cell r="B6" t="str">
            <v>E04</v>
          </cell>
          <cell r="C6" t="str">
            <v>•  SAC for APPROVED CONTAINER use
•  SAC for facility inventory control</v>
          </cell>
          <cell r="F6" t="str">
            <v>•  SAC for APPROVED CONTAINER use
•  SAC for facility inventory control</v>
          </cell>
          <cell r="J6" t="str">
            <v>•  SAC for APPROVED CONTAINER use
•  SAC for facility inventory control</v>
          </cell>
        </row>
        <row r="7">
          <cell r="C7" t="str">
            <v>•  Radiological Protection Program
•  Emergency Response Program
•  Fire Protection Program
•  Performance Based Training Program
•  Conduct of Operations</v>
          </cell>
          <cell r="F7" t="str">
            <v>•  Radiological Protection Program
•  Emergency Response Program
•  Fire Protection Program
•  Performance Based Training Program
•  Conduct of Operations</v>
          </cell>
          <cell r="G7" t="str">
            <v>•  Radiological Protection Program
•  Emergency Response Program
•  Fire Protection Program
•  Performance Based Training Program
•  Conduct of Operations</v>
          </cell>
          <cell r="J7" t="str">
            <v>•  Radiological Protection Program
•  Emergency Response Program
•  Fire Protection Program
•  Performance Based Training Program
•  Conduct of Operations</v>
          </cell>
          <cell r="L7" t="str">
            <v>•  Radiological Protection Program
•  Emergency Response Program
•  Fire Protection Program
•  Performance Based Training Program
•  Conduct of Operations</v>
          </cell>
        </row>
        <row r="8">
          <cell r="A8" t="str">
            <v>Localized explosion external to container</v>
          </cell>
          <cell r="B8" t="str">
            <v>E05</v>
          </cell>
          <cell r="C8" t="str">
            <v>•  SAC for APPROVED CONTAINER use
•  SAC for facility inventory control</v>
          </cell>
          <cell r="D8" t="str">
            <v>•  SAC for APPROVED CONTAINER use
•  SAC for facility inventory control</v>
          </cell>
          <cell r="F8" t="str">
            <v>•  SAC for APPROVED CONTAINER use
•  SAC for facility inventory control</v>
          </cell>
          <cell r="H8" t="str">
            <v>•  SAC for APPROVED CONTAINER use
•  SAC for facility inventory control</v>
          </cell>
          <cell r="I8" t="str">
            <v>•  SAC for APPROVED CONTAINER use
•  SAC for facility inventory control</v>
          </cell>
          <cell r="K8" t="str">
            <v>•  SAC for APPROVED CONTAINER use
•  SAC for facility inventory control</v>
          </cell>
        </row>
        <row r="9">
          <cell r="C9" t="str">
            <v>•  Radiological Protection Program
•  Emergency Response Program
•  Fire Protection Program
•  Performance Based Training Program
•  Conduct of Operations</v>
          </cell>
          <cell r="D9" t="str">
            <v>•  Radiological Protection Program
•  Emergency Response Program
•  Fire Protection Program
•  Performance Based Training Program
•  Conduct of Operations</v>
          </cell>
          <cell r="E9" t="str">
            <v>•  Radiological Protection Program
•  Emergency Response Program
•  Fire Protection Program
•  Performance Based Training Program
•  Conduct of Operations</v>
          </cell>
          <cell r="F9" t="str">
            <v>•  Radiological Protection Program
•  Emergency Response Program
•  Fire Protection Program
•  Performance Based Training Program
•  Conduct of Operations</v>
          </cell>
          <cell r="H9" t="str">
            <v>•  Radiological Protection Program
•  Emergency Response Program
•  Fire Protection Program
•  Performance Based Training Program
•  Conduct of Operations</v>
          </cell>
          <cell r="I9" t="str">
            <v>•  Radiological Protection Program
•  Emergency Response Program
•  Fire Protection Program
•  Performance Based Training Program
•  Conduct of Operations</v>
          </cell>
          <cell r="J9" t="str">
            <v>•  Radiological Protection Program
•  Emergency Response Program
•  Fire Protection Program
•  Performance Based Training Program
•  Conduct of Operations</v>
          </cell>
          <cell r="K9" t="str">
            <v>•  Radiological Protection Program
•  Emergency Response Program
•  Fire Protection Program
•  Performance Based Training Program
•  Conduct of Operations</v>
          </cell>
        </row>
        <row r="10">
          <cell r="A10" t="str">
            <v>Waste container deflagration</v>
          </cell>
          <cell r="B10" t="str">
            <v>E06</v>
          </cell>
          <cell r="C10" t="str">
            <v>•  SAC for APPROVED CONTAINER use
•  SAC for facility inventory control</v>
          </cell>
          <cell r="D10" t="str">
            <v>•  SAC for APPROVED CONTAINER use
•  SAC for facility inventory control</v>
          </cell>
          <cell r="F10" t="str">
            <v>•  SAC for APPROVED CONTAINER use
•  SAC for facility inventory control</v>
          </cell>
          <cell r="H10" t="str">
            <v>•  SAC for APPROVED CONTAINER use
•  SAC for facility inventory control</v>
          </cell>
          <cell r="I10" t="str">
            <v>•  SAC for APPROVED CONTAINER use
•  SAC for facility inventory control</v>
          </cell>
        </row>
        <row r="11">
          <cell r="C11" t="str">
            <v>•  Radiological Protection Program
•  Emergency Response Program
•  Fire Protection Program
•  Performance Based Training Program
•  Conduct of Operations</v>
          </cell>
          <cell r="D11" t="str">
            <v>•  Radiological Protection Program
•  Emergency Response Program
•  Fire Protection Program
•  Performance Based Training Program
•  Conduct of Operations</v>
          </cell>
          <cell r="F11" t="str">
            <v>•  Radiological Protection Program
•  Emergency Response Program
•  Fire Protection Program
•  Performance Based Training Program
•  Conduct of Operations</v>
          </cell>
          <cell r="G11" t="str">
            <v>•  Radiological Protection Program
•  Emergency Response Program
•  Fire Protection Program
•  Performance Based Training Program
•  Conduct of Operations</v>
          </cell>
          <cell r="H11" t="str">
            <v>•  Radiological Protection Program
•  Emergency Response Program
•  Fire Protection Program
•  Performance Based Training Program
•  Conduct of Operations</v>
          </cell>
          <cell r="I11" t="str">
            <v>•  Radiological Protection Program
•  Emergency Response Program
•  Fire Protection Program
•  Performance Based Training Program
•  Conduct of Operations</v>
          </cell>
          <cell r="J11" t="str">
            <v>•  Radiological Protection Program
•  Emergency Response Program
•  Fire Protection Program
•  Performance Based Training Program
•  Conduct of Operations</v>
          </cell>
          <cell r="L11" t="str">
            <v>•  Radiological Protection Program
•  Emergency Response Program
•  Fire Protection Program
•  Performance Based Training Program
•  Conduct of Operations</v>
          </cell>
        </row>
        <row r="12">
          <cell r="A12" t="str">
            <v>Multiple container deflagration</v>
          </cell>
          <cell r="B12" t="str">
            <v>E07</v>
          </cell>
        </row>
        <row r="14">
          <cell r="A14" t="str">
            <v>Enclosure deflagration</v>
          </cell>
          <cell r="B14" t="str">
            <v>E08</v>
          </cell>
        </row>
        <row r="16">
          <cell r="A16" t="str">
            <v>Vehicle/equipment impacts waste/waste containers</v>
          </cell>
          <cell r="B16" t="str">
            <v>E09</v>
          </cell>
          <cell r="I16" t="str">
            <v>• SAC for TRU WASTE AREAS</v>
          </cell>
        </row>
        <row r="17">
          <cell r="C17" t="str">
            <v>•  Radiological Protection Program
•  Emergency Response Program
•  Performance Based Training Program
•  Conduct of Operations</v>
          </cell>
          <cell r="D17" t="str">
            <v>•  Radiological Protection Program
•  Emergency Response Program
•  Performance Based Training Program
•  Conduct of Operations</v>
          </cell>
          <cell r="E17" t="str">
            <v>•  Radiological Protection Program
•  Emergency Response Program
•  Performance Based Training Program
•  Conduct of Operations</v>
          </cell>
          <cell r="F17" t="str">
            <v>•  Radiological Protection Program
•  Emergency Response Program
•  Performance Based Training Program
•  Conduct of Operations</v>
          </cell>
          <cell r="H17" t="str">
            <v>•  Radiological Protection Program
•  Emergency Response Program
•  Performance Based Training Program
•  Conduct of Operations</v>
          </cell>
          <cell r="I17" t="str">
            <v>•  Radiological Protection Program
•  Emergency Response Program
•  Performance Based Training Program
•  Conduct of Operations</v>
          </cell>
          <cell r="J17" t="str">
            <v>•  Radiological Protection Program
•  Emergency Response Program
•  Performance Based Training Program
•  Conduct of Operations</v>
          </cell>
          <cell r="K17" t="str">
            <v>•  Radiological Protection Program
•  Emergency Response Program
•  Performance Based Training Program
•  Conduct of Operations</v>
          </cell>
        </row>
        <row r="18">
          <cell r="A18" t="str">
            <v>Drop/impact/spill</v>
          </cell>
          <cell r="B18" t="str">
            <v>E10</v>
          </cell>
          <cell r="I18" t="str">
            <v>• SAC for TRU WASTE AREAS</v>
          </cell>
        </row>
        <row r="19">
          <cell r="C19" t="str">
            <v>•  Radiological Protection Program
•  Emergency Response Program
•  Performance Based Training Program
•  Conduct of Operations</v>
          </cell>
          <cell r="D19" t="str">
            <v>•  Radiological Protection Program
•  Emergency Response Program
•  Performance Based Training Program
•  Conduct of Operations</v>
          </cell>
          <cell r="E19" t="str">
            <v>•  Radiological Protection Program
•  Emergency Response Program
•  Performance Based Training Program
•  Conduct of Operations</v>
          </cell>
          <cell r="F19" t="str">
            <v>•  Radiological Protection Program
•  Emergency Response Program
•  Performance Based Training Program
•  Conduct of Operations</v>
          </cell>
          <cell r="G19" t="str">
            <v>•  Radiological Protection Program
•  Emergency Response Program
•  Performance Based Training Program
•  Conduct of Operations</v>
          </cell>
          <cell r="H19" t="str">
            <v>•  Radiological Protection Program
•  Emergency Response Program
•  Performance Based Training Program
•  Conduct of Operations</v>
          </cell>
          <cell r="I19" t="str">
            <v>•  Radiological Protection Program
•  Emergency Response Program
•  Performance Based Training Program
•  Conduct of Operations</v>
          </cell>
          <cell r="J19" t="str">
            <v>•  Radiological Protection Program
•  Emergency Response Program
•  Performance Based Training Program
•  Conduct of Operations</v>
          </cell>
          <cell r="K19" t="str">
            <v>•  Radiological Protection Program
•  Emergency Response Program
•  Performance Based Training Program
•  Conduct of Operations</v>
          </cell>
          <cell r="L19" t="str">
            <v>•  Radiological Protection Program
•  Emergency Response Program
•  Performance Based Training Program
•  Conduct of Operations</v>
          </cell>
          <cell r="M19" t="str">
            <v>•  Radiological Protection Program
•  Emergency Response Program
•  Performance Based Training Program
•  Conduct of Operations</v>
          </cell>
        </row>
        <row r="20">
          <cell r="A20" t="str">
            <v>Collapse of stacked containers</v>
          </cell>
          <cell r="B20" t="str">
            <v>E11</v>
          </cell>
        </row>
        <row r="21">
          <cell r="C21" t="str">
            <v>•  Radiological Protection Program
•  Emergency Response Program
•  Performance Based Training Program
•  Conduct of Operations</v>
          </cell>
          <cell r="D21" t="str">
            <v>•  Radiological Protection Program
•  Emergency Response Program
•  Performance Based Training Program
•  Conduct of Operations</v>
          </cell>
          <cell r="F21" t="str">
            <v>•  Radiological Protection Program
•  Emergency Response Program
•  Performance Based Training Program
•  Conduct of Operations</v>
          </cell>
          <cell r="I21" t="str">
            <v>•  Radiological Protection Program
•  Emergency Response Program
•  Performance Based Training Program
•  Conduct of Operations</v>
          </cell>
        </row>
        <row r="22">
          <cell r="A22" t="str">
            <v>Waste container over-pressurization</v>
          </cell>
          <cell r="B22" t="str">
            <v>E12</v>
          </cell>
          <cell r="I22" t="str">
            <v>• SAC for TRU WASTE AREAS</v>
          </cell>
        </row>
        <row r="23">
          <cell r="C23" t="str">
            <v>•  Radiological Protection Program
•  Emergency Response Program
•  Performance Based Training Program
•  Conduct of Operations</v>
          </cell>
          <cell r="D23" t="str">
            <v>•  Radiological Protection Program
•  Emergency Response Program
•  Performance Based Training Program
•  Conduct of Operations</v>
          </cell>
          <cell r="F23" t="str">
            <v>•  Radiological Protection Program
•  Emergency Response Program
•  Performance Based Training Program
•  Conduct of Operations</v>
          </cell>
          <cell r="G23" t="str">
            <v>•  Radiological Protection Program
•  Emergency Response Program
•  Performance Based Training Program
•  Conduct of Operations</v>
          </cell>
          <cell r="H23" t="str">
            <v>•  Radiological Protection Program
•  Emergency Response Program
•  Performance Based Training Program
•  Conduct of Operations</v>
          </cell>
          <cell r="I23" t="str">
            <v>•  Radiological Protection Program
•  Emergency Response Program
•  Performance Based Training Program
•  Conduct of Operations</v>
          </cell>
          <cell r="J23" t="str">
            <v>•  Radiological Protection Program
•  Emergency Response Program
•  Performance Based Training Program
•  Conduct of Operations</v>
          </cell>
          <cell r="L23" t="str">
            <v>•  Radiological Protection Program
•  Emergency Response Program
•  Performance Based Training Program
•  Conduct of Operations</v>
          </cell>
        </row>
        <row r="24">
          <cell r="A24" t="str">
            <v>Direct exposure to radiation</v>
          </cell>
          <cell r="B24" t="str">
            <v>E13</v>
          </cell>
        </row>
        <row r="25">
          <cell r="C25" t="str">
            <v>•  Radiological Protection Program
•  Performance Based Training Program
•  Conduct of Operations</v>
          </cell>
          <cell r="D25" t="str">
            <v>•  Radiological Protection Program
•  Performance Based Training Program
•  Conduct of Operations</v>
          </cell>
          <cell r="E25" t="str">
            <v>•  Radiological Protection Program
•  Performance Based Training Program
•  Conduct of Operations</v>
          </cell>
          <cell r="F25" t="str">
            <v>•  Radiological Protection Program
•  Performance Based Training Program
•  Conduct of Operations</v>
          </cell>
          <cell r="G25" t="str">
            <v>•  Radiological Protection Program
•  Performance Based Training Program
•  Conduct of Operations</v>
          </cell>
          <cell r="H25" t="str">
            <v>•  Radiological Protection Program
•  Performance Based Training Program
•  Conduct of Operations</v>
          </cell>
          <cell r="I25" t="str">
            <v>•  Radiological Protection Program
•  Performance Based Training Program
•  Conduct of Operations</v>
          </cell>
          <cell r="J25" t="str">
            <v>•  Radiological Protection Program
•  Performance Based Training Program
•  Conduct of Operations</v>
          </cell>
          <cell r="K25" t="str">
            <v>•  Radiological Protection Program
•  Performance Based Training Program
•  Conduct of Operations</v>
          </cell>
          <cell r="L25" t="str">
            <v>•  Radiological Protection Program
•  Performance Based Training Program
•  Conduct of Operations</v>
          </cell>
          <cell r="M25" t="str">
            <v>•  Radiological Protection Program
•  Performance Based Training Program
•  Conduct of Operations</v>
          </cell>
        </row>
        <row r="26">
          <cell r="A26" t="str">
            <v>Criticality</v>
          </cell>
          <cell r="B26" t="str">
            <v>E14</v>
          </cell>
        </row>
        <row r="27">
          <cell r="C27" t="str">
            <v>•  Radiological Protection Program
•  Nuclear Criticality Safety Program
•  Emergency Response Program
•  Performance Based Training Program
•  Conduct of Operations</v>
          </cell>
          <cell r="D27" t="str">
            <v>•  Radiological Protection Program
•  Nuclear Criticality Safety Program
•  Emergency Response Program
•  Performance Based Training Program
•  Conduct of Operations</v>
          </cell>
          <cell r="E27" t="str">
            <v>•  Radiological Protection Program
•  Nuclear Criticality Safety Program
•  Emergency Response Program
•  Performance Based Training Program
•  Conduct of Operations</v>
          </cell>
          <cell r="F27" t="str">
            <v>•  Radiological Protection Program
•  Nuclear Criticality Safety Program
•  Emergency Response Program
•  Performance Based Training Program
•  Conduct of Operations</v>
          </cell>
          <cell r="G27" t="str">
            <v>•  Radiological Protection Program
•  Nuclear Criticality Safety Program
•  Emergency Response Program
•  Performance Based Training Program
•  Conduct of Operations</v>
          </cell>
          <cell r="H27" t="str">
            <v>•  Radiological Protection Program
•  Nuclear Criticality Safety Program
•  Emergency Response Program
•  Performance Based Training Program
•  Conduct of Operations</v>
          </cell>
          <cell r="I27" t="str">
            <v>•  Radiological Protection Program
•  Nuclear Criticality Safety Program
•  Emergency Response Program
•  Performance Based Training Program
•  Conduct of Operations</v>
          </cell>
          <cell r="J27" t="str">
            <v>•  Radiological Protection Program
•  Nuclear Criticality Safety Program
•  Emergency Response Program
•  Performance Based Training Program
•  Conduct of Operations</v>
          </cell>
          <cell r="K27" t="str">
            <v>•  Radiological Protection Program
•  Nuclear Criticality Safety Program
•  Emergency Response Program
•  Performance Based Training Program
•  Conduct of Operations</v>
          </cell>
          <cell r="L27" t="str">
            <v>•  Radiological Protection Program
•  Nuclear Criticality Safety Program
•  Emergency Response Program
•  Performance Based Training Program
•  Conduct of Operations</v>
          </cell>
          <cell r="M27" t="str">
            <v>•  Radiological Protection Program
•  Nuclear Criticality Safety Program
•  Emergency Response Program
•  Performance Based Training Program
•  Conduct of Operations</v>
          </cell>
        </row>
        <row r="28">
          <cell r="A28" t="str">
            <v>Aircraft impact with fire</v>
          </cell>
          <cell r="B28" t="str">
            <v>E15</v>
          </cell>
          <cell r="C28" t="str">
            <v>• SAC for APPROVED CONTAINER use</v>
          </cell>
          <cell r="D28" t="str">
            <v>• SAC for APPROVED CONTAINER use</v>
          </cell>
          <cell r="E28" t="str">
            <v>• SAC for APPROVED CONTAINER use</v>
          </cell>
          <cell r="F28" t="str">
            <v>• SAC for APPROVED CONTAINER use</v>
          </cell>
          <cell r="G28" t="str">
            <v>• SAC for APPROVED CONTAINER use</v>
          </cell>
          <cell r="H28" t="str">
            <v>• SAC for APPROVED CONTAINER use</v>
          </cell>
          <cell r="I28" t="str">
            <v>• SAC for APPROVED CONTAINER use
• SAC for TRU WASTE AREAS</v>
          </cell>
          <cell r="J28" t="str">
            <v>• SAC for APPROVED CONTAINER use</v>
          </cell>
          <cell r="L28" t="str">
            <v>• SAC for APPROVED CONTAINER use</v>
          </cell>
        </row>
        <row r="29">
          <cell r="C29" t="str">
            <v>•  Radiological Protection Program
•  Emergency Response Program
•  Fire Protection Program
•  Performance Based Training Program
•  Conduct of Operations</v>
          </cell>
          <cell r="D29" t="str">
            <v>•  Radiological Protection Program
•  Emergency Response Program
•  Fire Protection Program
•  Performance Based Training Program
•  Conduct of Operations</v>
          </cell>
          <cell r="E29" t="str">
            <v>•  Radiological Protection Program
•  Emergency Response Program
•  Fire Protection Program
•  Performance Based Training Program
•  Conduct of Operations</v>
          </cell>
          <cell r="F29" t="str">
            <v>•  Radiological Protection Program
•  Emergency Response Program
•  Fire Protection Program
•  Performance Based Training Program
•  Conduct of Operations</v>
          </cell>
          <cell r="G29" t="str">
            <v>•  Radiological Protection Program
•  Emergency Response Program
•  Fire Protection Program
•  Performance Based Training Program
•  Conduct of Operations</v>
          </cell>
          <cell r="H29" t="str">
            <v>•  Radiological Protection Program
•  Emergency Response Program
•  Fire Protection Program
•  Performance Based Training Program
•  Conduct of Operations</v>
          </cell>
          <cell r="I29" t="str">
            <v>•  Radiological Protection Program
•  Emergency Response Program
•  Fire Protection Program
•  Performance Based Training Program
•  Conduct of Operations</v>
          </cell>
          <cell r="J29" t="str">
            <v>•  Radiological Protection Program
•  Emergency Response Program
•  Fire Protection Program
•  Performance Based Training Program
•  Conduct of Operations</v>
          </cell>
          <cell r="L29" t="str">
            <v>•  Radiological Protection Program
•  Emergency Response Program
•  Fire Protection Program
•  Performance Based Training Program
•  Conduct of Operations</v>
          </cell>
        </row>
        <row r="30">
          <cell r="A30" t="str">
            <v>External vehicle accident</v>
          </cell>
          <cell r="B30" t="str">
            <v>E16</v>
          </cell>
          <cell r="I30" t="str">
            <v>• SAC for TRU WASTE AREAS</v>
          </cell>
        </row>
        <row r="31">
          <cell r="C31" t="str">
            <v>•  Emergency Response Program
•  Radiological Protection Program</v>
          </cell>
          <cell r="E31" t="str">
            <v>•  Emergency Response Program
•  Radiological Protection Program</v>
          </cell>
          <cell r="I31" t="str">
            <v>•  Emergency Response Program
•  Radiological Protection Program</v>
          </cell>
        </row>
        <row r="32">
          <cell r="A32" t="str">
            <v>External vehicle accident with fire</v>
          </cell>
          <cell r="B32" t="str">
            <v>E17</v>
          </cell>
          <cell r="C32" t="str">
            <v>• SAC for APPROVED CONTAINER use</v>
          </cell>
          <cell r="I32" t="str">
            <v>• SAC for APPROVED CONTAINER use</v>
          </cell>
        </row>
        <row r="33">
          <cell r="C33" t="str">
            <v>•  Radiological Protection Program
•  Emergency Response Program
•  Fire Protection Program
•  Performance Based Training Program
•  Conduct of Operations</v>
          </cell>
          <cell r="E33" t="str">
            <v>•  Radiological Protection Program
•  Emergency Response Program
•  Fire Protection Program
•  Performance Based Training Program
•  Conduct of Operations</v>
          </cell>
          <cell r="I33" t="str">
            <v>•  Radiological Protection Program
•  Emergency Response Program
•  Fire Protection Program
•  Performance Based Training Program
•  Conduct of Operations</v>
          </cell>
        </row>
        <row r="34">
          <cell r="A34" t="str">
            <v>External explosion</v>
          </cell>
          <cell r="B34" t="str">
            <v>E18</v>
          </cell>
          <cell r="C34" t="str">
            <v>• SAC for APPROVED CONTAINER use</v>
          </cell>
          <cell r="F34" t="str">
            <v>• SAC for APPROVED CONTAINER use</v>
          </cell>
          <cell r="I34" t="str">
            <v>• SAC for APPROVED CONTAINER use</v>
          </cell>
          <cell r="J34" t="str">
            <v>• SAC for APPROVED CONTAINER use</v>
          </cell>
        </row>
        <row r="35">
          <cell r="C35" t="str">
            <v>•  Radiological Protection Program
•  Emergency Response Program
•  Fire Protection Program
•  Performance Based Training Program
•  Conduct of Operations</v>
          </cell>
          <cell r="E35" t="str">
            <v>•  Radiological Protection Program
•  Emergency Response Program
•  Fire Protection Program
•  Performance Based Training Program
•  Conduct of Operations</v>
          </cell>
          <cell r="F35" t="str">
            <v>•  Radiological Protection Program
•  Emergency Response Program
•  Fire Protection Program
•  Performance Based Training Program
•  Conduct of Operations</v>
          </cell>
          <cell r="G35" t="str">
            <v>•  Radiological Protection Program
•  Emergency Response Program
•  Fire Protection Program
•  Performance Based Training Program
•  Conduct of Operations</v>
          </cell>
          <cell r="I35" t="str">
            <v>•  Radiological Protection Program
•  Emergency Response Program
•  Fire Protection Program
•  Performance Based Training Program
•  Conduct of Operations</v>
          </cell>
          <cell r="J35" t="str">
            <v>•  Radiological Protection Program
•  Emergency Response Program
•  Fire Protection Program
•  Performance Based Training Program
•  Conduct of Operations</v>
          </cell>
        </row>
        <row r="36">
          <cell r="A36" t="str">
            <v>External fire</v>
          </cell>
          <cell r="B36" t="str">
            <v>E19</v>
          </cell>
          <cell r="C36" t="str">
            <v>• SAC for APPROVED CONTAINER use</v>
          </cell>
          <cell r="D36" t="str">
            <v>• SAC for APPROVED CONTAINER use</v>
          </cell>
          <cell r="F36" t="str">
            <v>• SAC for APPROVED CONTAINER use</v>
          </cell>
          <cell r="I36" t="str">
            <v>• SAC for APPROVED CONTAINER use</v>
          </cell>
          <cell r="J36" t="str">
            <v>• SAC for APPROVED CONTAINER use</v>
          </cell>
        </row>
        <row r="37">
          <cell r="C37" t="str">
            <v>•  Emergency Response Program
•  Fire Protection Program
•  Radiological Protection Program</v>
          </cell>
          <cell r="D37" t="str">
            <v>•  Emergency Response Program
•  Fire Protection Program
•  Radiological Protection Program</v>
          </cell>
          <cell r="E37" t="str">
            <v>•  Emergency Response Program
•  Fire Protection Program
•  Radiological Protection Program</v>
          </cell>
          <cell r="F37" t="str">
            <v>•  Emergency Response Program
•  Fire Protection Program
•  Radiological Protection Program</v>
          </cell>
          <cell r="I37" t="str">
            <v>•  Emergency Response Program
•  Fire Protection Program
•  Radiological Protection Program</v>
          </cell>
          <cell r="J37" t="str">
            <v>•  Emergency Response Program
•  Fire Protection Program
•  Radiological Protection Program</v>
          </cell>
        </row>
        <row r="38">
          <cell r="A38" t="str">
            <v>Lightning</v>
          </cell>
          <cell r="B38" t="str">
            <v>E20</v>
          </cell>
        </row>
        <row r="39">
          <cell r="C39" t="str">
            <v>•  Radiological Protection Program
•  Emergency Response Program
•  Fire Protection Program
•  Performance Based Training Program
•  Conduct of Operations</v>
          </cell>
          <cell r="E39" t="str">
            <v>•  Radiological Protection Program
•  Emergency Response Program
•  Fire Protection Program
•  Performance Based Training Program
•  Conduct of Operations</v>
          </cell>
          <cell r="I39" t="str">
            <v>•  Radiological Protection Program
•  Emergency Response Program
•  Fire Protection Program
•  Performance Based Training Program
•  Conduct of Operations</v>
          </cell>
        </row>
        <row r="40">
          <cell r="A40" t="str">
            <v>High wind</v>
          </cell>
          <cell r="B40" t="str">
            <v>E21</v>
          </cell>
        </row>
        <row r="41">
          <cell r="C41" t="str">
            <v>•  Radiological Protection Program
•  Emergency Response Program
•  Performance Based Training Program
•  Conduct of Operations</v>
          </cell>
          <cell r="E41" t="str">
            <v>•  Radiological Protection Program
•  Emergency Response Program
•  Performance Based Training Program
•  Conduct of Operations</v>
          </cell>
          <cell r="I41" t="str">
            <v>•  Radiological Protection Program
•  Emergency Response Program
•  Performance Based Training Program
•  Conduct of Operations</v>
          </cell>
        </row>
        <row r="42">
          <cell r="A42" t="str">
            <v>Tornado</v>
          </cell>
          <cell r="B42" t="str">
            <v>E22</v>
          </cell>
        </row>
        <row r="43">
          <cell r="C43" t="str">
            <v>•  Radiological Protection Program
•  Emergency Response Program
•  Performance Based Training Program
•  Conduct of Operations</v>
          </cell>
          <cell r="D43" t="str">
            <v>•  Radiological Protection Program
•  Emergency Response Program
•  Performance Based Training Program
•  Conduct of Operations</v>
          </cell>
          <cell r="E43" t="str">
            <v>•  Radiological Protection Program
•  Emergency Response Program
•  Performance Based Training Program
•  Conduct of Operations</v>
          </cell>
          <cell r="F43" t="str">
            <v>•  Radiological Protection Program
•  Emergency Response Program
•  Performance Based Training Program
•  Conduct of Operations</v>
          </cell>
          <cell r="G43" t="str">
            <v>•  Radiological Protection Program
•  Emergency Response Program
•  Performance Based Training Program
•  Conduct of Operations</v>
          </cell>
          <cell r="H43" t="str">
            <v>•  Radiological Protection Program
•  Emergency Response Program
•  Performance Based Training Program
•  Conduct of Operations</v>
          </cell>
          <cell r="I43" t="str">
            <v>•  Radiological Protection Program
•  Emergency Response Program
•  Performance Based Training Program
•  Conduct of Operations</v>
          </cell>
          <cell r="J43" t="str">
            <v>•  Radiological Protection Program
•  Emergency Response Program
•  Performance Based Training Program
•  Conduct of Operations</v>
          </cell>
          <cell r="L43" t="str">
            <v>•  Radiological Protection Program
•  Emergency Response Program
•  Performance Based Training Program
•  Conduct of Operations</v>
          </cell>
          <cell r="M43" t="str">
            <v>•  Radiological Protection Program
•  Emergency Response Program
•  Performance Based Training Program
•  Conduct of Operations</v>
          </cell>
        </row>
        <row r="44">
          <cell r="A44" t="str">
            <v>Snow and/or ice buildup</v>
          </cell>
          <cell r="B44" t="str">
            <v>E23</v>
          </cell>
        </row>
        <row r="45">
          <cell r="C45" t="str">
            <v>•  Radiological Protection Program
•  Performance Based Training Program
•  Conduct of Operations</v>
          </cell>
          <cell r="I45" t="str">
            <v>•  Radiological Protection Program
•  Performance Based Training Program
•  Conduct of Operations</v>
          </cell>
        </row>
        <row r="46">
          <cell r="A46" t="str">
            <v>Seismic event</v>
          </cell>
          <cell r="B46" t="str">
            <v>E24</v>
          </cell>
        </row>
        <row r="47">
          <cell r="C47" t="str">
            <v>•  Radiological Protection Program
•  Emergency Response Program
•  Performance Based Training Program
•  Conduct of Operations</v>
          </cell>
          <cell r="D47" t="str">
            <v>•  Radiological Protection Program
•  Emergency Response Program
•  Performance Based Training Program
•  Conduct of Operations</v>
          </cell>
          <cell r="E47" t="str">
            <v>•  Radiological Protection Program
•  Emergency Response Program
•  Performance Based Training Program
•  Conduct of Operations</v>
          </cell>
          <cell r="F47" t="str">
            <v>•  Radiological Protection Program
•  Emergency Response Program
•  Performance Based Training Program
•  Conduct of Operations</v>
          </cell>
          <cell r="G47" t="str">
            <v>•  Radiological Protection Program
•  Emergency Response Program
•  Performance Based Training Program
•  Conduct of Operations</v>
          </cell>
          <cell r="H47" t="str">
            <v>•  Radiological Protection Program
•  Emergency Response Program
•  Performance Based Training Program
•  Conduct of Operations</v>
          </cell>
          <cell r="I47" t="str">
            <v>•  Radiological Protection Program
•  Emergency Response Program
•  Performance Based Training Program
•  Conduct of Operations</v>
          </cell>
          <cell r="J47" t="str">
            <v>•  Radiological Protection Program
•  Emergency Response Program
•  Performance Based Training Program
•  Conduct of Operations</v>
          </cell>
          <cell r="L47" t="str">
            <v>•  Radiological Protection Program
•  Emergency Response Program
•  Performance Based Training Program
•  Conduct of Operations</v>
          </cell>
          <cell r="M47" t="str">
            <v>•  Radiological Protection Program
•  Emergency Response Program
•  Performance Based Training Program
•  Conduct of Operations</v>
          </cell>
        </row>
        <row r="48">
          <cell r="A48" t="str">
            <v>Loss of airborne contamination confinement</v>
          </cell>
          <cell r="B48" t="str">
            <v>AER</v>
          </cell>
        </row>
        <row r="49">
          <cell r="C49" t="str">
            <v>•  Radiological Protection Program
•  Performance Based Training Program
•  Conduct of Operations</v>
          </cell>
          <cell r="E49" t="str">
            <v>•  Radiological Protection Program
•  Performance Based Training Program
•  Conduct of Operations</v>
          </cell>
          <cell r="G49" t="str">
            <v>•  Radiological Protection Program
•  Performance Based Training Program
•  Conduct of Operations</v>
          </cell>
          <cell r="J49" t="str">
            <v>•  Radiological Protection Program
•  Performance Based Training Program
•  Conduct of Operations</v>
          </cell>
          <cell r="L49" t="str">
            <v>•  Radiological Protection Program
•  Performance Based Training Program
•  Conduct of Operations</v>
          </cell>
          <cell r="M49" t="str">
            <v>•  Radiological Protection Program
•  Performance Based Training Program
•  Conduct of Operations</v>
          </cell>
        </row>
        <row r="50">
          <cell r="A50" t="str">
            <v>Localized explosion within facility</v>
          </cell>
          <cell r="B50" t="str">
            <v>ES</v>
          </cell>
        </row>
        <row r="51">
          <cell r="C51" t="str">
            <v>•  Radiological Protection Program
•  Emergency Response Program
•  Fire Protection Program
•  Performance Based Training Program
•  Conduct of Operations</v>
          </cell>
          <cell r="G51" t="str">
            <v>•  Radiological Protection Program
•  Emergency Response Program
•  Fire Protection Program
•  Performance Based Training Program
•  Conduct of Operations</v>
          </cell>
          <cell r="J51" t="str">
            <v>•  Radiological Protection Program
•  Emergency Response Program
•  Fire Protection Program
•  Performance Based Training Program
•  Conduct of Operations</v>
          </cell>
          <cell r="L51" t="str">
            <v>•  Radiological Protection Program
•  Emergency Response Program
•  Fire Protection Program
•  Performance Based Training Program
•  Conduct of Operations</v>
          </cell>
        </row>
        <row r="52">
          <cell r="A52" t="str">
            <v>Loss of liquid contamination confinement</v>
          </cell>
          <cell r="B52" t="str">
            <v>FFS</v>
          </cell>
        </row>
        <row r="53">
          <cell r="C53" t="str">
            <v>•  Radiological Protection Program
•  Performance Based Training Program
•  Conduct of Operations</v>
          </cell>
          <cell r="D53" t="str">
            <v>•  Radiological Protection Program
•  Performance Based Training Program
•  Conduct of Operations</v>
          </cell>
          <cell r="F53" t="str">
            <v>•  Radiological Protection Program
•  Performance Based Training Program
•  Conduct of Operations</v>
          </cell>
          <cell r="G53" t="str">
            <v>•  Radiological Protection Program
•  Performance Based Training Program
•  Conduct of Operations</v>
          </cell>
          <cell r="H53" t="str">
            <v>•  Radiological Protection Program
•  Performance Based Training Program
•  Conduct of Operations</v>
          </cell>
          <cell r="I53" t="str">
            <v>•  Radiological Protection Program
•  Performance Based Training Program
•  Conduct of Operations</v>
          </cell>
          <cell r="J53" t="str">
            <v>•  Radiological Protection Program
•  Performance Based Training Program
•  Conduct of Operations</v>
          </cell>
          <cell r="K53" t="str">
            <v>•  Radiological Protection Program
•  Performance Based Training Program
•  Conduct of Operations</v>
          </cell>
          <cell r="L53" t="str">
            <v>•  Radiological Protection Program
•  Performance Based Training Program
•  Conduct of Operations</v>
          </cell>
          <cell r="M53" t="str">
            <v>•  Radiological Protection Program
•  Performance Based Training Program
•  Conduct of Operations</v>
          </cell>
        </row>
        <row r="54">
          <cell r="A54" t="str">
            <v>Flood</v>
          </cell>
          <cell r="B54" t="str">
            <v>FLD</v>
          </cell>
        </row>
        <row r="55">
          <cell r="C55" t="str">
            <v>•  Radiological Protection Program
•  Performance Based Training Program
•  Conduct of Operations</v>
          </cell>
          <cell r="D55" t="str">
            <v>•  Radiological Protection Program
•  Performance Based Training Program
•  Conduct of Operations</v>
          </cell>
          <cell r="E55" t="str">
            <v>•  Radiological Protection Program
•  Performance Based Training Program
•  Conduct of Operations</v>
          </cell>
          <cell r="F55" t="str">
            <v>•  Radiological Protection Program
•  Performance Based Training Program
•  Conduct of Operations</v>
          </cell>
          <cell r="G55" t="str">
            <v>•  Radiological Protection Program
•  Performance Based Training Program
•  Conduct of Operations</v>
          </cell>
          <cell r="H55" t="str">
            <v>•  Radiological Protection Program
•  Performance Based Training Program
•  Conduct of Operations</v>
          </cell>
          <cell r="I55" t="str">
            <v>•  Radiological Protection Program
•  Performance Based Training Program
•  Conduct of Operations</v>
          </cell>
          <cell r="J55" t="str">
            <v>•  Radiological Protection Program
•  Performance Based Training Program
•  Conduct of Operations</v>
          </cell>
          <cell r="L55" t="str">
            <v>•  Radiological Protection Program
•  Performance Based Training Program
•  Conduct of Operations</v>
          </cell>
        </row>
        <row r="56">
          <cell r="A56" t="str">
            <v>HEPA filter failure</v>
          </cell>
          <cell r="B56" t="str">
            <v>HB</v>
          </cell>
        </row>
        <row r="57">
          <cell r="C57" t="str">
            <v>•  Radiological Protection Program
•  Emergency Response Program
•  Performance Based Training Program
•  Conduct of Operations</v>
          </cell>
          <cell r="F57" t="str">
            <v>•  Radiological Protection Program
•  Emergency Response Program
•  Performance Based Training Program
•  Conduct of Operations</v>
          </cell>
          <cell r="G57" t="str">
            <v>•  Radiological Protection Program
•  Emergency Response Program
•  Performance Based Training Program
•  Conduct of Operations</v>
          </cell>
          <cell r="H57" t="str">
            <v>•  Radiological Protection Program
•  Emergency Response Program
•  Performance Based Training Program
•  Conduct of Operations</v>
          </cell>
          <cell r="J57" t="str">
            <v>•  Radiological Protection Program
•  Emergency Response Program
•  Performance Based Training Program
•  Conduct of Operations</v>
          </cell>
          <cell r="L57" t="str">
            <v>•  Radiological Protection Program
•  Emergency Response Program
•  Performance Based Training Program
•  Conduct of Operations</v>
          </cell>
          <cell r="M57" t="str">
            <v>•  Radiological Protection Program
•  Emergency Response Program
•  Performance Based Training Program
•  Conduct of Operations</v>
          </cell>
        </row>
        <row r="58">
          <cell r="A58" t="str">
            <v>HEPA filter fire</v>
          </cell>
          <cell r="B58" t="str">
            <v>HF</v>
          </cell>
        </row>
        <row r="59">
          <cell r="C59" t="str">
            <v>•  Radiological Protection Program
•  Emergency Response Program
•  Fire Protection Program
•  Performance Based Training Program
•  Conduct of Operations</v>
          </cell>
          <cell r="F59" t="str">
            <v>•  Radiological Protection Program
•  Emergency Response Program
•  Fire Protection Program
•  Performance Based Training Program
•  Conduct of Operations</v>
          </cell>
          <cell r="G59" t="str">
            <v>•  Radiological Protection Program
•  Emergency Response Program
•  Fire Protection Program
•  Performance Based Training Program
•  Conduct of Operations</v>
          </cell>
          <cell r="H59" t="str">
            <v>•  Radiological Protection Program
•  Emergency Response Program
•  Fire Protection Program
•  Performance Based Training Program
•  Conduct of Operations</v>
          </cell>
          <cell r="J59" t="str">
            <v>•  Radiological Protection Program
•  Emergency Response Program
•  Fire Protection Program
•  Performance Based Training Program
•  Conduct of Operations</v>
          </cell>
          <cell r="L59" t="str">
            <v>•  Radiological Protection Program
•  Emergency Response Program
•  Fire Protection Program
•  Performance Based Training Program
•  Conduct of Operations</v>
          </cell>
          <cell r="M59" t="str">
            <v>•  Radiological Protection Program
•  Emergency Response Program
•  Fire Protection Program
•  Performance Based Training Program
•  Conduct of Operations</v>
          </cell>
        </row>
        <row r="60">
          <cell r="A60" t="str">
            <v>Stack failure</v>
          </cell>
          <cell r="B60" t="str">
            <v>IS</v>
          </cell>
        </row>
        <row r="61">
          <cell r="C61" t="str">
            <v>•  Radiological Protection Program
•  Emergency Response Program
•  Performance Based Training Program
•  Conduct of Operations</v>
          </cell>
          <cell r="G61" t="str">
            <v>•  Radiological Protection Program
•  Emergency Response Program
•  Performance Based Training Program
•  Conduct of Operations</v>
          </cell>
        </row>
        <row r="62">
          <cell r="A62" t="str">
            <v>Corrosion</v>
          </cell>
          <cell r="B62" t="str">
            <v>HLW</v>
          </cell>
        </row>
        <row r="64">
          <cell r="A64" t="str">
            <v>Locomotive/ loaded rail car impacts storage casks</v>
          </cell>
          <cell r="B64" t="str">
            <v>HLW</v>
          </cell>
        </row>
        <row r="65">
          <cell r="C65" t="str">
            <v>•  Radiological Protection Program
•  Emergency Response Program
•  Performance Based Training Program
•  Conduct of Operations</v>
          </cell>
          <cell r="E65" t="str">
            <v>•  Radiological Protection Program
•  Emergency Response Program
•  Performance Based Training Program
•  Conduct of Operations</v>
          </cell>
        </row>
        <row r="66">
          <cell r="A66" t="str">
            <v>Seismic event (tip over)</v>
          </cell>
          <cell r="B66" t="str">
            <v>HLW</v>
          </cell>
        </row>
        <row r="67">
          <cell r="C67" t="str">
            <v>•  Radiological Protection Program
•  Emergency Response Program
•  Performance Based Training Program
•  Conduct of Operations</v>
          </cell>
          <cell r="E67" t="str">
            <v>•  Radiological Protection Program
•  Emergency Response Program
•  Performance Based Training Program
•  Conduct of Operations</v>
          </cell>
        </row>
        <row r="68">
          <cell r="A68" t="str">
            <v>Severe environmental conditions</v>
          </cell>
          <cell r="B68" t="str">
            <v>HLW</v>
          </cell>
        </row>
        <row r="70">
          <cell r="A70" t="str">
            <v>Storage cask tip-over due to transportation event</v>
          </cell>
          <cell r="B70" t="str">
            <v>HLW</v>
          </cell>
        </row>
        <row r="71">
          <cell r="C71" t="str">
            <v>•  Radiological Protection Program
•  Emergency Response Program
•  Performance Based Training Program
•  Conduct of Operations</v>
          </cell>
          <cell r="E71" t="str">
            <v>•  Radiological Protection Program
•  Emergency Response Program
•  Performance Based Training Program
•  Conduct of Operations</v>
          </cell>
        </row>
      </sheetData>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filterMode="1"/>
  <dimension ref="A1:S181"/>
  <sheetViews>
    <sheetView tabSelected="1" zoomScale="130" zoomScaleNormal="130" workbookViewId="0">
      <pane xSplit="1" ySplit="1" topLeftCell="B6" activePane="bottomRight" state="frozen"/>
      <selection pane="topRight" activeCell="B1" sqref="B1"/>
      <selection pane="bottomLeft" activeCell="A2" sqref="A2"/>
      <selection pane="bottomRight" activeCell="A6" sqref="A6:A137"/>
    </sheetView>
  </sheetViews>
  <sheetFormatPr defaultRowHeight="15" x14ac:dyDescent="0.25"/>
  <cols>
    <col min="2" max="2" width="25" bestFit="1" customWidth="1"/>
    <col min="3" max="4" width="18.7109375" customWidth="1"/>
    <col min="5" max="5" width="74" bestFit="1" customWidth="1"/>
    <col min="6" max="15" width="18.7109375" customWidth="1"/>
    <col min="18" max="18" width="9.140625" style="2"/>
  </cols>
  <sheetData>
    <row r="1" spans="1:19" x14ac:dyDescent="0.25">
      <c r="A1" t="s">
        <v>0</v>
      </c>
      <c r="B1" t="s">
        <v>155</v>
      </c>
      <c r="C1" t="s">
        <v>156</v>
      </c>
      <c r="D1" t="s">
        <v>157</v>
      </c>
      <c r="E1" t="s">
        <v>158</v>
      </c>
      <c r="F1" t="s">
        <v>167</v>
      </c>
      <c r="P1" s="4"/>
      <c r="Q1" s="4"/>
      <c r="S1" s="4"/>
    </row>
    <row r="2" spans="1:19" hidden="1" x14ac:dyDescent="0.25">
      <c r="A2" t="s">
        <v>74</v>
      </c>
      <c r="B2" t="str">
        <f t="shared" ref="B2:B33" si="0">LEFT(A2,FIND("-",A2)-1)</f>
        <v>AC</v>
      </c>
      <c r="C2" t="str">
        <f t="shared" ref="C2:C33" si="1">SUBSTITUTE(RIGHT(A2,LEN(A2)-FIND("-",A2)),"M","")</f>
        <v>225</v>
      </c>
      <c r="D2" s="1" t="str">
        <f t="shared" ref="D2:D33" si="2">C2&amp;B2</f>
        <v>225AC</v>
      </c>
      <c r="E2" s="5" t="str">
        <f t="shared" ref="E2:E33" si="3">HYPERLINK("https://www.nndc.bnl.gov/nudat3/decaysearchdirect.jsp?nuc="&amp;D2&amp;"&amp;unc=NDS")</f>
        <v>https://www.nndc.bnl.gov/nudat3/decaysearchdirect.jsp?nuc=225AC&amp;unc=NDS</v>
      </c>
      <c r="F2" s="1" t="s">
        <v>160</v>
      </c>
      <c r="G2" s="1"/>
      <c r="H2" s="1"/>
      <c r="I2" s="1"/>
      <c r="J2" s="1"/>
      <c r="K2" s="1"/>
      <c r="L2" s="1"/>
      <c r="M2" s="1"/>
      <c r="N2" s="1"/>
      <c r="O2" s="1"/>
      <c r="R2" s="3"/>
    </row>
    <row r="3" spans="1:19" hidden="1" x14ac:dyDescent="0.25">
      <c r="A3" t="s">
        <v>78</v>
      </c>
      <c r="B3" t="str">
        <f t="shared" si="0"/>
        <v>AC</v>
      </c>
      <c r="C3" t="str">
        <f t="shared" si="1"/>
        <v>227</v>
      </c>
      <c r="D3" s="1" t="str">
        <f t="shared" si="2"/>
        <v>227AC</v>
      </c>
      <c r="E3" s="5" t="str">
        <f t="shared" si="3"/>
        <v>https://www.nndc.bnl.gov/nudat3/decaysearchdirect.jsp?nuc=227AC&amp;unc=NDS</v>
      </c>
      <c r="F3" s="1" t="s">
        <v>160</v>
      </c>
      <c r="G3" s="1"/>
      <c r="H3" s="1"/>
      <c r="I3" s="1"/>
      <c r="J3" s="1"/>
      <c r="K3" s="1"/>
      <c r="L3" s="1"/>
      <c r="M3" s="1"/>
      <c r="N3" s="1"/>
      <c r="O3" s="1"/>
      <c r="R3" s="3"/>
    </row>
    <row r="4" spans="1:19" hidden="1" x14ac:dyDescent="0.25">
      <c r="A4" t="s">
        <v>80</v>
      </c>
      <c r="B4" t="str">
        <f t="shared" si="0"/>
        <v>AC</v>
      </c>
      <c r="C4" t="str">
        <f t="shared" si="1"/>
        <v>228</v>
      </c>
      <c r="D4" s="1" t="str">
        <f t="shared" si="2"/>
        <v>228AC</v>
      </c>
      <c r="E4" s="5" t="str">
        <f t="shared" si="3"/>
        <v>https://www.nndc.bnl.gov/nudat3/decaysearchdirect.jsp?nuc=228AC&amp;unc=NDS</v>
      </c>
      <c r="F4" s="1" t="s">
        <v>160</v>
      </c>
      <c r="G4" s="1"/>
      <c r="H4" s="1"/>
      <c r="I4" s="1"/>
      <c r="J4" s="1"/>
      <c r="K4" s="1"/>
      <c r="L4" s="1"/>
      <c r="M4" s="1"/>
      <c r="N4" s="1"/>
      <c r="O4" s="1"/>
      <c r="R4" s="3"/>
    </row>
    <row r="5" spans="1:19" hidden="1" x14ac:dyDescent="0.25">
      <c r="A5" t="s">
        <v>102</v>
      </c>
      <c r="B5" t="str">
        <f t="shared" si="0"/>
        <v>AM</v>
      </c>
      <c r="C5" t="str">
        <f t="shared" si="1"/>
        <v>241</v>
      </c>
      <c r="D5" s="1" t="str">
        <f t="shared" si="2"/>
        <v>241AM</v>
      </c>
      <c r="E5" s="5" t="str">
        <f t="shared" si="3"/>
        <v>https://www.nndc.bnl.gov/nudat3/decaysearchdirect.jsp?nuc=241AM&amp;unc=NDS</v>
      </c>
      <c r="F5" s="1" t="s">
        <v>160</v>
      </c>
      <c r="G5" s="1"/>
      <c r="H5" s="1"/>
      <c r="I5" s="1"/>
      <c r="J5" s="1"/>
      <c r="K5" s="1"/>
      <c r="L5" s="1"/>
      <c r="M5" s="1"/>
      <c r="N5" s="1"/>
      <c r="O5" s="1"/>
      <c r="R5" s="3"/>
    </row>
    <row r="6" spans="1:19" x14ac:dyDescent="0.25">
      <c r="A6" t="s">
        <v>134</v>
      </c>
      <c r="B6" t="str">
        <f t="shared" si="0"/>
        <v>AM</v>
      </c>
      <c r="C6" t="str">
        <f t="shared" si="1"/>
        <v>242</v>
      </c>
      <c r="D6" s="1" t="str">
        <f t="shared" si="2"/>
        <v>242AM</v>
      </c>
      <c r="E6" s="5" t="str">
        <f t="shared" si="3"/>
        <v>https://www.nndc.bnl.gov/nudat3/decaysearchdirect.jsp?nuc=242AM&amp;unc=NDS</v>
      </c>
      <c r="F6" s="1" t="s">
        <v>159</v>
      </c>
      <c r="G6" s="1"/>
      <c r="H6" s="1"/>
      <c r="I6" s="1"/>
      <c r="J6" s="1"/>
      <c r="K6" s="1"/>
      <c r="L6" s="1"/>
      <c r="M6" s="1"/>
      <c r="N6" s="1"/>
      <c r="O6" s="1"/>
      <c r="R6" s="3"/>
    </row>
    <row r="7" spans="1:19" x14ac:dyDescent="0.25">
      <c r="A7" t="s">
        <v>135</v>
      </c>
      <c r="B7" t="str">
        <f t="shared" si="0"/>
        <v>AM</v>
      </c>
      <c r="C7" t="str">
        <f t="shared" si="1"/>
        <v>242</v>
      </c>
      <c r="D7" s="1" t="str">
        <f t="shared" si="2"/>
        <v>242AM</v>
      </c>
      <c r="E7" s="5" t="str">
        <f t="shared" si="3"/>
        <v>https://www.nndc.bnl.gov/nudat3/decaysearchdirect.jsp?nuc=242AM&amp;unc=NDS</v>
      </c>
      <c r="F7" s="1" t="s">
        <v>159</v>
      </c>
      <c r="G7" s="1"/>
      <c r="H7" s="1"/>
      <c r="I7" s="1"/>
      <c r="J7" s="1"/>
      <c r="K7" s="1"/>
      <c r="L7" s="1"/>
      <c r="M7" s="1"/>
      <c r="N7" s="1"/>
      <c r="O7" s="1"/>
      <c r="R7" s="3"/>
    </row>
    <row r="8" spans="1:19" hidden="1" x14ac:dyDescent="0.25">
      <c r="A8" t="s">
        <v>104</v>
      </c>
      <c r="B8" t="str">
        <f t="shared" si="0"/>
        <v>AM</v>
      </c>
      <c r="C8" t="str">
        <f t="shared" si="1"/>
        <v>243</v>
      </c>
      <c r="D8" s="1" t="str">
        <f t="shared" si="2"/>
        <v>243AM</v>
      </c>
      <c r="E8" s="5" t="str">
        <f t="shared" si="3"/>
        <v>https://www.nndc.bnl.gov/nudat3/decaysearchdirect.jsp?nuc=243AM&amp;unc=NDS</v>
      </c>
      <c r="F8" s="1" t="s">
        <v>160</v>
      </c>
      <c r="G8" s="1"/>
      <c r="H8" s="1"/>
      <c r="I8" s="1"/>
      <c r="J8" s="1"/>
      <c r="K8" s="1"/>
      <c r="L8" s="1"/>
      <c r="M8" s="1"/>
      <c r="N8" s="1"/>
      <c r="O8" s="1"/>
      <c r="R8" s="3"/>
    </row>
    <row r="9" spans="1:19" hidden="1" x14ac:dyDescent="0.25">
      <c r="A9" t="s">
        <v>57</v>
      </c>
      <c r="B9" t="str">
        <f t="shared" si="0"/>
        <v>AT</v>
      </c>
      <c r="C9" t="str">
        <f t="shared" si="1"/>
        <v>215</v>
      </c>
      <c r="D9" s="1" t="str">
        <f t="shared" si="2"/>
        <v>215AT</v>
      </c>
      <c r="E9" s="5" t="str">
        <f t="shared" si="3"/>
        <v>https://www.nndc.bnl.gov/nudat3/decaysearchdirect.jsp?nuc=215AT&amp;unc=NDS</v>
      </c>
      <c r="F9" s="1" t="s">
        <v>160</v>
      </c>
      <c r="G9" s="1"/>
      <c r="H9" s="1"/>
      <c r="I9" s="1"/>
      <c r="J9" s="1"/>
      <c r="K9" s="1"/>
      <c r="L9" s="1"/>
      <c r="M9" s="1"/>
      <c r="N9" s="1"/>
      <c r="O9" s="1"/>
      <c r="R9" s="3"/>
    </row>
    <row r="10" spans="1:19" hidden="1" x14ac:dyDescent="0.25">
      <c r="A10" t="s">
        <v>62</v>
      </c>
      <c r="B10" t="str">
        <f t="shared" si="0"/>
        <v>AT</v>
      </c>
      <c r="C10" t="str">
        <f t="shared" si="1"/>
        <v>217</v>
      </c>
      <c r="D10" s="1" t="str">
        <f t="shared" si="2"/>
        <v>217AT</v>
      </c>
      <c r="E10" s="5" t="str">
        <f t="shared" si="3"/>
        <v>https://www.nndc.bnl.gov/nudat3/decaysearchdirect.jsp?nuc=217AT&amp;unc=NDS</v>
      </c>
      <c r="F10" s="1" t="s">
        <v>160</v>
      </c>
      <c r="G10" s="1"/>
      <c r="H10" s="1"/>
      <c r="I10" s="1"/>
      <c r="J10" s="1"/>
      <c r="K10" s="1"/>
      <c r="L10" s="1"/>
      <c r="M10" s="1"/>
      <c r="N10" s="1"/>
      <c r="O10" s="1"/>
      <c r="R10" s="3"/>
    </row>
    <row r="11" spans="1:19" x14ac:dyDescent="0.25">
      <c r="A11" t="s">
        <v>64</v>
      </c>
      <c r="B11" t="str">
        <f t="shared" si="0"/>
        <v>AT</v>
      </c>
      <c r="C11" t="str">
        <f t="shared" si="1"/>
        <v>218</v>
      </c>
      <c r="D11" s="1" t="str">
        <f t="shared" si="2"/>
        <v>218AT</v>
      </c>
      <c r="E11" s="5" t="str">
        <f t="shared" si="3"/>
        <v>https://www.nndc.bnl.gov/nudat3/decaysearchdirect.jsp?nuc=218AT&amp;unc=NDS</v>
      </c>
      <c r="F11" s="1" t="s">
        <v>159</v>
      </c>
      <c r="G11" s="1"/>
      <c r="H11" s="1"/>
      <c r="I11" s="1"/>
      <c r="J11" s="1"/>
      <c r="K11" s="1"/>
      <c r="L11" s="1"/>
      <c r="M11" s="1"/>
      <c r="N11" s="1"/>
      <c r="O11" s="1"/>
      <c r="R11" s="3"/>
    </row>
    <row r="12" spans="1:19" x14ac:dyDescent="0.25">
      <c r="A12" t="s">
        <v>67</v>
      </c>
      <c r="B12" t="str">
        <f t="shared" si="0"/>
        <v>AT</v>
      </c>
      <c r="C12" t="str">
        <f t="shared" si="1"/>
        <v>219</v>
      </c>
      <c r="D12" s="1" t="str">
        <f t="shared" si="2"/>
        <v>219AT</v>
      </c>
      <c r="E12" s="5" t="str">
        <f t="shared" si="3"/>
        <v>https://www.nndc.bnl.gov/nudat3/decaysearchdirect.jsp?nuc=219AT&amp;unc=NDS</v>
      </c>
      <c r="F12" s="1" t="s">
        <v>159</v>
      </c>
      <c r="G12" s="1"/>
      <c r="H12" s="1"/>
      <c r="I12" s="1"/>
      <c r="J12" s="1"/>
      <c r="K12" s="1"/>
      <c r="L12" s="1"/>
      <c r="M12" s="1"/>
      <c r="N12" s="1"/>
      <c r="O12" s="1"/>
      <c r="R12" s="3"/>
    </row>
    <row r="13" spans="1:19" hidden="1" x14ac:dyDescent="0.25">
      <c r="A13" t="s">
        <v>32</v>
      </c>
      <c r="B13" t="str">
        <f t="shared" si="0"/>
        <v>BA</v>
      </c>
      <c r="C13" t="str">
        <f t="shared" si="1"/>
        <v>137</v>
      </c>
      <c r="D13" s="1" t="str">
        <f t="shared" si="2"/>
        <v>137BA</v>
      </c>
      <c r="E13" s="5" t="str">
        <f t="shared" si="3"/>
        <v>https://www.nndc.bnl.gov/nudat3/decaysearchdirect.jsp?nuc=137BA&amp;unc=NDS</v>
      </c>
      <c r="F13" s="1" t="s">
        <v>160</v>
      </c>
      <c r="G13" s="1"/>
      <c r="H13" s="1"/>
      <c r="I13" s="1"/>
      <c r="J13" s="1"/>
      <c r="K13" s="1"/>
      <c r="L13" s="1"/>
      <c r="M13" s="1"/>
      <c r="N13" s="1"/>
      <c r="O13" s="1"/>
      <c r="R13" s="3"/>
    </row>
    <row r="14" spans="1:19" x14ac:dyDescent="0.25">
      <c r="A14" t="s">
        <v>43</v>
      </c>
      <c r="B14" t="str">
        <f t="shared" si="0"/>
        <v>BI</v>
      </c>
      <c r="C14" t="str">
        <f t="shared" si="1"/>
        <v>210</v>
      </c>
      <c r="D14" s="1" t="str">
        <f t="shared" si="2"/>
        <v>210BI</v>
      </c>
      <c r="E14" s="5" t="str">
        <f t="shared" si="3"/>
        <v>https://www.nndc.bnl.gov/nudat3/decaysearchdirect.jsp?nuc=210BI&amp;unc=NDS</v>
      </c>
      <c r="F14" s="1" t="s">
        <v>159</v>
      </c>
      <c r="G14" s="1"/>
      <c r="H14" s="1"/>
      <c r="I14" s="1"/>
      <c r="J14" s="1"/>
      <c r="K14" s="1"/>
      <c r="L14" s="1"/>
      <c r="M14" s="1"/>
      <c r="N14" s="1"/>
      <c r="O14" s="1"/>
      <c r="R14" s="3"/>
    </row>
    <row r="15" spans="1:19" hidden="1" x14ac:dyDescent="0.25">
      <c r="A15" t="s">
        <v>47</v>
      </c>
      <c r="B15" t="str">
        <f t="shared" si="0"/>
        <v>BI</v>
      </c>
      <c r="C15" t="str">
        <f t="shared" si="1"/>
        <v>211</v>
      </c>
      <c r="D15" s="1" t="str">
        <f t="shared" si="2"/>
        <v>211BI</v>
      </c>
      <c r="E15" s="5" t="str">
        <f t="shared" si="3"/>
        <v>https://www.nndc.bnl.gov/nudat3/decaysearchdirect.jsp?nuc=211BI&amp;unc=NDS</v>
      </c>
      <c r="F15" s="1" t="s">
        <v>160</v>
      </c>
      <c r="G15" s="1"/>
      <c r="H15" s="1"/>
      <c r="I15" s="1"/>
      <c r="J15" s="1"/>
      <c r="K15" s="1"/>
      <c r="L15" s="1"/>
      <c r="M15" s="1"/>
      <c r="N15" s="1"/>
      <c r="O15" s="1"/>
      <c r="R15" s="3"/>
    </row>
    <row r="16" spans="1:19" hidden="1" x14ac:dyDescent="0.25">
      <c r="A16" t="s">
        <v>50</v>
      </c>
      <c r="B16" t="str">
        <f t="shared" si="0"/>
        <v>BI</v>
      </c>
      <c r="C16" t="str">
        <f t="shared" si="1"/>
        <v>212</v>
      </c>
      <c r="D16" s="1" t="str">
        <f t="shared" si="2"/>
        <v>212BI</v>
      </c>
      <c r="E16" s="5" t="str">
        <f t="shared" si="3"/>
        <v>https://www.nndc.bnl.gov/nudat3/decaysearchdirect.jsp?nuc=212BI&amp;unc=NDS</v>
      </c>
      <c r="F16" s="1" t="s">
        <v>160</v>
      </c>
      <c r="G16" s="1"/>
      <c r="H16" s="1"/>
      <c r="I16" s="1"/>
      <c r="J16" s="1"/>
      <c r="K16" s="1"/>
      <c r="L16" s="1"/>
      <c r="M16" s="1"/>
      <c r="N16" s="1"/>
      <c r="O16" s="1"/>
      <c r="R16" s="3"/>
    </row>
    <row r="17" spans="1:18" x14ac:dyDescent="0.25">
      <c r="A17" t="s">
        <v>53</v>
      </c>
      <c r="B17" t="str">
        <f t="shared" si="0"/>
        <v>BI</v>
      </c>
      <c r="C17" t="str">
        <f t="shared" si="1"/>
        <v>213</v>
      </c>
      <c r="D17" s="1" t="str">
        <f t="shared" si="2"/>
        <v>213BI</v>
      </c>
      <c r="E17" s="5" t="str">
        <f t="shared" si="3"/>
        <v>https://www.nndc.bnl.gov/nudat3/decaysearchdirect.jsp?nuc=213BI&amp;unc=NDS</v>
      </c>
      <c r="F17" s="1" t="s">
        <v>159</v>
      </c>
      <c r="G17" s="1"/>
      <c r="H17" s="1"/>
      <c r="I17" s="1"/>
      <c r="J17" s="1"/>
      <c r="K17" s="1"/>
      <c r="L17" s="1"/>
      <c r="M17" s="1"/>
      <c r="N17" s="1"/>
      <c r="O17" s="1"/>
      <c r="R17" s="3"/>
    </row>
    <row r="18" spans="1:18" hidden="1" x14ac:dyDescent="0.25">
      <c r="A18" t="s">
        <v>55</v>
      </c>
      <c r="B18" t="str">
        <f t="shared" si="0"/>
        <v>BI</v>
      </c>
      <c r="C18" t="str">
        <f t="shared" si="1"/>
        <v>214</v>
      </c>
      <c r="D18" s="1" t="str">
        <f t="shared" si="2"/>
        <v>214BI</v>
      </c>
      <c r="E18" s="5" t="str">
        <f t="shared" si="3"/>
        <v>https://www.nndc.bnl.gov/nudat3/decaysearchdirect.jsp?nuc=214BI&amp;unc=NDS</v>
      </c>
      <c r="F18" s="1" t="s">
        <v>160</v>
      </c>
      <c r="G18" s="1"/>
      <c r="H18" s="1"/>
      <c r="I18" s="1"/>
      <c r="J18" s="1"/>
      <c r="K18" s="1"/>
      <c r="L18" s="1"/>
      <c r="M18" s="1"/>
      <c r="N18" s="1"/>
      <c r="O18" s="1"/>
      <c r="R18" s="3"/>
    </row>
    <row r="19" spans="1:18" hidden="1" x14ac:dyDescent="0.25">
      <c r="A19" t="s">
        <v>59</v>
      </c>
      <c r="B19" t="str">
        <f t="shared" si="0"/>
        <v>BI</v>
      </c>
      <c r="C19" t="str">
        <f t="shared" si="1"/>
        <v>215</v>
      </c>
      <c r="D19" s="1" t="str">
        <f t="shared" si="2"/>
        <v>215BI</v>
      </c>
      <c r="E19" s="5" t="str">
        <f t="shared" si="3"/>
        <v>https://www.nndc.bnl.gov/nudat3/decaysearchdirect.jsp?nuc=215BI&amp;unc=NDS</v>
      </c>
      <c r="F19" s="1" t="s">
        <v>160</v>
      </c>
      <c r="G19" s="1"/>
      <c r="H19" s="1"/>
      <c r="I19" s="1"/>
      <c r="J19" s="1"/>
      <c r="K19" s="1"/>
      <c r="L19" s="1"/>
      <c r="M19" s="1"/>
      <c r="N19" s="1"/>
      <c r="O19" s="1"/>
      <c r="R19" s="3"/>
    </row>
    <row r="20" spans="1:18" hidden="1" x14ac:dyDescent="0.25">
      <c r="A20" t="s">
        <v>2</v>
      </c>
      <c r="B20" t="str">
        <f t="shared" si="0"/>
        <v>C</v>
      </c>
      <c r="C20" t="str">
        <f t="shared" si="1"/>
        <v>14</v>
      </c>
      <c r="D20" s="1" t="str">
        <f t="shared" si="2"/>
        <v>14C</v>
      </c>
      <c r="E20" s="5" t="str">
        <f t="shared" si="3"/>
        <v>https://www.nndc.bnl.gov/nudat3/decaysearchdirect.jsp?nuc=14C&amp;unc=NDS</v>
      </c>
      <c r="F20" s="1" t="s">
        <v>160</v>
      </c>
      <c r="G20" s="1"/>
      <c r="H20" s="1"/>
      <c r="I20" s="1"/>
      <c r="J20" s="1"/>
      <c r="K20" s="1"/>
      <c r="L20" s="1"/>
      <c r="M20" s="1"/>
      <c r="N20" s="1"/>
      <c r="O20" s="1"/>
      <c r="R20" s="3"/>
    </row>
    <row r="21" spans="1:18" hidden="1" x14ac:dyDescent="0.25">
      <c r="A21" t="s">
        <v>8</v>
      </c>
      <c r="B21" t="str">
        <f t="shared" si="0"/>
        <v>CA</v>
      </c>
      <c r="C21" t="str">
        <f t="shared" si="1"/>
        <v>45</v>
      </c>
      <c r="D21" s="1" t="str">
        <f t="shared" si="2"/>
        <v>45CA</v>
      </c>
      <c r="E21" s="5" t="str">
        <f t="shared" si="3"/>
        <v>https://www.nndc.bnl.gov/nudat3/decaysearchdirect.jsp?nuc=45CA&amp;unc=NDS</v>
      </c>
      <c r="F21" s="1" t="s">
        <v>160</v>
      </c>
      <c r="G21" s="1"/>
      <c r="H21" s="1"/>
      <c r="I21" s="1"/>
      <c r="J21" s="1"/>
      <c r="K21" s="1"/>
      <c r="L21" s="1"/>
      <c r="M21" s="1"/>
      <c r="N21" s="1"/>
      <c r="O21" s="1"/>
      <c r="R21" s="3"/>
    </row>
    <row r="22" spans="1:18" hidden="1" x14ac:dyDescent="0.25">
      <c r="A22" t="s">
        <v>147</v>
      </c>
      <c r="B22" t="str">
        <f t="shared" si="0"/>
        <v>CD</v>
      </c>
      <c r="C22" t="str">
        <f t="shared" si="1"/>
        <v>109</v>
      </c>
      <c r="D22" s="1" t="str">
        <f t="shared" si="2"/>
        <v>109CD</v>
      </c>
      <c r="E22" s="5" t="str">
        <f t="shared" si="3"/>
        <v>https://www.nndc.bnl.gov/nudat3/decaysearchdirect.jsp?nuc=109CD&amp;unc=NDS</v>
      </c>
      <c r="F22" s="1" t="s">
        <v>160</v>
      </c>
      <c r="G22" s="1"/>
      <c r="H22" s="1"/>
      <c r="I22" s="1"/>
      <c r="J22" s="1"/>
      <c r="K22" s="1"/>
      <c r="L22" s="1"/>
      <c r="M22" s="1"/>
      <c r="N22" s="1"/>
      <c r="O22" s="1"/>
      <c r="R22" s="3"/>
    </row>
    <row r="23" spans="1:18" hidden="1" x14ac:dyDescent="0.25">
      <c r="A23" t="s">
        <v>141</v>
      </c>
      <c r="B23" t="str">
        <f t="shared" si="0"/>
        <v>CD</v>
      </c>
      <c r="C23" t="str">
        <f t="shared" si="1"/>
        <v>113</v>
      </c>
      <c r="D23" s="1" t="str">
        <f t="shared" si="2"/>
        <v>113CD</v>
      </c>
      <c r="E23" s="5" t="str">
        <f t="shared" si="3"/>
        <v>https://www.nndc.bnl.gov/nudat3/decaysearchdirect.jsp?nuc=113CD&amp;unc=NDS</v>
      </c>
      <c r="F23" s="1" t="s">
        <v>160</v>
      </c>
      <c r="G23" s="1" t="s">
        <v>161</v>
      </c>
      <c r="H23" s="1"/>
      <c r="I23" s="1"/>
      <c r="J23" s="1"/>
      <c r="K23" s="1"/>
      <c r="L23" s="1"/>
      <c r="M23" s="1"/>
      <c r="N23" s="1"/>
      <c r="O23" s="1"/>
      <c r="R23" s="3"/>
    </row>
    <row r="24" spans="1:18" x14ac:dyDescent="0.25">
      <c r="A24" t="s">
        <v>115</v>
      </c>
      <c r="B24" t="str">
        <f t="shared" si="0"/>
        <v>CD</v>
      </c>
      <c r="C24" t="str">
        <f t="shared" si="1"/>
        <v>113</v>
      </c>
      <c r="D24" s="1" t="str">
        <f t="shared" si="2"/>
        <v>113CD</v>
      </c>
      <c r="E24" s="5" t="str">
        <f t="shared" si="3"/>
        <v>https://www.nndc.bnl.gov/nudat3/decaysearchdirect.jsp?nuc=113CD&amp;unc=NDS</v>
      </c>
      <c r="F24" s="1" t="s">
        <v>159</v>
      </c>
      <c r="G24" s="1"/>
      <c r="H24" s="1"/>
      <c r="I24" s="1"/>
      <c r="J24" s="1"/>
      <c r="K24" s="1"/>
      <c r="L24" s="1"/>
      <c r="M24" s="1"/>
      <c r="N24" s="1"/>
      <c r="O24" s="1"/>
      <c r="R24" s="3"/>
    </row>
    <row r="25" spans="1:18" hidden="1" x14ac:dyDescent="0.25">
      <c r="A25" t="s">
        <v>124</v>
      </c>
      <c r="B25" t="str">
        <f t="shared" si="0"/>
        <v>CE</v>
      </c>
      <c r="C25" t="str">
        <f t="shared" si="1"/>
        <v>144</v>
      </c>
      <c r="D25" s="1" t="str">
        <f t="shared" si="2"/>
        <v>144CE</v>
      </c>
      <c r="E25" s="5" t="str">
        <f t="shared" si="3"/>
        <v>https://www.nndc.bnl.gov/nudat3/decaysearchdirect.jsp?nuc=144CE&amp;unc=NDS</v>
      </c>
      <c r="F25" s="1" t="s">
        <v>160</v>
      </c>
      <c r="G25" s="1"/>
      <c r="H25" s="1"/>
      <c r="I25" s="1"/>
      <c r="J25" s="1"/>
      <c r="K25" s="1"/>
      <c r="L25" s="1"/>
      <c r="M25" s="1"/>
      <c r="N25" s="1"/>
      <c r="O25" s="1"/>
      <c r="R25" s="3"/>
    </row>
    <row r="26" spans="1:18" hidden="1" x14ac:dyDescent="0.25">
      <c r="A26" t="s">
        <v>148</v>
      </c>
      <c r="B26" t="str">
        <f t="shared" si="0"/>
        <v>CF</v>
      </c>
      <c r="C26" t="str">
        <f t="shared" si="1"/>
        <v>249</v>
      </c>
      <c r="D26" s="1" t="str">
        <f t="shared" si="2"/>
        <v>249CF</v>
      </c>
      <c r="E26" s="5" t="str">
        <f t="shared" si="3"/>
        <v>https://www.nndc.bnl.gov/nudat3/decaysearchdirect.jsp?nuc=249CF&amp;unc=NDS</v>
      </c>
      <c r="F26" s="1" t="s">
        <v>160</v>
      </c>
      <c r="G26" s="1"/>
      <c r="H26" s="1"/>
      <c r="I26" s="1"/>
      <c r="J26" s="1"/>
      <c r="K26" s="1"/>
      <c r="L26" s="1"/>
      <c r="M26" s="1"/>
      <c r="N26" s="1"/>
      <c r="O26" s="1"/>
      <c r="R26" s="3"/>
    </row>
    <row r="27" spans="1:18" hidden="1" x14ac:dyDescent="0.25">
      <c r="A27" t="s">
        <v>149</v>
      </c>
      <c r="B27" t="str">
        <f t="shared" si="0"/>
        <v>CF</v>
      </c>
      <c r="C27" t="str">
        <f t="shared" si="1"/>
        <v>251</v>
      </c>
      <c r="D27" s="1" t="str">
        <f t="shared" si="2"/>
        <v>251CF</v>
      </c>
      <c r="E27" s="5" t="str">
        <f t="shared" si="3"/>
        <v>https://www.nndc.bnl.gov/nudat3/decaysearchdirect.jsp?nuc=251CF&amp;unc=NDS</v>
      </c>
      <c r="F27" s="1" t="s">
        <v>160</v>
      </c>
      <c r="G27" s="1"/>
      <c r="H27" s="1"/>
      <c r="I27" s="1"/>
      <c r="J27" s="1"/>
      <c r="K27" s="1"/>
      <c r="L27" s="1"/>
      <c r="M27" s="1"/>
      <c r="N27" s="1"/>
      <c r="O27" s="1"/>
      <c r="R27" s="3"/>
    </row>
    <row r="28" spans="1:18" hidden="1" x14ac:dyDescent="0.25">
      <c r="A28" t="s">
        <v>7</v>
      </c>
      <c r="B28" t="str">
        <f t="shared" si="0"/>
        <v>CL</v>
      </c>
      <c r="C28" t="str">
        <f t="shared" si="1"/>
        <v>36</v>
      </c>
      <c r="D28" s="1" t="str">
        <f t="shared" si="2"/>
        <v>36CL</v>
      </c>
      <c r="E28" s="5" t="str">
        <f t="shared" si="3"/>
        <v>https://www.nndc.bnl.gov/nudat3/decaysearchdirect.jsp?nuc=36CL&amp;unc=NDS</v>
      </c>
      <c r="F28" s="1" t="s">
        <v>160</v>
      </c>
      <c r="G28" s="1"/>
      <c r="H28" s="1"/>
      <c r="I28" s="1"/>
      <c r="J28" s="1"/>
      <c r="K28" s="1"/>
      <c r="L28" s="1"/>
      <c r="M28" s="1"/>
      <c r="N28" s="1"/>
      <c r="O28" s="1"/>
      <c r="R28" s="3"/>
    </row>
    <row r="29" spans="1:18" hidden="1" x14ac:dyDescent="0.25">
      <c r="A29" t="s">
        <v>136</v>
      </c>
      <c r="B29" t="str">
        <f t="shared" si="0"/>
        <v>CM</v>
      </c>
      <c r="C29" t="str">
        <f t="shared" si="1"/>
        <v>242</v>
      </c>
      <c r="D29" s="1" t="str">
        <f t="shared" si="2"/>
        <v>242CM</v>
      </c>
      <c r="E29" s="5" t="str">
        <f t="shared" si="3"/>
        <v>https://www.nndc.bnl.gov/nudat3/decaysearchdirect.jsp?nuc=242CM&amp;unc=NDS</v>
      </c>
      <c r="F29" s="1" t="s">
        <v>160</v>
      </c>
      <c r="G29" s="1"/>
      <c r="H29" s="1"/>
      <c r="I29" s="1"/>
      <c r="J29" s="1"/>
      <c r="K29" s="1"/>
      <c r="L29" s="1"/>
      <c r="M29" s="1"/>
      <c r="N29" s="1"/>
      <c r="O29" s="1"/>
      <c r="R29" s="3"/>
    </row>
    <row r="30" spans="1:18" hidden="1" x14ac:dyDescent="0.25">
      <c r="A30" t="s">
        <v>105</v>
      </c>
      <c r="B30" t="str">
        <f t="shared" si="0"/>
        <v>CM</v>
      </c>
      <c r="C30" t="str">
        <f t="shared" si="1"/>
        <v>243</v>
      </c>
      <c r="D30" s="1" t="str">
        <f t="shared" si="2"/>
        <v>243CM</v>
      </c>
      <c r="E30" s="5" t="str">
        <f t="shared" si="3"/>
        <v>https://www.nndc.bnl.gov/nudat3/decaysearchdirect.jsp?nuc=243CM&amp;unc=NDS</v>
      </c>
      <c r="F30" s="1" t="s">
        <v>160</v>
      </c>
      <c r="G30" s="1"/>
      <c r="H30" s="1"/>
      <c r="I30" s="1"/>
      <c r="J30" s="1"/>
      <c r="K30" s="1"/>
      <c r="L30" s="1"/>
      <c r="M30" s="1"/>
      <c r="N30" s="1"/>
      <c r="O30" s="1"/>
      <c r="R30" s="3"/>
    </row>
    <row r="31" spans="1:18" hidden="1" x14ac:dyDescent="0.25">
      <c r="A31" t="s">
        <v>106</v>
      </c>
      <c r="B31" t="str">
        <f t="shared" si="0"/>
        <v>CM</v>
      </c>
      <c r="C31" t="str">
        <f t="shared" si="1"/>
        <v>244</v>
      </c>
      <c r="D31" s="1" t="str">
        <f t="shared" si="2"/>
        <v>244CM</v>
      </c>
      <c r="E31" s="5" t="str">
        <f t="shared" si="3"/>
        <v>https://www.nndc.bnl.gov/nudat3/decaysearchdirect.jsp?nuc=244CM&amp;unc=NDS</v>
      </c>
      <c r="F31" s="1" t="s">
        <v>160</v>
      </c>
      <c r="G31" s="1"/>
      <c r="H31" s="1"/>
      <c r="I31" s="1"/>
      <c r="J31" s="1"/>
      <c r="K31" s="1"/>
      <c r="L31" s="1"/>
      <c r="M31" s="1"/>
      <c r="N31" s="1"/>
      <c r="O31" s="1"/>
      <c r="R31" s="3"/>
    </row>
    <row r="32" spans="1:18" hidden="1" x14ac:dyDescent="0.25">
      <c r="A32" t="s">
        <v>137</v>
      </c>
      <c r="B32" t="str">
        <f t="shared" si="0"/>
        <v>CM</v>
      </c>
      <c r="C32" t="str">
        <f t="shared" si="1"/>
        <v>245</v>
      </c>
      <c r="D32" s="1" t="str">
        <f t="shared" si="2"/>
        <v>245CM</v>
      </c>
      <c r="E32" s="5" t="str">
        <f t="shared" si="3"/>
        <v>https://www.nndc.bnl.gov/nudat3/decaysearchdirect.jsp?nuc=245CM&amp;unc=NDS</v>
      </c>
      <c r="F32" s="1" t="s">
        <v>160</v>
      </c>
      <c r="G32" s="1"/>
      <c r="H32" s="1"/>
      <c r="I32" s="1"/>
      <c r="J32" s="1"/>
      <c r="K32" s="1"/>
      <c r="L32" s="1"/>
      <c r="M32" s="1"/>
      <c r="N32" s="1"/>
      <c r="O32" s="1"/>
      <c r="R32" s="3"/>
    </row>
    <row r="33" spans="1:18" x14ac:dyDescent="0.25">
      <c r="A33" t="s">
        <v>138</v>
      </c>
      <c r="B33" t="str">
        <f t="shared" si="0"/>
        <v>CM</v>
      </c>
      <c r="C33" t="str">
        <f t="shared" si="1"/>
        <v>246</v>
      </c>
      <c r="D33" s="1" t="str">
        <f t="shared" si="2"/>
        <v>246CM</v>
      </c>
      <c r="E33" s="5" t="str">
        <f t="shared" si="3"/>
        <v>https://www.nndc.bnl.gov/nudat3/decaysearchdirect.jsp?nuc=246CM&amp;unc=NDS</v>
      </c>
      <c r="F33" s="1" t="s">
        <v>159</v>
      </c>
      <c r="G33" s="1"/>
      <c r="H33" s="1"/>
      <c r="I33" s="1"/>
      <c r="J33" s="1"/>
      <c r="K33" s="1"/>
      <c r="L33" s="1"/>
      <c r="M33" s="1"/>
      <c r="N33" s="1"/>
      <c r="O33" s="1"/>
      <c r="R33" s="3"/>
    </row>
    <row r="34" spans="1:18" hidden="1" x14ac:dyDescent="0.25">
      <c r="A34" t="s">
        <v>150</v>
      </c>
      <c r="B34" t="str">
        <f t="shared" ref="B34:B65" si="4">LEFT(A34,FIND("-",A34)-1)</f>
        <v>CM</v>
      </c>
      <c r="C34" t="str">
        <f t="shared" ref="C34:C65" si="5">SUBSTITUTE(RIGHT(A34,LEN(A34)-FIND("-",A34)),"M","")</f>
        <v>247</v>
      </c>
      <c r="D34" s="1" t="str">
        <f t="shared" ref="D34:D65" si="6">C34&amp;B34</f>
        <v>247CM</v>
      </c>
      <c r="E34" s="5" t="str">
        <f t="shared" ref="E34:E65" si="7">HYPERLINK("https://www.nndc.bnl.gov/nudat3/decaysearchdirect.jsp?nuc="&amp;D34&amp;"&amp;unc=NDS")</f>
        <v>https://www.nndc.bnl.gov/nudat3/decaysearchdirect.jsp?nuc=247CM&amp;unc=NDS</v>
      </c>
      <c r="F34" s="1" t="s">
        <v>160</v>
      </c>
      <c r="G34" s="1"/>
      <c r="H34" s="1"/>
      <c r="I34" s="1"/>
      <c r="J34" s="1"/>
      <c r="K34" s="1"/>
      <c r="L34" s="1"/>
      <c r="M34" s="1"/>
      <c r="N34" s="1"/>
      <c r="O34" s="1"/>
      <c r="R34" s="3"/>
    </row>
    <row r="35" spans="1:18" hidden="1" x14ac:dyDescent="0.25">
      <c r="A35" t="s">
        <v>12</v>
      </c>
      <c r="B35" t="str">
        <f t="shared" si="4"/>
        <v>CO</v>
      </c>
      <c r="C35" t="str">
        <f t="shared" si="5"/>
        <v>57</v>
      </c>
      <c r="D35" s="1" t="str">
        <f t="shared" si="6"/>
        <v>57CO</v>
      </c>
      <c r="E35" s="5" t="str">
        <f t="shared" si="7"/>
        <v>https://www.nndc.bnl.gov/nudat3/decaysearchdirect.jsp?nuc=57CO&amp;unc=NDS</v>
      </c>
      <c r="F35" s="1" t="s">
        <v>160</v>
      </c>
      <c r="G35" s="1"/>
      <c r="H35" s="1"/>
      <c r="I35" s="1"/>
      <c r="J35" s="1"/>
      <c r="K35" s="1"/>
      <c r="L35" s="1"/>
      <c r="M35" s="1"/>
      <c r="N35" s="1"/>
      <c r="O35" s="1"/>
      <c r="R35" s="3"/>
    </row>
    <row r="36" spans="1:18" hidden="1" x14ac:dyDescent="0.25">
      <c r="A36" t="s">
        <v>14</v>
      </c>
      <c r="B36" t="str">
        <f t="shared" si="4"/>
        <v>CO</v>
      </c>
      <c r="C36" t="str">
        <f t="shared" si="5"/>
        <v>60</v>
      </c>
      <c r="D36" s="1" t="str">
        <f t="shared" si="6"/>
        <v>60CO</v>
      </c>
      <c r="E36" s="5" t="str">
        <f t="shared" si="7"/>
        <v>https://www.nndc.bnl.gov/nudat3/decaysearchdirect.jsp?nuc=60CO&amp;unc=NDS</v>
      </c>
      <c r="F36" s="1" t="s">
        <v>160</v>
      </c>
      <c r="G36" s="1"/>
      <c r="H36" s="1"/>
      <c r="I36" s="1"/>
      <c r="J36" s="1"/>
      <c r="K36" s="1"/>
      <c r="L36" s="1"/>
      <c r="M36" s="1"/>
      <c r="N36" s="1"/>
      <c r="O36" s="1"/>
      <c r="R36" s="3"/>
    </row>
    <row r="37" spans="1:18" hidden="1" x14ac:dyDescent="0.25">
      <c r="A37" t="s">
        <v>9</v>
      </c>
      <c r="B37" t="str">
        <f t="shared" si="4"/>
        <v>CR</v>
      </c>
      <c r="C37" t="str">
        <f t="shared" si="5"/>
        <v>51</v>
      </c>
      <c r="D37" s="1" t="str">
        <f t="shared" si="6"/>
        <v>51CR</v>
      </c>
      <c r="E37" s="5" t="str">
        <f t="shared" si="7"/>
        <v>https://www.nndc.bnl.gov/nudat3/decaysearchdirect.jsp?nuc=51CR&amp;unc=NDS</v>
      </c>
      <c r="F37" s="1" t="s">
        <v>160</v>
      </c>
      <c r="G37" s="1"/>
      <c r="H37" s="1"/>
      <c r="I37" s="1"/>
      <c r="J37" s="1"/>
      <c r="K37" s="1"/>
      <c r="L37" s="1"/>
      <c r="M37" s="1"/>
      <c r="N37" s="1"/>
      <c r="O37" s="1"/>
      <c r="R37" s="3"/>
    </row>
    <row r="38" spans="1:18" hidden="1" x14ac:dyDescent="0.25">
      <c r="A38" t="s">
        <v>122</v>
      </c>
      <c r="B38" t="str">
        <f t="shared" si="4"/>
        <v>CS</v>
      </c>
      <c r="C38" t="str">
        <f t="shared" si="5"/>
        <v>134</v>
      </c>
      <c r="D38" s="1" t="str">
        <f t="shared" si="6"/>
        <v>134CS</v>
      </c>
      <c r="E38" s="5" t="str">
        <f t="shared" si="7"/>
        <v>https://www.nndc.bnl.gov/nudat3/decaysearchdirect.jsp?nuc=134CS&amp;unc=NDS</v>
      </c>
      <c r="F38" s="1" t="s">
        <v>160</v>
      </c>
      <c r="G38" s="1"/>
      <c r="H38" s="1"/>
      <c r="I38" s="1"/>
      <c r="J38" s="1"/>
      <c r="K38" s="1"/>
      <c r="L38" s="1"/>
      <c r="M38" s="1"/>
      <c r="N38" s="1"/>
      <c r="O38" s="1"/>
      <c r="R38" s="3"/>
    </row>
    <row r="39" spans="1:18" hidden="1" x14ac:dyDescent="0.25">
      <c r="A39" t="s">
        <v>123</v>
      </c>
      <c r="B39" t="str">
        <f t="shared" si="4"/>
        <v>CS</v>
      </c>
      <c r="C39" t="str">
        <f t="shared" si="5"/>
        <v>135</v>
      </c>
      <c r="D39" s="1" t="str">
        <f t="shared" si="6"/>
        <v>135CS</v>
      </c>
      <c r="E39" s="5" t="str">
        <f t="shared" si="7"/>
        <v>https://www.nndc.bnl.gov/nudat3/decaysearchdirect.jsp?nuc=135CS&amp;unc=NDS</v>
      </c>
      <c r="F39" s="1" t="s">
        <v>160</v>
      </c>
      <c r="G39" s="1"/>
      <c r="H39" s="1"/>
      <c r="I39" s="1"/>
      <c r="J39" s="1"/>
      <c r="K39" s="1"/>
      <c r="L39" s="1"/>
      <c r="M39" s="1"/>
      <c r="N39" s="1"/>
      <c r="O39" s="1"/>
      <c r="R39" s="3"/>
    </row>
    <row r="40" spans="1:18" hidden="1" x14ac:dyDescent="0.25">
      <c r="A40" t="s">
        <v>31</v>
      </c>
      <c r="B40" t="str">
        <f t="shared" si="4"/>
        <v>CS</v>
      </c>
      <c r="C40" t="str">
        <f t="shared" si="5"/>
        <v>137</v>
      </c>
      <c r="D40" s="1" t="str">
        <f t="shared" si="6"/>
        <v>137CS</v>
      </c>
      <c r="E40" s="5" t="str">
        <f t="shared" si="7"/>
        <v>https://www.nndc.bnl.gov/nudat3/decaysearchdirect.jsp?nuc=137CS&amp;unc=NDS</v>
      </c>
      <c r="F40" s="1" t="s">
        <v>160</v>
      </c>
      <c r="G40" s="1"/>
      <c r="H40" s="1"/>
      <c r="I40" s="1"/>
      <c r="J40" s="1"/>
      <c r="K40" s="1"/>
      <c r="L40" s="1"/>
      <c r="M40" s="1"/>
      <c r="N40" s="1"/>
      <c r="O40" s="1"/>
      <c r="R40" s="3"/>
    </row>
    <row r="41" spans="1:18" hidden="1" x14ac:dyDescent="0.25">
      <c r="A41" t="s">
        <v>140</v>
      </c>
      <c r="B41" t="str">
        <f t="shared" si="4"/>
        <v>CU</v>
      </c>
      <c r="C41" t="str">
        <f t="shared" si="5"/>
        <v>59</v>
      </c>
      <c r="D41" s="1" t="str">
        <f t="shared" si="6"/>
        <v>59CU</v>
      </c>
      <c r="E41" s="5" t="str">
        <f t="shared" si="7"/>
        <v>https://www.nndc.bnl.gov/nudat3/decaysearchdirect.jsp?nuc=59CU&amp;unc=NDS</v>
      </c>
      <c r="F41" s="1" t="s">
        <v>160</v>
      </c>
      <c r="G41" s="1"/>
      <c r="H41" s="1"/>
      <c r="I41" s="1"/>
      <c r="J41" s="1"/>
      <c r="K41" s="1"/>
      <c r="L41" s="1"/>
      <c r="M41" s="1"/>
      <c r="N41" s="1"/>
      <c r="O41" s="1"/>
      <c r="R41" s="3"/>
    </row>
    <row r="42" spans="1:18" hidden="1" x14ac:dyDescent="0.25">
      <c r="A42" t="s">
        <v>16</v>
      </c>
      <c r="B42" t="str">
        <f t="shared" si="4"/>
        <v>CU</v>
      </c>
      <c r="C42" t="str">
        <f t="shared" si="5"/>
        <v>64</v>
      </c>
      <c r="D42" s="1" t="str">
        <f t="shared" si="6"/>
        <v>64CU</v>
      </c>
      <c r="E42" s="5" t="str">
        <f t="shared" si="7"/>
        <v>https://www.nndc.bnl.gov/nudat3/decaysearchdirect.jsp?nuc=64CU&amp;unc=NDS</v>
      </c>
      <c r="F42" s="1" t="s">
        <v>160</v>
      </c>
      <c r="G42" s="1"/>
      <c r="H42" s="1"/>
      <c r="I42" s="1"/>
      <c r="J42" s="1"/>
      <c r="K42" s="1"/>
      <c r="L42" s="1"/>
      <c r="M42" s="1"/>
      <c r="N42" s="1"/>
      <c r="O42" s="1"/>
      <c r="R42" s="3"/>
    </row>
    <row r="43" spans="1:18" hidden="1" x14ac:dyDescent="0.25">
      <c r="A43" t="s">
        <v>36</v>
      </c>
      <c r="B43" t="str">
        <f t="shared" si="4"/>
        <v>EU</v>
      </c>
      <c r="C43" t="str">
        <f t="shared" si="5"/>
        <v>152</v>
      </c>
      <c r="D43" s="1" t="str">
        <f t="shared" si="6"/>
        <v>152EU</v>
      </c>
      <c r="E43" s="5" t="str">
        <f t="shared" si="7"/>
        <v>https://www.nndc.bnl.gov/nudat3/decaysearchdirect.jsp?nuc=152EU&amp;unc=NDS</v>
      </c>
      <c r="F43" s="1" t="s">
        <v>160</v>
      </c>
      <c r="G43" s="1"/>
      <c r="H43" s="1"/>
      <c r="I43" s="1"/>
      <c r="J43" s="1"/>
      <c r="K43" s="1"/>
      <c r="L43" s="1"/>
      <c r="M43" s="1"/>
      <c r="N43" s="1"/>
      <c r="O43" s="1"/>
      <c r="R43" s="3"/>
    </row>
    <row r="44" spans="1:18" hidden="1" x14ac:dyDescent="0.25">
      <c r="A44" t="s">
        <v>129</v>
      </c>
      <c r="B44" t="str">
        <f t="shared" si="4"/>
        <v>EU</v>
      </c>
      <c r="C44" t="str">
        <f t="shared" si="5"/>
        <v>154</v>
      </c>
      <c r="D44" s="1" t="str">
        <f t="shared" si="6"/>
        <v>154EU</v>
      </c>
      <c r="E44" s="5" t="str">
        <f t="shared" si="7"/>
        <v>https://www.nndc.bnl.gov/nudat3/decaysearchdirect.jsp?nuc=154EU&amp;unc=NDS</v>
      </c>
      <c r="F44" s="1" t="s">
        <v>160</v>
      </c>
      <c r="G44" s="1"/>
      <c r="H44" s="1"/>
      <c r="I44" s="1"/>
      <c r="J44" s="1"/>
      <c r="K44" s="1"/>
      <c r="L44" s="1"/>
      <c r="M44" s="1"/>
      <c r="N44" s="1"/>
      <c r="O44" s="1"/>
      <c r="R44" s="3"/>
    </row>
    <row r="45" spans="1:18" hidden="1" x14ac:dyDescent="0.25">
      <c r="A45" t="s">
        <v>130</v>
      </c>
      <c r="B45" t="str">
        <f t="shared" si="4"/>
        <v>EU</v>
      </c>
      <c r="C45" t="str">
        <f t="shared" si="5"/>
        <v>155</v>
      </c>
      <c r="D45" s="1" t="str">
        <f t="shared" si="6"/>
        <v>155EU</v>
      </c>
      <c r="E45" s="5" t="str">
        <f t="shared" si="7"/>
        <v>https://www.nndc.bnl.gov/nudat3/decaysearchdirect.jsp?nuc=155EU&amp;unc=NDS</v>
      </c>
      <c r="F45" s="1" t="s">
        <v>160</v>
      </c>
      <c r="G45" s="1"/>
      <c r="H45" s="1"/>
      <c r="I45" s="1"/>
      <c r="J45" s="1"/>
      <c r="K45" s="1"/>
      <c r="L45" s="1"/>
      <c r="M45" s="1"/>
      <c r="N45" s="1"/>
      <c r="O45" s="1"/>
      <c r="R45" s="3"/>
    </row>
    <row r="46" spans="1:18" hidden="1" x14ac:dyDescent="0.25">
      <c r="A46" t="s">
        <v>146</v>
      </c>
      <c r="B46" t="str">
        <f t="shared" si="4"/>
        <v>F</v>
      </c>
      <c r="C46" t="str">
        <f t="shared" si="5"/>
        <v>18</v>
      </c>
      <c r="D46" s="1" t="str">
        <f t="shared" si="6"/>
        <v>18F</v>
      </c>
      <c r="E46" s="5" t="str">
        <f t="shared" si="7"/>
        <v>https://www.nndc.bnl.gov/nudat3/decaysearchdirect.jsp?nuc=18F&amp;unc=NDS</v>
      </c>
      <c r="F46" s="1" t="s">
        <v>160</v>
      </c>
      <c r="G46" s="1"/>
      <c r="H46" s="1"/>
      <c r="I46" s="1"/>
      <c r="J46" s="1"/>
      <c r="K46" s="1"/>
      <c r="L46" s="1"/>
      <c r="M46" s="1"/>
      <c r="N46" s="1"/>
      <c r="O46" s="1"/>
      <c r="R46" s="3"/>
    </row>
    <row r="47" spans="1:18" hidden="1" x14ac:dyDescent="0.25">
      <c r="A47" t="s">
        <v>11</v>
      </c>
      <c r="B47" t="str">
        <f t="shared" si="4"/>
        <v>FE</v>
      </c>
      <c r="C47" t="str">
        <f t="shared" si="5"/>
        <v>55</v>
      </c>
      <c r="D47" s="1" t="str">
        <f t="shared" si="6"/>
        <v>55FE</v>
      </c>
      <c r="E47" s="5" t="str">
        <f t="shared" si="7"/>
        <v>https://www.nndc.bnl.gov/nudat3/decaysearchdirect.jsp?nuc=55FE&amp;unc=NDS</v>
      </c>
      <c r="F47" s="1" t="s">
        <v>160</v>
      </c>
      <c r="G47" s="1"/>
      <c r="H47" s="1"/>
      <c r="I47" s="1"/>
      <c r="J47" s="1"/>
      <c r="K47" s="1"/>
      <c r="L47" s="1"/>
      <c r="M47" s="1"/>
      <c r="N47" s="1"/>
      <c r="O47" s="1"/>
      <c r="R47" s="3"/>
    </row>
    <row r="48" spans="1:18" hidden="1" x14ac:dyDescent="0.25">
      <c r="A48" t="s">
        <v>13</v>
      </c>
      <c r="B48" t="str">
        <f t="shared" si="4"/>
        <v>FE</v>
      </c>
      <c r="C48" t="str">
        <f t="shared" si="5"/>
        <v>59</v>
      </c>
      <c r="D48" s="1" t="str">
        <f t="shared" si="6"/>
        <v>59FE</v>
      </c>
      <c r="E48" s="5" t="str">
        <f t="shared" si="7"/>
        <v>https://www.nndc.bnl.gov/nudat3/decaysearchdirect.jsp?nuc=59FE&amp;unc=NDS</v>
      </c>
      <c r="F48" s="1" t="s">
        <v>160</v>
      </c>
      <c r="G48" s="1"/>
      <c r="H48" s="1"/>
      <c r="I48" s="1"/>
      <c r="J48" s="1"/>
      <c r="K48" s="1"/>
      <c r="L48" s="1"/>
      <c r="M48" s="1"/>
      <c r="N48" s="1"/>
      <c r="O48" s="1"/>
      <c r="R48" s="3"/>
    </row>
    <row r="49" spans="1:18" hidden="1" x14ac:dyDescent="0.25">
      <c r="A49" t="s">
        <v>69</v>
      </c>
      <c r="B49" t="str">
        <f t="shared" si="4"/>
        <v>FR</v>
      </c>
      <c r="C49" t="str">
        <f t="shared" si="5"/>
        <v>221</v>
      </c>
      <c r="D49" s="1" t="str">
        <f t="shared" si="6"/>
        <v>221FR</v>
      </c>
      <c r="E49" s="5" t="str">
        <f t="shared" si="7"/>
        <v>https://www.nndc.bnl.gov/nudat3/decaysearchdirect.jsp?nuc=221FR&amp;unc=NDS</v>
      </c>
      <c r="F49" s="1" t="s">
        <v>160</v>
      </c>
      <c r="G49" s="1"/>
      <c r="H49" s="1"/>
      <c r="I49" s="1"/>
      <c r="J49" s="1"/>
      <c r="K49" s="1"/>
      <c r="L49" s="1"/>
      <c r="M49" s="1"/>
      <c r="N49" s="1"/>
      <c r="O49" s="1"/>
      <c r="R49" s="3"/>
    </row>
    <row r="50" spans="1:18" hidden="1" x14ac:dyDescent="0.25">
      <c r="A50" t="s">
        <v>72</v>
      </c>
      <c r="B50" t="str">
        <f t="shared" si="4"/>
        <v>FR</v>
      </c>
      <c r="C50" t="str">
        <f t="shared" si="5"/>
        <v>223</v>
      </c>
      <c r="D50" s="1" t="str">
        <f t="shared" si="6"/>
        <v>223FR</v>
      </c>
      <c r="E50" s="5" t="str">
        <f t="shared" si="7"/>
        <v>https://www.nndc.bnl.gov/nudat3/decaysearchdirect.jsp?nuc=223FR&amp;unc=NDS</v>
      </c>
      <c r="F50" s="1" t="s">
        <v>160</v>
      </c>
      <c r="G50" s="1"/>
      <c r="H50" s="1"/>
      <c r="I50" s="1"/>
      <c r="J50" s="1"/>
      <c r="K50" s="1"/>
      <c r="L50" s="1"/>
      <c r="M50" s="1"/>
      <c r="N50" s="1"/>
      <c r="O50" s="1"/>
      <c r="R50" s="3"/>
    </row>
    <row r="51" spans="1:18" hidden="1" x14ac:dyDescent="0.25">
      <c r="A51" t="s">
        <v>35</v>
      </c>
      <c r="B51" t="str">
        <f t="shared" si="4"/>
        <v>GD</v>
      </c>
      <c r="C51" t="str">
        <f t="shared" si="5"/>
        <v>152</v>
      </c>
      <c r="D51" s="1" t="str">
        <f t="shared" si="6"/>
        <v>152GD</v>
      </c>
      <c r="E51" s="5" t="str">
        <f t="shared" si="7"/>
        <v>https://www.nndc.bnl.gov/nudat3/decaysearchdirect.jsp?nuc=152GD&amp;unc=NDS</v>
      </c>
      <c r="F51" s="1" t="s">
        <v>160</v>
      </c>
      <c r="G51" s="1"/>
      <c r="H51" s="1"/>
      <c r="I51" s="1"/>
      <c r="J51" s="1"/>
      <c r="K51" s="1"/>
      <c r="L51" s="1"/>
      <c r="M51" s="1"/>
      <c r="N51" s="1"/>
      <c r="O51" s="1"/>
      <c r="R51" s="3"/>
    </row>
    <row r="52" spans="1:18" hidden="1" x14ac:dyDescent="0.25">
      <c r="A52" t="s">
        <v>1</v>
      </c>
      <c r="B52" t="str">
        <f t="shared" si="4"/>
        <v>H</v>
      </c>
      <c r="C52" t="str">
        <f t="shared" si="5"/>
        <v>3</v>
      </c>
      <c r="D52" s="1" t="str">
        <f t="shared" si="6"/>
        <v>3H</v>
      </c>
      <c r="E52" s="5" t="str">
        <f t="shared" si="7"/>
        <v>https://www.nndc.bnl.gov/nudat3/decaysearchdirect.jsp?nuc=3H&amp;unc=NDS</v>
      </c>
      <c r="F52" s="1" t="s">
        <v>160</v>
      </c>
      <c r="G52" s="1"/>
      <c r="H52" s="1"/>
      <c r="I52" s="1"/>
      <c r="J52" s="1"/>
      <c r="K52" s="1"/>
      <c r="L52" s="1"/>
      <c r="M52" s="1"/>
      <c r="N52" s="1"/>
      <c r="O52" s="1"/>
      <c r="R52" s="3"/>
    </row>
    <row r="53" spans="1:18" hidden="1" x14ac:dyDescent="0.25">
      <c r="A53" t="s">
        <v>25</v>
      </c>
      <c r="B53" t="str">
        <f t="shared" si="4"/>
        <v>I</v>
      </c>
      <c r="C53" t="str">
        <f t="shared" si="5"/>
        <v>123</v>
      </c>
      <c r="D53" s="1" t="str">
        <f t="shared" si="6"/>
        <v>123I</v>
      </c>
      <c r="E53" s="5" t="str">
        <f t="shared" si="7"/>
        <v>https://www.nndc.bnl.gov/nudat3/decaysearchdirect.jsp?nuc=123I&amp;unc=NDS</v>
      </c>
      <c r="F53" s="1" t="s">
        <v>160</v>
      </c>
      <c r="G53" s="1"/>
      <c r="H53" s="1"/>
      <c r="I53" s="1"/>
      <c r="J53" s="1"/>
      <c r="K53" s="1"/>
      <c r="L53" s="1"/>
      <c r="M53" s="1"/>
      <c r="N53" s="1"/>
      <c r="O53" s="1"/>
      <c r="R53" s="3"/>
    </row>
    <row r="54" spans="1:18" hidden="1" x14ac:dyDescent="0.25">
      <c r="A54" t="s">
        <v>26</v>
      </c>
      <c r="B54" t="str">
        <f t="shared" si="4"/>
        <v>I</v>
      </c>
      <c r="C54" t="str">
        <f t="shared" si="5"/>
        <v>124</v>
      </c>
      <c r="D54" s="1" t="str">
        <f t="shared" si="6"/>
        <v>124I</v>
      </c>
      <c r="E54" s="5" t="str">
        <f t="shared" si="7"/>
        <v>https://www.nndc.bnl.gov/nudat3/decaysearchdirect.jsp?nuc=124I&amp;unc=NDS</v>
      </c>
      <c r="F54" s="1" t="s">
        <v>160</v>
      </c>
      <c r="G54" s="1"/>
      <c r="H54" s="1"/>
      <c r="I54" s="1"/>
      <c r="J54" s="1"/>
      <c r="K54" s="1"/>
      <c r="L54" s="1"/>
      <c r="M54" s="1"/>
      <c r="N54" s="1"/>
      <c r="O54" s="1"/>
      <c r="R54" s="3"/>
    </row>
    <row r="55" spans="1:18" hidden="1" x14ac:dyDescent="0.25">
      <c r="A55" t="s">
        <v>27</v>
      </c>
      <c r="B55" t="str">
        <f t="shared" si="4"/>
        <v>I</v>
      </c>
      <c r="C55" t="str">
        <f t="shared" si="5"/>
        <v>125</v>
      </c>
      <c r="D55" s="1" t="str">
        <f t="shared" si="6"/>
        <v>125I</v>
      </c>
      <c r="E55" s="5" t="str">
        <f t="shared" si="7"/>
        <v>https://www.nndc.bnl.gov/nudat3/decaysearchdirect.jsp?nuc=125I&amp;unc=NDS</v>
      </c>
      <c r="F55" s="1" t="s">
        <v>160</v>
      </c>
      <c r="G55" s="1"/>
      <c r="H55" s="1"/>
      <c r="I55" s="1"/>
      <c r="J55" s="1"/>
      <c r="K55" s="1"/>
      <c r="L55" s="1"/>
      <c r="M55" s="1"/>
      <c r="N55" s="1"/>
      <c r="O55" s="1"/>
      <c r="R55" s="3"/>
    </row>
    <row r="56" spans="1:18" hidden="1" x14ac:dyDescent="0.25">
      <c r="A56" t="s">
        <v>28</v>
      </c>
      <c r="B56" t="str">
        <f t="shared" si="4"/>
        <v>I</v>
      </c>
      <c r="C56" t="str">
        <f t="shared" si="5"/>
        <v>129</v>
      </c>
      <c r="D56" s="1" t="str">
        <f t="shared" si="6"/>
        <v>129I</v>
      </c>
      <c r="E56" s="5" t="str">
        <f t="shared" si="7"/>
        <v>https://www.nndc.bnl.gov/nudat3/decaysearchdirect.jsp?nuc=129I&amp;unc=NDS</v>
      </c>
      <c r="F56" s="1" t="s">
        <v>160</v>
      </c>
      <c r="G56" s="1"/>
      <c r="H56" s="1"/>
      <c r="I56" s="1"/>
      <c r="J56" s="1"/>
      <c r="K56" s="1"/>
      <c r="L56" s="1"/>
      <c r="M56" s="1"/>
      <c r="N56" s="1"/>
      <c r="O56" s="1"/>
      <c r="R56" s="3"/>
    </row>
    <row r="57" spans="1:18" hidden="1" x14ac:dyDescent="0.25">
      <c r="A57" t="s">
        <v>30</v>
      </c>
      <c r="B57" t="str">
        <f t="shared" si="4"/>
        <v>I</v>
      </c>
      <c r="C57" t="str">
        <f t="shared" si="5"/>
        <v>131</v>
      </c>
      <c r="D57" s="1" t="str">
        <f t="shared" si="6"/>
        <v>131I</v>
      </c>
      <c r="E57" s="5" t="str">
        <f t="shared" si="7"/>
        <v>https://www.nndc.bnl.gov/nudat3/decaysearchdirect.jsp?nuc=131I&amp;unc=NDS</v>
      </c>
      <c r="F57" s="1" t="s">
        <v>160</v>
      </c>
      <c r="G57" s="1"/>
      <c r="H57" s="1"/>
      <c r="I57" s="1"/>
      <c r="J57" s="1"/>
      <c r="K57" s="1"/>
      <c r="L57" s="1"/>
      <c r="M57" s="1"/>
      <c r="N57" s="1"/>
      <c r="O57" s="1"/>
      <c r="R57" s="3"/>
    </row>
    <row r="58" spans="1:18" x14ac:dyDescent="0.25">
      <c r="A58" t="s">
        <v>18</v>
      </c>
      <c r="B58" t="str">
        <f t="shared" si="4"/>
        <v>KR</v>
      </c>
      <c r="C58" t="str">
        <f t="shared" si="5"/>
        <v>85</v>
      </c>
      <c r="D58" s="1" t="str">
        <f t="shared" si="6"/>
        <v>85KR</v>
      </c>
      <c r="E58" s="5" t="str">
        <f t="shared" si="7"/>
        <v>https://www.nndc.bnl.gov/nudat3/decaysearchdirect.jsp?nuc=85KR&amp;unc=NDS</v>
      </c>
      <c r="F58" s="1" t="s">
        <v>159</v>
      </c>
      <c r="G58" s="1" t="s">
        <v>162</v>
      </c>
      <c r="H58" s="1"/>
      <c r="I58" s="1"/>
      <c r="J58" s="1"/>
      <c r="K58" s="1"/>
      <c r="L58" s="1"/>
      <c r="M58" s="1"/>
      <c r="N58" s="1"/>
      <c r="O58" s="1"/>
      <c r="R58" s="3"/>
    </row>
    <row r="59" spans="1:18" hidden="1" x14ac:dyDescent="0.25">
      <c r="A59" t="s">
        <v>10</v>
      </c>
      <c r="B59" t="str">
        <f t="shared" si="4"/>
        <v>MN</v>
      </c>
      <c r="C59" t="str">
        <f t="shared" si="5"/>
        <v>54</v>
      </c>
      <c r="D59" s="1" t="str">
        <f t="shared" si="6"/>
        <v>54MN</v>
      </c>
      <c r="E59" s="5" t="str">
        <f t="shared" si="7"/>
        <v>https://www.nndc.bnl.gov/nudat3/decaysearchdirect.jsp?nuc=54MN&amp;unc=NDS</v>
      </c>
      <c r="F59" s="1" t="s">
        <v>160</v>
      </c>
      <c r="G59" s="1"/>
      <c r="H59" s="1"/>
      <c r="I59" s="1"/>
      <c r="J59" s="1"/>
      <c r="K59" s="1"/>
      <c r="L59" s="1"/>
      <c r="M59" s="1"/>
      <c r="N59" s="1"/>
      <c r="O59" s="1"/>
      <c r="R59" s="3"/>
    </row>
    <row r="60" spans="1:18" hidden="1" x14ac:dyDescent="0.25">
      <c r="A60" t="s">
        <v>3</v>
      </c>
      <c r="B60" t="str">
        <f t="shared" si="4"/>
        <v>NA</v>
      </c>
      <c r="C60" t="str">
        <f t="shared" si="5"/>
        <v>22</v>
      </c>
      <c r="D60" s="1" t="str">
        <f t="shared" si="6"/>
        <v>22NA</v>
      </c>
      <c r="E60" s="5" t="str">
        <f t="shared" si="7"/>
        <v>https://www.nndc.bnl.gov/nudat3/decaysearchdirect.jsp?nuc=22NA&amp;unc=NDS</v>
      </c>
      <c r="F60" s="1" t="s">
        <v>160</v>
      </c>
      <c r="G60" s="1"/>
      <c r="H60" s="1"/>
      <c r="I60" s="1"/>
      <c r="J60" s="1"/>
      <c r="K60" s="1"/>
      <c r="L60" s="1"/>
      <c r="M60" s="1"/>
      <c r="N60" s="1"/>
      <c r="O60" s="1"/>
      <c r="R60" s="3"/>
    </row>
    <row r="61" spans="1:18" hidden="1" x14ac:dyDescent="0.25">
      <c r="A61" t="s">
        <v>111</v>
      </c>
      <c r="B61" t="str">
        <f t="shared" si="4"/>
        <v>NB</v>
      </c>
      <c r="C61" t="str">
        <f t="shared" si="5"/>
        <v>93</v>
      </c>
      <c r="D61" s="1" t="str">
        <f t="shared" si="6"/>
        <v>93NB</v>
      </c>
      <c r="E61" s="5" t="str">
        <f t="shared" si="7"/>
        <v>https://www.nndc.bnl.gov/nudat3/decaysearchdirect.jsp?nuc=93NB&amp;unc=NDS</v>
      </c>
      <c r="F61" s="1" t="s">
        <v>160</v>
      </c>
      <c r="G61" s="1"/>
      <c r="H61" s="1"/>
      <c r="I61" s="1"/>
      <c r="J61" s="1"/>
      <c r="K61" s="1"/>
      <c r="L61" s="1"/>
      <c r="M61" s="1"/>
      <c r="N61" s="1"/>
      <c r="O61" s="1"/>
      <c r="R61" s="3"/>
    </row>
    <row r="62" spans="1:18" hidden="1" x14ac:dyDescent="0.25">
      <c r="A62" t="s">
        <v>151</v>
      </c>
      <c r="B62" t="str">
        <f t="shared" si="4"/>
        <v>NB</v>
      </c>
      <c r="C62" t="str">
        <f t="shared" si="5"/>
        <v>94</v>
      </c>
      <c r="D62" s="1" t="str">
        <f t="shared" si="6"/>
        <v>94NB</v>
      </c>
      <c r="E62" s="5" t="str">
        <f t="shared" si="7"/>
        <v>https://www.nndc.bnl.gov/nudat3/decaysearchdirect.jsp?nuc=94NB&amp;unc=NDS</v>
      </c>
      <c r="F62" s="1" t="s">
        <v>160</v>
      </c>
      <c r="G62" s="1"/>
      <c r="H62" s="1"/>
      <c r="I62" s="1"/>
      <c r="J62" s="1"/>
      <c r="K62" s="1"/>
      <c r="L62" s="1"/>
      <c r="M62" s="1"/>
      <c r="N62" s="1"/>
      <c r="O62" s="1"/>
      <c r="R62" s="3"/>
    </row>
    <row r="63" spans="1:18" hidden="1" x14ac:dyDescent="0.25">
      <c r="A63" t="s">
        <v>152</v>
      </c>
      <c r="B63" t="str">
        <f t="shared" si="4"/>
        <v>NB</v>
      </c>
      <c r="C63" t="str">
        <f t="shared" si="5"/>
        <v>95</v>
      </c>
      <c r="D63" s="1" t="str">
        <f t="shared" si="6"/>
        <v>95NB</v>
      </c>
      <c r="E63" s="5" t="str">
        <f t="shared" si="7"/>
        <v>https://www.nndc.bnl.gov/nudat3/decaysearchdirect.jsp?nuc=95NB&amp;unc=NDS</v>
      </c>
      <c r="F63" s="1" t="s">
        <v>160</v>
      </c>
      <c r="G63" s="1" t="s">
        <v>163</v>
      </c>
      <c r="H63" s="1"/>
      <c r="I63" s="1"/>
      <c r="J63" s="1"/>
      <c r="K63" s="1"/>
      <c r="L63" s="1"/>
      <c r="M63" s="1"/>
      <c r="N63" s="1"/>
      <c r="O63" s="1"/>
      <c r="R63" s="3"/>
    </row>
    <row r="64" spans="1:18" hidden="1" x14ac:dyDescent="0.25">
      <c r="A64" t="s">
        <v>33</v>
      </c>
      <c r="B64" t="str">
        <f t="shared" si="4"/>
        <v>ND</v>
      </c>
      <c r="C64" t="str">
        <f t="shared" si="5"/>
        <v>144</v>
      </c>
      <c r="D64" s="1" t="str">
        <f t="shared" si="6"/>
        <v>144ND</v>
      </c>
      <c r="E64" s="5" t="str">
        <f t="shared" si="7"/>
        <v>https://www.nndc.bnl.gov/nudat3/decaysearchdirect.jsp?nuc=144ND&amp;unc=NDS</v>
      </c>
      <c r="F64" s="1" t="s">
        <v>160</v>
      </c>
      <c r="G64" s="1"/>
      <c r="H64" s="1"/>
      <c r="I64" s="1"/>
      <c r="J64" s="1"/>
      <c r="K64" s="1"/>
      <c r="L64" s="1"/>
      <c r="M64" s="1"/>
      <c r="N64" s="1"/>
      <c r="O64" s="1"/>
      <c r="R64" s="3"/>
    </row>
    <row r="65" spans="1:18" hidden="1" x14ac:dyDescent="0.25">
      <c r="A65" t="s">
        <v>108</v>
      </c>
      <c r="B65" t="str">
        <f t="shared" si="4"/>
        <v>NI</v>
      </c>
      <c r="C65" t="str">
        <f t="shared" si="5"/>
        <v>59</v>
      </c>
      <c r="D65" s="1" t="str">
        <f t="shared" si="6"/>
        <v>59NI</v>
      </c>
      <c r="E65" s="5" t="str">
        <f t="shared" si="7"/>
        <v>https://www.nndc.bnl.gov/nudat3/decaysearchdirect.jsp?nuc=59NI&amp;unc=NDS</v>
      </c>
      <c r="F65" s="1" t="s">
        <v>160</v>
      </c>
      <c r="G65" s="1"/>
      <c r="H65" s="1"/>
      <c r="I65" s="1"/>
      <c r="J65" s="1"/>
      <c r="K65" s="1"/>
      <c r="L65" s="1"/>
      <c r="M65" s="1"/>
      <c r="N65" s="1"/>
      <c r="O65" s="1"/>
      <c r="R65" s="3"/>
    </row>
    <row r="66" spans="1:18" hidden="1" x14ac:dyDescent="0.25">
      <c r="A66" t="s">
        <v>15</v>
      </c>
      <c r="B66" t="str">
        <f t="shared" ref="B66:B97" si="8">LEFT(A66,FIND("-",A66)-1)</f>
        <v>NI</v>
      </c>
      <c r="C66" t="str">
        <f t="shared" ref="C66:C97" si="9">SUBSTITUTE(RIGHT(A66,LEN(A66)-FIND("-",A66)),"M","")</f>
        <v>63</v>
      </c>
      <c r="D66" s="1" t="str">
        <f t="shared" ref="D66:D97" si="10">C66&amp;B66</f>
        <v>63NI</v>
      </c>
      <c r="E66" s="5" t="str">
        <f t="shared" ref="E66:E97" si="11">HYPERLINK("https://www.nndc.bnl.gov/nudat3/decaysearchdirect.jsp?nuc="&amp;D66&amp;"&amp;unc=NDS")</f>
        <v>https://www.nndc.bnl.gov/nudat3/decaysearchdirect.jsp?nuc=63NI&amp;unc=NDS</v>
      </c>
      <c r="F66" s="1" t="s">
        <v>160</v>
      </c>
      <c r="G66" s="1"/>
      <c r="H66" s="1"/>
      <c r="I66" s="1"/>
      <c r="J66" s="1"/>
      <c r="K66" s="1"/>
      <c r="L66" s="1"/>
      <c r="M66" s="1"/>
      <c r="N66" s="1"/>
      <c r="O66" s="1"/>
      <c r="R66" s="3"/>
    </row>
    <row r="67" spans="1:18" x14ac:dyDescent="0.25">
      <c r="A67" t="s">
        <v>131</v>
      </c>
      <c r="B67" t="str">
        <f t="shared" si="8"/>
        <v>NP</v>
      </c>
      <c r="C67" t="str">
        <f t="shared" si="9"/>
        <v>236</v>
      </c>
      <c r="D67" s="1" t="str">
        <f t="shared" si="10"/>
        <v>236NP</v>
      </c>
      <c r="E67" s="5" t="str">
        <f t="shared" si="11"/>
        <v>https://www.nndc.bnl.gov/nudat3/decaysearchdirect.jsp?nuc=236NP&amp;unc=NDS</v>
      </c>
      <c r="F67" s="1" t="s">
        <v>159</v>
      </c>
      <c r="G67" s="1" t="s">
        <v>164</v>
      </c>
      <c r="H67" s="1"/>
      <c r="I67" s="1"/>
      <c r="J67" s="1"/>
      <c r="K67" s="1"/>
      <c r="L67" s="1"/>
      <c r="M67" s="1"/>
      <c r="N67" s="1"/>
      <c r="O67" s="1"/>
      <c r="R67" s="3"/>
    </row>
    <row r="68" spans="1:18" hidden="1" x14ac:dyDescent="0.25">
      <c r="A68" t="s">
        <v>95</v>
      </c>
      <c r="B68" t="str">
        <f t="shared" si="8"/>
        <v>NP</v>
      </c>
      <c r="C68" t="str">
        <f t="shared" si="9"/>
        <v>237</v>
      </c>
      <c r="D68" s="1" t="str">
        <f t="shared" si="10"/>
        <v>237NP</v>
      </c>
      <c r="E68" s="5" t="str">
        <f t="shared" si="11"/>
        <v>https://www.nndc.bnl.gov/nudat3/decaysearchdirect.jsp?nuc=237NP&amp;unc=NDS</v>
      </c>
      <c r="F68" s="1" t="s">
        <v>160</v>
      </c>
      <c r="G68" s="1"/>
      <c r="H68" s="1"/>
      <c r="I68" s="1"/>
      <c r="J68" s="1"/>
      <c r="K68" s="1"/>
      <c r="L68" s="1"/>
      <c r="M68" s="1"/>
      <c r="N68" s="1"/>
      <c r="O68" s="1"/>
      <c r="R68" s="3"/>
    </row>
    <row r="69" spans="1:18" hidden="1" x14ac:dyDescent="0.25">
      <c r="A69" t="s">
        <v>145</v>
      </c>
      <c r="B69" t="str">
        <f t="shared" si="8"/>
        <v>NP</v>
      </c>
      <c r="C69" t="str">
        <f t="shared" si="9"/>
        <v>238</v>
      </c>
      <c r="D69" s="1" t="str">
        <f t="shared" si="10"/>
        <v>238NP</v>
      </c>
      <c r="E69" s="5" t="str">
        <f t="shared" si="11"/>
        <v>https://www.nndc.bnl.gov/nudat3/decaysearchdirect.jsp?nuc=238NP&amp;unc=NDS</v>
      </c>
      <c r="F69" s="1" t="s">
        <v>160</v>
      </c>
      <c r="G69" s="1"/>
      <c r="H69" s="1"/>
      <c r="I69" s="1"/>
      <c r="J69" s="1"/>
      <c r="K69" s="1"/>
      <c r="L69" s="1"/>
      <c r="M69" s="1"/>
      <c r="N69" s="1"/>
      <c r="O69" s="1"/>
      <c r="R69" s="3"/>
    </row>
    <row r="70" spans="1:18" hidden="1" x14ac:dyDescent="0.25">
      <c r="A70" t="s">
        <v>100</v>
      </c>
      <c r="B70" t="str">
        <f t="shared" si="8"/>
        <v>NP</v>
      </c>
      <c r="C70" t="str">
        <f t="shared" si="9"/>
        <v>239</v>
      </c>
      <c r="D70" s="1" t="str">
        <f t="shared" si="10"/>
        <v>239NP</v>
      </c>
      <c r="E70" s="5" t="str">
        <f t="shared" si="11"/>
        <v>https://www.nndc.bnl.gov/nudat3/decaysearchdirect.jsp?nuc=239NP&amp;unc=NDS</v>
      </c>
      <c r="F70" s="1" t="s">
        <v>160</v>
      </c>
      <c r="G70" s="1"/>
      <c r="H70" s="1"/>
      <c r="I70" s="1"/>
      <c r="J70" s="1"/>
      <c r="K70" s="1"/>
      <c r="L70" s="1"/>
      <c r="M70" s="1"/>
      <c r="N70" s="1"/>
      <c r="O70" s="1"/>
      <c r="R70" s="3"/>
    </row>
    <row r="71" spans="1:18" hidden="1" x14ac:dyDescent="0.25">
      <c r="A71" t="s">
        <v>4</v>
      </c>
      <c r="B71" t="str">
        <f t="shared" si="8"/>
        <v>P</v>
      </c>
      <c r="C71" t="str">
        <f t="shared" si="9"/>
        <v>32</v>
      </c>
      <c r="D71" s="1" t="str">
        <f t="shared" si="10"/>
        <v>32P</v>
      </c>
      <c r="E71" s="5" t="str">
        <f t="shared" si="11"/>
        <v>https://www.nndc.bnl.gov/nudat3/decaysearchdirect.jsp?nuc=32P&amp;unc=NDS</v>
      </c>
      <c r="F71" s="1" t="s">
        <v>160</v>
      </c>
      <c r="G71" s="1"/>
      <c r="H71" s="1"/>
      <c r="I71" s="1"/>
      <c r="J71" s="1"/>
      <c r="K71" s="1"/>
      <c r="L71" s="1"/>
      <c r="M71" s="1"/>
      <c r="N71" s="1"/>
      <c r="O71" s="1"/>
      <c r="R71" s="3"/>
    </row>
    <row r="72" spans="1:18" hidden="1" x14ac:dyDescent="0.25">
      <c r="A72" t="s">
        <v>5</v>
      </c>
      <c r="B72" t="str">
        <f t="shared" si="8"/>
        <v>P</v>
      </c>
      <c r="C72" t="str">
        <f t="shared" si="9"/>
        <v>33</v>
      </c>
      <c r="D72" s="1" t="str">
        <f t="shared" si="10"/>
        <v>33P</v>
      </c>
      <c r="E72" s="5" t="str">
        <f t="shared" si="11"/>
        <v>https://www.nndc.bnl.gov/nudat3/decaysearchdirect.jsp?nuc=33P&amp;unc=NDS</v>
      </c>
      <c r="F72" s="1" t="s">
        <v>160</v>
      </c>
      <c r="G72" s="1"/>
      <c r="H72" s="1"/>
      <c r="I72" s="1"/>
      <c r="J72" s="1"/>
      <c r="K72" s="1"/>
      <c r="L72" s="1"/>
      <c r="M72" s="1"/>
      <c r="N72" s="1"/>
      <c r="O72" s="1"/>
      <c r="R72" s="3"/>
    </row>
    <row r="73" spans="1:18" hidden="1" x14ac:dyDescent="0.25">
      <c r="A73" t="s">
        <v>84</v>
      </c>
      <c r="B73" t="str">
        <f t="shared" si="8"/>
        <v>PA</v>
      </c>
      <c r="C73" t="str">
        <f t="shared" si="9"/>
        <v>231</v>
      </c>
      <c r="D73" s="1" t="str">
        <f t="shared" si="10"/>
        <v>231PA</v>
      </c>
      <c r="E73" s="5" t="str">
        <f t="shared" si="11"/>
        <v>https://www.nndc.bnl.gov/nudat3/decaysearchdirect.jsp?nuc=231PA&amp;unc=NDS</v>
      </c>
      <c r="F73" s="1" t="s">
        <v>160</v>
      </c>
      <c r="G73" s="1"/>
      <c r="H73" s="1"/>
      <c r="I73" s="1"/>
      <c r="J73" s="1"/>
      <c r="K73" s="1"/>
      <c r="L73" s="1"/>
      <c r="M73" s="1"/>
      <c r="N73" s="1"/>
      <c r="O73" s="1"/>
      <c r="R73" s="3"/>
    </row>
    <row r="74" spans="1:18" hidden="1" x14ac:dyDescent="0.25">
      <c r="A74" t="s">
        <v>88</v>
      </c>
      <c r="B74" t="str">
        <f t="shared" si="8"/>
        <v>PA</v>
      </c>
      <c r="C74" t="str">
        <f t="shared" si="9"/>
        <v>233</v>
      </c>
      <c r="D74" s="1" t="str">
        <f t="shared" si="10"/>
        <v>233PA</v>
      </c>
      <c r="E74" s="5" t="str">
        <f t="shared" si="11"/>
        <v>https://www.nndc.bnl.gov/nudat3/decaysearchdirect.jsp?nuc=233PA&amp;unc=NDS</v>
      </c>
      <c r="F74" s="1" t="s">
        <v>160</v>
      </c>
      <c r="G74" s="1"/>
      <c r="H74" s="1"/>
      <c r="I74" s="1"/>
      <c r="J74" s="1"/>
      <c r="K74" s="1"/>
      <c r="L74" s="1"/>
      <c r="M74" s="1"/>
      <c r="N74" s="1"/>
      <c r="O74" s="1"/>
      <c r="R74" s="3"/>
    </row>
    <row r="75" spans="1:18" hidden="1" x14ac:dyDescent="0.25">
      <c r="A75" t="s">
        <v>90</v>
      </c>
      <c r="B75" t="str">
        <f t="shared" si="8"/>
        <v>PA</v>
      </c>
      <c r="C75" t="str">
        <f t="shared" si="9"/>
        <v>234</v>
      </c>
      <c r="D75" s="1" t="str">
        <f t="shared" si="10"/>
        <v>234PA</v>
      </c>
      <c r="E75" s="5" t="str">
        <f t="shared" si="11"/>
        <v>https://www.nndc.bnl.gov/nudat3/decaysearchdirect.jsp?nuc=234PA&amp;unc=NDS</v>
      </c>
      <c r="F75" s="1" t="s">
        <v>160</v>
      </c>
      <c r="G75" s="1"/>
      <c r="H75" s="1"/>
      <c r="I75" s="1"/>
      <c r="J75" s="1"/>
      <c r="K75" s="1"/>
      <c r="L75" s="1"/>
      <c r="M75" s="1"/>
      <c r="N75" s="1"/>
      <c r="O75" s="1"/>
      <c r="R75" s="3"/>
    </row>
    <row r="76" spans="1:18" hidden="1" x14ac:dyDescent="0.25">
      <c r="A76" t="s">
        <v>91</v>
      </c>
      <c r="B76" t="str">
        <f t="shared" si="8"/>
        <v>PA</v>
      </c>
      <c r="C76" t="str">
        <f t="shared" si="9"/>
        <v>234</v>
      </c>
      <c r="D76" s="1" t="str">
        <f t="shared" si="10"/>
        <v>234PA</v>
      </c>
      <c r="E76" s="5" t="str">
        <f t="shared" si="11"/>
        <v>https://www.nndc.bnl.gov/nudat3/decaysearchdirect.jsp?nuc=234PA&amp;unc=NDS</v>
      </c>
      <c r="F76" s="1" t="s">
        <v>160</v>
      </c>
      <c r="G76" s="1"/>
      <c r="H76" s="1"/>
      <c r="I76" s="1"/>
      <c r="J76" s="1"/>
      <c r="K76" s="1"/>
      <c r="L76" s="1"/>
      <c r="M76" s="1"/>
      <c r="N76" s="1"/>
      <c r="O76" s="1"/>
      <c r="R76" s="3"/>
    </row>
    <row r="77" spans="1:18" hidden="1" x14ac:dyDescent="0.25">
      <c r="A77" t="s">
        <v>40</v>
      </c>
      <c r="B77" t="str">
        <f t="shared" si="8"/>
        <v>PB</v>
      </c>
      <c r="C77" t="str">
        <f t="shared" si="9"/>
        <v>209</v>
      </c>
      <c r="D77" s="1" t="str">
        <f t="shared" si="10"/>
        <v>209PB</v>
      </c>
      <c r="E77" s="5" t="str">
        <f t="shared" si="11"/>
        <v>https://www.nndc.bnl.gov/nudat3/decaysearchdirect.jsp?nuc=209PB&amp;unc=NDS</v>
      </c>
      <c r="F77" s="1" t="s">
        <v>160</v>
      </c>
      <c r="G77" s="1"/>
      <c r="H77" s="1"/>
      <c r="I77" s="1"/>
      <c r="J77" s="1"/>
      <c r="K77" s="1"/>
      <c r="L77" s="1"/>
      <c r="M77" s="1"/>
      <c r="N77" s="1"/>
      <c r="O77" s="1"/>
      <c r="R77" s="3"/>
    </row>
    <row r="78" spans="1:18" hidden="1" x14ac:dyDescent="0.25">
      <c r="A78" t="s">
        <v>44</v>
      </c>
      <c r="B78" t="str">
        <f t="shared" si="8"/>
        <v>PB</v>
      </c>
      <c r="C78" t="str">
        <f t="shared" si="9"/>
        <v>210</v>
      </c>
      <c r="D78" s="1" t="str">
        <f t="shared" si="10"/>
        <v>210PB</v>
      </c>
      <c r="E78" s="5" t="str">
        <f t="shared" si="11"/>
        <v>https://www.nndc.bnl.gov/nudat3/decaysearchdirect.jsp?nuc=210PB&amp;unc=NDS</v>
      </c>
      <c r="F78" s="1" t="s">
        <v>160</v>
      </c>
      <c r="G78" s="1" t="s">
        <v>165</v>
      </c>
      <c r="H78" s="1"/>
      <c r="I78" s="1"/>
      <c r="J78" s="1"/>
      <c r="K78" s="1"/>
      <c r="L78" s="1"/>
      <c r="M78" s="1"/>
      <c r="N78" s="1"/>
      <c r="O78" s="1"/>
      <c r="R78" s="3"/>
    </row>
    <row r="79" spans="1:18" hidden="1" x14ac:dyDescent="0.25">
      <c r="A79" t="s">
        <v>48</v>
      </c>
      <c r="B79" t="str">
        <f t="shared" si="8"/>
        <v>PB</v>
      </c>
      <c r="C79" t="str">
        <f t="shared" si="9"/>
        <v>211</v>
      </c>
      <c r="D79" s="1" t="str">
        <f t="shared" si="10"/>
        <v>211PB</v>
      </c>
      <c r="E79" s="5" t="str">
        <f t="shared" si="11"/>
        <v>https://www.nndc.bnl.gov/nudat3/decaysearchdirect.jsp?nuc=211PB&amp;unc=NDS</v>
      </c>
      <c r="F79" s="1" t="s">
        <v>160</v>
      </c>
      <c r="G79" s="1"/>
      <c r="H79" s="1"/>
      <c r="I79" s="1"/>
      <c r="J79" s="1"/>
      <c r="K79" s="1"/>
      <c r="L79" s="1"/>
      <c r="M79" s="1"/>
      <c r="N79" s="1"/>
      <c r="O79" s="1"/>
      <c r="R79" s="3"/>
    </row>
    <row r="80" spans="1:18" hidden="1" x14ac:dyDescent="0.25">
      <c r="A80" t="s">
        <v>51</v>
      </c>
      <c r="B80" t="str">
        <f t="shared" si="8"/>
        <v>PB</v>
      </c>
      <c r="C80" t="str">
        <f t="shared" si="9"/>
        <v>212</v>
      </c>
      <c r="D80" s="1" t="str">
        <f t="shared" si="10"/>
        <v>212PB</v>
      </c>
      <c r="E80" s="5" t="str">
        <f t="shared" si="11"/>
        <v>https://www.nndc.bnl.gov/nudat3/decaysearchdirect.jsp?nuc=212PB&amp;unc=NDS</v>
      </c>
      <c r="F80" s="1" t="s">
        <v>160</v>
      </c>
      <c r="G80" s="1"/>
      <c r="H80" s="1"/>
      <c r="I80" s="1"/>
      <c r="J80" s="1"/>
      <c r="K80" s="1"/>
      <c r="L80" s="1"/>
      <c r="M80" s="1"/>
      <c r="N80" s="1"/>
      <c r="O80" s="1"/>
      <c r="R80" s="3"/>
    </row>
    <row r="81" spans="1:18" hidden="1" x14ac:dyDescent="0.25">
      <c r="A81" t="s">
        <v>56</v>
      </c>
      <c r="B81" t="str">
        <f t="shared" si="8"/>
        <v>PB</v>
      </c>
      <c r="C81" t="str">
        <f t="shared" si="9"/>
        <v>214</v>
      </c>
      <c r="D81" s="1" t="str">
        <f t="shared" si="10"/>
        <v>214PB</v>
      </c>
      <c r="E81" s="5" t="str">
        <f t="shared" si="11"/>
        <v>https://www.nndc.bnl.gov/nudat3/decaysearchdirect.jsp?nuc=214PB&amp;unc=NDS</v>
      </c>
      <c r="F81" s="1" t="s">
        <v>160</v>
      </c>
      <c r="G81" s="1"/>
      <c r="H81" s="1"/>
      <c r="I81" s="1"/>
      <c r="J81" s="1"/>
      <c r="K81" s="1"/>
      <c r="L81" s="1"/>
      <c r="M81" s="1"/>
      <c r="N81" s="1"/>
      <c r="O81" s="1"/>
      <c r="R81" s="3"/>
    </row>
    <row r="82" spans="1:18" hidden="1" x14ac:dyDescent="0.25">
      <c r="A82" t="s">
        <v>114</v>
      </c>
      <c r="B82" t="str">
        <f t="shared" si="8"/>
        <v>PD</v>
      </c>
      <c r="C82" t="str">
        <f t="shared" si="9"/>
        <v>107</v>
      </c>
      <c r="D82" s="1" t="str">
        <f t="shared" si="10"/>
        <v>107PD</v>
      </c>
      <c r="E82" s="5" t="str">
        <f t="shared" si="11"/>
        <v>https://www.nndc.bnl.gov/nudat3/decaysearchdirect.jsp?nuc=107PD&amp;unc=NDS</v>
      </c>
      <c r="F82" s="1" t="s">
        <v>160</v>
      </c>
      <c r="G82" s="1"/>
      <c r="H82" s="1"/>
      <c r="I82" s="1"/>
      <c r="J82" s="1"/>
      <c r="K82" s="1"/>
      <c r="L82" s="1"/>
      <c r="M82" s="1"/>
      <c r="N82" s="1"/>
      <c r="O82" s="1"/>
      <c r="R82" s="3"/>
    </row>
    <row r="83" spans="1:18" x14ac:dyDescent="0.25">
      <c r="A83" t="s">
        <v>126</v>
      </c>
      <c r="B83" t="str">
        <f t="shared" si="8"/>
        <v>PM</v>
      </c>
      <c r="C83" t="str">
        <f t="shared" si="9"/>
        <v>146</v>
      </c>
      <c r="D83" s="1" t="str">
        <f t="shared" si="10"/>
        <v>146PM</v>
      </c>
      <c r="E83" s="5" t="str">
        <f t="shared" si="11"/>
        <v>https://www.nndc.bnl.gov/nudat3/decaysearchdirect.jsp?nuc=146PM&amp;unc=NDS</v>
      </c>
      <c r="F83" s="1" t="s">
        <v>159</v>
      </c>
      <c r="G83" s="1"/>
      <c r="H83" s="1"/>
      <c r="I83" s="1"/>
      <c r="J83" s="1"/>
      <c r="K83" s="1"/>
      <c r="L83" s="1"/>
      <c r="M83" s="1"/>
      <c r="N83" s="1"/>
      <c r="O83" s="1"/>
      <c r="R83" s="3"/>
    </row>
    <row r="84" spans="1:18" hidden="1" x14ac:dyDescent="0.25">
      <c r="A84" t="s">
        <v>127</v>
      </c>
      <c r="B84" t="str">
        <f t="shared" si="8"/>
        <v>PM</v>
      </c>
      <c r="C84" t="str">
        <f t="shared" si="9"/>
        <v>147</v>
      </c>
      <c r="D84" s="1" t="str">
        <f t="shared" si="10"/>
        <v>147PM</v>
      </c>
      <c r="E84" s="5" t="str">
        <f t="shared" si="11"/>
        <v>https://www.nndc.bnl.gov/nudat3/decaysearchdirect.jsp?nuc=147PM&amp;unc=NDS</v>
      </c>
      <c r="F84" s="1" t="s">
        <v>160</v>
      </c>
      <c r="G84" s="1"/>
      <c r="H84" s="1"/>
      <c r="I84" s="1"/>
      <c r="J84" s="1"/>
      <c r="K84" s="1"/>
      <c r="L84" s="1"/>
      <c r="M84" s="1"/>
      <c r="N84" s="1"/>
      <c r="O84" s="1"/>
      <c r="R84" s="3"/>
    </row>
    <row r="85" spans="1:18" hidden="1" x14ac:dyDescent="0.25">
      <c r="A85" t="s">
        <v>42</v>
      </c>
      <c r="B85" t="str">
        <f t="shared" si="8"/>
        <v>PO</v>
      </c>
      <c r="C85" t="str">
        <f t="shared" si="9"/>
        <v>210</v>
      </c>
      <c r="D85" s="1" t="str">
        <f t="shared" si="10"/>
        <v>210PO</v>
      </c>
      <c r="E85" s="5" t="str">
        <f t="shared" si="11"/>
        <v>https://www.nndc.bnl.gov/nudat3/decaysearchdirect.jsp?nuc=210PO&amp;unc=NDS</v>
      </c>
      <c r="F85" s="1" t="s">
        <v>160</v>
      </c>
      <c r="G85" s="1"/>
      <c r="H85" s="1"/>
      <c r="I85" s="1"/>
      <c r="J85" s="1"/>
      <c r="K85" s="1"/>
      <c r="L85" s="1"/>
      <c r="M85" s="1"/>
      <c r="N85" s="1"/>
      <c r="O85" s="1"/>
      <c r="R85" s="3"/>
    </row>
    <row r="86" spans="1:18" hidden="1" x14ac:dyDescent="0.25">
      <c r="A86" t="s">
        <v>46</v>
      </c>
      <c r="B86" t="str">
        <f t="shared" si="8"/>
        <v>PO</v>
      </c>
      <c r="C86" t="str">
        <f t="shared" si="9"/>
        <v>211</v>
      </c>
      <c r="D86" s="1" t="str">
        <f t="shared" si="10"/>
        <v>211PO</v>
      </c>
      <c r="E86" s="5" t="str">
        <f t="shared" si="11"/>
        <v>https://www.nndc.bnl.gov/nudat3/decaysearchdirect.jsp?nuc=211PO&amp;unc=NDS</v>
      </c>
      <c r="F86" s="1" t="s">
        <v>160</v>
      </c>
      <c r="G86" s="1"/>
      <c r="H86" s="1"/>
      <c r="I86" s="1"/>
      <c r="J86" s="1"/>
      <c r="K86" s="1"/>
      <c r="L86" s="1"/>
      <c r="M86" s="1"/>
      <c r="N86" s="1"/>
      <c r="O86" s="1"/>
      <c r="R86" s="3"/>
    </row>
    <row r="87" spans="1:18" hidden="1" x14ac:dyDescent="0.25">
      <c r="A87" t="s">
        <v>49</v>
      </c>
      <c r="B87" t="str">
        <f t="shared" si="8"/>
        <v>PO</v>
      </c>
      <c r="C87" t="str">
        <f t="shared" si="9"/>
        <v>212</v>
      </c>
      <c r="D87" s="1" t="str">
        <f t="shared" si="10"/>
        <v>212PO</v>
      </c>
      <c r="E87" s="5" t="str">
        <f t="shared" si="11"/>
        <v>https://www.nndc.bnl.gov/nudat3/decaysearchdirect.jsp?nuc=212PO&amp;unc=NDS</v>
      </c>
      <c r="F87" s="1" t="s">
        <v>160</v>
      </c>
      <c r="G87" s="1"/>
      <c r="H87" s="1"/>
      <c r="I87" s="1"/>
      <c r="J87" s="1"/>
      <c r="K87" s="1"/>
      <c r="L87" s="1"/>
      <c r="M87" s="1"/>
      <c r="N87" s="1"/>
      <c r="O87" s="1"/>
      <c r="R87" s="3"/>
    </row>
    <row r="88" spans="1:18" hidden="1" x14ac:dyDescent="0.25">
      <c r="A88" t="s">
        <v>52</v>
      </c>
      <c r="B88" t="str">
        <f t="shared" si="8"/>
        <v>PO</v>
      </c>
      <c r="C88" t="str">
        <f t="shared" si="9"/>
        <v>213</v>
      </c>
      <c r="D88" s="1" t="str">
        <f t="shared" si="10"/>
        <v>213PO</v>
      </c>
      <c r="E88" s="5" t="str">
        <f t="shared" si="11"/>
        <v>https://www.nndc.bnl.gov/nudat3/decaysearchdirect.jsp?nuc=213PO&amp;unc=NDS</v>
      </c>
      <c r="F88" s="1" t="s">
        <v>160</v>
      </c>
      <c r="G88" s="1"/>
      <c r="H88" s="1"/>
      <c r="I88" s="1"/>
      <c r="J88" s="1"/>
      <c r="K88" s="1"/>
      <c r="L88" s="1"/>
      <c r="M88" s="1"/>
      <c r="N88" s="1"/>
      <c r="O88" s="1"/>
      <c r="R88" s="3"/>
    </row>
    <row r="89" spans="1:18" hidden="1" x14ac:dyDescent="0.25">
      <c r="A89" t="s">
        <v>54</v>
      </c>
      <c r="B89" t="str">
        <f t="shared" si="8"/>
        <v>PO</v>
      </c>
      <c r="C89" t="str">
        <f t="shared" si="9"/>
        <v>214</v>
      </c>
      <c r="D89" s="1" t="str">
        <f t="shared" si="10"/>
        <v>214PO</v>
      </c>
      <c r="E89" s="5" t="str">
        <f t="shared" si="11"/>
        <v>https://www.nndc.bnl.gov/nudat3/decaysearchdirect.jsp?nuc=214PO&amp;unc=NDS</v>
      </c>
      <c r="F89" s="1" t="s">
        <v>160</v>
      </c>
      <c r="G89" s="1"/>
      <c r="H89" s="1"/>
      <c r="I89" s="1"/>
      <c r="J89" s="1"/>
      <c r="K89" s="1"/>
      <c r="L89" s="1"/>
      <c r="M89" s="1"/>
      <c r="N89" s="1"/>
      <c r="O89" s="1"/>
      <c r="R89" s="3"/>
    </row>
    <row r="90" spans="1:18" hidden="1" x14ac:dyDescent="0.25">
      <c r="A90" t="s">
        <v>58</v>
      </c>
      <c r="B90" t="str">
        <f t="shared" si="8"/>
        <v>PO</v>
      </c>
      <c r="C90" t="str">
        <f t="shared" si="9"/>
        <v>215</v>
      </c>
      <c r="D90" s="1" t="str">
        <f t="shared" si="10"/>
        <v>215PO</v>
      </c>
      <c r="E90" s="5" t="str">
        <f t="shared" si="11"/>
        <v>https://www.nndc.bnl.gov/nudat3/decaysearchdirect.jsp?nuc=215PO&amp;unc=NDS</v>
      </c>
      <c r="F90" s="1" t="s">
        <v>160</v>
      </c>
      <c r="G90" s="1"/>
      <c r="H90" s="1"/>
      <c r="I90" s="1"/>
      <c r="J90" s="1"/>
      <c r="K90" s="1"/>
      <c r="L90" s="1"/>
      <c r="M90" s="1"/>
      <c r="N90" s="1"/>
      <c r="O90" s="1"/>
      <c r="R90" s="3"/>
    </row>
    <row r="91" spans="1:18" hidden="1" x14ac:dyDescent="0.25">
      <c r="A91" t="s">
        <v>60</v>
      </c>
      <c r="B91" t="str">
        <f t="shared" si="8"/>
        <v>PO</v>
      </c>
      <c r="C91" t="str">
        <f t="shared" si="9"/>
        <v>216</v>
      </c>
      <c r="D91" s="1" t="str">
        <f t="shared" si="10"/>
        <v>216PO</v>
      </c>
      <c r="E91" s="5" t="str">
        <f t="shared" si="11"/>
        <v>https://www.nndc.bnl.gov/nudat3/decaysearchdirect.jsp?nuc=216PO&amp;unc=NDS</v>
      </c>
      <c r="F91" s="1" t="s">
        <v>160</v>
      </c>
      <c r="G91" s="1"/>
      <c r="H91" s="1"/>
      <c r="I91" s="1"/>
      <c r="J91" s="1"/>
      <c r="K91" s="1"/>
      <c r="L91" s="1"/>
      <c r="M91" s="1"/>
      <c r="N91" s="1"/>
      <c r="O91" s="1"/>
      <c r="R91" s="3"/>
    </row>
    <row r="92" spans="1:18" hidden="1" x14ac:dyDescent="0.25">
      <c r="A92" t="s">
        <v>65</v>
      </c>
      <c r="B92" t="str">
        <f t="shared" si="8"/>
        <v>PO</v>
      </c>
      <c r="C92" t="str">
        <f t="shared" si="9"/>
        <v>218</v>
      </c>
      <c r="D92" s="1" t="str">
        <f t="shared" si="10"/>
        <v>218PO</v>
      </c>
      <c r="E92" s="5" t="str">
        <f t="shared" si="11"/>
        <v>https://www.nndc.bnl.gov/nudat3/decaysearchdirect.jsp?nuc=218PO&amp;unc=NDS</v>
      </c>
      <c r="F92" s="1" t="s">
        <v>160</v>
      </c>
      <c r="G92" s="1"/>
      <c r="H92" s="1"/>
      <c r="I92" s="1"/>
      <c r="J92" s="1"/>
      <c r="K92" s="1"/>
      <c r="L92" s="1"/>
      <c r="M92" s="1"/>
      <c r="N92" s="1"/>
      <c r="O92" s="1"/>
      <c r="R92" s="3"/>
    </row>
    <row r="93" spans="1:18" hidden="1" x14ac:dyDescent="0.25">
      <c r="A93" t="s">
        <v>125</v>
      </c>
      <c r="B93" t="str">
        <f t="shared" si="8"/>
        <v>PR</v>
      </c>
      <c r="C93" t="str">
        <f t="shared" si="9"/>
        <v>144</v>
      </c>
      <c r="D93" s="1" t="str">
        <f t="shared" si="10"/>
        <v>144PR</v>
      </c>
      <c r="E93" s="5" t="str">
        <f t="shared" si="11"/>
        <v>https://www.nndc.bnl.gov/nudat3/decaysearchdirect.jsp?nuc=144PR&amp;unc=NDS</v>
      </c>
      <c r="F93" s="1" t="s">
        <v>160</v>
      </c>
      <c r="G93" s="1"/>
      <c r="H93" s="1"/>
      <c r="I93" s="1"/>
      <c r="J93" s="1"/>
      <c r="K93" s="1"/>
      <c r="L93" s="1"/>
      <c r="M93" s="1"/>
      <c r="N93" s="1"/>
      <c r="O93" s="1"/>
      <c r="R93" s="3"/>
    </row>
    <row r="94" spans="1:18" hidden="1" x14ac:dyDescent="0.25">
      <c r="A94" t="s">
        <v>132</v>
      </c>
      <c r="B94" t="str">
        <f t="shared" si="8"/>
        <v>PU</v>
      </c>
      <c r="C94" t="str">
        <f t="shared" si="9"/>
        <v>236</v>
      </c>
      <c r="D94" s="1" t="str">
        <f t="shared" si="10"/>
        <v>236PU</v>
      </c>
      <c r="E94" s="5" t="str">
        <f t="shared" si="11"/>
        <v>https://www.nndc.bnl.gov/nudat3/decaysearchdirect.jsp?nuc=236PU&amp;unc=NDS</v>
      </c>
      <c r="F94" s="1" t="s">
        <v>160</v>
      </c>
      <c r="G94" s="1"/>
      <c r="H94" s="1"/>
      <c r="I94" s="1"/>
      <c r="J94" s="1"/>
      <c r="K94" s="1"/>
      <c r="L94" s="1"/>
      <c r="M94" s="1"/>
      <c r="N94" s="1"/>
      <c r="O94" s="1"/>
      <c r="R94" s="3"/>
    </row>
    <row r="95" spans="1:18" hidden="1" x14ac:dyDescent="0.25">
      <c r="A95" t="s">
        <v>97</v>
      </c>
      <c r="B95" t="str">
        <f t="shared" si="8"/>
        <v>PU</v>
      </c>
      <c r="C95" t="str">
        <f t="shared" si="9"/>
        <v>238</v>
      </c>
      <c r="D95" s="1" t="str">
        <f t="shared" si="10"/>
        <v>238PU</v>
      </c>
      <c r="E95" s="5" t="str">
        <f t="shared" si="11"/>
        <v>https://www.nndc.bnl.gov/nudat3/decaysearchdirect.jsp?nuc=238PU&amp;unc=NDS</v>
      </c>
      <c r="F95" s="1" t="s">
        <v>160</v>
      </c>
      <c r="G95" s="1"/>
      <c r="H95" s="1"/>
      <c r="I95" s="1"/>
      <c r="J95" s="1"/>
      <c r="K95" s="1"/>
      <c r="L95" s="1"/>
      <c r="M95" s="1"/>
      <c r="N95" s="1"/>
      <c r="O95" s="1"/>
      <c r="R95" s="3"/>
    </row>
    <row r="96" spans="1:18" hidden="1" x14ac:dyDescent="0.25">
      <c r="A96" t="s">
        <v>99</v>
      </c>
      <c r="B96" t="str">
        <f t="shared" si="8"/>
        <v>PU</v>
      </c>
      <c r="C96" t="str">
        <f t="shared" si="9"/>
        <v>239</v>
      </c>
      <c r="D96" s="1" t="str">
        <f t="shared" si="10"/>
        <v>239PU</v>
      </c>
      <c r="E96" s="5" t="str">
        <f t="shared" si="11"/>
        <v>https://www.nndc.bnl.gov/nudat3/decaysearchdirect.jsp?nuc=239PU&amp;unc=NDS</v>
      </c>
      <c r="F96" s="1" t="s">
        <v>160</v>
      </c>
      <c r="G96" s="1"/>
      <c r="H96" s="1"/>
      <c r="I96" s="1"/>
      <c r="J96" s="1"/>
      <c r="K96" s="1"/>
      <c r="L96" s="1"/>
      <c r="M96" s="1"/>
      <c r="N96" s="1"/>
      <c r="O96" s="1"/>
      <c r="R96" s="3"/>
    </row>
    <row r="97" spans="1:18" hidden="1" x14ac:dyDescent="0.25">
      <c r="A97" t="s">
        <v>101</v>
      </c>
      <c r="B97" t="str">
        <f t="shared" si="8"/>
        <v>PU</v>
      </c>
      <c r="C97" t="str">
        <f t="shared" si="9"/>
        <v>240</v>
      </c>
      <c r="D97" s="1" t="str">
        <f t="shared" si="10"/>
        <v>240PU</v>
      </c>
      <c r="E97" s="5" t="str">
        <f t="shared" si="11"/>
        <v>https://www.nndc.bnl.gov/nudat3/decaysearchdirect.jsp?nuc=240PU&amp;unc=NDS</v>
      </c>
      <c r="F97" s="1" t="s">
        <v>160</v>
      </c>
      <c r="G97" s="1"/>
      <c r="H97" s="1"/>
      <c r="I97" s="1"/>
      <c r="J97" s="1"/>
      <c r="K97" s="1"/>
      <c r="L97" s="1"/>
      <c r="M97" s="1"/>
      <c r="N97" s="1"/>
      <c r="O97" s="1"/>
      <c r="R97" s="3"/>
    </row>
    <row r="98" spans="1:18" x14ac:dyDescent="0.25">
      <c r="A98" t="s">
        <v>103</v>
      </c>
      <c r="B98" t="str">
        <f t="shared" ref="B98:B129" si="12">LEFT(A98,FIND("-",A98)-1)</f>
        <v>PU</v>
      </c>
      <c r="C98" t="str">
        <f t="shared" ref="C98:C129" si="13">SUBSTITUTE(RIGHT(A98,LEN(A98)-FIND("-",A98)),"M","")</f>
        <v>241</v>
      </c>
      <c r="D98" s="1" t="str">
        <f t="shared" ref="D98:D129" si="14">C98&amp;B98</f>
        <v>241PU</v>
      </c>
      <c r="E98" s="5" t="str">
        <f t="shared" ref="E98:E129" si="15">HYPERLINK("https://www.nndc.bnl.gov/nudat3/decaysearchdirect.jsp?nuc="&amp;D98&amp;"&amp;unc=NDS")</f>
        <v>https://www.nndc.bnl.gov/nudat3/decaysearchdirect.jsp?nuc=241PU&amp;unc=NDS</v>
      </c>
      <c r="F98" s="1" t="s">
        <v>159</v>
      </c>
      <c r="G98" s="1"/>
      <c r="H98" s="1"/>
      <c r="I98" s="1"/>
      <c r="J98" s="1"/>
      <c r="K98" s="1"/>
      <c r="L98" s="1"/>
      <c r="M98" s="1"/>
      <c r="N98" s="1"/>
      <c r="O98" s="1"/>
      <c r="R98" s="3"/>
    </row>
    <row r="99" spans="1:18" hidden="1" x14ac:dyDescent="0.25">
      <c r="A99" t="s">
        <v>133</v>
      </c>
      <c r="B99" t="str">
        <f t="shared" si="12"/>
        <v>PU</v>
      </c>
      <c r="C99" t="str">
        <f t="shared" si="13"/>
        <v>242</v>
      </c>
      <c r="D99" s="1" t="str">
        <f t="shared" si="14"/>
        <v>242PU</v>
      </c>
      <c r="E99" s="5" t="str">
        <f t="shared" si="15"/>
        <v>https://www.nndc.bnl.gov/nudat3/decaysearchdirect.jsp?nuc=242PU&amp;unc=NDS</v>
      </c>
      <c r="F99" s="1" t="s">
        <v>160</v>
      </c>
      <c r="G99" s="1"/>
      <c r="H99" s="1"/>
      <c r="I99" s="1"/>
      <c r="J99" s="1"/>
      <c r="K99" s="1"/>
      <c r="L99" s="1"/>
      <c r="M99" s="1"/>
      <c r="N99" s="1"/>
      <c r="O99" s="1"/>
      <c r="R99" s="3"/>
    </row>
    <row r="100" spans="1:18" hidden="1" x14ac:dyDescent="0.25">
      <c r="A100" t="s">
        <v>153</v>
      </c>
      <c r="B100" t="str">
        <f t="shared" si="12"/>
        <v>PU</v>
      </c>
      <c r="C100" t="str">
        <f t="shared" si="13"/>
        <v>243</v>
      </c>
      <c r="D100" s="1" t="str">
        <f t="shared" si="14"/>
        <v>243PU</v>
      </c>
      <c r="E100" s="5" t="str">
        <f t="shared" si="15"/>
        <v>https://www.nndc.bnl.gov/nudat3/decaysearchdirect.jsp?nuc=243PU&amp;unc=NDS</v>
      </c>
      <c r="F100" s="1" t="s">
        <v>160</v>
      </c>
      <c r="G100" s="1"/>
      <c r="H100" s="1"/>
      <c r="I100" s="1"/>
      <c r="J100" s="1"/>
      <c r="K100" s="1"/>
      <c r="L100" s="1"/>
      <c r="M100" s="1"/>
      <c r="N100" s="1"/>
      <c r="O100" s="1"/>
      <c r="R100" s="3"/>
    </row>
    <row r="101" spans="1:18" hidden="1" x14ac:dyDescent="0.25">
      <c r="A101" t="s">
        <v>71</v>
      </c>
      <c r="B101" t="str">
        <f t="shared" si="12"/>
        <v>RA</v>
      </c>
      <c r="C101" t="str">
        <f t="shared" si="13"/>
        <v>223</v>
      </c>
      <c r="D101" s="1" t="str">
        <f t="shared" si="14"/>
        <v>223RA</v>
      </c>
      <c r="E101" s="5" t="str">
        <f t="shared" si="15"/>
        <v>https://www.nndc.bnl.gov/nudat3/decaysearchdirect.jsp?nuc=223RA&amp;unc=NDS</v>
      </c>
      <c r="F101" s="1" t="s">
        <v>160</v>
      </c>
      <c r="G101" s="1"/>
      <c r="H101" s="1"/>
      <c r="I101" s="1"/>
      <c r="J101" s="1"/>
      <c r="K101" s="1"/>
      <c r="L101" s="1"/>
      <c r="M101" s="1"/>
      <c r="N101" s="1"/>
      <c r="O101" s="1"/>
      <c r="R101" s="3"/>
    </row>
    <row r="102" spans="1:18" hidden="1" x14ac:dyDescent="0.25">
      <c r="A102" t="s">
        <v>73</v>
      </c>
      <c r="B102" t="str">
        <f t="shared" si="12"/>
        <v>RA</v>
      </c>
      <c r="C102" t="str">
        <f t="shared" si="13"/>
        <v>224</v>
      </c>
      <c r="D102" s="1" t="str">
        <f t="shared" si="14"/>
        <v>224RA</v>
      </c>
      <c r="E102" s="5" t="str">
        <f t="shared" si="15"/>
        <v>https://www.nndc.bnl.gov/nudat3/decaysearchdirect.jsp?nuc=224RA&amp;unc=NDS</v>
      </c>
      <c r="F102" s="1" t="s">
        <v>160</v>
      </c>
      <c r="G102" s="1"/>
      <c r="H102" s="1"/>
      <c r="I102" s="1"/>
      <c r="J102" s="1"/>
      <c r="K102" s="1"/>
      <c r="L102" s="1"/>
      <c r="M102" s="1"/>
      <c r="N102" s="1"/>
      <c r="O102" s="1"/>
      <c r="R102" s="3"/>
    </row>
    <row r="103" spans="1:18" hidden="1" x14ac:dyDescent="0.25">
      <c r="A103" t="s">
        <v>75</v>
      </c>
      <c r="B103" t="str">
        <f t="shared" si="12"/>
        <v>RA</v>
      </c>
      <c r="C103" t="str">
        <f t="shared" si="13"/>
        <v>225</v>
      </c>
      <c r="D103" s="1" t="str">
        <f t="shared" si="14"/>
        <v>225RA</v>
      </c>
      <c r="E103" s="5" t="str">
        <f t="shared" si="15"/>
        <v>https://www.nndc.bnl.gov/nudat3/decaysearchdirect.jsp?nuc=225RA&amp;unc=NDS</v>
      </c>
      <c r="F103" s="1" t="s">
        <v>160</v>
      </c>
      <c r="G103" s="1" t="s">
        <v>166</v>
      </c>
      <c r="H103" s="1"/>
      <c r="I103" s="1"/>
      <c r="J103" s="1"/>
      <c r="K103" s="1"/>
      <c r="L103" s="1"/>
      <c r="M103" s="1"/>
      <c r="N103" s="1"/>
      <c r="O103" s="1"/>
      <c r="R103" s="3"/>
    </row>
    <row r="104" spans="1:18" hidden="1" x14ac:dyDescent="0.25">
      <c r="A104" t="s">
        <v>76</v>
      </c>
      <c r="B104" t="str">
        <f t="shared" si="12"/>
        <v>RA</v>
      </c>
      <c r="C104" t="str">
        <f t="shared" si="13"/>
        <v>226</v>
      </c>
      <c r="D104" s="1" t="str">
        <f t="shared" si="14"/>
        <v>226RA</v>
      </c>
      <c r="E104" s="5" t="str">
        <f t="shared" si="15"/>
        <v>https://www.nndc.bnl.gov/nudat3/decaysearchdirect.jsp?nuc=226RA&amp;unc=NDS</v>
      </c>
      <c r="F104" s="1" t="s">
        <v>160</v>
      </c>
      <c r="G104" s="1"/>
      <c r="H104" s="1"/>
      <c r="I104" s="1"/>
      <c r="J104" s="1"/>
      <c r="K104" s="1"/>
      <c r="L104" s="1"/>
      <c r="M104" s="1"/>
      <c r="N104" s="1"/>
      <c r="O104" s="1"/>
      <c r="R104" s="3"/>
    </row>
    <row r="105" spans="1:18" hidden="1" x14ac:dyDescent="0.25">
      <c r="A105" t="s">
        <v>81</v>
      </c>
      <c r="B105" t="str">
        <f t="shared" si="12"/>
        <v>RA</v>
      </c>
      <c r="C105" t="str">
        <f t="shared" si="13"/>
        <v>228</v>
      </c>
      <c r="D105" s="1" t="str">
        <f t="shared" si="14"/>
        <v>228RA</v>
      </c>
      <c r="E105" s="5" t="str">
        <f t="shared" si="15"/>
        <v>https://www.nndc.bnl.gov/nudat3/decaysearchdirect.jsp?nuc=228RA&amp;unc=NDS</v>
      </c>
      <c r="F105" s="1" t="s">
        <v>160</v>
      </c>
      <c r="G105" s="1"/>
      <c r="H105" s="1"/>
      <c r="I105" s="1"/>
      <c r="J105" s="1"/>
      <c r="K105" s="1"/>
      <c r="L105" s="1"/>
      <c r="M105" s="1"/>
      <c r="N105" s="1"/>
      <c r="O105" s="1"/>
      <c r="R105" s="3"/>
    </row>
    <row r="106" spans="1:18" hidden="1" x14ac:dyDescent="0.25">
      <c r="A106" t="s">
        <v>19</v>
      </c>
      <c r="B106" t="str">
        <f t="shared" si="12"/>
        <v>RB</v>
      </c>
      <c r="C106" t="str">
        <f t="shared" si="13"/>
        <v>86</v>
      </c>
      <c r="D106" s="1" t="str">
        <f t="shared" si="14"/>
        <v>86RB</v>
      </c>
      <c r="E106" s="5" t="str">
        <f t="shared" si="15"/>
        <v>https://www.nndc.bnl.gov/nudat3/decaysearchdirect.jsp?nuc=86RB&amp;unc=NDS</v>
      </c>
      <c r="F106" s="1" t="s">
        <v>160</v>
      </c>
      <c r="G106" s="1"/>
      <c r="H106" s="1"/>
      <c r="I106" s="1"/>
      <c r="J106" s="1"/>
      <c r="K106" s="1"/>
      <c r="L106" s="1"/>
      <c r="M106" s="1"/>
      <c r="N106" s="1"/>
      <c r="O106" s="1"/>
      <c r="R106" s="3"/>
    </row>
    <row r="107" spans="1:18" hidden="1" x14ac:dyDescent="0.25">
      <c r="A107" t="s">
        <v>113</v>
      </c>
      <c r="B107" t="str">
        <f t="shared" si="12"/>
        <v>RH</v>
      </c>
      <c r="C107" t="str">
        <f t="shared" si="13"/>
        <v>106</v>
      </c>
      <c r="D107" s="1" t="str">
        <f t="shared" si="14"/>
        <v>106RH</v>
      </c>
      <c r="E107" s="5" t="str">
        <f t="shared" si="15"/>
        <v>https://www.nndc.bnl.gov/nudat3/decaysearchdirect.jsp?nuc=106RH&amp;unc=NDS</v>
      </c>
      <c r="F107" s="1" t="s">
        <v>160</v>
      </c>
      <c r="G107" s="1"/>
      <c r="H107" s="1"/>
      <c r="I107" s="1"/>
      <c r="J107" s="1"/>
      <c r="K107" s="1"/>
      <c r="L107" s="1"/>
      <c r="M107" s="1"/>
      <c r="N107" s="1"/>
      <c r="O107" s="1"/>
      <c r="R107" s="3"/>
    </row>
    <row r="108" spans="1:18" hidden="1" x14ac:dyDescent="0.25">
      <c r="A108" t="s">
        <v>24</v>
      </c>
      <c r="B108" t="str">
        <f t="shared" si="12"/>
        <v>RH</v>
      </c>
      <c r="C108" t="str">
        <f t="shared" si="13"/>
        <v>99</v>
      </c>
      <c r="D108" s="1" t="str">
        <f t="shared" si="14"/>
        <v>99RH</v>
      </c>
      <c r="E108" s="5" t="str">
        <f t="shared" si="15"/>
        <v>https://www.nndc.bnl.gov/nudat3/decaysearchdirect.jsp?nuc=99RH&amp;unc=NDS</v>
      </c>
      <c r="F108" s="1" t="s">
        <v>160</v>
      </c>
      <c r="G108" s="1"/>
      <c r="H108" s="1"/>
      <c r="I108" s="1"/>
      <c r="J108" s="1"/>
      <c r="K108" s="1"/>
      <c r="L108" s="1"/>
      <c r="M108" s="1"/>
      <c r="N108" s="1"/>
      <c r="O108" s="1"/>
      <c r="R108" s="3"/>
    </row>
    <row r="109" spans="1:18" hidden="1" x14ac:dyDescent="0.25">
      <c r="A109" t="s">
        <v>61</v>
      </c>
      <c r="B109" t="str">
        <f t="shared" si="12"/>
        <v>RN</v>
      </c>
      <c r="C109" t="str">
        <f t="shared" si="13"/>
        <v>217</v>
      </c>
      <c r="D109" s="1" t="str">
        <f t="shared" si="14"/>
        <v>217RN</v>
      </c>
      <c r="E109" s="5" t="str">
        <f t="shared" si="15"/>
        <v>https://www.nndc.bnl.gov/nudat3/decaysearchdirect.jsp?nuc=217RN&amp;unc=NDS</v>
      </c>
      <c r="F109" s="1" t="s">
        <v>160</v>
      </c>
      <c r="G109" s="1"/>
      <c r="H109" s="1"/>
      <c r="I109" s="1"/>
      <c r="J109" s="1"/>
      <c r="K109" s="1"/>
      <c r="L109" s="1"/>
      <c r="M109" s="1"/>
      <c r="N109" s="1"/>
      <c r="O109" s="1"/>
      <c r="R109" s="3"/>
    </row>
    <row r="110" spans="1:18" hidden="1" x14ac:dyDescent="0.25">
      <c r="A110" t="s">
        <v>63</v>
      </c>
      <c r="B110" t="str">
        <f t="shared" si="12"/>
        <v>RN</v>
      </c>
      <c r="C110" t="str">
        <f t="shared" si="13"/>
        <v>218</v>
      </c>
      <c r="D110" s="1" t="str">
        <f t="shared" si="14"/>
        <v>218RN</v>
      </c>
      <c r="E110" s="5" t="str">
        <f t="shared" si="15"/>
        <v>https://www.nndc.bnl.gov/nudat3/decaysearchdirect.jsp?nuc=218RN&amp;unc=NDS</v>
      </c>
      <c r="F110" s="1" t="s">
        <v>160</v>
      </c>
      <c r="G110" s="1"/>
      <c r="H110" s="1"/>
      <c r="I110" s="1"/>
      <c r="J110" s="1"/>
      <c r="K110" s="1"/>
      <c r="L110" s="1"/>
      <c r="M110" s="1"/>
      <c r="N110" s="1"/>
      <c r="O110" s="1"/>
      <c r="R110" s="3"/>
    </row>
    <row r="111" spans="1:18" hidden="1" x14ac:dyDescent="0.25">
      <c r="A111" t="s">
        <v>66</v>
      </c>
      <c r="B111" t="str">
        <f t="shared" si="12"/>
        <v>RN</v>
      </c>
      <c r="C111" t="str">
        <f t="shared" si="13"/>
        <v>219</v>
      </c>
      <c r="D111" s="1" t="str">
        <f t="shared" si="14"/>
        <v>219RN</v>
      </c>
      <c r="E111" s="5" t="str">
        <f t="shared" si="15"/>
        <v>https://www.nndc.bnl.gov/nudat3/decaysearchdirect.jsp?nuc=219RN&amp;unc=NDS</v>
      </c>
      <c r="F111" s="1" t="s">
        <v>160</v>
      </c>
      <c r="G111" s="1"/>
      <c r="H111" s="1"/>
      <c r="I111" s="1"/>
      <c r="J111" s="1"/>
      <c r="K111" s="1"/>
      <c r="L111" s="1"/>
      <c r="M111" s="1"/>
      <c r="N111" s="1"/>
      <c r="O111" s="1"/>
      <c r="R111" s="3"/>
    </row>
    <row r="112" spans="1:18" hidden="1" x14ac:dyDescent="0.25">
      <c r="A112" t="s">
        <v>68</v>
      </c>
      <c r="B112" t="str">
        <f t="shared" si="12"/>
        <v>RN</v>
      </c>
      <c r="C112" t="str">
        <f t="shared" si="13"/>
        <v>220</v>
      </c>
      <c r="D112" s="1" t="str">
        <f t="shared" si="14"/>
        <v>220RN</v>
      </c>
      <c r="E112" s="5" t="str">
        <f t="shared" si="15"/>
        <v>https://www.nndc.bnl.gov/nudat3/decaysearchdirect.jsp?nuc=220RN&amp;unc=NDS</v>
      </c>
      <c r="F112" s="1" t="s">
        <v>160</v>
      </c>
      <c r="G112" s="1"/>
      <c r="H112" s="1"/>
      <c r="I112" s="1"/>
      <c r="J112" s="1"/>
      <c r="K112" s="1"/>
      <c r="L112" s="1"/>
      <c r="M112" s="1"/>
      <c r="N112" s="1"/>
      <c r="O112" s="1"/>
      <c r="R112" s="3"/>
    </row>
    <row r="113" spans="1:18" hidden="1" x14ac:dyDescent="0.25">
      <c r="A113" t="s">
        <v>70</v>
      </c>
      <c r="B113" t="str">
        <f t="shared" si="12"/>
        <v>RN</v>
      </c>
      <c r="C113" t="str">
        <f t="shared" si="13"/>
        <v>222</v>
      </c>
      <c r="D113" s="1" t="str">
        <f t="shared" si="14"/>
        <v>222RN</v>
      </c>
      <c r="E113" s="5" t="str">
        <f t="shared" si="15"/>
        <v>https://www.nndc.bnl.gov/nudat3/decaysearchdirect.jsp?nuc=222RN&amp;unc=NDS</v>
      </c>
      <c r="F113" s="1" t="s">
        <v>160</v>
      </c>
      <c r="G113" s="1"/>
      <c r="H113" s="1"/>
      <c r="I113" s="1"/>
      <c r="J113" s="1"/>
      <c r="K113" s="1"/>
      <c r="L113" s="1"/>
      <c r="M113" s="1"/>
      <c r="N113" s="1"/>
      <c r="O113" s="1"/>
      <c r="R113" s="3"/>
    </row>
    <row r="114" spans="1:18" hidden="1" x14ac:dyDescent="0.25">
      <c r="A114" t="s">
        <v>112</v>
      </c>
      <c r="B114" t="str">
        <f t="shared" si="12"/>
        <v>RU</v>
      </c>
      <c r="C114" t="str">
        <f t="shared" si="13"/>
        <v>106</v>
      </c>
      <c r="D114" s="1" t="str">
        <f t="shared" si="14"/>
        <v>106RU</v>
      </c>
      <c r="E114" s="5" t="str">
        <f t="shared" si="15"/>
        <v>https://www.nndc.bnl.gov/nudat3/decaysearchdirect.jsp?nuc=106RU&amp;unc=NDS</v>
      </c>
      <c r="F114" s="1" t="s">
        <v>160</v>
      </c>
      <c r="G114" s="1"/>
      <c r="H114" s="1"/>
      <c r="I114" s="1"/>
      <c r="J114" s="1"/>
      <c r="K114" s="1"/>
      <c r="L114" s="1"/>
      <c r="M114" s="1"/>
      <c r="N114" s="1"/>
      <c r="O114" s="1"/>
      <c r="R114" s="3"/>
    </row>
    <row r="115" spans="1:18" hidden="1" x14ac:dyDescent="0.25">
      <c r="A115" t="s">
        <v>6</v>
      </c>
      <c r="B115" t="str">
        <f t="shared" si="12"/>
        <v>S</v>
      </c>
      <c r="C115" t="str">
        <f t="shared" si="13"/>
        <v>35</v>
      </c>
      <c r="D115" s="1" t="str">
        <f t="shared" si="14"/>
        <v>35S</v>
      </c>
      <c r="E115" s="5" t="str">
        <f t="shared" si="15"/>
        <v>https://www.nndc.bnl.gov/nudat3/decaysearchdirect.jsp?nuc=35S&amp;unc=NDS</v>
      </c>
      <c r="F115" s="1" t="s">
        <v>160</v>
      </c>
      <c r="G115" s="1"/>
      <c r="H115" s="1"/>
      <c r="I115" s="1"/>
      <c r="J115" s="1"/>
      <c r="K115" s="1"/>
      <c r="L115" s="1"/>
      <c r="M115" s="1"/>
      <c r="N115" s="1"/>
      <c r="O115" s="1"/>
      <c r="R115" s="3"/>
    </row>
    <row r="116" spans="1:18" hidden="1" x14ac:dyDescent="0.25">
      <c r="A116" t="s">
        <v>117</v>
      </c>
      <c r="B116" t="str">
        <f t="shared" si="12"/>
        <v>SB</v>
      </c>
      <c r="C116" t="str">
        <f t="shared" si="13"/>
        <v>125</v>
      </c>
      <c r="D116" s="1" t="str">
        <f t="shared" si="14"/>
        <v>125SB</v>
      </c>
      <c r="E116" s="5" t="str">
        <f t="shared" si="15"/>
        <v>https://www.nndc.bnl.gov/nudat3/decaysearchdirect.jsp?nuc=125SB&amp;unc=NDS</v>
      </c>
      <c r="F116" s="1" t="s">
        <v>160</v>
      </c>
      <c r="G116" s="1"/>
      <c r="H116" s="1"/>
      <c r="I116" s="1"/>
      <c r="J116" s="1"/>
      <c r="K116" s="1"/>
      <c r="L116" s="1"/>
      <c r="M116" s="1"/>
      <c r="N116" s="1"/>
      <c r="O116" s="1"/>
      <c r="R116" s="3"/>
    </row>
    <row r="117" spans="1:18" hidden="1" x14ac:dyDescent="0.25">
      <c r="A117" t="s">
        <v>121</v>
      </c>
      <c r="B117" t="str">
        <f t="shared" si="12"/>
        <v>SB</v>
      </c>
      <c r="C117" t="str">
        <f t="shared" si="13"/>
        <v>126</v>
      </c>
      <c r="D117" s="1" t="str">
        <f t="shared" si="14"/>
        <v>126SB</v>
      </c>
      <c r="E117" s="5" t="str">
        <f t="shared" si="15"/>
        <v>https://www.nndc.bnl.gov/nudat3/decaysearchdirect.jsp?nuc=126SB&amp;unc=NDS</v>
      </c>
      <c r="F117" s="1" t="s">
        <v>160</v>
      </c>
      <c r="G117" s="1"/>
      <c r="H117" s="1"/>
      <c r="I117" s="1"/>
      <c r="J117" s="1"/>
      <c r="K117" s="1"/>
      <c r="L117" s="1"/>
      <c r="M117" s="1"/>
      <c r="N117" s="1"/>
      <c r="O117" s="1"/>
      <c r="R117" s="3"/>
    </row>
    <row r="118" spans="1:18" x14ac:dyDescent="0.25">
      <c r="A118" t="s">
        <v>120</v>
      </c>
      <c r="B118" t="str">
        <f t="shared" si="12"/>
        <v>SB</v>
      </c>
      <c r="C118" t="str">
        <f t="shared" si="13"/>
        <v>126</v>
      </c>
      <c r="D118" s="1" t="str">
        <f t="shared" si="14"/>
        <v>126SB</v>
      </c>
      <c r="E118" s="5" t="str">
        <f t="shared" si="15"/>
        <v>https://www.nndc.bnl.gov/nudat3/decaysearchdirect.jsp?nuc=126SB&amp;unc=NDS</v>
      </c>
      <c r="F118" s="1" t="s">
        <v>159</v>
      </c>
      <c r="G118" s="1"/>
      <c r="H118" s="1"/>
      <c r="I118" s="1"/>
      <c r="J118" s="1"/>
      <c r="K118" s="1"/>
      <c r="L118" s="1"/>
      <c r="M118" s="1"/>
      <c r="N118" s="1"/>
      <c r="O118" s="1"/>
      <c r="R118" s="3"/>
    </row>
    <row r="119" spans="1:18" x14ac:dyDescent="0.25">
      <c r="A119" t="s">
        <v>109</v>
      </c>
      <c r="B119" t="str">
        <f t="shared" si="12"/>
        <v>SE</v>
      </c>
      <c r="C119" t="str">
        <f t="shared" si="13"/>
        <v>79</v>
      </c>
      <c r="D119" s="1" t="str">
        <f t="shared" si="14"/>
        <v>79SE</v>
      </c>
      <c r="E119" s="5" t="str">
        <f t="shared" si="15"/>
        <v>https://www.nndc.bnl.gov/nudat3/decaysearchdirect.jsp?nuc=79SE&amp;unc=NDS</v>
      </c>
      <c r="F119" s="1" t="s">
        <v>159</v>
      </c>
      <c r="G119" s="1"/>
      <c r="H119" s="1"/>
      <c r="I119" s="1"/>
      <c r="J119" s="1"/>
      <c r="K119" s="1"/>
      <c r="L119" s="1"/>
      <c r="M119" s="1"/>
      <c r="N119" s="1"/>
      <c r="O119" s="1"/>
      <c r="R119" s="3"/>
    </row>
    <row r="120" spans="1:18" x14ac:dyDescent="0.25">
      <c r="A120" t="s">
        <v>143</v>
      </c>
      <c r="B120" t="str">
        <f t="shared" si="12"/>
        <v>SM</v>
      </c>
      <c r="C120" t="str">
        <f t="shared" si="13"/>
        <v>146</v>
      </c>
      <c r="D120" s="1" t="str">
        <f t="shared" si="14"/>
        <v>146SM</v>
      </c>
      <c r="E120" s="5" t="str">
        <f t="shared" si="15"/>
        <v>https://www.nndc.bnl.gov/nudat3/decaysearchdirect.jsp?nuc=146SM&amp;unc=NDS</v>
      </c>
      <c r="F120" s="1" t="s">
        <v>159</v>
      </c>
      <c r="G120" s="1"/>
      <c r="H120" s="1"/>
      <c r="I120" s="1"/>
      <c r="J120" s="1"/>
      <c r="K120" s="1"/>
      <c r="L120" s="1"/>
      <c r="M120" s="1"/>
      <c r="N120" s="1"/>
      <c r="O120" s="1"/>
      <c r="R120" s="3"/>
    </row>
    <row r="121" spans="1:18" x14ac:dyDescent="0.25">
      <c r="A121" t="s">
        <v>144</v>
      </c>
      <c r="B121" t="str">
        <f t="shared" si="12"/>
        <v>SM</v>
      </c>
      <c r="C121" t="str">
        <f t="shared" si="13"/>
        <v>147</v>
      </c>
      <c r="D121" s="1" t="str">
        <f t="shared" si="14"/>
        <v>147SM</v>
      </c>
      <c r="E121" s="5" t="str">
        <f t="shared" si="15"/>
        <v>https://www.nndc.bnl.gov/nudat3/decaysearchdirect.jsp?nuc=147SM&amp;unc=NDS</v>
      </c>
      <c r="F121" s="1" t="s">
        <v>159</v>
      </c>
      <c r="G121" s="1"/>
      <c r="H121" s="1"/>
      <c r="I121" s="1"/>
      <c r="J121" s="1"/>
      <c r="K121" s="1"/>
      <c r="L121" s="1"/>
      <c r="M121" s="1"/>
      <c r="N121" s="1"/>
      <c r="O121" s="1"/>
      <c r="R121" s="3"/>
    </row>
    <row r="122" spans="1:18" x14ac:dyDescent="0.25">
      <c r="A122" t="s">
        <v>34</v>
      </c>
      <c r="B122" t="str">
        <f t="shared" si="12"/>
        <v>SM</v>
      </c>
      <c r="C122" t="str">
        <f t="shared" si="13"/>
        <v>148</v>
      </c>
      <c r="D122" s="1" t="str">
        <f t="shared" si="14"/>
        <v>148SM</v>
      </c>
      <c r="E122" s="5" t="str">
        <f t="shared" si="15"/>
        <v>https://www.nndc.bnl.gov/nudat3/decaysearchdirect.jsp?nuc=148SM&amp;unc=NDS</v>
      </c>
      <c r="F122" s="1" t="s">
        <v>159</v>
      </c>
      <c r="G122" s="1"/>
      <c r="H122" s="1"/>
      <c r="I122" s="1"/>
      <c r="J122" s="1"/>
      <c r="K122" s="1"/>
      <c r="L122" s="1"/>
      <c r="M122" s="1"/>
      <c r="N122" s="1"/>
      <c r="O122" s="1"/>
      <c r="R122" s="3"/>
    </row>
    <row r="123" spans="1:18" hidden="1" x14ac:dyDescent="0.25">
      <c r="A123" t="s">
        <v>128</v>
      </c>
      <c r="B123" t="str">
        <f t="shared" si="12"/>
        <v>SM</v>
      </c>
      <c r="C123" t="str">
        <f t="shared" si="13"/>
        <v>151</v>
      </c>
      <c r="D123" s="1" t="str">
        <f t="shared" si="14"/>
        <v>151SM</v>
      </c>
      <c r="E123" s="5" t="str">
        <f t="shared" si="15"/>
        <v>https://www.nndc.bnl.gov/nudat3/decaysearchdirect.jsp?nuc=151SM&amp;unc=NDS</v>
      </c>
      <c r="F123" s="1" t="s">
        <v>160</v>
      </c>
      <c r="G123" s="1" t="s">
        <v>168</v>
      </c>
      <c r="H123" s="1"/>
      <c r="I123" s="1"/>
      <c r="J123" s="1"/>
      <c r="K123" s="1"/>
      <c r="L123" s="1"/>
      <c r="M123" s="1"/>
      <c r="N123" s="1"/>
      <c r="O123" s="1"/>
      <c r="R123" s="3"/>
    </row>
    <row r="124" spans="1:18" hidden="1" x14ac:dyDescent="0.25">
      <c r="A124" t="s">
        <v>142</v>
      </c>
      <c r="B124" t="str">
        <f t="shared" si="12"/>
        <v>SN</v>
      </c>
      <c r="C124" t="str">
        <f t="shared" si="13"/>
        <v>121</v>
      </c>
      <c r="D124" s="1" t="str">
        <f t="shared" si="14"/>
        <v>121SN</v>
      </c>
      <c r="E124" s="5" t="str">
        <f t="shared" si="15"/>
        <v>https://www.nndc.bnl.gov/nudat3/decaysearchdirect.jsp?nuc=121SN&amp;unc=NDS</v>
      </c>
      <c r="F124" s="1" t="s">
        <v>160</v>
      </c>
      <c r="G124" s="1"/>
      <c r="H124" s="1"/>
      <c r="I124" s="1"/>
      <c r="J124" s="1"/>
      <c r="K124" s="1"/>
      <c r="L124" s="1"/>
      <c r="M124" s="1"/>
      <c r="N124" s="1"/>
      <c r="O124" s="1"/>
      <c r="R124" s="3"/>
    </row>
    <row r="125" spans="1:18" hidden="1" x14ac:dyDescent="0.25">
      <c r="A125" t="s">
        <v>116</v>
      </c>
      <c r="B125" t="str">
        <f t="shared" si="12"/>
        <v>SN</v>
      </c>
      <c r="C125" t="str">
        <f t="shared" si="13"/>
        <v>121</v>
      </c>
      <c r="D125" s="1" t="str">
        <f t="shared" si="14"/>
        <v>121SN</v>
      </c>
      <c r="E125" s="5" t="str">
        <f t="shared" si="15"/>
        <v>https://www.nndc.bnl.gov/nudat3/decaysearchdirect.jsp?nuc=121SN&amp;unc=NDS</v>
      </c>
      <c r="F125" s="1" t="s">
        <v>160</v>
      </c>
      <c r="G125" s="1"/>
      <c r="H125" s="1"/>
      <c r="I125" s="1"/>
      <c r="J125" s="1"/>
      <c r="K125" s="1"/>
      <c r="L125" s="1"/>
      <c r="M125" s="1"/>
      <c r="N125" s="1"/>
      <c r="O125" s="1"/>
      <c r="R125" s="3"/>
    </row>
    <row r="126" spans="1:18" hidden="1" x14ac:dyDescent="0.25">
      <c r="A126" t="s">
        <v>119</v>
      </c>
      <c r="B126" t="str">
        <f t="shared" si="12"/>
        <v>SN</v>
      </c>
      <c r="C126" t="str">
        <f t="shared" si="13"/>
        <v>126</v>
      </c>
      <c r="D126" s="1" t="str">
        <f t="shared" si="14"/>
        <v>126SN</v>
      </c>
      <c r="E126" s="5" t="str">
        <f t="shared" si="15"/>
        <v>https://www.nndc.bnl.gov/nudat3/decaysearchdirect.jsp?nuc=126SN&amp;unc=NDS</v>
      </c>
      <c r="F126" s="1" t="s">
        <v>160</v>
      </c>
      <c r="G126" s="1"/>
      <c r="H126" s="1"/>
      <c r="I126" s="1"/>
      <c r="J126" s="1"/>
      <c r="K126" s="1"/>
      <c r="L126" s="1"/>
      <c r="M126" s="1"/>
      <c r="N126" s="1"/>
      <c r="O126" s="1"/>
      <c r="R126" s="3"/>
    </row>
    <row r="127" spans="1:18" hidden="1" x14ac:dyDescent="0.25">
      <c r="A127" t="s">
        <v>21</v>
      </c>
      <c r="B127" t="str">
        <f t="shared" si="12"/>
        <v>SR</v>
      </c>
      <c r="C127" t="str">
        <f t="shared" si="13"/>
        <v>90</v>
      </c>
      <c r="D127" s="1" t="str">
        <f t="shared" si="14"/>
        <v>90SR</v>
      </c>
      <c r="E127" s="5" t="str">
        <f t="shared" si="15"/>
        <v>https://www.nndc.bnl.gov/nudat3/decaysearchdirect.jsp?nuc=90SR&amp;unc=NDS</v>
      </c>
      <c r="F127" s="1" t="s">
        <v>160</v>
      </c>
      <c r="G127" s="1"/>
      <c r="H127" s="1"/>
      <c r="I127" s="1"/>
      <c r="J127" s="1"/>
      <c r="K127" s="1"/>
      <c r="L127" s="1"/>
      <c r="M127" s="1"/>
      <c r="N127" s="1"/>
      <c r="O127" s="1"/>
      <c r="R127" s="3"/>
    </row>
    <row r="128" spans="1:18" x14ac:dyDescent="0.25">
      <c r="A128" t="s">
        <v>22</v>
      </c>
      <c r="B128" t="str">
        <f t="shared" si="12"/>
        <v>TC</v>
      </c>
      <c r="C128" t="str">
        <f t="shared" si="13"/>
        <v>99</v>
      </c>
      <c r="D128" s="1" t="str">
        <f t="shared" si="14"/>
        <v>99TC</v>
      </c>
      <c r="E128" s="5" t="str">
        <f t="shared" si="15"/>
        <v>https://www.nndc.bnl.gov/nudat3/decaysearchdirect.jsp?nuc=99TC&amp;unc=NDS</v>
      </c>
      <c r="F128" s="1" t="s">
        <v>159</v>
      </c>
      <c r="G128" s="1"/>
      <c r="H128" s="1"/>
      <c r="I128" s="1"/>
      <c r="J128" s="1"/>
      <c r="K128" s="1"/>
      <c r="L128" s="1"/>
      <c r="M128" s="1"/>
      <c r="N128" s="1"/>
      <c r="O128" s="1"/>
      <c r="R128" s="3"/>
    </row>
    <row r="129" spans="1:18" x14ac:dyDescent="0.25">
      <c r="A129" t="s">
        <v>23</v>
      </c>
      <c r="B129" t="str">
        <f t="shared" si="12"/>
        <v>TC</v>
      </c>
      <c r="C129" t="str">
        <f t="shared" si="13"/>
        <v>99</v>
      </c>
      <c r="D129" s="1" t="str">
        <f t="shared" si="14"/>
        <v>99TC</v>
      </c>
      <c r="E129" s="5" t="str">
        <f t="shared" si="15"/>
        <v>https://www.nndc.bnl.gov/nudat3/decaysearchdirect.jsp?nuc=99TC&amp;unc=NDS</v>
      </c>
      <c r="F129" s="1" t="s">
        <v>159</v>
      </c>
      <c r="G129" s="1"/>
      <c r="H129" s="1"/>
      <c r="I129" s="1"/>
      <c r="J129" s="1"/>
      <c r="K129" s="1"/>
      <c r="L129" s="1"/>
      <c r="M129" s="1"/>
      <c r="N129" s="1"/>
      <c r="O129" s="1"/>
      <c r="R129" s="3"/>
    </row>
    <row r="130" spans="1:18" x14ac:dyDescent="0.25">
      <c r="A130" t="s">
        <v>118</v>
      </c>
      <c r="B130" t="str">
        <f t="shared" ref="B130:B155" si="16">LEFT(A130,FIND("-",A130)-1)</f>
        <v>TE</v>
      </c>
      <c r="C130" t="str">
        <f t="shared" ref="C130:C155" si="17">SUBSTITUTE(RIGHT(A130,LEN(A130)-FIND("-",A130)),"M","")</f>
        <v>125</v>
      </c>
      <c r="D130" s="1" t="str">
        <f t="shared" ref="D130:D155" si="18">C130&amp;B130</f>
        <v>125TE</v>
      </c>
      <c r="E130" s="5" t="str">
        <f t="shared" ref="E130:E155" si="19">HYPERLINK("https://www.nndc.bnl.gov/nudat3/decaysearchdirect.jsp?nuc="&amp;D130&amp;"&amp;unc=NDS")</f>
        <v>https://www.nndc.bnl.gov/nudat3/decaysearchdirect.jsp?nuc=125TE&amp;unc=NDS</v>
      </c>
      <c r="F130" s="1" t="s">
        <v>159</v>
      </c>
      <c r="G130" s="1"/>
      <c r="H130" s="1"/>
      <c r="I130" s="1"/>
      <c r="J130" s="1"/>
      <c r="K130" s="1"/>
      <c r="L130" s="1"/>
      <c r="M130" s="1"/>
      <c r="N130" s="1"/>
      <c r="O130" s="1"/>
      <c r="R130" s="3"/>
    </row>
    <row r="131" spans="1:18" x14ac:dyDescent="0.25">
      <c r="A131" t="s">
        <v>77</v>
      </c>
      <c r="B131" t="str">
        <f t="shared" si="16"/>
        <v>TH</v>
      </c>
      <c r="C131" t="str">
        <f t="shared" si="17"/>
        <v>227</v>
      </c>
      <c r="D131" s="1" t="str">
        <f t="shared" si="18"/>
        <v>227TH</v>
      </c>
      <c r="E131" s="5" t="str">
        <f t="shared" si="19"/>
        <v>https://www.nndc.bnl.gov/nudat3/decaysearchdirect.jsp?nuc=227TH&amp;unc=NDS</v>
      </c>
      <c r="F131" s="1" t="s">
        <v>159</v>
      </c>
      <c r="G131" s="1"/>
      <c r="H131" s="1"/>
      <c r="I131" s="1"/>
      <c r="J131" s="1"/>
      <c r="K131" s="1"/>
      <c r="L131" s="1"/>
      <c r="M131" s="1"/>
      <c r="N131" s="1"/>
      <c r="O131" s="1"/>
      <c r="R131" s="3"/>
    </row>
    <row r="132" spans="1:18" x14ac:dyDescent="0.25">
      <c r="A132" t="s">
        <v>79</v>
      </c>
      <c r="B132" t="str">
        <f t="shared" si="16"/>
        <v>TH</v>
      </c>
      <c r="C132" t="str">
        <f t="shared" si="17"/>
        <v>228</v>
      </c>
      <c r="D132" s="1" t="str">
        <f t="shared" si="18"/>
        <v>228TH</v>
      </c>
      <c r="E132" s="5" t="str">
        <f t="shared" si="19"/>
        <v>https://www.nndc.bnl.gov/nudat3/decaysearchdirect.jsp?nuc=228TH&amp;unc=NDS</v>
      </c>
      <c r="F132" s="1" t="s">
        <v>159</v>
      </c>
      <c r="G132" s="1"/>
      <c r="H132" s="1"/>
      <c r="I132" s="1"/>
      <c r="J132" s="1"/>
      <c r="K132" s="1"/>
      <c r="L132" s="1"/>
      <c r="M132" s="1"/>
      <c r="N132" s="1"/>
      <c r="O132" s="1"/>
      <c r="R132" s="3"/>
    </row>
    <row r="133" spans="1:18" x14ac:dyDescent="0.25">
      <c r="A133" t="s">
        <v>82</v>
      </c>
      <c r="B133" t="str">
        <f t="shared" si="16"/>
        <v>TH</v>
      </c>
      <c r="C133" t="str">
        <f t="shared" si="17"/>
        <v>229</v>
      </c>
      <c r="D133" s="1" t="str">
        <f t="shared" si="18"/>
        <v>229TH</v>
      </c>
      <c r="E133" s="5" t="str">
        <f t="shared" si="19"/>
        <v>https://www.nndc.bnl.gov/nudat3/decaysearchdirect.jsp?nuc=229TH&amp;unc=NDS</v>
      </c>
      <c r="F133" s="1" t="s">
        <v>159</v>
      </c>
      <c r="G133" s="1"/>
      <c r="H133" s="1"/>
      <c r="I133" s="1"/>
      <c r="J133" s="1"/>
      <c r="K133" s="1"/>
      <c r="L133" s="1"/>
      <c r="M133" s="1"/>
      <c r="N133" s="1"/>
      <c r="O133" s="1"/>
      <c r="R133" s="3"/>
    </row>
    <row r="134" spans="1:18" x14ac:dyDescent="0.25">
      <c r="A134" t="s">
        <v>83</v>
      </c>
      <c r="B134" t="str">
        <f t="shared" si="16"/>
        <v>TH</v>
      </c>
      <c r="C134" t="str">
        <f t="shared" si="17"/>
        <v>230</v>
      </c>
      <c r="D134" s="1" t="str">
        <f t="shared" si="18"/>
        <v>230TH</v>
      </c>
      <c r="E134" s="5" t="str">
        <f t="shared" si="19"/>
        <v>https://www.nndc.bnl.gov/nudat3/decaysearchdirect.jsp?nuc=230TH&amp;unc=NDS</v>
      </c>
      <c r="F134" s="1" t="s">
        <v>159</v>
      </c>
      <c r="G134" s="1"/>
      <c r="H134" s="1"/>
      <c r="I134" s="1"/>
      <c r="J134" s="1"/>
      <c r="K134" s="1"/>
      <c r="L134" s="1"/>
      <c r="M134" s="1"/>
      <c r="N134" s="1"/>
      <c r="O134" s="1"/>
      <c r="R134" s="3"/>
    </row>
    <row r="135" spans="1:18" x14ac:dyDescent="0.25">
      <c r="A135" t="s">
        <v>85</v>
      </c>
      <c r="B135" t="str">
        <f t="shared" si="16"/>
        <v>TH</v>
      </c>
      <c r="C135" t="str">
        <f t="shared" si="17"/>
        <v>231</v>
      </c>
      <c r="D135" s="1" t="str">
        <f t="shared" si="18"/>
        <v>231TH</v>
      </c>
      <c r="E135" s="5" t="str">
        <f t="shared" si="19"/>
        <v>https://www.nndc.bnl.gov/nudat3/decaysearchdirect.jsp?nuc=231TH&amp;unc=NDS</v>
      </c>
      <c r="F135" s="1" t="s">
        <v>159</v>
      </c>
      <c r="G135" s="1"/>
      <c r="H135" s="1"/>
      <c r="I135" s="1"/>
      <c r="J135" s="1"/>
      <c r="K135" s="1"/>
      <c r="L135" s="1"/>
      <c r="M135" s="1"/>
      <c r="N135" s="1"/>
      <c r="O135" s="1"/>
      <c r="R135" s="3"/>
    </row>
    <row r="136" spans="1:18" x14ac:dyDescent="0.25">
      <c r="A136" t="s">
        <v>86</v>
      </c>
      <c r="B136" t="str">
        <f t="shared" si="16"/>
        <v>TH</v>
      </c>
      <c r="C136" t="str">
        <f t="shared" si="17"/>
        <v>232</v>
      </c>
      <c r="D136" s="1" t="str">
        <f t="shared" si="18"/>
        <v>232TH</v>
      </c>
      <c r="E136" s="5" t="str">
        <f t="shared" si="19"/>
        <v>https://www.nndc.bnl.gov/nudat3/decaysearchdirect.jsp?nuc=232TH&amp;unc=NDS</v>
      </c>
      <c r="F136" s="1" t="s">
        <v>159</v>
      </c>
      <c r="G136" s="1"/>
      <c r="H136" s="1"/>
      <c r="I136" s="1"/>
      <c r="J136" s="1"/>
      <c r="K136" s="1"/>
      <c r="L136" s="1"/>
      <c r="M136" s="1"/>
      <c r="N136" s="1"/>
      <c r="O136" s="1"/>
      <c r="R136" s="3"/>
    </row>
    <row r="137" spans="1:18" x14ac:dyDescent="0.25">
      <c r="A137" t="s">
        <v>92</v>
      </c>
      <c r="B137" t="str">
        <f t="shared" si="16"/>
        <v>TH</v>
      </c>
      <c r="C137" t="str">
        <f t="shared" si="17"/>
        <v>234</v>
      </c>
      <c r="D137" s="1" t="str">
        <f t="shared" si="18"/>
        <v>234TH</v>
      </c>
      <c r="E137" s="5" t="str">
        <f t="shared" si="19"/>
        <v>https://www.nndc.bnl.gov/nudat3/decaysearchdirect.jsp?nuc=234TH&amp;unc=NDS</v>
      </c>
      <c r="F137" s="1" t="s">
        <v>159</v>
      </c>
      <c r="G137" s="1"/>
      <c r="H137" s="1"/>
      <c r="I137" s="1"/>
      <c r="J137" s="1"/>
      <c r="K137" s="1"/>
      <c r="L137" s="1"/>
      <c r="M137" s="1"/>
      <c r="N137" s="1"/>
      <c r="O137" s="1"/>
      <c r="R137" s="3"/>
    </row>
    <row r="138" spans="1:18" hidden="1" x14ac:dyDescent="0.25">
      <c r="A138" t="s">
        <v>37</v>
      </c>
      <c r="B138" t="str">
        <f t="shared" si="16"/>
        <v>TL</v>
      </c>
      <c r="C138" t="str">
        <f t="shared" si="17"/>
        <v>206</v>
      </c>
      <c r="D138" s="1" t="str">
        <f t="shared" si="18"/>
        <v>206TL</v>
      </c>
      <c r="E138" s="5" t="str">
        <f t="shared" si="19"/>
        <v>https://www.nndc.bnl.gov/nudat3/decaysearchdirect.jsp?nuc=206TL&amp;unc=NDS</v>
      </c>
      <c r="F138" s="1" t="s">
        <v>160</v>
      </c>
      <c r="G138" s="1"/>
      <c r="H138" s="1"/>
      <c r="I138" s="1"/>
      <c r="J138" s="1"/>
      <c r="K138" s="1"/>
      <c r="L138" s="1"/>
      <c r="M138" s="1"/>
      <c r="N138" s="1"/>
      <c r="O138" s="1"/>
      <c r="R138" s="3"/>
    </row>
    <row r="139" spans="1:18" hidden="1" x14ac:dyDescent="0.25">
      <c r="A139" t="s">
        <v>38</v>
      </c>
      <c r="B139" t="str">
        <f t="shared" si="16"/>
        <v>TL</v>
      </c>
      <c r="C139" t="str">
        <f t="shared" si="17"/>
        <v>207</v>
      </c>
      <c r="D139" s="1" t="str">
        <f t="shared" si="18"/>
        <v>207TL</v>
      </c>
      <c r="E139" s="5" t="str">
        <f t="shared" si="19"/>
        <v>https://www.nndc.bnl.gov/nudat3/decaysearchdirect.jsp?nuc=207TL&amp;unc=NDS</v>
      </c>
      <c r="F139" s="1" t="s">
        <v>160</v>
      </c>
      <c r="G139" s="1"/>
      <c r="H139" s="1"/>
      <c r="I139" s="1"/>
      <c r="J139" s="1"/>
      <c r="K139" s="1"/>
      <c r="L139" s="1"/>
      <c r="M139" s="1"/>
      <c r="N139" s="1"/>
      <c r="O139" s="1"/>
      <c r="R139" s="3"/>
    </row>
    <row r="140" spans="1:18" hidden="1" x14ac:dyDescent="0.25">
      <c r="A140" t="s">
        <v>39</v>
      </c>
      <c r="B140" t="str">
        <f t="shared" si="16"/>
        <v>TL</v>
      </c>
      <c r="C140" t="str">
        <f t="shared" si="17"/>
        <v>208</v>
      </c>
      <c r="D140" s="1" t="str">
        <f t="shared" si="18"/>
        <v>208TL</v>
      </c>
      <c r="E140" s="5" t="str">
        <f t="shared" si="19"/>
        <v>https://www.nndc.bnl.gov/nudat3/decaysearchdirect.jsp?nuc=208TL&amp;unc=NDS</v>
      </c>
      <c r="F140" s="1" t="s">
        <v>160</v>
      </c>
      <c r="G140" s="1"/>
      <c r="H140" s="1"/>
      <c r="I140" s="1"/>
      <c r="J140" s="1"/>
      <c r="K140" s="1"/>
      <c r="L140" s="1"/>
      <c r="M140" s="1"/>
      <c r="N140" s="1"/>
      <c r="O140" s="1"/>
      <c r="R140" s="3"/>
    </row>
    <row r="141" spans="1:18" hidden="1" x14ac:dyDescent="0.25">
      <c r="A141" t="s">
        <v>41</v>
      </c>
      <c r="B141" t="str">
        <f t="shared" si="16"/>
        <v>TL</v>
      </c>
      <c r="C141" t="str">
        <f t="shared" si="17"/>
        <v>209</v>
      </c>
      <c r="D141" s="1" t="str">
        <f t="shared" si="18"/>
        <v>209TL</v>
      </c>
      <c r="E141" s="5" t="str">
        <f t="shared" si="19"/>
        <v>https://www.nndc.bnl.gov/nudat3/decaysearchdirect.jsp?nuc=209TL&amp;unc=NDS</v>
      </c>
      <c r="F141" s="1" t="s">
        <v>160</v>
      </c>
      <c r="G141" s="1"/>
      <c r="H141" s="1"/>
      <c r="I141" s="1"/>
      <c r="J141" s="1"/>
      <c r="K141" s="1"/>
      <c r="L141" s="1"/>
      <c r="M141" s="1"/>
      <c r="N141" s="1"/>
      <c r="O141" s="1"/>
      <c r="R141" s="3"/>
    </row>
    <row r="142" spans="1:18" hidden="1" x14ac:dyDescent="0.25">
      <c r="A142" t="s">
        <v>45</v>
      </c>
      <c r="B142" t="str">
        <f t="shared" si="16"/>
        <v>TL</v>
      </c>
      <c r="C142" t="str">
        <f t="shared" si="17"/>
        <v>210</v>
      </c>
      <c r="D142" s="1" t="str">
        <f t="shared" si="18"/>
        <v>210TL</v>
      </c>
      <c r="E142" s="5" t="str">
        <f t="shared" si="19"/>
        <v>https://www.nndc.bnl.gov/nudat3/decaysearchdirect.jsp?nuc=210TL&amp;unc=NDS</v>
      </c>
      <c r="F142" s="1" t="s">
        <v>160</v>
      </c>
      <c r="G142" s="1"/>
      <c r="H142" s="1"/>
      <c r="I142" s="1"/>
      <c r="J142" s="1"/>
      <c r="K142" s="1"/>
      <c r="L142" s="1"/>
      <c r="M142" s="1"/>
      <c r="N142" s="1"/>
      <c r="O142" s="1"/>
      <c r="R142" s="3"/>
    </row>
    <row r="143" spans="1:18" hidden="1" x14ac:dyDescent="0.25">
      <c r="A143" t="s">
        <v>107</v>
      </c>
      <c r="B143" t="str">
        <f t="shared" si="16"/>
        <v>U</v>
      </c>
      <c r="C143" t="str">
        <f t="shared" si="17"/>
        <v>232</v>
      </c>
      <c r="D143" s="1" t="str">
        <f t="shared" si="18"/>
        <v>232U</v>
      </c>
      <c r="E143" s="5" t="str">
        <f t="shared" si="19"/>
        <v>https://www.nndc.bnl.gov/nudat3/decaysearchdirect.jsp?nuc=232U&amp;unc=NDS</v>
      </c>
      <c r="F143" s="1" t="s">
        <v>160</v>
      </c>
      <c r="G143" s="1"/>
      <c r="H143" s="1"/>
      <c r="I143" s="1"/>
      <c r="J143" s="1"/>
      <c r="K143" s="1"/>
      <c r="L143" s="1"/>
      <c r="M143" s="1"/>
      <c r="N143" s="1"/>
      <c r="O143" s="1"/>
      <c r="R143" s="3"/>
    </row>
    <row r="144" spans="1:18" hidden="1" x14ac:dyDescent="0.25">
      <c r="A144" t="s">
        <v>87</v>
      </c>
      <c r="B144" t="str">
        <f t="shared" si="16"/>
        <v>U</v>
      </c>
      <c r="C144" t="str">
        <f t="shared" si="17"/>
        <v>233</v>
      </c>
      <c r="D144" s="1" t="str">
        <f t="shared" si="18"/>
        <v>233U</v>
      </c>
      <c r="E144" s="5" t="str">
        <f t="shared" si="19"/>
        <v>https://www.nndc.bnl.gov/nudat3/decaysearchdirect.jsp?nuc=233U&amp;unc=NDS</v>
      </c>
      <c r="F144" s="1" t="s">
        <v>160</v>
      </c>
      <c r="G144" s="1"/>
      <c r="H144" s="1"/>
      <c r="I144" s="1"/>
      <c r="J144" s="1"/>
      <c r="K144" s="1"/>
      <c r="L144" s="1"/>
      <c r="M144" s="1"/>
      <c r="N144" s="1"/>
      <c r="O144" s="1"/>
      <c r="R144" s="3"/>
    </row>
    <row r="145" spans="1:18" hidden="1" x14ac:dyDescent="0.25">
      <c r="A145" t="s">
        <v>89</v>
      </c>
      <c r="B145" t="str">
        <f t="shared" si="16"/>
        <v>U</v>
      </c>
      <c r="C145" t="str">
        <f t="shared" si="17"/>
        <v>234</v>
      </c>
      <c r="D145" s="1" t="str">
        <f t="shared" si="18"/>
        <v>234U</v>
      </c>
      <c r="E145" s="5" t="str">
        <f t="shared" si="19"/>
        <v>https://www.nndc.bnl.gov/nudat3/decaysearchdirect.jsp?nuc=234U&amp;unc=NDS</v>
      </c>
      <c r="F145" s="1" t="s">
        <v>160</v>
      </c>
      <c r="G145" s="1"/>
      <c r="H145" s="1"/>
      <c r="I145" s="1"/>
      <c r="J145" s="1"/>
      <c r="K145" s="1"/>
      <c r="L145" s="1"/>
      <c r="M145" s="1"/>
      <c r="N145" s="1"/>
      <c r="O145" s="1"/>
      <c r="R145" s="3"/>
    </row>
    <row r="146" spans="1:18" hidden="1" x14ac:dyDescent="0.25">
      <c r="A146" t="s">
        <v>93</v>
      </c>
      <c r="B146" t="str">
        <f t="shared" si="16"/>
        <v>U</v>
      </c>
      <c r="C146" t="str">
        <f t="shared" si="17"/>
        <v>235</v>
      </c>
      <c r="D146" s="1" t="str">
        <f t="shared" si="18"/>
        <v>235U</v>
      </c>
      <c r="E146" s="5" t="str">
        <f t="shared" si="19"/>
        <v>https://www.nndc.bnl.gov/nudat3/decaysearchdirect.jsp?nuc=235U&amp;unc=NDS</v>
      </c>
      <c r="F146" s="1" t="s">
        <v>160</v>
      </c>
      <c r="G146" s="1"/>
      <c r="H146" s="1"/>
      <c r="I146" s="1"/>
      <c r="J146" s="1"/>
      <c r="K146" s="1"/>
      <c r="L146" s="1"/>
      <c r="M146" s="1"/>
      <c r="N146" s="1"/>
      <c r="O146" s="1"/>
      <c r="R146" s="3"/>
    </row>
    <row r="147" spans="1:18" hidden="1" x14ac:dyDescent="0.25">
      <c r="A147" t="s">
        <v>94</v>
      </c>
      <c r="B147" t="str">
        <f t="shared" si="16"/>
        <v>U</v>
      </c>
      <c r="C147" t="str">
        <f t="shared" si="17"/>
        <v>236</v>
      </c>
      <c r="D147" s="1" t="str">
        <f t="shared" si="18"/>
        <v>236U</v>
      </c>
      <c r="E147" s="5" t="str">
        <f t="shared" si="19"/>
        <v>https://www.nndc.bnl.gov/nudat3/decaysearchdirect.jsp?nuc=236U&amp;unc=NDS</v>
      </c>
      <c r="F147" s="1" t="s">
        <v>160</v>
      </c>
      <c r="G147" s="1"/>
      <c r="H147" s="1"/>
      <c r="I147" s="1"/>
      <c r="J147" s="1"/>
      <c r="K147" s="1"/>
      <c r="L147" s="1"/>
      <c r="M147" s="1"/>
      <c r="N147" s="1"/>
      <c r="O147" s="1"/>
      <c r="R147" s="3"/>
    </row>
    <row r="148" spans="1:18" hidden="1" x14ac:dyDescent="0.25">
      <c r="A148" t="s">
        <v>96</v>
      </c>
      <c r="B148" t="str">
        <f t="shared" si="16"/>
        <v>U</v>
      </c>
      <c r="C148" t="str">
        <f t="shared" si="17"/>
        <v>237</v>
      </c>
      <c r="D148" s="1" t="str">
        <f t="shared" si="18"/>
        <v>237U</v>
      </c>
      <c r="E148" s="5" t="str">
        <f t="shared" si="19"/>
        <v>https://www.nndc.bnl.gov/nudat3/decaysearchdirect.jsp?nuc=237U&amp;unc=NDS</v>
      </c>
      <c r="F148" s="1" t="s">
        <v>160</v>
      </c>
      <c r="G148" s="1"/>
      <c r="H148" s="1"/>
      <c r="I148" s="1"/>
      <c r="J148" s="1"/>
      <c r="K148" s="1"/>
      <c r="L148" s="1"/>
      <c r="M148" s="1"/>
      <c r="N148" s="1"/>
      <c r="O148" s="1"/>
      <c r="R148" s="3"/>
    </row>
    <row r="149" spans="1:18" hidden="1" x14ac:dyDescent="0.25">
      <c r="A149" t="s">
        <v>98</v>
      </c>
      <c r="B149" t="str">
        <f t="shared" si="16"/>
        <v>U</v>
      </c>
      <c r="C149" t="str">
        <f t="shared" si="17"/>
        <v>238</v>
      </c>
      <c r="D149" s="1" t="str">
        <f t="shared" si="18"/>
        <v>238U</v>
      </c>
      <c r="E149" s="5" t="str">
        <f t="shared" si="19"/>
        <v>https://www.nndc.bnl.gov/nudat3/decaysearchdirect.jsp?nuc=238U&amp;unc=NDS</v>
      </c>
      <c r="F149" s="1" t="s">
        <v>160</v>
      </c>
      <c r="G149" s="1"/>
      <c r="H149" s="1"/>
      <c r="I149" s="1"/>
      <c r="J149" s="1"/>
      <c r="K149" s="1"/>
      <c r="L149" s="1"/>
      <c r="M149" s="1"/>
      <c r="N149" s="1"/>
      <c r="O149" s="1"/>
      <c r="R149" s="3"/>
    </row>
    <row r="150" spans="1:18" hidden="1" x14ac:dyDescent="0.25">
      <c r="A150" t="s">
        <v>29</v>
      </c>
      <c r="B150" t="str">
        <f t="shared" si="16"/>
        <v>XE</v>
      </c>
      <c r="C150" t="str">
        <f t="shared" si="17"/>
        <v>131</v>
      </c>
      <c r="D150" s="1" t="str">
        <f t="shared" si="18"/>
        <v>131XE</v>
      </c>
      <c r="E150" s="5" t="str">
        <f t="shared" si="19"/>
        <v>https://www.nndc.bnl.gov/nudat3/decaysearchdirect.jsp?nuc=131XE&amp;unc=NDS</v>
      </c>
      <c r="F150" s="1" t="s">
        <v>160</v>
      </c>
      <c r="G150" s="1"/>
      <c r="H150" s="1"/>
      <c r="I150" s="1"/>
      <c r="J150" s="1"/>
      <c r="K150" s="1"/>
      <c r="L150" s="1"/>
      <c r="M150" s="1"/>
      <c r="N150" s="1"/>
      <c r="O150" s="1"/>
      <c r="R150" s="3"/>
    </row>
    <row r="151" spans="1:18" hidden="1" x14ac:dyDescent="0.25">
      <c r="A151" t="s">
        <v>20</v>
      </c>
      <c r="B151" t="str">
        <f t="shared" si="16"/>
        <v>Y</v>
      </c>
      <c r="C151" t="str">
        <f t="shared" si="17"/>
        <v>90</v>
      </c>
      <c r="D151" s="1" t="str">
        <f t="shared" si="18"/>
        <v>90Y</v>
      </c>
      <c r="E151" s="5" t="str">
        <f t="shared" si="19"/>
        <v>https://www.nndc.bnl.gov/nudat3/decaysearchdirect.jsp?nuc=90Y&amp;unc=NDS</v>
      </c>
      <c r="F151" s="1" t="s">
        <v>160</v>
      </c>
      <c r="G151" s="1"/>
      <c r="H151" s="1"/>
      <c r="I151" s="1"/>
      <c r="J151" s="1"/>
      <c r="K151" s="1"/>
      <c r="L151" s="1"/>
      <c r="M151" s="1"/>
      <c r="N151" s="1"/>
      <c r="O151" s="1"/>
      <c r="R151" s="3"/>
    </row>
    <row r="152" spans="1:18" hidden="1" x14ac:dyDescent="0.25">
      <c r="A152" t="s">
        <v>139</v>
      </c>
      <c r="B152" t="str">
        <f t="shared" si="16"/>
        <v>ZN</v>
      </c>
      <c r="C152" t="str">
        <f t="shared" si="17"/>
        <v>59</v>
      </c>
      <c r="D152" s="1" t="str">
        <f t="shared" si="18"/>
        <v>59ZN</v>
      </c>
      <c r="E152" s="5" t="str">
        <f t="shared" si="19"/>
        <v>https://www.nndc.bnl.gov/nudat3/decaysearchdirect.jsp?nuc=59ZN&amp;unc=NDS</v>
      </c>
      <c r="F152" s="1" t="s">
        <v>160</v>
      </c>
      <c r="G152" s="1"/>
      <c r="H152" s="1"/>
      <c r="I152" s="1"/>
      <c r="J152" s="1"/>
      <c r="K152" s="1"/>
      <c r="L152" s="1"/>
      <c r="M152" s="1"/>
      <c r="N152" s="1"/>
      <c r="O152" s="1"/>
      <c r="R152" s="3"/>
    </row>
    <row r="153" spans="1:18" hidden="1" x14ac:dyDescent="0.25">
      <c r="A153" t="s">
        <v>17</v>
      </c>
      <c r="B153" t="str">
        <f t="shared" si="16"/>
        <v>ZN</v>
      </c>
      <c r="C153" t="str">
        <f t="shared" si="17"/>
        <v>65</v>
      </c>
      <c r="D153" s="1" t="str">
        <f t="shared" si="18"/>
        <v>65ZN</v>
      </c>
      <c r="E153" s="5" t="str">
        <f t="shared" si="19"/>
        <v>https://www.nndc.bnl.gov/nudat3/decaysearchdirect.jsp?nuc=65ZN&amp;unc=NDS</v>
      </c>
      <c r="F153" s="1" t="s">
        <v>160</v>
      </c>
      <c r="G153" s="1"/>
      <c r="H153" s="1"/>
      <c r="I153" s="1"/>
      <c r="J153" s="1"/>
      <c r="K153" s="1"/>
      <c r="L153" s="1"/>
      <c r="M153" s="1"/>
      <c r="N153" s="1"/>
      <c r="O153" s="1"/>
      <c r="R153" s="3"/>
    </row>
    <row r="154" spans="1:18" hidden="1" x14ac:dyDescent="0.25">
      <c r="A154" t="s">
        <v>110</v>
      </c>
      <c r="B154" t="str">
        <f t="shared" si="16"/>
        <v>ZR</v>
      </c>
      <c r="C154" t="str">
        <f t="shared" si="17"/>
        <v>93</v>
      </c>
      <c r="D154" s="1" t="str">
        <f t="shared" si="18"/>
        <v>93ZR</v>
      </c>
      <c r="E154" s="5" t="str">
        <f t="shared" si="19"/>
        <v>https://www.nndc.bnl.gov/nudat3/decaysearchdirect.jsp?nuc=93ZR&amp;unc=NDS</v>
      </c>
      <c r="F154" s="1" t="s">
        <v>160</v>
      </c>
      <c r="G154" s="1"/>
      <c r="H154" s="1"/>
      <c r="I154" s="1"/>
      <c r="J154" s="1"/>
      <c r="K154" s="1"/>
      <c r="L154" s="1"/>
      <c r="M154" s="1"/>
      <c r="N154" s="1"/>
      <c r="O154" s="1"/>
      <c r="R154" s="3"/>
    </row>
    <row r="155" spans="1:18" hidden="1" x14ac:dyDescent="0.25">
      <c r="A155" t="s">
        <v>154</v>
      </c>
      <c r="B155" t="str">
        <f t="shared" si="16"/>
        <v>ZR</v>
      </c>
      <c r="C155" t="str">
        <f t="shared" si="17"/>
        <v>95</v>
      </c>
      <c r="D155" s="1" t="str">
        <f t="shared" si="18"/>
        <v>95ZR</v>
      </c>
      <c r="E155" s="5" t="str">
        <f t="shared" si="19"/>
        <v>https://www.nndc.bnl.gov/nudat3/decaysearchdirect.jsp?nuc=95ZR&amp;unc=NDS</v>
      </c>
      <c r="F155" s="1" t="s">
        <v>160</v>
      </c>
      <c r="G155" s="1"/>
      <c r="H155" s="1"/>
      <c r="I155" s="1"/>
      <c r="J155" s="1"/>
      <c r="K155" s="1"/>
      <c r="L155" s="1"/>
      <c r="M155" s="1"/>
      <c r="N155" s="1"/>
      <c r="O155" s="1"/>
      <c r="R155" s="3"/>
    </row>
    <row r="156" spans="1:18" hidden="1" x14ac:dyDescent="0.25">
      <c r="D156" s="1"/>
      <c r="E156" s="5"/>
      <c r="F156" s="1"/>
      <c r="G156" s="1"/>
      <c r="H156" s="1"/>
      <c r="I156" s="1"/>
      <c r="J156" s="1"/>
      <c r="K156" s="1"/>
      <c r="L156" s="1"/>
      <c r="M156" s="1"/>
      <c r="N156" s="1"/>
      <c r="O156" s="1"/>
      <c r="R156" s="3"/>
    </row>
    <row r="157" spans="1:18" hidden="1" x14ac:dyDescent="0.25">
      <c r="D157" s="1"/>
      <c r="E157" s="5"/>
      <c r="F157" s="1"/>
      <c r="G157" s="1"/>
      <c r="H157" s="1"/>
      <c r="I157" s="1"/>
      <c r="J157" s="1"/>
      <c r="K157" s="1"/>
      <c r="L157" s="1"/>
      <c r="M157" s="1"/>
      <c r="N157" s="1"/>
      <c r="O157" s="1"/>
      <c r="R157" s="3"/>
    </row>
    <row r="158" spans="1:18" hidden="1" x14ac:dyDescent="0.25">
      <c r="D158" s="1"/>
      <c r="E158" s="5"/>
      <c r="F158" s="1"/>
      <c r="G158" s="1"/>
      <c r="H158" s="1"/>
      <c r="I158" s="1"/>
      <c r="J158" s="1"/>
      <c r="K158" s="1"/>
      <c r="L158" s="1"/>
      <c r="M158" s="1"/>
      <c r="N158" s="1"/>
      <c r="O158" s="1"/>
      <c r="R158" s="3"/>
    </row>
    <row r="159" spans="1:18" hidden="1" x14ac:dyDescent="0.25">
      <c r="D159" s="1"/>
      <c r="E159" s="5"/>
      <c r="F159" s="1"/>
      <c r="G159" s="1"/>
      <c r="H159" s="1"/>
      <c r="I159" s="1"/>
      <c r="J159" s="1"/>
      <c r="K159" s="1"/>
      <c r="L159" s="1"/>
      <c r="M159" s="1"/>
      <c r="N159" s="1"/>
      <c r="O159" s="1"/>
      <c r="R159" s="3"/>
    </row>
    <row r="160" spans="1:18" hidden="1" x14ac:dyDescent="0.25">
      <c r="D160" s="1"/>
      <c r="E160" s="5"/>
      <c r="F160" s="1"/>
      <c r="G160" s="1"/>
      <c r="H160" s="1"/>
      <c r="I160" s="1"/>
      <c r="J160" s="1"/>
      <c r="K160" s="1"/>
      <c r="L160" s="1"/>
      <c r="M160" s="1"/>
      <c r="N160" s="1"/>
      <c r="O160" s="1"/>
      <c r="R160" s="3"/>
    </row>
    <row r="161" spans="4:18" hidden="1" x14ac:dyDescent="0.25">
      <c r="D161" s="1"/>
      <c r="E161" s="5"/>
      <c r="F161" s="1"/>
      <c r="G161" s="1"/>
      <c r="H161" s="1"/>
      <c r="I161" s="1"/>
      <c r="J161" s="1"/>
      <c r="K161" s="1"/>
      <c r="L161" s="1"/>
      <c r="M161" s="1"/>
      <c r="N161" s="1"/>
      <c r="O161" s="1"/>
      <c r="R161" s="3"/>
    </row>
    <row r="162" spans="4:18" hidden="1" x14ac:dyDescent="0.25">
      <c r="D162" s="1"/>
      <c r="E162" s="5"/>
      <c r="F162" s="1"/>
      <c r="G162" s="1"/>
      <c r="H162" s="1"/>
      <c r="I162" s="1"/>
      <c r="J162" s="1"/>
      <c r="K162" s="1"/>
      <c r="L162" s="1"/>
      <c r="M162" s="1"/>
      <c r="N162" s="1"/>
      <c r="O162" s="1"/>
      <c r="R162" s="3"/>
    </row>
    <row r="163" spans="4:18" hidden="1" x14ac:dyDescent="0.25">
      <c r="D163" s="1"/>
      <c r="E163" s="5"/>
      <c r="F163" s="1"/>
      <c r="G163" s="1"/>
      <c r="H163" s="1"/>
      <c r="I163" s="1"/>
      <c r="J163" s="1"/>
      <c r="K163" s="1"/>
      <c r="L163" s="1"/>
      <c r="M163" s="1"/>
      <c r="N163" s="1"/>
      <c r="O163" s="1"/>
      <c r="R163" s="3"/>
    </row>
    <row r="164" spans="4:18" hidden="1" x14ac:dyDescent="0.25">
      <c r="D164" s="1"/>
      <c r="E164" s="5"/>
      <c r="F164" s="1"/>
      <c r="G164" s="1"/>
      <c r="H164" s="1"/>
      <c r="I164" s="1"/>
      <c r="J164" s="1"/>
      <c r="K164" s="1"/>
      <c r="L164" s="1"/>
      <c r="M164" s="1"/>
      <c r="N164" s="1"/>
      <c r="O164" s="1"/>
      <c r="R164" s="3"/>
    </row>
    <row r="165" spans="4:18" hidden="1" x14ac:dyDescent="0.25">
      <c r="D165" s="1"/>
      <c r="E165" s="5"/>
      <c r="F165" s="1"/>
      <c r="G165" s="1"/>
      <c r="H165" s="1"/>
      <c r="I165" s="1"/>
      <c r="J165" s="1"/>
      <c r="K165" s="1"/>
      <c r="L165" s="1"/>
      <c r="M165" s="1"/>
      <c r="N165" s="1"/>
      <c r="O165" s="1"/>
      <c r="R165" s="3"/>
    </row>
    <row r="166" spans="4:18" hidden="1" x14ac:dyDescent="0.25">
      <c r="D166" s="1"/>
      <c r="E166" s="5"/>
      <c r="F166" s="1"/>
      <c r="G166" s="1"/>
      <c r="H166" s="1"/>
      <c r="I166" s="1"/>
      <c r="J166" s="1"/>
      <c r="K166" s="1"/>
      <c r="L166" s="1"/>
      <c r="M166" s="1"/>
      <c r="N166" s="1"/>
      <c r="O166" s="1"/>
      <c r="R166" s="3"/>
    </row>
    <row r="167" spans="4:18" hidden="1" x14ac:dyDescent="0.25">
      <c r="D167" s="1"/>
      <c r="E167" s="5"/>
      <c r="F167" s="1"/>
      <c r="G167" s="1"/>
      <c r="H167" s="1"/>
      <c r="I167" s="1"/>
      <c r="J167" s="1"/>
      <c r="K167" s="1"/>
      <c r="L167" s="1"/>
      <c r="M167" s="1"/>
      <c r="N167" s="1"/>
      <c r="O167" s="1"/>
      <c r="R167" s="3"/>
    </row>
    <row r="168" spans="4:18" hidden="1" x14ac:dyDescent="0.25">
      <c r="D168" s="1"/>
      <c r="E168" s="5"/>
      <c r="F168" s="1"/>
      <c r="G168" s="1"/>
      <c r="H168" s="1"/>
      <c r="I168" s="1"/>
      <c r="J168" s="1"/>
      <c r="K168" s="1"/>
      <c r="L168" s="1"/>
      <c r="M168" s="1"/>
      <c r="N168" s="1"/>
      <c r="O168" s="1"/>
      <c r="R168" s="3"/>
    </row>
    <row r="169" spans="4:18" hidden="1" x14ac:dyDescent="0.25">
      <c r="D169" s="1"/>
      <c r="E169" s="5"/>
      <c r="F169" s="1"/>
      <c r="G169" s="1"/>
      <c r="H169" s="1"/>
      <c r="I169" s="1"/>
      <c r="J169" s="1"/>
      <c r="K169" s="1"/>
      <c r="L169" s="1"/>
      <c r="M169" s="1"/>
      <c r="N169" s="1"/>
      <c r="O169" s="1"/>
      <c r="R169" s="3"/>
    </row>
    <row r="170" spans="4:18" hidden="1" x14ac:dyDescent="0.25">
      <c r="D170" s="1"/>
      <c r="E170" s="5"/>
      <c r="F170" s="1"/>
      <c r="G170" s="1"/>
      <c r="H170" s="1"/>
      <c r="I170" s="1"/>
      <c r="J170" s="1"/>
      <c r="K170" s="1"/>
      <c r="L170" s="1"/>
      <c r="M170" s="1"/>
      <c r="N170" s="1"/>
      <c r="O170" s="1"/>
      <c r="R170" s="3"/>
    </row>
    <row r="171" spans="4:18" hidden="1" x14ac:dyDescent="0.25">
      <c r="D171" s="1"/>
      <c r="E171" s="5"/>
      <c r="F171" s="1"/>
      <c r="G171" s="1"/>
      <c r="H171" s="1"/>
      <c r="I171" s="1"/>
      <c r="J171" s="1"/>
      <c r="K171" s="1"/>
      <c r="L171" s="1"/>
      <c r="M171" s="1"/>
      <c r="N171" s="1"/>
      <c r="O171" s="1"/>
      <c r="R171" s="3"/>
    </row>
    <row r="172" spans="4:18" hidden="1" x14ac:dyDescent="0.25">
      <c r="D172" s="1"/>
      <c r="E172" s="5"/>
      <c r="F172" s="1"/>
      <c r="G172" s="1"/>
      <c r="H172" s="1"/>
      <c r="I172" s="1"/>
      <c r="J172" s="1"/>
      <c r="K172" s="1"/>
      <c r="L172" s="1"/>
      <c r="M172" s="1"/>
      <c r="N172" s="1"/>
      <c r="O172" s="1"/>
      <c r="R172" s="3"/>
    </row>
    <row r="173" spans="4:18" hidden="1" x14ac:dyDescent="0.25">
      <c r="D173" s="1"/>
      <c r="E173" s="5"/>
      <c r="F173" s="1"/>
      <c r="G173" s="1"/>
      <c r="H173" s="1"/>
      <c r="I173" s="1"/>
      <c r="J173" s="1"/>
      <c r="K173" s="1"/>
      <c r="L173" s="1"/>
      <c r="M173" s="1"/>
      <c r="N173" s="1"/>
      <c r="O173" s="1"/>
      <c r="R173" s="3"/>
    </row>
    <row r="174" spans="4:18" hidden="1" x14ac:dyDescent="0.25">
      <c r="D174" s="1"/>
      <c r="E174" s="5"/>
      <c r="F174" s="1"/>
      <c r="G174" s="1"/>
      <c r="H174" s="1"/>
      <c r="I174" s="1"/>
      <c r="J174" s="1"/>
      <c r="K174" s="1"/>
      <c r="L174" s="1"/>
      <c r="M174" s="1"/>
      <c r="N174" s="1"/>
      <c r="O174" s="1"/>
      <c r="R174" s="3"/>
    </row>
    <row r="175" spans="4:18" hidden="1" x14ac:dyDescent="0.25">
      <c r="D175" s="1"/>
      <c r="E175" s="5"/>
      <c r="F175" s="1"/>
      <c r="G175" s="1"/>
      <c r="H175" s="1"/>
      <c r="I175" s="1"/>
      <c r="J175" s="1"/>
      <c r="K175" s="1"/>
      <c r="L175" s="1"/>
      <c r="M175" s="1"/>
      <c r="N175" s="1"/>
      <c r="O175" s="1"/>
      <c r="R175" s="3"/>
    </row>
    <row r="176" spans="4:18" hidden="1" x14ac:dyDescent="0.25">
      <c r="D176" s="1"/>
      <c r="E176" s="5"/>
      <c r="F176" s="1"/>
      <c r="G176" s="1"/>
      <c r="H176" s="1"/>
      <c r="I176" s="1"/>
      <c r="J176" s="1"/>
      <c r="K176" s="1"/>
      <c r="L176" s="1"/>
      <c r="M176" s="1"/>
      <c r="N176" s="1"/>
      <c r="O176" s="1"/>
      <c r="R176" s="3"/>
    </row>
    <row r="177" spans="4:18" hidden="1" x14ac:dyDescent="0.25">
      <c r="D177" s="1"/>
      <c r="E177" s="5"/>
      <c r="F177" s="1"/>
      <c r="G177" s="1"/>
      <c r="H177" s="1"/>
      <c r="I177" s="1"/>
      <c r="J177" s="1"/>
      <c r="K177" s="1"/>
      <c r="L177" s="1"/>
      <c r="M177" s="1"/>
      <c r="N177" s="1"/>
      <c r="O177" s="1"/>
      <c r="R177" s="3"/>
    </row>
    <row r="178" spans="4:18" hidden="1" x14ac:dyDescent="0.25">
      <c r="D178" s="1"/>
      <c r="E178" s="5"/>
      <c r="F178" s="1"/>
      <c r="G178" s="1"/>
      <c r="H178" s="1"/>
      <c r="I178" s="1"/>
      <c r="J178" s="1"/>
      <c r="K178" s="1"/>
      <c r="L178" s="1"/>
      <c r="M178" s="1"/>
      <c r="N178" s="1"/>
      <c r="O178" s="1"/>
      <c r="R178" s="3"/>
    </row>
    <row r="179" spans="4:18" hidden="1" x14ac:dyDescent="0.25">
      <c r="D179" s="1"/>
      <c r="E179" s="5"/>
      <c r="F179" s="1"/>
      <c r="G179" s="1"/>
      <c r="H179" s="1"/>
      <c r="I179" s="1"/>
      <c r="J179" s="1"/>
      <c r="K179" s="1"/>
      <c r="L179" s="1"/>
      <c r="M179" s="1"/>
      <c r="N179" s="1"/>
      <c r="O179" s="1"/>
      <c r="R179" s="3"/>
    </row>
    <row r="180" spans="4:18" hidden="1" x14ac:dyDescent="0.25">
      <c r="D180" s="1"/>
      <c r="E180" s="5"/>
      <c r="F180" s="1"/>
      <c r="G180" s="1"/>
      <c r="H180" s="1"/>
      <c r="I180" s="1"/>
      <c r="J180" s="1"/>
      <c r="K180" s="1"/>
      <c r="L180" s="1"/>
      <c r="M180" s="1"/>
      <c r="N180" s="1"/>
      <c r="O180" s="1"/>
      <c r="R180" s="3"/>
    </row>
    <row r="181" spans="4:18" hidden="1" x14ac:dyDescent="0.25">
      <c r="D181" s="1"/>
      <c r="E181" s="5"/>
      <c r="F181" s="1"/>
      <c r="G181" s="1"/>
      <c r="H181" s="1"/>
      <c r="I181" s="1"/>
      <c r="J181" s="1"/>
      <c r="K181" s="1"/>
      <c r="L181" s="1"/>
      <c r="M181" s="1"/>
      <c r="N181" s="1"/>
      <c r="O181" s="1"/>
      <c r="R181" s="3"/>
    </row>
  </sheetData>
  <autoFilter ref="A1:S181" xr:uid="{00000000-0009-0000-0000-000000000000}">
    <filterColumn colId="5">
      <filters>
        <filter val="Yes"/>
      </filters>
    </filterColumn>
    <sortState xmlns:xlrd2="http://schemas.microsoft.com/office/spreadsheetml/2017/richdata2" ref="A2:S181">
      <sortCondition ref="A1:A181"/>
    </sortState>
  </autoFilter>
  <sortState xmlns:xlrd2="http://schemas.microsoft.com/office/spreadsheetml/2017/richdata2" ref="A2:S181">
    <sortCondition ref="S2:S181"/>
    <sortCondition descending="1" ref="R2:R18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32455-0FFD-4B71-8482-B1A098FEBA8D}">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EB79EB7-3BDD-414B-A11B-DBD3952CD0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RTZLib</vt:lpstr>
      <vt:lpstr>Sheet1</vt:lpstr>
      <vt:lpstr>_RTZData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Jamie.Prowse</dc:creator>
  <cp:lastModifiedBy>Jamie Prowse</cp:lastModifiedBy>
  <cp:lastPrinted>2014-04-22T14:36:20Z</cp:lastPrinted>
  <dcterms:created xsi:type="dcterms:W3CDTF">2014-02-24T17:31:08Z</dcterms:created>
  <dcterms:modified xsi:type="dcterms:W3CDTF">2024-12-24T19:58:31Z</dcterms:modified>
</cp:coreProperties>
</file>